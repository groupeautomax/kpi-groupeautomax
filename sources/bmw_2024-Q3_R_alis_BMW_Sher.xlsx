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Disques partagés\BMW Sherbrooke - Contrôleurs\1- Dossier de fin de mois\a) BV ; ÉF réalisé\2024 Réalisé BMW Sh\"/>
    </mc:Choice>
  </mc:AlternateContent>
  <xr:revisionPtr revIDLastSave="0" documentId="13_ncr:1_{6110EB06-BD74-43B2-9C10-07859C5C6081}" xr6:coauthVersionLast="47" xr6:coauthVersionMax="47" xr10:uidLastSave="{00000000-0000-0000-0000-000000000000}"/>
  <bookViews>
    <workbookView xWindow="28680" yWindow="-120" windowWidth="29040" windowHeight="15720" activeTab="1" xr2:uid="{508BF4A0-C9FC-49F5-A5A9-A2907877ABE5}"/>
  </bookViews>
  <sheets>
    <sheet name="Paramètre" sheetId="2" r:id="rId1"/>
    <sheet name="Conso" sheetId="1" r:id="rId2"/>
    <sheet name="START" sheetId="3" r:id="rId3"/>
    <sheet name="Mois 1" sheetId="15" r:id="rId4"/>
    <sheet name="Mois 2" sheetId="5" r:id="rId5"/>
    <sheet name="Mois 3" sheetId="6" r:id="rId6"/>
    <sheet name="END" sheetId="4" r:id="rId7"/>
  </sheets>
  <definedNames>
    <definedName name="_Dates_Conc">#REF!</definedName>
    <definedName name="_Order1" hidden="1">0</definedName>
    <definedName name="_scen">#REF!</definedName>
    <definedName name="_scen1">#REF!</definedName>
    <definedName name="_scen2">#REF!</definedName>
    <definedName name="_SCenarios">#REF!</definedName>
    <definedName name="_Sens1">#REF!</definedName>
    <definedName name="_Sens2">#REF!</definedName>
    <definedName name="_sensRes1">#REF!</definedName>
    <definedName name="_sensRes2">#REF!</definedName>
    <definedName name="_sensRes3">#REF!</definedName>
    <definedName name="_sensRes4">#REF!</definedName>
    <definedName name="_sensRes5">#REF!</definedName>
    <definedName name="_sensRes6">#REF!</definedName>
    <definedName name="_sensRes7">#REF!</definedName>
    <definedName name="a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a" localSheetId="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a" localSheetId="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a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AAA_DOCTOPS" hidden="1">"AAA_SET"</definedName>
    <definedName name="AAA_duser" hidden="1">"OFF"</definedName>
    <definedName name="AAB_Addin5" hidden="1">"AAB_Description for addin 5,Description for addin 5,Description for addin 5,Description for addin 5,Description for addin 5,Description for addin 5"</definedName>
    <definedName name="anscount" hidden="1">1</definedName>
    <definedName name="BLANK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" localSheetId="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" localSheetId="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" localSheetId="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" localSheetId="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cb_sChart12595BBC_opts" hidden="1">"1, 1, 1, False, 2, True, False, , 0, False, False, 2, 2"</definedName>
    <definedName name="cb_sChart12595E44_opts" hidden="1">"1, 3, 1, False, 2, True, False, , 0, True, False, 2, 2"</definedName>
    <definedName name="cb_sChart19550B88_opts" hidden="1">"1, 1, 1, False, 2, False, False, , 0, False, False, 1, 1"</definedName>
    <definedName name="cb_sChart1955183C_opts" hidden="1">"2, 1, 1, True, 2, False, False, , 0, False, False, 1, 1"</definedName>
    <definedName name="cb_sChart19551C4E_opts" hidden="1">"2, 1, 1, True, 2, True, False, , 0, False, False, 1, 1"</definedName>
    <definedName name="cb_sChart1955C01A_opts" hidden="1">"2, 1, 1, False, 2, False, False, , 0, False, True, 1, 1"</definedName>
    <definedName name="cb_sChart1955C1C7_opts" hidden="1">"2, 1, 1, True, 2, False, False, , 0, False, True, 1, 1"</definedName>
    <definedName name="cb_sChart1B9A4AFE_opts" hidden="1">"1, 9, 1, False, 2, False, False, , 0, False, False, 1, 2"</definedName>
    <definedName name="cb_sChart1BA1DC3F_opts" hidden="1">"1, 9, 1, False, 2, False, False, , 0, False, False, 1, 2"</definedName>
    <definedName name="cb_sChart1C94B61D_opts" hidden="1">"1, 9, 3, False, 2, False, False, , 0, False, True, 1, 1"</definedName>
    <definedName name="cb_sChart1C94BA0C_opts" hidden="1">"1, 1, 1, False, 2, True, False, , 0, False, True, 1, 1"</definedName>
    <definedName name="cb_sChart1C94BFE1_opts" hidden="1">"1, 9, 1, False, 2, False, False, , 0, False, True, 1, 1"</definedName>
    <definedName name="Compco1" localSheetId="3" hidden="1">{"Page1",#N/A,FALSE,"CompCo";"Page2",#N/A,FALSE,"CompCo"}</definedName>
    <definedName name="Compco1" localSheetId="4" hidden="1">{"Page1",#N/A,FALSE,"CompCo";"Page2",#N/A,FALSE,"CompCo"}</definedName>
    <definedName name="Compco1" localSheetId="5" hidden="1">{"Page1",#N/A,FALSE,"CompCo";"Page2",#N/A,FALSE,"CompCo"}</definedName>
    <definedName name="Compco1" hidden="1">{"Page1",#N/A,FALSE,"CompCo";"Page2",#N/A,FALSE,"CompCo"}</definedName>
    <definedName name="Compco2" localSheetId="3" hidden="1">{"Page1",#N/A,FALSE,"CompCo";"Page2",#N/A,FALSE,"CompCo"}</definedName>
    <definedName name="Compco2" localSheetId="4" hidden="1">{"Page1",#N/A,FALSE,"CompCo";"Page2",#N/A,FALSE,"CompCo"}</definedName>
    <definedName name="Compco2" localSheetId="5" hidden="1">{"Page1",#N/A,FALSE,"CompCo";"Page2",#N/A,FALSE,"CompCo"}</definedName>
    <definedName name="Compco2" hidden="1">{"Page1",#N/A,FALSE,"CompCo";"Page2",#N/A,FALSE,"CompCo"}</definedName>
    <definedName name="DateRange">#REF!</definedName>
    <definedName name="DateRangePr" localSheetId="3" hidden="1">OFFSET(#REF!,5,0,COUNTA(#REF!)-COUNTA(#REF!),1)</definedName>
    <definedName name="DateRangePr" hidden="1">OFFSET(#REF!,5,0,COUNTA(#REF!)-COUNTA(#REF!),1)</definedName>
    <definedName name="DateRangePrice" localSheetId="3" hidden="1">OFFSET(#REF!,5,0,COUNTA(#REF!)-COUNTA(#REF!),1)</definedName>
    <definedName name="DateRangePrice" hidden="1">OFFSET(#REF!,5,0,COUNTA(#REF!)-COUNTA(#REF!),1)</definedName>
    <definedName name="DateRangePrice1" localSheetId="3" hidden="1">OFFSET(#REF!,5,0,COUNTA(#REF!)-COUNTA(#REF!),1)</definedName>
    <definedName name="DateRangePrice1" hidden="1">OFFSET(#REF!,5,0,COUNTA(#REF!)-COUNTA(#REF!),1)</definedName>
    <definedName name="DateRangePrice2" localSheetId="3" hidden="1">OFFSET(#REF!,5,0,COUNTA(#REF!)-COUNTA(#REF!),1)</definedName>
    <definedName name="DateRangePrice2" hidden="1">OFFSET(#REF!,5,0,COUNTA(#REF!)-COUNTA(#REF!),1)</definedName>
    <definedName name="ERT" localSheetId="3" hidden="1">{"execsum",#N/A,FALSE,"ExecSum";"finstatement",#N/A,FALSE,"Fin_St"}</definedName>
    <definedName name="ERT" localSheetId="4" hidden="1">{"execsum",#N/A,FALSE,"ExecSum";"finstatement",#N/A,FALSE,"Fin_St"}</definedName>
    <definedName name="ERT" localSheetId="5" hidden="1">{"execsum",#N/A,FALSE,"ExecSum";"finstatement",#N/A,FALSE,"Fin_St"}</definedName>
    <definedName name="ERT" hidden="1">{"execsum",#N/A,FALSE,"ExecSum";"finstatement",#N/A,FALSE,"Fin_St"}</definedName>
    <definedName name="ev.Calculation" hidden="1">-4135</definedName>
    <definedName name="ev.Initialized" hidden="1">FALSE</definedName>
    <definedName name="hn.Delete015" hidden="1">#REF!,#REF!,#REF!,#REF!,#REF!</definedName>
    <definedName name="hn.ModelVersion" hidden="1">1</definedName>
    <definedName name="hn.NoUpload" hidden="1">0</definedName>
    <definedName name="IQ_ADDIN" hidden="1">"AUTO"</definedName>
    <definedName name="IQ_CH" hidden="1">110000</definedName>
    <definedName name="IQ_CQ" hidden="1">5000</definedName>
    <definedName name="IQ_CY" hidden="1">10000</definedName>
    <definedName name="IQ_FH" hidden="1">100000</definedName>
    <definedName name="IQ_FQ" hidden="1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 hidden="1">1000</definedName>
    <definedName name="IQ_LATESTK" hidden="1">1000</definedName>
    <definedName name="IQ_LATESTQ" hidden="1">500</definedName>
    <definedName name="IQ_LTM" hidden="1">2000</definedName>
    <definedName name="IQ_MONTH" hidden="1">15000</definedName>
    <definedName name="IQ_NAMES_REVISION_DATE_" hidden="1">40239.5241087963</definedName>
    <definedName name="IQ_NTM" hidden="1">6000</definedName>
    <definedName name="IQ_SHAREOUTSTANDING" hidden="1">"c1347"</definedName>
    <definedName name="IQ_TODAY" hidden="1">0</definedName>
    <definedName name="IQ_WEEK" hidden="1">50000</definedName>
    <definedName name="IQ_YTD" hidden="1">3000</definedName>
    <definedName name="kjjkghkhj" localSheetId="3" hidden="1">{"finana",#N/A,FALSE,"Fin"}</definedName>
    <definedName name="kjjkghkhj" localSheetId="4" hidden="1">{"finana",#N/A,FALSE,"Fin"}</definedName>
    <definedName name="kjjkghkhj" localSheetId="5" hidden="1">{"finana",#N/A,FALSE,"Fin"}</definedName>
    <definedName name="kjjkghkhj" hidden="1">{"finana",#N/A,FALSE,"Fin"}</definedName>
    <definedName name="limcount" hidden="1">1</definedName>
    <definedName name="lkhkhj" localSheetId="3" hidden="1">{"sub1",#N/A,FALSE,"Subs";"pac1",#N/A,FALSE,"Packages";"rev1",#N/A,FALSE,"2. Revenues"}</definedName>
    <definedName name="lkhkhj" localSheetId="4" hidden="1">{"sub1",#N/A,FALSE,"Subs";"pac1",#N/A,FALSE,"Packages";"rev1",#N/A,FALSE,"2. Revenues"}</definedName>
    <definedName name="lkhkhj" localSheetId="5" hidden="1">{"sub1",#N/A,FALSE,"Subs";"pac1",#N/A,FALSE,"Packages";"rev1",#N/A,FALSE,"2. Revenues"}</definedName>
    <definedName name="lkhkhj" hidden="1">{"sub1",#N/A,FALSE,"Subs";"pac1",#N/A,FALSE,"Packages";"rev1",#N/A,FALSE,"2. Revenues"}</definedName>
    <definedName name="m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m" localSheetId="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m" localSheetId="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m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Monetary_Unit">#REF!</definedName>
    <definedName name="Months">#REF!</definedName>
    <definedName name="Output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" localSheetId="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" localSheetId="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1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1" localSheetId="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1" localSheetId="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PriceRange" localSheetId="3" hidden="1">OFFSET(#REF!,5,0,COUNTA(#REF!)-COUNTA(#REF!),1)</definedName>
    <definedName name="PriceRange" hidden="1">OFFSET(#REF!,5,0,COUNTA(#REF!)-COUNTA(#REF!),1)</definedName>
    <definedName name="PriceRange2" localSheetId="3" hidden="1">OFFSET(#REF!,5,0,COUNTA(#REF!)-COUNTA(#REF!),1)</definedName>
    <definedName name="PriceRange2" hidden="1">OFFSET(#REF!,5,0,COUNTA(#REF!)-COUNTA(#REF!),1)</definedName>
    <definedName name="Rng_Dealers_Names">#REF!</definedName>
    <definedName name="Rng_Dlr_Dates">#REF!</definedName>
    <definedName name="sencount" hidden="1">1</definedName>
    <definedName name="SLEVIN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" localSheetId="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" localSheetId="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test" localSheetId="3" hidden="1">{"execsum",#N/A,FALSE,"ExecSum";"finstatement",#N/A,FALSE,"Fin_St"}</definedName>
    <definedName name="test" localSheetId="4" hidden="1">{"execsum",#N/A,FALSE,"ExecSum";"finstatement",#N/A,FALSE,"Fin_St"}</definedName>
    <definedName name="test" localSheetId="5" hidden="1">{"execsum",#N/A,FALSE,"ExecSum";"finstatement",#N/A,FALSE,"Fin_St"}</definedName>
    <definedName name="test" hidden="1">{"execsum",#N/A,FALSE,"ExecSum";"finstatement",#N/A,FALSE,"Fin_St"}</definedName>
    <definedName name="test21" localSheetId="3" hidden="1">OFFSET(#REF!,5,0,COUNTA(#REF!)-COUNTA(#REF!),1)</definedName>
    <definedName name="test21" hidden="1">OFFSET(#REF!,5,0,COUNTA(#REF!)-COUNTA(#REF!),1)</definedName>
    <definedName name="Ticker" hidden="1">#N/A</definedName>
    <definedName name="Titre">#REF!</definedName>
    <definedName name="value" localSheetId="3" hidden="1">OFFSET(#REF!,5,0,COUNTA(#REF!)-COUNTA(#REF!),1)</definedName>
    <definedName name="value" hidden="1">OFFSET(#REF!,5,0,COUNTA(#REF!)-COUNTA(#REF!),1)</definedName>
    <definedName name="value2" localSheetId="3" hidden="1">OFFSET(#REF!,5,0,COUNTA(#REF!)-COUNTA(#REF!),1)</definedName>
    <definedName name="value2" hidden="1">OFFSET(#REF!,5,0,COUNTA(#REF!)-COUNTA(#REF!),1)</definedName>
    <definedName name="wrn.amendement." localSheetId="3" hidden="1">{#N/A,#N/A,FALSE,"amendement"}</definedName>
    <definedName name="wrn.amendement." localSheetId="4" hidden="1">{#N/A,#N/A,FALSE,"amendement"}</definedName>
    <definedName name="wrn.amendement." localSheetId="5" hidden="1">{#N/A,#N/A,FALSE,"amendement"}</definedName>
    <definedName name="wrn.amendement." hidden="1">{#N/A,#N/A,FALSE,"amendement"}</definedName>
    <definedName name="wrn.amendement.." localSheetId="3" hidden="1">{#N/A,#N/A,FALSE,"amendement"}</definedName>
    <definedName name="wrn.amendement.." localSheetId="4" hidden="1">{#N/A,#N/A,FALSE,"amendement"}</definedName>
    <definedName name="wrn.amendement.." localSheetId="5" hidden="1">{#N/A,#N/A,FALSE,"amendement"}</definedName>
    <definedName name="wrn.amendement.." hidden="1">{#N/A,#N/A,FALSE,"amendement"}</definedName>
    <definedName name="wrn.COMPCO." localSheetId="3" hidden="1">{"Page1",#N/A,FALSE,"CompCo";"Page2",#N/A,FALSE,"CompCo"}</definedName>
    <definedName name="wrn.COMPCO." localSheetId="4" hidden="1">{"Page1",#N/A,FALSE,"CompCo";"Page2",#N/A,FALSE,"CompCo"}</definedName>
    <definedName name="wrn.COMPCO." localSheetId="5" hidden="1">{"Page1",#N/A,FALSE,"CompCo";"Page2",#N/A,FALSE,"CompCo"}</definedName>
    <definedName name="wrn.COMPCO." hidden="1">{"Page1",#N/A,FALSE,"CompCo";"Page2",#N/A,FALSE,"CompCo"}</definedName>
    <definedName name="wrn.Delchamps." localSheetId="3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wrn.Delchamps." localSheetId="4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wrn.Delchamps." localSheetId="5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wrn.Delchamps.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wrn.detail." localSheetId="3" hidden="1">{"Build1",#N/A,FALSE,"Buildup";"Build2",#N/A,FALSE,"Buildup";"Build3",#N/A,FALSE,"Buildup"}</definedName>
    <definedName name="wrn.detail." localSheetId="4" hidden="1">{"Build1",#N/A,FALSE,"Buildup";"Build2",#N/A,FALSE,"Buildup";"Build3",#N/A,FALSE,"Buildup"}</definedName>
    <definedName name="wrn.detail." localSheetId="5" hidden="1">{"Build1",#N/A,FALSE,"Buildup";"Build2",#N/A,FALSE,"Buildup";"Build3",#N/A,FALSE,"Buildup"}</definedName>
    <definedName name="wrn.detail." hidden="1">{"Build1",#N/A,FALSE,"Buildup";"Build2",#N/A,FALSE,"Buildup";"Build3",#N/A,FALSE,"Buildup"}</definedName>
    <definedName name="wrn.execsum." localSheetId="3" hidden="1">{"execsum",#N/A,FALSE,"ExecSum";"finstatement",#N/A,FALSE,"Fin_St"}</definedName>
    <definedName name="wrn.execsum." localSheetId="4" hidden="1">{"execsum",#N/A,FALSE,"ExecSum";"finstatement",#N/A,FALSE,"Fin_St"}</definedName>
    <definedName name="wrn.execsum." localSheetId="5" hidden="1">{"execsum",#N/A,FALSE,"ExecSum";"finstatement",#N/A,FALSE,"Fin_St"}</definedName>
    <definedName name="wrn.execsum." hidden="1">{"execsum",#N/A,FALSE,"ExecSum";"finstatement",#N/A,FALSE,"Fin_St"}</definedName>
    <definedName name="wrn.Finanalysis." localSheetId="3" hidden="1">{"finana",#N/A,FALSE,"Fin"}</definedName>
    <definedName name="wrn.Finanalysis." localSheetId="4" hidden="1">{"finana",#N/A,FALSE,"Fin"}</definedName>
    <definedName name="wrn.Finanalysis." localSheetId="5" hidden="1">{"finana",#N/A,FALSE,"Fin"}</definedName>
    <definedName name="wrn.Finanalysis." hidden="1">{"finana",#N/A,FALSE,"Fin"}</definedName>
    <definedName name="wrn.full._.report." localSheetId="3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" localSheetId="4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" localSheetId="5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magicrep." localSheetId="3" hidden="1">{"sub1",#N/A,FALSE,"Subs";"pac1",#N/A,FALSE,"Packages";"rev1",#N/A,FALSE,"2. Revenues"}</definedName>
    <definedName name="wrn.magicrep." localSheetId="4" hidden="1">{"sub1",#N/A,FALSE,"Subs";"pac1",#N/A,FALSE,"Packages";"rev1",#N/A,FALSE,"2. Revenues"}</definedName>
    <definedName name="wrn.magicrep." localSheetId="5" hidden="1">{"sub1",#N/A,FALSE,"Subs";"pac1",#N/A,FALSE,"Packages";"rev1",#N/A,FALSE,"2. Revenues"}</definedName>
    <definedName name="wrn.magicrep." hidden="1">{"sub1",#N/A,FALSE,"Subs";"pac1",#N/A,FALSE,"Packages";"rev1",#N/A,FALSE,"2. Revenues"}</definedName>
    <definedName name="wrn.persrep." localSheetId="3" hidden="1">{"volu1",#N/A,FALSE,"Volumes";"headcount",#N/A,FALSE,"Headcount";"emprpt",#N/A,FALSE,"Output"}</definedName>
    <definedName name="wrn.persrep." localSheetId="4" hidden="1">{"volu1",#N/A,FALSE,"Volumes";"headcount",#N/A,FALSE,"Headcount";"emprpt",#N/A,FALSE,"Output"}</definedName>
    <definedName name="wrn.persrep." localSheetId="5" hidden="1">{"volu1",#N/A,FALSE,"Volumes";"headcount",#N/A,FALSE,"Headcount";"emprpt",#N/A,FALSE,"Output"}</definedName>
    <definedName name="wrn.persrep." hidden="1">{"volu1",#N/A,FALSE,"Volumes";"headcount",#N/A,FALSE,"Headcount";"emprpt",#N/A,FALSE,"Output"}</definedName>
    <definedName name="wrn.PrintAll." localSheetId="3" hidden="1">{"PA1",#N/A,FALSE,"BORDMW";"pa2",#N/A,FALSE,"BORDMW";"PA3",#N/A,FALSE,"BORDMW";"PA4",#N/A,FALSE,"BORDMW"}</definedName>
    <definedName name="wrn.PrintAll." localSheetId="4" hidden="1">{"PA1",#N/A,FALSE,"BORDMW";"pa2",#N/A,FALSE,"BORDMW";"PA3",#N/A,FALSE,"BORDMW";"PA4",#N/A,FALSE,"BORDMW"}</definedName>
    <definedName name="wrn.PrintAll." localSheetId="5" hidden="1">{"PA1",#N/A,FALSE,"BORDMW";"pa2",#N/A,FALSE,"BORDMW";"PA3",#N/A,FALSE,"BORDMW";"PA4",#N/A,FALSE,"BORDMW"}</definedName>
    <definedName name="wrn.PrintAll." hidden="1">{"PA1",#N/A,FALSE,"BORDMW";"pa2",#N/A,FALSE,"BORDMW";"PA3",#N/A,FALSE,"BORDMW";"PA4",#N/A,FALSE,"BORDMW"}</definedName>
    <definedName name="wrn.prospectus." localSheetId="3" hidden="1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." localSheetId="4" hidden="1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." localSheetId="5" hidden="1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." hidden="1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.." localSheetId="3" hidden="1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.." localSheetId="4" hidden="1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.." localSheetId="5" hidden="1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.." hidden="1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" localSheetId="3" hidden="1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" localSheetId="4" hidden="1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" localSheetId="5" hidden="1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" hidden="1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." localSheetId="3" hidden="1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." localSheetId="4" hidden="1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." localSheetId="5" hidden="1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." hidden="1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sales." localSheetId="3" hidden="1">{"sales",#N/A,FALSE,"Sales";"sales existing",#N/A,FALSE,"Sales";"sales rd1",#N/A,FALSE,"Sales";"sales rd2",#N/A,FALSE,"Sales"}</definedName>
    <definedName name="wrn.sales." localSheetId="4" hidden="1">{"sales",#N/A,FALSE,"Sales";"sales existing",#N/A,FALSE,"Sales";"sales rd1",#N/A,FALSE,"Sales";"sales rd2",#N/A,FALSE,"Sales"}</definedName>
    <definedName name="wrn.sales." localSheetId="5" hidden="1">{"sales",#N/A,FALSE,"Sales";"sales existing",#N/A,FALSE,"Sales";"sales rd1",#N/A,FALSE,"Sales";"sales rd2",#N/A,FALSE,"Sales"}</definedName>
    <definedName name="wrn.sales." hidden="1">{"sales",#N/A,FALSE,"Sales";"sales existing",#N/A,FALSE,"Sales";"sales rd1",#N/A,FALSE,"Sales";"sales rd2",#N/A,FALSE,"Sales"}</definedName>
    <definedName name="wrn.SUMMARY.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" localSheetId="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" localSheetId="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" localSheetId="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" localSheetId="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bt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bt" localSheetId="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bt" localSheetId="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bt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_xlnm.Print_Area" localSheetId="1">Conso!$C$1:$S$353,Conso!$V$402:$AO$498</definedName>
    <definedName name="_xlnm.Print_Area" localSheetId="3">'Mois 1'!#REF!,'Mois 1'!#REF!,'Mois 1'!#REF!,'Mois 1'!#REF!,'Mois 1'!#REF!,'Mois 1'!#REF!</definedName>
    <definedName name="_xlnm.Print_Area" localSheetId="4">'Mois 2'!#REF!,'Mois 2'!#REF!,'Mois 2'!#REF!,'Mois 2'!#REF!,'Mois 2'!#REF!,'Mois 2'!#REF!</definedName>
    <definedName name="_xlnm.Print_Area" localSheetId="5">'Mois 3'!$C$1:$T$698,'Mois 3'!$U$402:$AO$498</definedName>
    <definedName name="_xlnm.Print_Area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499" i="6" l="1"/>
  <c r="A498" i="6"/>
  <c r="AO497" i="6"/>
  <c r="A497" i="6"/>
  <c r="A496" i="6"/>
  <c r="AO496" i="6" s="1"/>
  <c r="A495" i="6"/>
  <c r="AO495" i="6" s="1"/>
  <c r="AO494" i="6"/>
  <c r="AI494" i="6"/>
  <c r="A494" i="6"/>
  <c r="AN493" i="6"/>
  <c r="AI493" i="6"/>
  <c r="A493" i="6"/>
  <c r="AO493" i="6" s="1"/>
  <c r="A492" i="6"/>
  <c r="AO492" i="6" s="1"/>
  <c r="AN491" i="6"/>
  <c r="AH491" i="6"/>
  <c r="A491" i="6"/>
  <c r="A490" i="6"/>
  <c r="A489" i="6"/>
  <c r="A488" i="6"/>
  <c r="A487" i="6"/>
  <c r="A486" i="6"/>
  <c r="A484" i="6"/>
  <c r="AR483" i="6"/>
  <c r="A483" i="6"/>
  <c r="AO482" i="6"/>
  <c r="AN482" i="6"/>
  <c r="A482" i="6"/>
  <c r="A481" i="6"/>
  <c r="A480" i="6"/>
  <c r="A479" i="6"/>
  <c r="A478" i="6"/>
  <c r="A477" i="6"/>
  <c r="A476" i="6"/>
  <c r="A475" i="6"/>
  <c r="A474" i="6"/>
  <c r="A473" i="6"/>
  <c r="A472" i="6"/>
  <c r="A471" i="6"/>
  <c r="A470" i="6"/>
  <c r="A469" i="6"/>
  <c r="AR468" i="6"/>
  <c r="A468" i="6"/>
  <c r="AO467" i="6"/>
  <c r="AN467" i="6"/>
  <c r="AH467" i="6"/>
  <c r="A467" i="6"/>
  <c r="A466" i="6"/>
  <c r="A465" i="6"/>
  <c r="A464" i="6"/>
  <c r="A463" i="6"/>
  <c r="A462" i="6"/>
  <c r="A461" i="6"/>
  <c r="AH460" i="6"/>
  <c r="AI460" i="6"/>
  <c r="A460" i="6"/>
  <c r="A459" i="6"/>
  <c r="AQ458" i="6"/>
  <c r="AO458" i="6"/>
  <c r="AH458" i="6"/>
  <c r="AI458" i="6"/>
  <c r="A458" i="6"/>
  <c r="AN458" i="6" s="1"/>
  <c r="AQ457" i="6"/>
  <c r="A457" i="6"/>
  <c r="A456" i="6"/>
  <c r="A455" i="6"/>
  <c r="A454" i="6"/>
  <c r="A453" i="6"/>
  <c r="A452" i="6"/>
  <c r="A451" i="6"/>
  <c r="A450" i="6"/>
  <c r="A449" i="6"/>
  <c r="A448" i="6"/>
  <c r="A447" i="6"/>
  <c r="A446" i="6"/>
  <c r="A445" i="6"/>
  <c r="A444" i="6"/>
  <c r="A443" i="6"/>
  <c r="A442" i="6"/>
  <c r="A441" i="6"/>
  <c r="AQ439" i="6"/>
  <c r="A439" i="6"/>
  <c r="AQ438" i="6"/>
  <c r="A438" i="6"/>
  <c r="A437" i="6"/>
  <c r="AQ436" i="6"/>
  <c r="A436" i="6"/>
  <c r="A435" i="6"/>
  <c r="AQ434" i="6"/>
  <c r="A434" i="6"/>
  <c r="A433" i="6"/>
  <c r="A432" i="6"/>
  <c r="A431" i="6"/>
  <c r="A430" i="6"/>
  <c r="A429" i="6"/>
  <c r="A428" i="6"/>
  <c r="A427" i="6"/>
  <c r="A426" i="6"/>
  <c r="A425" i="6"/>
  <c r="A424" i="6"/>
  <c r="A423" i="6"/>
  <c r="A422" i="6"/>
  <c r="A421" i="6"/>
  <c r="A420" i="6"/>
  <c r="A419" i="6"/>
  <c r="A418" i="6"/>
  <c r="A417" i="6"/>
  <c r="A416" i="6"/>
  <c r="A415" i="6"/>
  <c r="A414" i="6"/>
  <c r="A413" i="6"/>
  <c r="A412" i="6"/>
  <c r="A411" i="6"/>
  <c r="A410" i="6"/>
  <c r="A409" i="6"/>
  <c r="A408" i="6"/>
  <c r="A407" i="6"/>
  <c r="A406" i="6"/>
  <c r="A405" i="6"/>
  <c r="A404" i="6"/>
  <c r="A394" i="6"/>
  <c r="A393" i="6"/>
  <c r="A392" i="6"/>
  <c r="A391" i="6"/>
  <c r="A390" i="6"/>
  <c r="A389" i="6"/>
  <c r="A388" i="6"/>
  <c r="A387" i="6"/>
  <c r="A386" i="6"/>
  <c r="A385" i="6"/>
  <c r="A384" i="6"/>
  <c r="A383" i="6"/>
  <c r="A382" i="6"/>
  <c r="A381" i="6"/>
  <c r="A380" i="6"/>
  <c r="A379" i="6"/>
  <c r="A378" i="6"/>
  <c r="A377" i="6"/>
  <c r="S376" i="6"/>
  <c r="A376" i="6"/>
  <c r="A375" i="6"/>
  <c r="S374" i="6"/>
  <c r="A374" i="6"/>
  <c r="A373" i="6"/>
  <c r="A372" i="6"/>
  <c r="S371" i="6"/>
  <c r="A371" i="6"/>
  <c r="S370" i="6"/>
  <c r="A370" i="6"/>
  <c r="A369" i="6"/>
  <c r="A368" i="6"/>
  <c r="A367" i="6"/>
  <c r="A366" i="6"/>
  <c r="A365" i="6"/>
  <c r="A364" i="6"/>
  <c r="A363" i="6"/>
  <c r="K362" i="6"/>
  <c r="A362" i="6"/>
  <c r="A361" i="6"/>
  <c r="K360" i="6"/>
  <c r="J362" i="6"/>
  <c r="A360" i="6"/>
  <c r="A359" i="6"/>
  <c r="N352" i="6"/>
  <c r="A348" i="6"/>
  <c r="A347" i="6"/>
  <c r="N346" i="6"/>
  <c r="A346" i="6"/>
  <c r="S345" i="6"/>
  <c r="A345" i="6"/>
  <c r="N344" i="6"/>
  <c r="A344" i="6"/>
  <c r="S343" i="6"/>
  <c r="N343" i="6"/>
  <c r="A343" i="6"/>
  <c r="N342" i="6"/>
  <c r="A342" i="6"/>
  <c r="N341" i="6"/>
  <c r="S341" i="6"/>
  <c r="A341" i="6"/>
  <c r="S340" i="6"/>
  <c r="A340" i="6"/>
  <c r="A339" i="6"/>
  <c r="S338" i="6"/>
  <c r="A338" i="6"/>
  <c r="N337" i="6"/>
  <c r="A337" i="6"/>
  <c r="S337" i="6" s="1"/>
  <c r="N336" i="6"/>
  <c r="A336" i="6"/>
  <c r="A335" i="6"/>
  <c r="S334" i="6"/>
  <c r="N334" i="6"/>
  <c r="A334" i="6"/>
  <c r="A333" i="6"/>
  <c r="N332" i="6"/>
  <c r="S332" i="6"/>
  <c r="A332" i="6"/>
  <c r="S331" i="6"/>
  <c r="N331" i="6"/>
  <c r="A331" i="6"/>
  <c r="A330" i="6"/>
  <c r="S329" i="6"/>
  <c r="A329" i="6"/>
  <c r="A328" i="6"/>
  <c r="N327" i="6"/>
  <c r="A327" i="6"/>
  <c r="N326" i="6"/>
  <c r="A326" i="6"/>
  <c r="A325" i="6"/>
  <c r="A324" i="6"/>
  <c r="A323" i="6"/>
  <c r="S322" i="6"/>
  <c r="A322" i="6"/>
  <c r="S321" i="6"/>
  <c r="N321" i="6"/>
  <c r="A321" i="6"/>
  <c r="S320" i="6"/>
  <c r="N320" i="6"/>
  <c r="A320" i="6"/>
  <c r="A319" i="6"/>
  <c r="S319" i="6" s="1"/>
  <c r="A318" i="6"/>
  <c r="S318" i="6" s="1"/>
  <c r="A317" i="6"/>
  <c r="A316" i="6"/>
  <c r="A315" i="6"/>
  <c r="A314" i="6"/>
  <c r="A313" i="6"/>
  <c r="K312" i="6"/>
  <c r="A312" i="6"/>
  <c r="A311" i="6"/>
  <c r="A310" i="6"/>
  <c r="A309" i="6"/>
  <c r="K308" i="6"/>
  <c r="A308" i="6"/>
  <c r="M307" i="6"/>
  <c r="N307" i="6"/>
  <c r="A307" i="6"/>
  <c r="A306" i="6"/>
  <c r="A305" i="6"/>
  <c r="A304" i="6"/>
  <c r="K303" i="6"/>
  <c r="E303" i="6"/>
  <c r="A303" i="6"/>
  <c r="K302" i="6"/>
  <c r="A302" i="6"/>
  <c r="E302" i="6" s="1"/>
  <c r="K301" i="6"/>
  <c r="A301" i="6"/>
  <c r="K300" i="6"/>
  <c r="A300" i="6"/>
  <c r="K299" i="6"/>
  <c r="A299" i="6"/>
  <c r="A298" i="6"/>
  <c r="K297" i="6"/>
  <c r="A297" i="6"/>
  <c r="K296" i="6"/>
  <c r="M296" i="6"/>
  <c r="A296" i="6"/>
  <c r="J304" i="6"/>
  <c r="A295" i="6"/>
  <c r="A294" i="6"/>
  <c r="N288" i="6"/>
  <c r="N284" i="6"/>
  <c r="A284" i="6"/>
  <c r="A283" i="6"/>
  <c r="N282" i="6"/>
  <c r="A282" i="6"/>
  <c r="A281" i="6"/>
  <c r="A280" i="6"/>
  <c r="S280" i="6" s="1"/>
  <c r="S279" i="6"/>
  <c r="A279" i="6"/>
  <c r="A278" i="6"/>
  <c r="S277" i="6"/>
  <c r="N277" i="6"/>
  <c r="A277" i="6"/>
  <c r="S276" i="6"/>
  <c r="A276" i="6"/>
  <c r="N276" i="6" s="1"/>
  <c r="S275" i="6"/>
  <c r="N275" i="6"/>
  <c r="A275" i="6"/>
  <c r="S274" i="6"/>
  <c r="A274" i="6"/>
  <c r="N274" i="6" s="1"/>
  <c r="A273" i="6"/>
  <c r="A272" i="6"/>
  <c r="A271" i="6"/>
  <c r="S270" i="6"/>
  <c r="N270" i="6"/>
  <c r="A270" i="6"/>
  <c r="A269" i="6"/>
  <c r="N269" i="6" s="1"/>
  <c r="N268" i="6"/>
  <c r="A268" i="6"/>
  <c r="S268" i="6" s="1"/>
  <c r="A267" i="6"/>
  <c r="L266" i="6"/>
  <c r="A266" i="6"/>
  <c r="N265" i="6"/>
  <c r="S265" i="6"/>
  <c r="A265" i="6"/>
  <c r="N264" i="6"/>
  <c r="A264" i="6"/>
  <c r="A263" i="6"/>
  <c r="S262" i="6"/>
  <c r="N262" i="6"/>
  <c r="A262" i="6"/>
  <c r="A261" i="6"/>
  <c r="S260" i="6"/>
  <c r="N260" i="6"/>
  <c r="A260" i="6"/>
  <c r="A259" i="6"/>
  <c r="N258" i="6"/>
  <c r="S258" i="6"/>
  <c r="A258" i="6"/>
  <c r="N257" i="6"/>
  <c r="A257" i="6"/>
  <c r="N256" i="6"/>
  <c r="A256" i="6"/>
  <c r="S256" i="6" s="1"/>
  <c r="S255" i="6"/>
  <c r="N255" i="6"/>
  <c r="A255" i="6"/>
  <c r="S254" i="6"/>
  <c r="A254" i="6"/>
  <c r="A253" i="6"/>
  <c r="A252" i="6"/>
  <c r="A251" i="6"/>
  <c r="A250" i="6"/>
  <c r="A249" i="6"/>
  <c r="S248" i="6"/>
  <c r="Q248" i="6"/>
  <c r="N248" i="6"/>
  <c r="L248" i="6"/>
  <c r="F248" i="6"/>
  <c r="A248" i="6"/>
  <c r="S247" i="6"/>
  <c r="R247" i="6"/>
  <c r="N247" i="6"/>
  <c r="M247" i="6"/>
  <c r="A247" i="6"/>
  <c r="A246" i="6"/>
  <c r="L245" i="6"/>
  <c r="A245" i="6"/>
  <c r="A244" i="6"/>
  <c r="A243" i="6"/>
  <c r="L242" i="6"/>
  <c r="A242" i="6"/>
  <c r="K250" i="6"/>
  <c r="A241" i="6"/>
  <c r="A240" i="6"/>
  <c r="A239" i="6"/>
  <c r="N232" i="6"/>
  <c r="L229" i="6"/>
  <c r="N228" i="6"/>
  <c r="S228" i="6"/>
  <c r="A228" i="6"/>
  <c r="S227" i="6"/>
  <c r="A227" i="6"/>
  <c r="S226" i="6"/>
  <c r="N226" i="6"/>
  <c r="A226" i="6"/>
  <c r="S225" i="6"/>
  <c r="N225" i="6"/>
  <c r="A225" i="6"/>
  <c r="A224" i="6"/>
  <c r="S223" i="6"/>
  <c r="N223" i="6"/>
  <c r="A223" i="6"/>
  <c r="N222" i="6"/>
  <c r="A222" i="6"/>
  <c r="N221" i="6"/>
  <c r="A221" i="6"/>
  <c r="S220" i="6"/>
  <c r="N220" i="6"/>
  <c r="A220" i="6"/>
  <c r="A219" i="6"/>
  <c r="A218" i="6"/>
  <c r="S217" i="6"/>
  <c r="A217" i="6"/>
  <c r="S216" i="6"/>
  <c r="N216" i="6"/>
  <c r="A216" i="6"/>
  <c r="S215" i="6"/>
  <c r="A215" i="6"/>
  <c r="N214" i="6"/>
  <c r="S214" i="6"/>
  <c r="A214" i="6"/>
  <c r="S213" i="6"/>
  <c r="N213" i="6"/>
  <c r="A213" i="6"/>
  <c r="S212" i="6"/>
  <c r="A212" i="6"/>
  <c r="A211" i="6"/>
  <c r="A210" i="6"/>
  <c r="A209" i="6"/>
  <c r="N209" i="6" s="1"/>
  <c r="A208" i="6"/>
  <c r="A207" i="6"/>
  <c r="S206" i="6"/>
  <c r="A206" i="6"/>
  <c r="S205" i="6"/>
  <c r="N205" i="6"/>
  <c r="A205" i="6"/>
  <c r="A204" i="6"/>
  <c r="A203" i="6"/>
  <c r="A202" i="6"/>
  <c r="A201" i="6"/>
  <c r="S200" i="6"/>
  <c r="N200" i="6"/>
  <c r="A200" i="6"/>
  <c r="S199" i="6"/>
  <c r="A199" i="6"/>
  <c r="A198" i="6"/>
  <c r="A197" i="6"/>
  <c r="A196" i="6"/>
  <c r="A195" i="6"/>
  <c r="A194" i="6"/>
  <c r="A193" i="6"/>
  <c r="L192" i="6"/>
  <c r="A192" i="6"/>
  <c r="Q192" i="6"/>
  <c r="A191" i="6"/>
  <c r="F192" i="6" s="1"/>
  <c r="A190" i="6"/>
  <c r="A189" i="6"/>
  <c r="R188" i="6"/>
  <c r="Q189" i="6"/>
  <c r="N188" i="6"/>
  <c r="L189" i="6"/>
  <c r="M188" i="6"/>
  <c r="A188" i="6"/>
  <c r="A187" i="6"/>
  <c r="A186" i="6"/>
  <c r="A185" i="6"/>
  <c r="N184" i="6"/>
  <c r="A184" i="6"/>
  <c r="A183" i="6"/>
  <c r="M182" i="6"/>
  <c r="A182" i="6"/>
  <c r="R181" i="6"/>
  <c r="L182" i="6"/>
  <c r="A181" i="6"/>
  <c r="A180" i="6"/>
  <c r="R179" i="6"/>
  <c r="A179" i="6"/>
  <c r="A178" i="6"/>
  <c r="A177" i="6"/>
  <c r="A176" i="6"/>
  <c r="M175" i="6"/>
  <c r="A175" i="6"/>
  <c r="A174" i="6"/>
  <c r="A173" i="6"/>
  <c r="S172" i="6"/>
  <c r="J185" i="6"/>
  <c r="A172" i="6"/>
  <c r="A171" i="6"/>
  <c r="A162" i="6"/>
  <c r="A161" i="6"/>
  <c r="N160" i="6"/>
  <c r="A160" i="6"/>
  <c r="A159" i="6"/>
  <c r="N158" i="6"/>
  <c r="A158" i="6"/>
  <c r="S157" i="6"/>
  <c r="N157" i="6"/>
  <c r="A157" i="6"/>
  <c r="S156" i="6"/>
  <c r="N156" i="6"/>
  <c r="A156" i="6"/>
  <c r="A155" i="6"/>
  <c r="A154" i="6"/>
  <c r="A153" i="6"/>
  <c r="S152" i="6"/>
  <c r="A152" i="6"/>
  <c r="A151" i="6"/>
  <c r="S151" i="6" s="1"/>
  <c r="S150" i="6"/>
  <c r="N150" i="6"/>
  <c r="A150" i="6"/>
  <c r="A149" i="6"/>
  <c r="S148" i="6"/>
  <c r="N148" i="6"/>
  <c r="A148" i="6"/>
  <c r="S147" i="6"/>
  <c r="N147" i="6"/>
  <c r="A147" i="6"/>
  <c r="A146" i="6"/>
  <c r="S145" i="6"/>
  <c r="A145" i="6"/>
  <c r="A144" i="6"/>
  <c r="A143" i="6"/>
  <c r="N142" i="6"/>
  <c r="A142" i="6"/>
  <c r="A141" i="6"/>
  <c r="A140" i="6"/>
  <c r="S139" i="6"/>
  <c r="A139" i="6"/>
  <c r="A138" i="6"/>
  <c r="S137" i="6"/>
  <c r="A137" i="6"/>
  <c r="A136" i="6"/>
  <c r="A135" i="6"/>
  <c r="S134" i="6"/>
  <c r="N134" i="6"/>
  <c r="A134" i="6"/>
  <c r="N133" i="6"/>
  <c r="A133" i="6"/>
  <c r="S132" i="6"/>
  <c r="N132" i="6"/>
  <c r="A132" i="6"/>
  <c r="A131" i="6"/>
  <c r="N130" i="6"/>
  <c r="A130" i="6"/>
  <c r="N129" i="6"/>
  <c r="A129" i="6"/>
  <c r="A128" i="6"/>
  <c r="A127" i="6"/>
  <c r="A126" i="6"/>
  <c r="N125" i="6"/>
  <c r="A125" i="6"/>
  <c r="A124" i="6"/>
  <c r="A123" i="6"/>
  <c r="A122" i="6"/>
  <c r="S121" i="6"/>
  <c r="A121" i="6"/>
  <c r="A120" i="6"/>
  <c r="A119" i="6"/>
  <c r="A118" i="6"/>
  <c r="A117" i="6"/>
  <c r="A116" i="6"/>
  <c r="A115" i="6"/>
  <c r="A114" i="6"/>
  <c r="S113" i="6"/>
  <c r="N113" i="6"/>
  <c r="A113" i="6"/>
  <c r="A112" i="6"/>
  <c r="A111" i="6"/>
  <c r="A110" i="6"/>
  <c r="A109" i="6"/>
  <c r="A108" i="6"/>
  <c r="A107" i="6"/>
  <c r="A106" i="6"/>
  <c r="A105" i="6"/>
  <c r="A104" i="6"/>
  <c r="E104" i="6" s="1"/>
  <c r="E103" i="6"/>
  <c r="A103" i="6"/>
  <c r="A102" i="6"/>
  <c r="A101" i="6"/>
  <c r="S100" i="6"/>
  <c r="A100" i="6"/>
  <c r="A99" i="6"/>
  <c r="A98" i="6"/>
  <c r="J97" i="6"/>
  <c r="A97" i="6"/>
  <c r="S96" i="6"/>
  <c r="E96" i="6"/>
  <c r="A96" i="6"/>
  <c r="P96" i="6" s="1"/>
  <c r="L97" i="6"/>
  <c r="A95" i="6"/>
  <c r="A94" i="6"/>
  <c r="A93" i="6"/>
  <c r="B85" i="6"/>
  <c r="A85" i="6"/>
  <c r="B84" i="6"/>
  <c r="A84" i="6" s="1"/>
  <c r="B83" i="6"/>
  <c r="A83" i="6"/>
  <c r="B82" i="6"/>
  <c r="A82" i="6"/>
  <c r="N81" i="6"/>
  <c r="B81" i="6"/>
  <c r="A81" i="6"/>
  <c r="S80" i="6"/>
  <c r="N80" i="6"/>
  <c r="B80" i="6"/>
  <c r="A80" i="6"/>
  <c r="B79" i="6"/>
  <c r="A79" i="6"/>
  <c r="B78" i="6"/>
  <c r="B77" i="6"/>
  <c r="A77" i="6"/>
  <c r="B76" i="6"/>
  <c r="A76" i="6"/>
  <c r="B75" i="6"/>
  <c r="B74" i="6"/>
  <c r="A74" i="6"/>
  <c r="B73" i="6"/>
  <c r="A73" i="6"/>
  <c r="B72" i="6"/>
  <c r="A72" i="6" s="1"/>
  <c r="B71" i="6"/>
  <c r="N70" i="6"/>
  <c r="B70" i="6"/>
  <c r="A70" i="6"/>
  <c r="B69" i="6"/>
  <c r="A69" i="6"/>
  <c r="S69" i="6" s="1"/>
  <c r="N68" i="6"/>
  <c r="B68" i="6"/>
  <c r="A68" i="6"/>
  <c r="B67" i="6"/>
  <c r="A67" i="6"/>
  <c r="N67" i="6" s="1"/>
  <c r="B66" i="6"/>
  <c r="S66" i="6" s="1"/>
  <c r="A66" i="6"/>
  <c r="B65" i="6"/>
  <c r="B64" i="6"/>
  <c r="B63" i="6"/>
  <c r="A63" i="6" s="1"/>
  <c r="B62" i="6"/>
  <c r="A62" i="6" s="1"/>
  <c r="B61" i="6"/>
  <c r="A61" i="6"/>
  <c r="B60" i="6"/>
  <c r="A60" i="6" s="1"/>
  <c r="B59" i="6"/>
  <c r="A59" i="6"/>
  <c r="B58" i="6"/>
  <c r="A58" i="6"/>
  <c r="S57" i="6"/>
  <c r="B57" i="6"/>
  <c r="A57" i="6" s="1"/>
  <c r="S56" i="6"/>
  <c r="B56" i="6"/>
  <c r="A56" i="6"/>
  <c r="B55" i="6"/>
  <c r="A55" i="6" s="1"/>
  <c r="B54" i="6"/>
  <c r="A54" i="6" s="1"/>
  <c r="B53" i="6"/>
  <c r="A53" i="6"/>
  <c r="B52" i="6"/>
  <c r="A52" i="6"/>
  <c r="N52" i="6" s="1"/>
  <c r="B51" i="6"/>
  <c r="N50" i="6"/>
  <c r="B50" i="6"/>
  <c r="A50" i="6"/>
  <c r="B49" i="6"/>
  <c r="A49" i="6"/>
  <c r="B48" i="6"/>
  <c r="A48" i="6"/>
  <c r="B47" i="6"/>
  <c r="A47" i="6"/>
  <c r="B46" i="6"/>
  <c r="A46" i="6"/>
  <c r="S45" i="6"/>
  <c r="N45" i="6"/>
  <c r="B45" i="6"/>
  <c r="A45" i="6"/>
  <c r="B44" i="6"/>
  <c r="A44" i="6" s="1"/>
  <c r="B43" i="6"/>
  <c r="B42" i="6"/>
  <c r="A42" i="6"/>
  <c r="B41" i="6"/>
  <c r="A41" i="6"/>
  <c r="K40" i="6"/>
  <c r="B40" i="6"/>
  <c r="A40" i="6" s="1"/>
  <c r="B39" i="6"/>
  <c r="B38" i="6"/>
  <c r="A38" i="6"/>
  <c r="S37" i="6"/>
  <c r="B37" i="6"/>
  <c r="N37" i="6" s="1"/>
  <c r="A37" i="6"/>
  <c r="B36" i="6"/>
  <c r="B35" i="6"/>
  <c r="A35" i="6"/>
  <c r="B34" i="6"/>
  <c r="A34" i="6" s="1"/>
  <c r="B33" i="6"/>
  <c r="A33" i="6"/>
  <c r="B32" i="6"/>
  <c r="A32" i="6"/>
  <c r="B31" i="6"/>
  <c r="A31" i="6" s="1"/>
  <c r="B30" i="6"/>
  <c r="A30" i="6"/>
  <c r="B29" i="6"/>
  <c r="A29" i="6"/>
  <c r="B28" i="6"/>
  <c r="A28" i="6"/>
  <c r="B27" i="6"/>
  <c r="A27" i="6"/>
  <c r="B26" i="6"/>
  <c r="A26" i="6"/>
  <c r="B25" i="6"/>
  <c r="A25" i="6" s="1"/>
  <c r="B24" i="6"/>
  <c r="A24" i="6" s="1"/>
  <c r="B23" i="6"/>
  <c r="A23" i="6" s="1"/>
  <c r="N22" i="6"/>
  <c r="B22" i="6"/>
  <c r="A22" i="6" s="1"/>
  <c r="B21" i="6"/>
  <c r="A21" i="6" s="1"/>
  <c r="B20" i="6"/>
  <c r="A20" i="6" s="1"/>
  <c r="R19" i="6"/>
  <c r="S19" i="6"/>
  <c r="E19" i="6"/>
  <c r="B19" i="6"/>
  <c r="A19" i="6"/>
  <c r="B18" i="6"/>
  <c r="A18" i="6" s="1"/>
  <c r="B17" i="6"/>
  <c r="A17" i="6"/>
  <c r="B16" i="6"/>
  <c r="A16" i="6" s="1"/>
  <c r="B15" i="6"/>
  <c r="B14" i="6"/>
  <c r="A14" i="6"/>
  <c r="B13" i="6"/>
  <c r="A13" i="6" s="1"/>
  <c r="P12" i="6"/>
  <c r="N12" i="6"/>
  <c r="B12" i="6"/>
  <c r="R12" i="6" s="1"/>
  <c r="A12" i="6"/>
  <c r="E12" i="6" s="1"/>
  <c r="B11" i="6"/>
  <c r="A11" i="6"/>
  <c r="P11" i="6" s="1"/>
  <c r="B10" i="6"/>
  <c r="A10" i="6" s="1"/>
  <c r="P10" i="6" s="1"/>
  <c r="B9" i="6"/>
  <c r="A9" i="6"/>
  <c r="N8" i="6"/>
  <c r="K8" i="6"/>
  <c r="E8" i="6"/>
  <c r="B8" i="6"/>
  <c r="A8" i="6"/>
  <c r="B7" i="6"/>
  <c r="A7" i="6" s="1"/>
  <c r="P6" i="6"/>
  <c r="B6" i="6"/>
  <c r="A6" i="6"/>
  <c r="B5" i="6"/>
  <c r="A5" i="6"/>
  <c r="N62" i="6" l="1"/>
  <c r="E7" i="6"/>
  <c r="F13" i="6"/>
  <c r="N47" i="6"/>
  <c r="S47" i="6"/>
  <c r="N77" i="6"/>
  <c r="S143" i="6"/>
  <c r="N143" i="6"/>
  <c r="M17" i="6"/>
  <c r="K119" i="6"/>
  <c r="J108" i="6"/>
  <c r="K118" i="6"/>
  <c r="K114" i="6"/>
  <c r="K120" i="6"/>
  <c r="K117" i="6"/>
  <c r="K104" i="6"/>
  <c r="R104" i="6" s="1"/>
  <c r="K97" i="6"/>
  <c r="K121" i="6"/>
  <c r="K115" i="6"/>
  <c r="J105" i="6"/>
  <c r="K102" i="6"/>
  <c r="R102" i="6" s="1"/>
  <c r="K116" i="6"/>
  <c r="K112" i="6"/>
  <c r="K103" i="6"/>
  <c r="R103" i="6" s="1"/>
  <c r="L135" i="6"/>
  <c r="N123" i="6"/>
  <c r="S123" i="6"/>
  <c r="S127" i="6"/>
  <c r="N23" i="6"/>
  <c r="S50" i="6"/>
  <c r="N53" i="6"/>
  <c r="AF434" i="6"/>
  <c r="N57" i="6"/>
  <c r="S62" i="6"/>
  <c r="S77" i="6"/>
  <c r="O97" i="6"/>
  <c r="P113" i="6" s="1"/>
  <c r="S119" i="6"/>
  <c r="E9" i="6"/>
  <c r="K17" i="6"/>
  <c r="AO402" i="6"/>
  <c r="S356" i="6"/>
  <c r="AO485" i="6"/>
  <c r="S236" i="6"/>
  <c r="S291" i="6"/>
  <c r="S168" i="6"/>
  <c r="M6" i="6"/>
  <c r="N19" i="6"/>
  <c r="E22" i="6"/>
  <c r="S32" i="6"/>
  <c r="N32" i="6"/>
  <c r="A36" i="6"/>
  <c r="A51" i="6"/>
  <c r="A78" i="6"/>
  <c r="Q105" i="6"/>
  <c r="F105" i="6"/>
  <c r="D113" i="6" s="1"/>
  <c r="E102" i="6"/>
  <c r="S35" i="6"/>
  <c r="S44" i="6"/>
  <c r="S46" i="6"/>
  <c r="N46" i="6"/>
  <c r="S53" i="6"/>
  <c r="S70" i="6"/>
  <c r="R94" i="6"/>
  <c r="S124" i="6"/>
  <c r="AF426" i="6"/>
  <c r="AF409" i="6"/>
  <c r="N58" i="6"/>
  <c r="A71" i="6"/>
  <c r="S94" i="6"/>
  <c r="L122" i="6"/>
  <c r="S117" i="6"/>
  <c r="N117" i="6"/>
  <c r="S141" i="6"/>
  <c r="Q182" i="6"/>
  <c r="M9" i="6"/>
  <c r="R9" i="6"/>
  <c r="E10" i="6"/>
  <c r="E11" i="6"/>
  <c r="S33" i="6"/>
  <c r="N35" i="6"/>
  <c r="N44" i="6"/>
  <c r="M8" i="6"/>
  <c r="M12" i="6"/>
  <c r="N34" i="6"/>
  <c r="S49" i="6"/>
  <c r="N66" i="6"/>
  <c r="A75" i="6"/>
  <c r="S120" i="6"/>
  <c r="S207" i="6"/>
  <c r="P9" i="6"/>
  <c r="L54" i="6"/>
  <c r="N49" i="6"/>
  <c r="S58" i="6"/>
  <c r="A64" i="6"/>
  <c r="P94" i="6"/>
  <c r="Q122" i="6"/>
  <c r="N114" i="6"/>
  <c r="S114" i="6"/>
  <c r="P17" i="6"/>
  <c r="E6" i="6"/>
  <c r="A15" i="6"/>
  <c r="S34" i="6"/>
  <c r="N61" i="6"/>
  <c r="S61" i="6"/>
  <c r="S79" i="6"/>
  <c r="N79" i="6"/>
  <c r="K96" i="6"/>
  <c r="R96" i="6"/>
  <c r="M96" i="6"/>
  <c r="E100" i="6"/>
  <c r="P100" i="6"/>
  <c r="N118" i="6"/>
  <c r="L24" i="6"/>
  <c r="N21" i="6"/>
  <c r="S48" i="6"/>
  <c r="S38" i="6"/>
  <c r="K38" i="6"/>
  <c r="R6" i="6"/>
  <c r="E21" i="6"/>
  <c r="Q24" i="6"/>
  <c r="O32" i="6" s="1"/>
  <c r="N38" i="6"/>
  <c r="N42" i="6"/>
  <c r="S22" i="6"/>
  <c r="N59" i="6"/>
  <c r="N69" i="6"/>
  <c r="N82" i="6"/>
  <c r="S82" i="6"/>
  <c r="S89" i="6"/>
  <c r="L105" i="6"/>
  <c r="S104" i="6"/>
  <c r="N104" i="6"/>
  <c r="V485" i="6"/>
  <c r="A485" i="6" s="1"/>
  <c r="AF463" i="6"/>
  <c r="AF476" i="6"/>
  <c r="Z446" i="6"/>
  <c r="AL411" i="6"/>
  <c r="AF447" i="6"/>
  <c r="AF425" i="6"/>
  <c r="AL473" i="6"/>
  <c r="AO473" i="6" s="1"/>
  <c r="AF439" i="6"/>
  <c r="AL409" i="6"/>
  <c r="V402" i="6"/>
  <c r="AF431" i="6"/>
  <c r="AF441" i="6"/>
  <c r="AF414" i="6"/>
  <c r="AF443" i="6"/>
  <c r="C236" i="6"/>
  <c r="C168" i="6"/>
  <c r="AF480" i="6" s="1"/>
  <c r="AF418" i="6"/>
  <c r="C291" i="6"/>
  <c r="C356" i="6" s="1"/>
  <c r="C89" i="6"/>
  <c r="AL429" i="6" s="1"/>
  <c r="Z476" i="6"/>
  <c r="K9" i="6"/>
  <c r="K12" i="6"/>
  <c r="N40" i="6"/>
  <c r="K6" i="6"/>
  <c r="D53" i="6"/>
  <c r="S8" i="6"/>
  <c r="P8" i="6"/>
  <c r="F24" i="6"/>
  <c r="D32" i="6" s="1"/>
  <c r="E23" i="6"/>
  <c r="S23" i="6"/>
  <c r="A39" i="6"/>
  <c r="S42" i="6"/>
  <c r="AL438" i="6"/>
  <c r="N76" i="6"/>
  <c r="S76" i="6"/>
  <c r="N96" i="6"/>
  <c r="R100" i="6"/>
  <c r="N33" i="6"/>
  <c r="K39" i="6"/>
  <c r="S40" i="6"/>
  <c r="A43" i="6"/>
  <c r="A65" i="6"/>
  <c r="S67" i="6"/>
  <c r="V82" i="6"/>
  <c r="M95" i="6"/>
  <c r="N100" i="6"/>
  <c r="K113" i="6"/>
  <c r="S118" i="6"/>
  <c r="Q153" i="6"/>
  <c r="S136" i="6"/>
  <c r="N146" i="6"/>
  <c r="S146" i="6"/>
  <c r="K185" i="6"/>
  <c r="K186" i="6" s="1"/>
  <c r="K174" i="6"/>
  <c r="S208" i="6"/>
  <c r="N208" i="6"/>
  <c r="S125" i="6"/>
  <c r="N162" i="6"/>
  <c r="N198" i="6"/>
  <c r="S198" i="6"/>
  <c r="N124" i="6"/>
  <c r="N141" i="6"/>
  <c r="N144" i="6"/>
  <c r="N151" i="6"/>
  <c r="S162" i="6"/>
  <c r="S178" i="6"/>
  <c r="L185" i="6"/>
  <c r="S218" i="6"/>
  <c r="N218" i="6"/>
  <c r="S116" i="6"/>
  <c r="N116" i="6"/>
  <c r="N119" i="6"/>
  <c r="N128" i="6"/>
  <c r="S130" i="6"/>
  <c r="N139" i="6"/>
  <c r="S144" i="6"/>
  <c r="L163" i="6"/>
  <c r="O185" i="6"/>
  <c r="R175" i="6"/>
  <c r="N178" i="6"/>
  <c r="N112" i="6"/>
  <c r="J112" i="6"/>
  <c r="S12" i="6"/>
  <c r="E94" i="6"/>
  <c r="P95" i="6"/>
  <c r="N126" i="6"/>
  <c r="S126" i="6"/>
  <c r="Q135" i="6"/>
  <c r="S149" i="6"/>
  <c r="N149" i="6"/>
  <c r="R95" i="6"/>
  <c r="K100" i="6"/>
  <c r="N103" i="6"/>
  <c r="O113" i="6"/>
  <c r="N48" i="6"/>
  <c r="Z435" i="6"/>
  <c r="M100" i="6"/>
  <c r="N131" i="6"/>
  <c r="N137" i="6"/>
  <c r="S160" i="6"/>
  <c r="R172" i="6"/>
  <c r="K94" i="6"/>
  <c r="N95" i="6"/>
  <c r="N102" i="6"/>
  <c r="S103" i="6"/>
  <c r="S142" i="6"/>
  <c r="L179" i="6"/>
  <c r="S202" i="6"/>
  <c r="N202" i="6"/>
  <c r="L210" i="6"/>
  <c r="S229" i="6"/>
  <c r="AL448" i="6"/>
  <c r="M94" i="6"/>
  <c r="K95" i="6"/>
  <c r="S112" i="6"/>
  <c r="N115" i="6"/>
  <c r="F135" i="6"/>
  <c r="F163" i="6"/>
  <c r="N127" i="6"/>
  <c r="F153" i="6"/>
  <c r="S138" i="6"/>
  <c r="N140" i="6"/>
  <c r="S140" i="6"/>
  <c r="N145" i="6"/>
  <c r="S158" i="6"/>
  <c r="S161" i="6"/>
  <c r="Q210" i="6"/>
  <c r="S52" i="6"/>
  <c r="S81" i="6"/>
  <c r="S129" i="6"/>
  <c r="L153" i="6"/>
  <c r="N136" i="6"/>
  <c r="N138" i="6"/>
  <c r="Q163" i="6"/>
  <c r="D185" i="6"/>
  <c r="Q185" i="6"/>
  <c r="F176" i="6"/>
  <c r="Q179" i="6"/>
  <c r="S102" i="6"/>
  <c r="S131" i="6"/>
  <c r="S133" i="6"/>
  <c r="N212" i="6"/>
  <c r="L287" i="6"/>
  <c r="K287" i="6" s="1"/>
  <c r="N159" i="6"/>
  <c r="N163" i="6" s="1"/>
  <c r="P180" i="6"/>
  <c r="P183" i="6"/>
  <c r="N261" i="6"/>
  <c r="S159" i="6"/>
  <c r="M181" i="6"/>
  <c r="S188" i="6"/>
  <c r="N215" i="6"/>
  <c r="N227" i="6"/>
  <c r="V159" i="6"/>
  <c r="W159" i="6" s="1"/>
  <c r="N161" i="6"/>
  <c r="N203" i="6"/>
  <c r="S219" i="6"/>
  <c r="N219" i="6"/>
  <c r="P312" i="6"/>
  <c r="S312" i="6"/>
  <c r="R312" i="6" s="1"/>
  <c r="M312" i="6"/>
  <c r="E312" i="6"/>
  <c r="R178" i="6"/>
  <c r="M178" i="6"/>
  <c r="R241" i="6"/>
  <c r="M241" i="6"/>
  <c r="Q242" i="6"/>
  <c r="N181" i="6"/>
  <c r="S181" i="6"/>
  <c r="N199" i="6"/>
  <c r="N201" i="6"/>
  <c r="S201" i="6"/>
  <c r="N206" i="6"/>
  <c r="N211" i="6"/>
  <c r="S211" i="6"/>
  <c r="N120" i="6"/>
  <c r="L173" i="6"/>
  <c r="S204" i="6"/>
  <c r="S209" i="6"/>
  <c r="Q229" i="6"/>
  <c r="S222" i="6"/>
  <c r="N152" i="6"/>
  <c r="S184" i="6"/>
  <c r="N204" i="6"/>
  <c r="N207" i="6"/>
  <c r="P266" i="6"/>
  <c r="Q245" i="6"/>
  <c r="P287" i="6"/>
  <c r="P285" i="6"/>
  <c r="Q250" i="6"/>
  <c r="S245" i="6"/>
  <c r="S261" i="6"/>
  <c r="N267" i="6"/>
  <c r="L285" i="6"/>
  <c r="S273" i="6"/>
  <c r="N273" i="6"/>
  <c r="N175" i="6"/>
  <c r="L176" i="6"/>
  <c r="R244" i="6"/>
  <c r="N244" i="6"/>
  <c r="N245" i="6" s="1"/>
  <c r="S267" i="6"/>
  <c r="R307" i="6"/>
  <c r="S221" i="6"/>
  <c r="Q266" i="6"/>
  <c r="S266" i="6" s="1"/>
  <c r="N301" i="6"/>
  <c r="S303" i="6"/>
  <c r="S259" i="6"/>
  <c r="N259" i="6"/>
  <c r="S281" i="6"/>
  <c r="J309" i="6"/>
  <c r="K304" i="6"/>
  <c r="N298" i="6"/>
  <c r="S271" i="6"/>
  <c r="N271" i="6"/>
  <c r="L304" i="6"/>
  <c r="N295" i="6"/>
  <c r="F189" i="6"/>
  <c r="L250" i="6"/>
  <c r="N254" i="6"/>
  <c r="S257" i="6"/>
  <c r="S263" i="6"/>
  <c r="N263" i="6"/>
  <c r="N224" i="6"/>
  <c r="S269" i="6"/>
  <c r="S278" i="6"/>
  <c r="S283" i="6"/>
  <c r="N283" i="6"/>
  <c r="N217" i="6"/>
  <c r="S224" i="6"/>
  <c r="P250" i="6"/>
  <c r="S272" i="6"/>
  <c r="S296" i="6"/>
  <c r="R302" i="6"/>
  <c r="P302" i="6"/>
  <c r="S324" i="6"/>
  <c r="K266" i="6"/>
  <c r="M295" i="6"/>
  <c r="S297" i="6"/>
  <c r="S300" i="6"/>
  <c r="N302" i="6"/>
  <c r="S327" i="6"/>
  <c r="F349" i="6"/>
  <c r="Q349" i="6"/>
  <c r="AN469" i="6"/>
  <c r="AO469" i="6" s="1"/>
  <c r="N325" i="6"/>
  <c r="Q330" i="6"/>
  <c r="N335" i="6"/>
  <c r="N349" i="6" s="1"/>
  <c r="S339" i="6"/>
  <c r="N339" i="6"/>
  <c r="L377" i="6"/>
  <c r="F377" i="6"/>
  <c r="S372" i="6"/>
  <c r="S393" i="6"/>
  <c r="AH469" i="6"/>
  <c r="AI469" i="6" s="1"/>
  <c r="S264" i="6"/>
  <c r="N279" i="6"/>
  <c r="N281" i="6"/>
  <c r="S347" i="6"/>
  <c r="N308" i="6"/>
  <c r="N322" i="6"/>
  <c r="S328" i="6"/>
  <c r="AI459" i="6"/>
  <c r="S244" i="6"/>
  <c r="S298" i="6"/>
  <c r="S299" i="6"/>
  <c r="S301" i="6"/>
  <c r="E308" i="6"/>
  <c r="L330" i="6"/>
  <c r="S325" i="6"/>
  <c r="N328" i="6"/>
  <c r="S336" i="6"/>
  <c r="S348" i="6"/>
  <c r="N303" i="6"/>
  <c r="E307" i="6"/>
  <c r="S369" i="6"/>
  <c r="AN457" i="6"/>
  <c r="N272" i="6"/>
  <c r="N333" i="6"/>
  <c r="S333" i="6"/>
  <c r="N297" i="6"/>
  <c r="N300" i="6"/>
  <c r="N323" i="6"/>
  <c r="S323" i="6"/>
  <c r="S326" i="6"/>
  <c r="N340" i="6"/>
  <c r="N278" i="6"/>
  <c r="N280" i="6"/>
  <c r="S282" i="6"/>
  <c r="S284" i="6"/>
  <c r="E297" i="6"/>
  <c r="E298" i="6"/>
  <c r="K307" i="6"/>
  <c r="N319" i="6"/>
  <c r="AL435" i="6"/>
  <c r="F304" i="6"/>
  <c r="F309" i="6" s="1"/>
  <c r="F314" i="6" s="1"/>
  <c r="N299" i="6"/>
  <c r="D362" i="6"/>
  <c r="E362" i="6" s="1"/>
  <c r="S375" i="6"/>
  <c r="K295" i="6"/>
  <c r="K298" i="6"/>
  <c r="M299" i="6"/>
  <c r="M300" i="6"/>
  <c r="S308" i="6"/>
  <c r="N324" i="6"/>
  <c r="N329" i="6"/>
  <c r="N338" i="6"/>
  <c r="S342" i="6"/>
  <c r="S346" i="6"/>
  <c r="S367" i="6"/>
  <c r="S381" i="6"/>
  <c r="S386" i="6"/>
  <c r="AH454" i="6"/>
  <c r="AH459" i="6"/>
  <c r="AN495" i="6"/>
  <c r="S344" i="6"/>
  <c r="S391" i="6"/>
  <c r="AN459" i="6"/>
  <c r="AH492" i="6"/>
  <c r="S384" i="6"/>
  <c r="AN420" i="6"/>
  <c r="AN492" i="6"/>
  <c r="S389" i="6"/>
  <c r="AN496" i="6"/>
  <c r="L349" i="6"/>
  <c r="S360" i="6"/>
  <c r="L362" i="6"/>
  <c r="S365" i="6"/>
  <c r="S382" i="6"/>
  <c r="S394" i="6"/>
  <c r="AN455" i="6"/>
  <c r="AH477" i="6"/>
  <c r="AI477" i="6" s="1"/>
  <c r="S302" i="6"/>
  <c r="N345" i="6"/>
  <c r="N347" i="6"/>
  <c r="S368" i="6"/>
  <c r="F395" i="6"/>
  <c r="E395" i="6" s="1"/>
  <c r="S387" i="6"/>
  <c r="AN497" i="6"/>
  <c r="S307" i="6"/>
  <c r="S373" i="6"/>
  <c r="S380" i="6"/>
  <c r="S392" i="6"/>
  <c r="AN460" i="6"/>
  <c r="AO460" i="6" s="1"/>
  <c r="S366" i="6"/>
  <c r="S385" i="6"/>
  <c r="AO461" i="6"/>
  <c r="S378" i="6"/>
  <c r="S390" i="6"/>
  <c r="AH461" i="6"/>
  <c r="AI491" i="6"/>
  <c r="AN494" i="6"/>
  <c r="AH494" i="6"/>
  <c r="S383" i="6"/>
  <c r="AN461" i="6"/>
  <c r="N348" i="6"/>
  <c r="S388" i="6"/>
  <c r="L395" i="6"/>
  <c r="K395" i="6" s="1"/>
  <c r="AO459" i="6"/>
  <c r="AO491" i="6"/>
  <c r="AN477" i="6"/>
  <c r="AO477" i="6" s="1"/>
  <c r="AH493" i="6"/>
  <c r="AH496" i="6"/>
  <c r="AI496" i="6" s="1"/>
  <c r="AI492" i="6"/>
  <c r="P112" i="6" l="1"/>
  <c r="P116" i="6"/>
  <c r="P118" i="6"/>
  <c r="P114" i="6"/>
  <c r="P120" i="6"/>
  <c r="P115" i="6"/>
  <c r="P119" i="6"/>
  <c r="E349" i="6"/>
  <c r="Q194" i="6"/>
  <c r="S163" i="6"/>
  <c r="AN480" i="6"/>
  <c r="AO480" i="6" s="1"/>
  <c r="AN409" i="6"/>
  <c r="AO409" i="6" s="1"/>
  <c r="Q231" i="6"/>
  <c r="E377" i="6"/>
  <c r="F397" i="6"/>
  <c r="E397" i="6" s="1"/>
  <c r="Q351" i="6"/>
  <c r="J314" i="6"/>
  <c r="R300" i="6"/>
  <c r="P300" i="6"/>
  <c r="R308" i="6"/>
  <c r="P308" i="6"/>
  <c r="S335" i="6"/>
  <c r="S349" i="6" s="1"/>
  <c r="L289" i="6"/>
  <c r="S250" i="6"/>
  <c r="L251" i="6"/>
  <c r="F179" i="6"/>
  <c r="E185" i="6"/>
  <c r="E194" i="6" s="1"/>
  <c r="E174" i="6"/>
  <c r="F97" i="6"/>
  <c r="N94" i="6"/>
  <c r="N56" i="6"/>
  <c r="AL476" i="6"/>
  <c r="AO476" i="6" s="1"/>
  <c r="AF464" i="6"/>
  <c r="AF436" i="6"/>
  <c r="Z421" i="6"/>
  <c r="AL424" i="6"/>
  <c r="AF451" i="6"/>
  <c r="AF438" i="6"/>
  <c r="AF450" i="6"/>
  <c r="Q155" i="6"/>
  <c r="S9" i="6"/>
  <c r="N9" i="6"/>
  <c r="S68" i="6"/>
  <c r="Z470" i="6"/>
  <c r="AL470" i="6"/>
  <c r="E17" i="6"/>
  <c r="Z436" i="6"/>
  <c r="AL439" i="6"/>
  <c r="AN439" i="6" s="1"/>
  <c r="S15" i="6"/>
  <c r="F27" i="6"/>
  <c r="K11" i="6"/>
  <c r="R11" i="6"/>
  <c r="M11" i="6"/>
  <c r="N63" i="6"/>
  <c r="S63" i="6"/>
  <c r="S78" i="6"/>
  <c r="O105" i="6"/>
  <c r="P105" i="6" s="1"/>
  <c r="O108" i="6"/>
  <c r="P121" i="6"/>
  <c r="P117" i="6"/>
  <c r="R8" i="6"/>
  <c r="M308" i="6"/>
  <c r="R185" i="6"/>
  <c r="S185" i="6"/>
  <c r="N185" i="6"/>
  <c r="N186" i="6" s="1"/>
  <c r="L194" i="6"/>
  <c r="L186" i="6"/>
  <c r="S379" i="6"/>
  <c r="S395" i="6" s="1"/>
  <c r="R297" i="6"/>
  <c r="P297" i="6"/>
  <c r="E299" i="6"/>
  <c r="N172" i="6"/>
  <c r="F173" i="6"/>
  <c r="F185" i="6"/>
  <c r="R15" i="6"/>
  <c r="M15" i="6"/>
  <c r="K15" i="6"/>
  <c r="S11" i="6"/>
  <c r="N11" i="6"/>
  <c r="D31" i="6"/>
  <c r="S60" i="6"/>
  <c r="N60" i="6"/>
  <c r="AO453" i="6"/>
  <c r="AN453" i="6"/>
  <c r="M297" i="6"/>
  <c r="Z438" i="6"/>
  <c r="Z424" i="6"/>
  <c r="AF472" i="6"/>
  <c r="Z441" i="6"/>
  <c r="S59" i="6"/>
  <c r="M172" i="6"/>
  <c r="AL432" i="6"/>
  <c r="AL415" i="6"/>
  <c r="AF413" i="6"/>
  <c r="AF412" i="6"/>
  <c r="Z474" i="6"/>
  <c r="AF440" i="6"/>
  <c r="AF470" i="6"/>
  <c r="Z429" i="6"/>
  <c r="AF475" i="6"/>
  <c r="AL442" i="6"/>
  <c r="K7" i="6"/>
  <c r="R7" i="6"/>
  <c r="M7" i="6"/>
  <c r="AI454" i="6"/>
  <c r="F242" i="6"/>
  <c r="AF449" i="6"/>
  <c r="AL447" i="6"/>
  <c r="AN447" i="6" s="1"/>
  <c r="Q304" i="6"/>
  <c r="N296" i="6"/>
  <c r="S241" i="6"/>
  <c r="S242" i="6" s="1"/>
  <c r="AH455" i="6"/>
  <c r="AI455" i="6" s="1"/>
  <c r="AO455" i="6"/>
  <c r="Q377" i="6"/>
  <c r="Q395" i="6"/>
  <c r="P395" i="6" s="1"/>
  <c r="P303" i="6"/>
  <c r="R303" i="6"/>
  <c r="P301" i="6"/>
  <c r="R301" i="6"/>
  <c r="S295" i="6"/>
  <c r="N241" i="6"/>
  <c r="N242" i="6" s="1"/>
  <c r="F229" i="6"/>
  <c r="P185" i="6"/>
  <c r="P194" i="6" s="1"/>
  <c r="P174" i="6"/>
  <c r="Q173" i="6"/>
  <c r="S153" i="6"/>
  <c r="N153" i="6"/>
  <c r="D97" i="6"/>
  <c r="E95" i="6"/>
  <c r="AF424" i="6"/>
  <c r="AF435" i="6"/>
  <c r="AF427" i="6"/>
  <c r="AF416" i="6"/>
  <c r="Z475" i="6"/>
  <c r="AF473" i="6"/>
  <c r="AF478" i="6"/>
  <c r="N135" i="6"/>
  <c r="S135" i="6"/>
  <c r="R17" i="6"/>
  <c r="Q97" i="6"/>
  <c r="P7" i="6"/>
  <c r="O13" i="6"/>
  <c r="AO456" i="6"/>
  <c r="AN456" i="6"/>
  <c r="E301" i="6"/>
  <c r="M301" i="6"/>
  <c r="AH476" i="6"/>
  <c r="AI476" i="6" s="1"/>
  <c r="L83" i="6"/>
  <c r="S75" i="6"/>
  <c r="N75" i="6"/>
  <c r="L155" i="6"/>
  <c r="S122" i="6"/>
  <c r="N55" i="6"/>
  <c r="L72" i="6"/>
  <c r="S55" i="6"/>
  <c r="AH420" i="6"/>
  <c r="AI420" i="6" s="1"/>
  <c r="P299" i="6"/>
  <c r="R299" i="6"/>
  <c r="AL428" i="6"/>
  <c r="AL423" i="6"/>
  <c r="Q362" i="6"/>
  <c r="P360" i="6"/>
  <c r="P298" i="6"/>
  <c r="R298" i="6"/>
  <c r="N285" i="6"/>
  <c r="L231" i="6"/>
  <c r="S210" i="6"/>
  <c r="K210" i="6"/>
  <c r="F266" i="6"/>
  <c r="AL479" i="6"/>
  <c r="AO479" i="6" s="1"/>
  <c r="Z448" i="6"/>
  <c r="AL437" i="6"/>
  <c r="Z434" i="6"/>
  <c r="AH434" i="6" s="1"/>
  <c r="AF410" i="6"/>
  <c r="AF419" i="6" s="1"/>
  <c r="AF479" i="6"/>
  <c r="Z439" i="6"/>
  <c r="AF465" i="6"/>
  <c r="Z447" i="6"/>
  <c r="D13" i="6"/>
  <c r="F54" i="6"/>
  <c r="S17" i="6"/>
  <c r="N17" i="6"/>
  <c r="E116" i="6"/>
  <c r="S362" i="6"/>
  <c r="F362" i="6"/>
  <c r="F399" i="6" s="1"/>
  <c r="E360" i="6"/>
  <c r="S304" i="6"/>
  <c r="N304" i="6"/>
  <c r="N305" i="6" s="1"/>
  <c r="L309" i="6"/>
  <c r="K309" i="6" s="1"/>
  <c r="N312" i="6"/>
  <c r="K285" i="6"/>
  <c r="AH439" i="6"/>
  <c r="AF445" i="6"/>
  <c r="AI461" i="6"/>
  <c r="E300" i="6"/>
  <c r="AI456" i="6"/>
  <c r="AH456" i="6"/>
  <c r="R360" i="6"/>
  <c r="O362" i="6"/>
  <c r="F285" i="6"/>
  <c r="E285" i="6" s="1"/>
  <c r="P296" i="6"/>
  <c r="R296" i="6"/>
  <c r="E296" i="6"/>
  <c r="M298" i="6"/>
  <c r="P307" i="6"/>
  <c r="S115" i="6"/>
  <c r="AF422" i="6"/>
  <c r="Z480" i="6"/>
  <c r="AH480" i="6" s="1"/>
  <c r="AI480" i="6" s="1"/>
  <c r="AF444" i="6"/>
  <c r="AF442" i="6"/>
  <c r="AL416" i="6"/>
  <c r="Z472" i="6"/>
  <c r="AL431" i="6"/>
  <c r="AL410" i="6"/>
  <c r="AL440" i="6"/>
  <c r="AO440" i="6" s="1"/>
  <c r="AL412" i="6"/>
  <c r="AL426" i="6"/>
  <c r="AO426" i="6" s="1"/>
  <c r="AL463" i="6"/>
  <c r="S105" i="6"/>
  <c r="J113" i="6"/>
  <c r="N105" i="6"/>
  <c r="N106" i="6" s="1"/>
  <c r="Q13" i="6"/>
  <c r="Z449" i="6"/>
  <c r="AI449" i="6" s="1"/>
  <c r="AL465" i="6"/>
  <c r="J13" i="6"/>
  <c r="AE409" i="6" s="1"/>
  <c r="AO457" i="6"/>
  <c r="F182" i="6"/>
  <c r="E121" i="6"/>
  <c r="AE418" i="6"/>
  <c r="Z412" i="6"/>
  <c r="AL474" i="6"/>
  <c r="Z409" i="6"/>
  <c r="AF428" i="6"/>
  <c r="AF437" i="6"/>
  <c r="AF415" i="6"/>
  <c r="Z442" i="6"/>
  <c r="AF417" i="6"/>
  <c r="Z428" i="6"/>
  <c r="S71" i="6"/>
  <c r="N71" i="6"/>
  <c r="N7" i="6"/>
  <c r="S7" i="6"/>
  <c r="S21" i="6"/>
  <c r="P295" i="6"/>
  <c r="O304" i="6"/>
  <c r="R295" i="6"/>
  <c r="S377" i="6"/>
  <c r="L397" i="6"/>
  <c r="L399" i="6" s="1"/>
  <c r="K377" i="6"/>
  <c r="AN454" i="6"/>
  <c r="AO454" i="6" s="1"/>
  <c r="AH453" i="6"/>
  <c r="AO420" i="6"/>
  <c r="D304" i="6"/>
  <c r="E295" i="6"/>
  <c r="AH457" i="6"/>
  <c r="AI457" i="6"/>
  <c r="N330" i="6"/>
  <c r="L351" i="6"/>
  <c r="S330" i="6"/>
  <c r="E250" i="6"/>
  <c r="M244" i="6"/>
  <c r="P229" i="6"/>
  <c r="S203" i="6"/>
  <c r="F210" i="6"/>
  <c r="N210" i="6" s="1"/>
  <c r="N121" i="6"/>
  <c r="N179" i="6"/>
  <c r="S128" i="6"/>
  <c r="Z437" i="6"/>
  <c r="AF429" i="6"/>
  <c r="Z410" i="6"/>
  <c r="Z415" i="6"/>
  <c r="AL434" i="6"/>
  <c r="AF411" i="6"/>
  <c r="Z440" i="6"/>
  <c r="AI440" i="6" s="1"/>
  <c r="AL443" i="6"/>
  <c r="AF471" i="6"/>
  <c r="N24" i="6"/>
  <c r="N25" i="6" s="1"/>
  <c r="J32" i="6"/>
  <c r="S24" i="6"/>
  <c r="F122" i="6"/>
  <c r="F41" i="6"/>
  <c r="R10" i="6"/>
  <c r="R13" i="6" s="1"/>
  <c r="R14" i="6" s="1"/>
  <c r="K10" i="6"/>
  <c r="M10" i="6"/>
  <c r="R108" i="6"/>
  <c r="K108" i="6"/>
  <c r="F330" i="6"/>
  <c r="N318" i="6"/>
  <c r="F245" i="6"/>
  <c r="F250" i="6"/>
  <c r="N250" i="6" s="1"/>
  <c r="N251" i="6" s="1"/>
  <c r="Q251" i="6"/>
  <c r="M185" i="6"/>
  <c r="K194" i="6"/>
  <c r="AF406" i="6" s="1"/>
  <c r="Z445" i="6"/>
  <c r="AL445" i="6"/>
  <c r="AL472" i="6"/>
  <c r="AO472" i="6" s="1"/>
  <c r="AF446" i="6"/>
  <c r="Z411" i="6"/>
  <c r="AF423" i="6"/>
  <c r="AF421" i="6"/>
  <c r="AL451" i="6"/>
  <c r="AO451" i="6" s="1"/>
  <c r="Z413" i="6"/>
  <c r="AL441" i="6"/>
  <c r="AL421" i="6"/>
  <c r="AL436" i="6"/>
  <c r="Z431" i="6"/>
  <c r="AH431" i="6" s="1"/>
  <c r="AF474" i="6"/>
  <c r="S95" i="6"/>
  <c r="S97" i="6" s="1"/>
  <c r="Q54" i="6"/>
  <c r="J31" i="6"/>
  <c r="L41" i="6"/>
  <c r="S31" i="6"/>
  <c r="N31" i="6"/>
  <c r="R97" i="6"/>
  <c r="R98" i="6" s="1"/>
  <c r="S106" i="6"/>
  <c r="S36" i="6"/>
  <c r="N36" i="6"/>
  <c r="M13" i="6"/>
  <c r="P177" i="6"/>
  <c r="L108" i="6"/>
  <c r="K122" i="6" s="1"/>
  <c r="Q176" i="6"/>
  <c r="S175" i="6"/>
  <c r="Q285" i="6"/>
  <c r="S285" i="6" s="1"/>
  <c r="L13" i="6"/>
  <c r="L27" i="6" s="1"/>
  <c r="N6" i="6"/>
  <c r="S6" i="6"/>
  <c r="Z473" i="6"/>
  <c r="AL413" i="6"/>
  <c r="AF432" i="6"/>
  <c r="AF430" i="6"/>
  <c r="AL475" i="6"/>
  <c r="AO475" i="6" s="1"/>
  <c r="AL418" i="6"/>
  <c r="Z443" i="6"/>
  <c r="AH443" i="6" s="1"/>
  <c r="Z423" i="6"/>
  <c r="AL446" i="6"/>
  <c r="AF448" i="6"/>
  <c r="S25" i="6"/>
  <c r="S10" i="6"/>
  <c r="N10" i="6"/>
  <c r="K105" i="6"/>
  <c r="S83" i="6" l="1"/>
  <c r="AN476" i="6"/>
  <c r="E54" i="6"/>
  <c r="AM409" i="6"/>
  <c r="AG409" i="6"/>
  <c r="E41" i="6"/>
  <c r="E266" i="6"/>
  <c r="F287" i="6"/>
  <c r="N266" i="6"/>
  <c r="AO428" i="6"/>
  <c r="S155" i="6"/>
  <c r="K155" i="6"/>
  <c r="AN473" i="6"/>
  <c r="AH473" i="6"/>
  <c r="AI473" i="6" s="1"/>
  <c r="Q397" i="6"/>
  <c r="P397" i="6" s="1"/>
  <c r="P377" i="6"/>
  <c r="AE414" i="6"/>
  <c r="AH436" i="6"/>
  <c r="AN436" i="6"/>
  <c r="AO436" i="6" s="1"/>
  <c r="K314" i="6"/>
  <c r="AH474" i="6"/>
  <c r="AI474" i="6" s="1"/>
  <c r="AN474" i="6"/>
  <c r="AO474" i="6" s="1"/>
  <c r="AH415" i="6"/>
  <c r="AE415" i="6"/>
  <c r="AN415" i="6"/>
  <c r="M14" i="6"/>
  <c r="D27" i="6"/>
  <c r="E27" i="6" s="1"/>
  <c r="E13" i="6"/>
  <c r="P13" i="6"/>
  <c r="O27" i="6"/>
  <c r="Z427" i="6"/>
  <c r="AI427" i="6" s="1"/>
  <c r="AN470" i="6"/>
  <c r="AO470" i="6" s="1"/>
  <c r="AH470" i="6"/>
  <c r="AF481" i="6"/>
  <c r="AK411" i="6"/>
  <c r="AI470" i="6"/>
  <c r="R304" i="6"/>
  <c r="P304" i="6"/>
  <c r="O309" i="6"/>
  <c r="AN437" i="6"/>
  <c r="AO437" i="6" s="1"/>
  <c r="AH437" i="6"/>
  <c r="AK412" i="6"/>
  <c r="AH445" i="6"/>
  <c r="AN445" i="6"/>
  <c r="AO445" i="6" s="1"/>
  <c r="AI447" i="6"/>
  <c r="AL425" i="6"/>
  <c r="AN472" i="6"/>
  <c r="AH472" i="6"/>
  <c r="AI472" i="6" s="1"/>
  <c r="P186" i="6"/>
  <c r="F231" i="6"/>
  <c r="E304" i="6"/>
  <c r="D309" i="6"/>
  <c r="M304" i="6"/>
  <c r="AH428" i="6"/>
  <c r="AN428" i="6"/>
  <c r="Q108" i="6"/>
  <c r="P155" i="6" s="1"/>
  <c r="S98" i="6"/>
  <c r="O112" i="6"/>
  <c r="AN440" i="6"/>
  <c r="AH440" i="6"/>
  <c r="AI424" i="6"/>
  <c r="F194" i="6"/>
  <c r="F186" i="6"/>
  <c r="S186" i="6"/>
  <c r="AH447" i="6"/>
  <c r="Q186" i="6"/>
  <c r="Y409" i="6"/>
  <c r="AI409" i="6"/>
  <c r="AK410" i="6"/>
  <c r="Q287" i="6"/>
  <c r="AI439" i="6"/>
  <c r="K231" i="6"/>
  <c r="N231" i="6"/>
  <c r="S231" i="6"/>
  <c r="F72" i="6"/>
  <c r="E72" i="6" s="1"/>
  <c r="AE416" i="6"/>
  <c r="AN416" i="6"/>
  <c r="E229" i="6"/>
  <c r="N229" i="6"/>
  <c r="AI436" i="6"/>
  <c r="S43" i="6"/>
  <c r="AL422" i="6"/>
  <c r="AN422" i="6" s="1"/>
  <c r="AH409" i="6"/>
  <c r="Q233" i="6"/>
  <c r="Q195" i="6"/>
  <c r="AK413" i="6"/>
  <c r="AH411" i="6"/>
  <c r="AE411" i="6"/>
  <c r="AN411" i="6"/>
  <c r="AO411" i="6" s="1"/>
  <c r="J27" i="6"/>
  <c r="K13" i="6"/>
  <c r="K23" i="6"/>
  <c r="R23" i="6" s="1"/>
  <c r="K21" i="6"/>
  <c r="R21" i="6" s="1"/>
  <c r="K22" i="6"/>
  <c r="R22" i="6" s="1"/>
  <c r="AN479" i="6"/>
  <c r="K135" i="6"/>
  <c r="Q309" i="6"/>
  <c r="S305" i="6"/>
  <c r="AE412" i="6"/>
  <c r="AN412" i="6"/>
  <c r="AO412" i="6" s="1"/>
  <c r="AH412" i="6"/>
  <c r="N15" i="6"/>
  <c r="N43" i="6"/>
  <c r="Z422" i="6"/>
  <c r="N13" i="6"/>
  <c r="N14" i="6" s="1"/>
  <c r="Y413" i="6"/>
  <c r="E36" i="6"/>
  <c r="Z414" i="6"/>
  <c r="Z419" i="6" s="1"/>
  <c r="AI412" i="6"/>
  <c r="Y412" i="6"/>
  <c r="AL449" i="6"/>
  <c r="AO449" i="6" s="1"/>
  <c r="K72" i="6"/>
  <c r="AH441" i="6"/>
  <c r="AI441" i="6" s="1"/>
  <c r="AH435" i="6"/>
  <c r="AI435" i="6" s="1"/>
  <c r="AN435" i="6"/>
  <c r="AO435" i="6" s="1"/>
  <c r="AH413" i="6"/>
  <c r="AI413" i="6" s="1"/>
  <c r="AN413" i="6"/>
  <c r="AO413" i="6" s="1"/>
  <c r="AE413" i="6"/>
  <c r="N64" i="6"/>
  <c r="N72" i="6" s="1"/>
  <c r="Z444" i="6"/>
  <c r="P97" i="6"/>
  <c r="D24" i="6"/>
  <c r="E15" i="6"/>
  <c r="AN448" i="6"/>
  <c r="AO448" i="6" s="1"/>
  <c r="AH448" i="6"/>
  <c r="AI448" i="6" s="1"/>
  <c r="AF407" i="6"/>
  <c r="AD419" i="6" s="1"/>
  <c r="N27" i="6"/>
  <c r="Y415" i="6"/>
  <c r="AI415" i="6"/>
  <c r="AK416" i="6"/>
  <c r="AO416" i="6"/>
  <c r="R362" i="6"/>
  <c r="P362" i="6"/>
  <c r="AN410" i="6"/>
  <c r="AO410" i="6" s="1"/>
  <c r="AH410" i="6"/>
  <c r="AE410" i="6"/>
  <c r="AN441" i="6"/>
  <c r="AO441" i="6" s="1"/>
  <c r="AN424" i="6"/>
  <c r="AO424" i="6" s="1"/>
  <c r="AH424" i="6"/>
  <c r="AO447" i="6"/>
  <c r="AK415" i="6"/>
  <c r="AO415" i="6"/>
  <c r="AL444" i="6"/>
  <c r="AN444" i="6" s="1"/>
  <c r="S64" i="6"/>
  <c r="AH450" i="6"/>
  <c r="F108" i="6"/>
  <c r="Z407" i="6" s="1"/>
  <c r="D112" i="6"/>
  <c r="N97" i="6"/>
  <c r="N98" i="6" s="1"/>
  <c r="P231" i="6"/>
  <c r="AN434" i="6"/>
  <c r="AI431" i="6"/>
  <c r="F251" i="6"/>
  <c r="F289" i="6"/>
  <c r="Q41" i="6"/>
  <c r="AL414" i="6"/>
  <c r="AH421" i="6"/>
  <c r="AN421" i="6"/>
  <c r="AO421" i="6" s="1"/>
  <c r="AF433" i="6"/>
  <c r="AF468" i="6" s="1"/>
  <c r="F155" i="6"/>
  <c r="N155" i="6" s="1"/>
  <c r="Y410" i="6"/>
  <c r="AI410" i="6"/>
  <c r="AI453" i="6"/>
  <c r="AN431" i="6"/>
  <c r="AO431" i="6" s="1"/>
  <c r="Q27" i="6"/>
  <c r="O31" i="6"/>
  <c r="AH442" i="6"/>
  <c r="AI442" i="6" s="1"/>
  <c r="AN442" i="6"/>
  <c r="AO442" i="6" s="1"/>
  <c r="L314" i="6"/>
  <c r="N309" i="6"/>
  <c r="N310" i="6" s="1"/>
  <c r="AI434" i="6"/>
  <c r="Z452" i="6"/>
  <c r="Q72" i="6"/>
  <c r="F83" i="6"/>
  <c r="Z471" i="6"/>
  <c r="Z481" i="6" s="1"/>
  <c r="X481" i="6" s="1"/>
  <c r="AH449" i="6"/>
  <c r="S39" i="6"/>
  <c r="AL450" i="6"/>
  <c r="AO450" i="6" s="1"/>
  <c r="AL478" i="6"/>
  <c r="AO478" i="6" s="1"/>
  <c r="AL417" i="6"/>
  <c r="AN417" i="6" s="1"/>
  <c r="AL427" i="6"/>
  <c r="AO427" i="6" s="1"/>
  <c r="AN466" i="6"/>
  <c r="AN443" i="6"/>
  <c r="AO443" i="6" s="1"/>
  <c r="AN438" i="6"/>
  <c r="AO438" i="6" s="1"/>
  <c r="AH438" i="6"/>
  <c r="AI438" i="6" s="1"/>
  <c r="P210" i="6"/>
  <c r="AF452" i="6"/>
  <c r="AD452" i="6" s="1"/>
  <c r="AI445" i="6"/>
  <c r="S13" i="6"/>
  <c r="S14" i="6" s="1"/>
  <c r="AI443" i="6"/>
  <c r="S41" i="6"/>
  <c r="N41" i="6"/>
  <c r="L74" i="6"/>
  <c r="K41" i="6"/>
  <c r="AH423" i="6"/>
  <c r="AI423" i="6" s="1"/>
  <c r="AN423" i="6"/>
  <c r="AO423" i="6" s="1"/>
  <c r="AL464" i="6"/>
  <c r="AL466" i="6" s="1"/>
  <c r="AO466" i="6" s="1"/>
  <c r="AH444" i="6"/>
  <c r="S363" i="6"/>
  <c r="Q399" i="6"/>
  <c r="S399" i="6" s="1"/>
  <c r="Q83" i="6"/>
  <c r="AL471" i="6"/>
  <c r="AL481" i="6" s="1"/>
  <c r="E97" i="6"/>
  <c r="D108" i="6"/>
  <c r="D105" i="6"/>
  <c r="E113" i="6"/>
  <c r="E114" i="6"/>
  <c r="E118" i="6"/>
  <c r="M97" i="6"/>
  <c r="M98" i="6" s="1"/>
  <c r="E112" i="6"/>
  <c r="E117" i="6"/>
  <c r="E120" i="6"/>
  <c r="E119" i="6"/>
  <c r="AK409" i="6"/>
  <c r="E39" i="6"/>
  <c r="Z450" i="6"/>
  <c r="AI450" i="6" s="1"/>
  <c r="Z417" i="6"/>
  <c r="Z479" i="6"/>
  <c r="AH479" i="6" s="1"/>
  <c r="AI479" i="6" s="1"/>
  <c r="Z451" i="6"/>
  <c r="AI451" i="6" s="1"/>
  <c r="Z425" i="6"/>
  <c r="Z432" i="6"/>
  <c r="AI432" i="6" s="1"/>
  <c r="Z495" i="6"/>
  <c r="Z418" i="6"/>
  <c r="N39" i="6"/>
  <c r="Z497" i="6"/>
  <c r="Z464" i="6"/>
  <c r="AI464" i="6" s="1"/>
  <c r="Z465" i="6"/>
  <c r="AI465" i="6" s="1"/>
  <c r="Z426" i="6"/>
  <c r="Z463" i="6"/>
  <c r="Z416" i="6"/>
  <c r="R109" i="6"/>
  <c r="P108" i="6"/>
  <c r="P15" i="6"/>
  <c r="O24" i="6"/>
  <c r="P36" i="6" s="1"/>
  <c r="AN451" i="6"/>
  <c r="N65" i="6"/>
  <c r="Z478" i="6"/>
  <c r="AH478" i="6" s="1"/>
  <c r="AI478" i="6" s="1"/>
  <c r="AO418" i="6"/>
  <c r="AK418" i="6"/>
  <c r="L165" i="6"/>
  <c r="N108" i="6"/>
  <c r="N109" i="6" s="1"/>
  <c r="S108" i="6"/>
  <c r="AI411" i="6"/>
  <c r="Y411" i="6"/>
  <c r="F351" i="6"/>
  <c r="E330" i="6"/>
  <c r="AH429" i="6"/>
  <c r="AI429" i="6" s="1"/>
  <c r="AN429" i="6"/>
  <c r="AO429" i="6" s="1"/>
  <c r="K351" i="6"/>
  <c r="S351" i="6"/>
  <c r="N351" i="6"/>
  <c r="AI428" i="6"/>
  <c r="AN418" i="6"/>
  <c r="Z430" i="6"/>
  <c r="N51" i="6"/>
  <c r="K54" i="6"/>
  <c r="N122" i="6"/>
  <c r="J24" i="6"/>
  <c r="AO439" i="6"/>
  <c r="S65" i="6"/>
  <c r="AN426" i="6"/>
  <c r="AN446" i="6"/>
  <c r="AO446" i="6" s="1"/>
  <c r="AH446" i="6"/>
  <c r="AI446" i="6" s="1"/>
  <c r="AI437" i="6"/>
  <c r="S397" i="6"/>
  <c r="K397" i="6"/>
  <c r="AH417" i="6"/>
  <c r="AE417" i="6"/>
  <c r="AH422" i="6"/>
  <c r="S51" i="6"/>
  <c r="AL430" i="6"/>
  <c r="AN430" i="6" s="1"/>
  <c r="K153" i="6"/>
  <c r="AN475" i="6"/>
  <c r="AH475" i="6"/>
  <c r="AI475" i="6" s="1"/>
  <c r="E115" i="6"/>
  <c r="L233" i="6"/>
  <c r="S194" i="6"/>
  <c r="S195" i="6"/>
  <c r="L195" i="6"/>
  <c r="N194" i="6"/>
  <c r="N195" i="6" s="1"/>
  <c r="K229" i="6"/>
  <c r="N78" i="6"/>
  <c r="N83" i="6" s="1"/>
  <c r="AI421" i="6"/>
  <c r="M250" i="6"/>
  <c r="R250" i="6"/>
  <c r="S251" i="6" s="1"/>
  <c r="AF466" i="6"/>
  <c r="AD466" i="6" s="1"/>
  <c r="AN478" i="6" l="1"/>
  <c r="S72" i="6"/>
  <c r="AP468" i="6"/>
  <c r="AS468" i="6" s="1"/>
  <c r="AD468" i="6"/>
  <c r="X419" i="6"/>
  <c r="AH419" i="6"/>
  <c r="AI419" i="6" s="1"/>
  <c r="AO481" i="6"/>
  <c r="AI430" i="6"/>
  <c r="AO414" i="6"/>
  <c r="AK414" i="6"/>
  <c r="AN414" i="6"/>
  <c r="Q314" i="6"/>
  <c r="S314" i="6" s="1"/>
  <c r="K27" i="6"/>
  <c r="R27" i="6"/>
  <c r="R28" i="6" s="1"/>
  <c r="M27" i="6"/>
  <c r="M28" i="6" s="1"/>
  <c r="W82" i="6"/>
  <c r="AO422" i="6"/>
  <c r="P27" i="6"/>
  <c r="AI425" i="6"/>
  <c r="AH425" i="6"/>
  <c r="AN449" i="6"/>
  <c r="P41" i="6"/>
  <c r="Q74" i="6"/>
  <c r="P74" i="6" s="1"/>
  <c r="AN450" i="6"/>
  <c r="AH427" i="6"/>
  <c r="S54" i="6"/>
  <c r="F233" i="6"/>
  <c r="F402" i="6" s="1"/>
  <c r="F195" i="6"/>
  <c r="M194" i="6" s="1"/>
  <c r="D314" i="6"/>
  <c r="E309" i="6"/>
  <c r="M309" i="6"/>
  <c r="AN471" i="6"/>
  <c r="AO471" i="6" s="1"/>
  <c r="AN427" i="6"/>
  <c r="Q289" i="6"/>
  <c r="S289" i="6" s="1"/>
  <c r="S287" i="6"/>
  <c r="AO425" i="6"/>
  <c r="AN425" i="6"/>
  <c r="AH471" i="6"/>
  <c r="AI471" i="6" s="1"/>
  <c r="AI463" i="6"/>
  <c r="Z466" i="6"/>
  <c r="AH463" i="6"/>
  <c r="AI417" i="6"/>
  <c r="Y417" i="6"/>
  <c r="E105" i="6"/>
  <c r="M105" i="6"/>
  <c r="AO444" i="6"/>
  <c r="AH430" i="6"/>
  <c r="AM411" i="6"/>
  <c r="AG411" i="6"/>
  <c r="E231" i="6"/>
  <c r="AH464" i="6"/>
  <c r="AI416" i="6"/>
  <c r="Y416" i="6"/>
  <c r="AG416" i="6" s="1"/>
  <c r="AM417" i="6"/>
  <c r="AG417" i="6"/>
  <c r="M24" i="6"/>
  <c r="K24" i="6"/>
  <c r="K37" i="6"/>
  <c r="K32" i="6"/>
  <c r="K33" i="6"/>
  <c r="K35" i="6"/>
  <c r="K34" i="6"/>
  <c r="K31" i="6"/>
  <c r="K36" i="6"/>
  <c r="AI426" i="6"/>
  <c r="AH426" i="6"/>
  <c r="E108" i="6"/>
  <c r="M108" i="6"/>
  <c r="M109" i="6" s="1"/>
  <c r="P72" i="6"/>
  <c r="E210" i="6"/>
  <c r="AI422" i="6"/>
  <c r="E287" i="6"/>
  <c r="N287" i="6"/>
  <c r="E24" i="6"/>
  <c r="E35" i="6"/>
  <c r="E37" i="6"/>
  <c r="E38" i="6"/>
  <c r="E40" i="6"/>
  <c r="E32" i="6"/>
  <c r="E33" i="6"/>
  <c r="E34" i="6"/>
  <c r="E31" i="6"/>
  <c r="N54" i="6"/>
  <c r="AH416" i="6"/>
  <c r="AG414" i="6"/>
  <c r="AM414" i="6"/>
  <c r="AL419" i="6"/>
  <c r="AI497" i="6"/>
  <c r="AH497" i="6"/>
  <c r="AO417" i="6"/>
  <c r="AK417" i="6"/>
  <c r="E122" i="6"/>
  <c r="P54" i="6"/>
  <c r="AG415" i="6"/>
  <c r="AM415" i="6"/>
  <c r="N74" i="6"/>
  <c r="K74" i="6"/>
  <c r="X452" i="6"/>
  <c r="AH451" i="6"/>
  <c r="S309" i="6"/>
  <c r="S310" i="6" s="1"/>
  <c r="E155" i="6"/>
  <c r="S27" i="6"/>
  <c r="S85" i="6" s="1"/>
  <c r="AI444" i="6"/>
  <c r="AH432" i="6"/>
  <c r="Q165" i="6"/>
  <c r="S165" i="6" s="1"/>
  <c r="S109" i="6"/>
  <c r="P135" i="6"/>
  <c r="P122" i="6"/>
  <c r="P153" i="6"/>
  <c r="N289" i="6"/>
  <c r="AN481" i="6"/>
  <c r="AD481" i="6"/>
  <c r="AS481" i="6"/>
  <c r="AH481" i="6"/>
  <c r="AI481" i="6" s="1"/>
  <c r="F74" i="6"/>
  <c r="Z433" i="6"/>
  <c r="X433" i="6" s="1"/>
  <c r="E351" i="6"/>
  <c r="F353" i="6"/>
  <c r="F401" i="6" s="1"/>
  <c r="Y418" i="6"/>
  <c r="AI418" i="6"/>
  <c r="AH418" i="6"/>
  <c r="L353" i="6"/>
  <c r="N314" i="6"/>
  <c r="N315" i="6" s="1"/>
  <c r="K349" i="6"/>
  <c r="K330" i="6"/>
  <c r="AD433" i="6"/>
  <c r="AH433" i="6"/>
  <c r="AI433" i="6" s="1"/>
  <c r="N28" i="6"/>
  <c r="N85" i="6"/>
  <c r="AO434" i="6"/>
  <c r="AH465" i="6"/>
  <c r="R194" i="6"/>
  <c r="N233" i="6"/>
  <c r="S233" i="6"/>
  <c r="AO430" i="6"/>
  <c r="P24" i="6"/>
  <c r="P34" i="6"/>
  <c r="P40" i="6"/>
  <c r="P37" i="6"/>
  <c r="P31" i="6"/>
  <c r="P32" i="6"/>
  <c r="P33" i="6"/>
  <c r="P35" i="6"/>
  <c r="P38" i="6"/>
  <c r="AI495" i="6"/>
  <c r="AH495" i="6"/>
  <c r="P39" i="6"/>
  <c r="L85" i="6"/>
  <c r="AM413" i="6"/>
  <c r="AG413" i="6"/>
  <c r="AL452" i="6"/>
  <c r="AM412" i="6"/>
  <c r="AG412" i="6"/>
  <c r="L402" i="6"/>
  <c r="P309" i="6"/>
  <c r="O314" i="6"/>
  <c r="R309" i="6"/>
  <c r="F165" i="6"/>
  <c r="N165" i="6" s="1"/>
  <c r="E153" i="6"/>
  <c r="E135" i="6"/>
  <c r="AG410" i="6"/>
  <c r="AM410" i="6"/>
  <c r="AF483" i="6"/>
  <c r="AS407" i="6"/>
  <c r="AH407" i="6"/>
  <c r="AI407" i="6" s="1"/>
  <c r="Y414" i="6"/>
  <c r="AH414" i="6"/>
  <c r="AI414" i="6" s="1"/>
  <c r="AL433" i="6"/>
  <c r="AH452" i="6"/>
  <c r="AI452" i="6" s="1"/>
  <c r="AL407" i="6" l="1"/>
  <c r="AN452" i="6"/>
  <c r="S74" i="6"/>
  <c r="AJ466" i="6"/>
  <c r="AJ433" i="6"/>
  <c r="AL483" i="6"/>
  <c r="AJ468" i="6"/>
  <c r="AJ452" i="6"/>
  <c r="AJ419" i="6"/>
  <c r="AH466" i="6"/>
  <c r="AI466" i="6" s="1"/>
  <c r="X466" i="6"/>
  <c r="AM416" i="6"/>
  <c r="Z468" i="6"/>
  <c r="AL468" i="6"/>
  <c r="AN419" i="6"/>
  <c r="AO419" i="6" s="1"/>
  <c r="AO433" i="6"/>
  <c r="E74" i="6"/>
  <c r="F85" i="6"/>
  <c r="AF489" i="6"/>
  <c r="AN483" i="6"/>
  <c r="AE483" i="6"/>
  <c r="E314" i="6"/>
  <c r="Z406" i="6"/>
  <c r="Y448" i="6" s="1"/>
  <c r="M314" i="6"/>
  <c r="AN433" i="6"/>
  <c r="AO452" i="6"/>
  <c r="Q353" i="6"/>
  <c r="S315" i="6"/>
  <c r="P330" i="6"/>
  <c r="P349" i="6"/>
  <c r="P351" i="6"/>
  <c r="AM418" i="6"/>
  <c r="AG418" i="6"/>
  <c r="S353" i="6"/>
  <c r="N353" i="6"/>
  <c r="L401" i="6"/>
  <c r="S28" i="6"/>
  <c r="R314" i="6"/>
  <c r="P314" i="6"/>
  <c r="AL406" i="6"/>
  <c r="AN407" i="6"/>
  <c r="AO407" i="6" s="1"/>
  <c r="Q85" i="6"/>
  <c r="AF498" i="6" l="1"/>
  <c r="AE489" i="6"/>
  <c r="AF488" i="6"/>
  <c r="AK483" i="6"/>
  <c r="AJ407" i="6"/>
  <c r="AL489" i="6"/>
  <c r="AO483" i="6"/>
  <c r="AN468" i="6"/>
  <c r="AO468" i="6" s="1"/>
  <c r="X468" i="6"/>
  <c r="AH468" i="6"/>
  <c r="AI468" i="6" s="1"/>
  <c r="Z483" i="6"/>
  <c r="Y483" i="6" l="1"/>
  <c r="Z489" i="6"/>
  <c r="AH483" i="6"/>
  <c r="AI483" i="6" s="1"/>
  <c r="AL488" i="6"/>
  <c r="AL498" i="6"/>
  <c r="AE488" i="6"/>
  <c r="AN488" i="6"/>
  <c r="AK489" i="6"/>
  <c r="AN489" i="6"/>
  <c r="AO489" i="6" s="1"/>
  <c r="AF511" i="6"/>
  <c r="AJ507" i="6" s="1"/>
  <c r="AF507" i="6"/>
  <c r="AE498" i="6"/>
  <c r="AF502" i="6"/>
  <c r="AF504" i="6"/>
  <c r="AK498" i="6" l="1"/>
  <c r="Y489" i="6"/>
  <c r="Z498" i="6"/>
  <c r="Z488" i="6"/>
  <c r="AH489" i="6"/>
  <c r="AI489" i="6" s="1"/>
  <c r="AN498" i="6"/>
  <c r="AO498" i="6" s="1"/>
  <c r="AO488" i="6"/>
  <c r="AK488" i="6"/>
  <c r="Y498" i="6" l="1"/>
  <c r="AH498" i="6"/>
  <c r="AI498" i="6" s="1"/>
  <c r="Y488" i="6"/>
  <c r="AH488" i="6"/>
  <c r="AI488" i="6" s="1"/>
  <c r="A499" i="5" l="1"/>
  <c r="A498" i="5"/>
  <c r="AN497" i="5"/>
  <c r="A497" i="5"/>
  <c r="AO497" i="5" s="1"/>
  <c r="AO496" i="5"/>
  <c r="A496" i="5"/>
  <c r="AO495" i="5"/>
  <c r="AN495" i="5"/>
  <c r="A495" i="5"/>
  <c r="AO494" i="5"/>
  <c r="AH494" i="5"/>
  <c r="AI494" i="5"/>
  <c r="A494" i="5"/>
  <c r="AO493" i="5"/>
  <c r="AI493" i="5"/>
  <c r="A493" i="5"/>
  <c r="AO492" i="5"/>
  <c r="AI492" i="5"/>
  <c r="A492" i="5"/>
  <c r="AN491" i="5"/>
  <c r="A491" i="5"/>
  <c r="A490" i="5"/>
  <c r="A489" i="5"/>
  <c r="A488" i="5"/>
  <c r="A487" i="5"/>
  <c r="A486" i="5"/>
  <c r="A484" i="5"/>
  <c r="AR483" i="5"/>
  <c r="A483" i="5"/>
  <c r="AO482" i="5"/>
  <c r="AN482" i="5"/>
  <c r="A482" i="5"/>
  <c r="A481" i="5"/>
  <c r="A480" i="5"/>
  <c r="A479" i="5"/>
  <c r="A478" i="5"/>
  <c r="AF484" i="5"/>
  <c r="A477" i="5"/>
  <c r="A476" i="5"/>
  <c r="A475" i="5"/>
  <c r="A474" i="5"/>
  <c r="A473" i="5"/>
  <c r="A472" i="5"/>
  <c r="A471" i="5"/>
  <c r="A470" i="5"/>
  <c r="AH469" i="5"/>
  <c r="AI469" i="5" s="1"/>
  <c r="A469" i="5"/>
  <c r="AR468" i="5"/>
  <c r="A468" i="5"/>
  <c r="AO467" i="5"/>
  <c r="AN467" i="5"/>
  <c r="AH467" i="5"/>
  <c r="A467" i="5"/>
  <c r="A466" i="5"/>
  <c r="A465" i="5"/>
  <c r="A464" i="5"/>
  <c r="A463" i="5"/>
  <c r="A462" i="5"/>
  <c r="AH461" i="5"/>
  <c r="A461" i="5"/>
  <c r="AQ460" i="5"/>
  <c r="A460" i="5"/>
  <c r="AH459" i="5"/>
  <c r="AI459" i="5" s="1"/>
  <c r="A459" i="5"/>
  <c r="AQ458" i="5"/>
  <c r="A458" i="5"/>
  <c r="AQ457" i="5"/>
  <c r="AN457" i="5"/>
  <c r="AO457" i="5" s="1"/>
  <c r="A457" i="5"/>
  <c r="AI456" i="5"/>
  <c r="A456" i="5"/>
  <c r="AO456" i="5" s="1"/>
  <c r="A455" i="5"/>
  <c r="A454" i="5"/>
  <c r="A453" i="5"/>
  <c r="A452" i="5"/>
  <c r="A451" i="5"/>
  <c r="A450" i="5"/>
  <c r="A449" i="5"/>
  <c r="A448" i="5"/>
  <c r="A447" i="5"/>
  <c r="A446" i="5"/>
  <c r="A445" i="5"/>
  <c r="A444" i="5"/>
  <c r="AQ443" i="5"/>
  <c r="A443" i="5"/>
  <c r="AQ442" i="5"/>
  <c r="A442" i="5"/>
  <c r="AQ441" i="5"/>
  <c r="A441" i="5"/>
  <c r="AQ439" i="5"/>
  <c r="A439" i="5"/>
  <c r="AQ438" i="5"/>
  <c r="A438" i="5"/>
  <c r="AQ437" i="5"/>
  <c r="A437" i="5"/>
  <c r="A436" i="5"/>
  <c r="A435" i="5"/>
  <c r="A434" i="5"/>
  <c r="A433" i="5"/>
  <c r="A432" i="5"/>
  <c r="A431" i="5"/>
  <c r="A430" i="5"/>
  <c r="A429" i="5"/>
  <c r="A428" i="5"/>
  <c r="A427" i="5"/>
  <c r="A426" i="5"/>
  <c r="A425" i="5"/>
  <c r="A424" i="5"/>
  <c r="A423" i="5"/>
  <c r="A422" i="5"/>
  <c r="A421" i="5"/>
  <c r="A420" i="5"/>
  <c r="A419" i="5"/>
  <c r="A418" i="5"/>
  <c r="A417" i="5"/>
  <c r="A416" i="5"/>
  <c r="AQ415" i="5"/>
  <c r="A415" i="5"/>
  <c r="A414" i="5"/>
  <c r="A413" i="5"/>
  <c r="A412" i="5"/>
  <c r="A411" i="5"/>
  <c r="A410" i="5"/>
  <c r="A409" i="5"/>
  <c r="A408" i="5"/>
  <c r="A407" i="5"/>
  <c r="A406" i="5"/>
  <c r="A405" i="5"/>
  <c r="A404" i="5"/>
  <c r="S394" i="5"/>
  <c r="A394" i="5"/>
  <c r="A393" i="5"/>
  <c r="S392" i="5"/>
  <c r="A392" i="5"/>
  <c r="A391" i="5"/>
  <c r="A390" i="5"/>
  <c r="A389" i="5"/>
  <c r="S389" i="5" s="1"/>
  <c r="A388" i="5"/>
  <c r="S387" i="5"/>
  <c r="A387" i="5"/>
  <c r="A386" i="5"/>
  <c r="A385" i="5"/>
  <c r="A384" i="5"/>
  <c r="A383" i="5"/>
  <c r="A382" i="5"/>
  <c r="A381" i="5"/>
  <c r="A380" i="5"/>
  <c r="A379" i="5"/>
  <c r="A378" i="5"/>
  <c r="A377" i="5"/>
  <c r="S376" i="5"/>
  <c r="A376" i="5"/>
  <c r="S375" i="5"/>
  <c r="A375" i="5"/>
  <c r="A374" i="5"/>
  <c r="A373" i="5"/>
  <c r="S372" i="5"/>
  <c r="A372" i="5"/>
  <c r="S371" i="5"/>
  <c r="A371" i="5"/>
  <c r="A370" i="5"/>
  <c r="A369" i="5"/>
  <c r="A368" i="5"/>
  <c r="A367" i="5"/>
  <c r="A366" i="5"/>
  <c r="S366" i="5" s="1"/>
  <c r="A365" i="5"/>
  <c r="A364" i="5"/>
  <c r="A363" i="5"/>
  <c r="O362" i="5"/>
  <c r="R362" i="5" s="1"/>
  <c r="L362" i="5"/>
  <c r="A362" i="5"/>
  <c r="A361" i="5"/>
  <c r="S360" i="5"/>
  <c r="J362" i="5"/>
  <c r="K362" i="5" s="1"/>
  <c r="D362" i="5"/>
  <c r="E362" i="5" s="1"/>
  <c r="A360" i="5"/>
  <c r="F362" i="5" s="1"/>
  <c r="A359" i="5"/>
  <c r="N352" i="5"/>
  <c r="A348" i="5"/>
  <c r="A347" i="5"/>
  <c r="N347" i="5" s="1"/>
  <c r="A346" i="5"/>
  <c r="S345" i="5"/>
  <c r="N345" i="5"/>
  <c r="A345" i="5"/>
  <c r="A344" i="5"/>
  <c r="S343" i="5"/>
  <c r="A343" i="5"/>
  <c r="N343" i="5" s="1"/>
  <c r="A342" i="5"/>
  <c r="A341" i="5"/>
  <c r="A340" i="5"/>
  <c r="S339" i="5"/>
  <c r="A339" i="5"/>
  <c r="N339" i="5" s="1"/>
  <c r="N338" i="5"/>
  <c r="A338" i="5"/>
  <c r="N337" i="5"/>
  <c r="A337" i="5"/>
  <c r="S336" i="5"/>
  <c r="A336" i="5"/>
  <c r="A335" i="5"/>
  <c r="S335" i="5" s="1"/>
  <c r="A334" i="5"/>
  <c r="A333" i="5"/>
  <c r="A332" i="5"/>
  <c r="A331" i="5"/>
  <c r="A330" i="5"/>
  <c r="N329" i="5"/>
  <c r="A329" i="5"/>
  <c r="A328" i="5"/>
  <c r="N327" i="5"/>
  <c r="A327" i="5"/>
  <c r="N326" i="5"/>
  <c r="A326" i="5"/>
  <c r="A325" i="5"/>
  <c r="S324" i="5"/>
  <c r="A324" i="5"/>
  <c r="A323" i="5"/>
  <c r="N322" i="5"/>
  <c r="A322" i="5"/>
  <c r="A321" i="5"/>
  <c r="S320" i="5"/>
  <c r="A320" i="5"/>
  <c r="A319" i="5"/>
  <c r="N318" i="5"/>
  <c r="A318" i="5"/>
  <c r="A317" i="5"/>
  <c r="A316" i="5"/>
  <c r="A315" i="5"/>
  <c r="A314" i="5"/>
  <c r="A313" i="5"/>
  <c r="P312" i="5"/>
  <c r="N312" i="5"/>
  <c r="K312" i="5"/>
  <c r="M312" i="5"/>
  <c r="A312" i="5"/>
  <c r="E312" i="5" s="1"/>
  <c r="A311" i="5"/>
  <c r="A310" i="5"/>
  <c r="A309" i="5"/>
  <c r="A308" i="5"/>
  <c r="S307" i="5"/>
  <c r="A307" i="5"/>
  <c r="A306" i="5"/>
  <c r="A305" i="5"/>
  <c r="A304" i="5"/>
  <c r="K303" i="5"/>
  <c r="N303" i="5"/>
  <c r="E303" i="5"/>
  <c r="A303" i="5"/>
  <c r="P302" i="5"/>
  <c r="R302" i="5"/>
  <c r="K302" i="5"/>
  <c r="A302" i="5"/>
  <c r="P301" i="5"/>
  <c r="A301" i="5"/>
  <c r="S300" i="5"/>
  <c r="M300" i="5"/>
  <c r="A300" i="5"/>
  <c r="A299" i="5"/>
  <c r="A298" i="5"/>
  <c r="A297" i="5"/>
  <c r="K296" i="5"/>
  <c r="A296" i="5"/>
  <c r="N295" i="5"/>
  <c r="E295" i="5"/>
  <c r="A295" i="5"/>
  <c r="A294" i="5"/>
  <c r="N288" i="5"/>
  <c r="S284" i="5"/>
  <c r="A284" i="5"/>
  <c r="A283" i="5"/>
  <c r="N282" i="5"/>
  <c r="A282" i="5"/>
  <c r="N281" i="5"/>
  <c r="A281" i="5"/>
  <c r="S280" i="5"/>
  <c r="A280" i="5"/>
  <c r="N279" i="5"/>
  <c r="A279" i="5"/>
  <c r="A278" i="5"/>
  <c r="S277" i="5"/>
  <c r="A277" i="5"/>
  <c r="A276" i="5"/>
  <c r="N275" i="5"/>
  <c r="A275" i="5"/>
  <c r="A274" i="5"/>
  <c r="A273" i="5"/>
  <c r="A272" i="5"/>
  <c r="S271" i="5"/>
  <c r="N271" i="5"/>
  <c r="A271" i="5"/>
  <c r="S270" i="5"/>
  <c r="A270" i="5"/>
  <c r="N269" i="5"/>
  <c r="A269" i="5"/>
  <c r="A268" i="5"/>
  <c r="A267" i="5"/>
  <c r="A266" i="5"/>
  <c r="A265" i="5"/>
  <c r="N264" i="5"/>
  <c r="A264" i="5"/>
  <c r="S263" i="5"/>
  <c r="A263" i="5"/>
  <c r="S262" i="5"/>
  <c r="N262" i="5"/>
  <c r="A262" i="5"/>
  <c r="S261" i="5"/>
  <c r="A261" i="5"/>
  <c r="A260" i="5"/>
  <c r="A259" i="5"/>
  <c r="A258" i="5"/>
  <c r="S258" i="5" s="1"/>
  <c r="N257" i="5"/>
  <c r="A257" i="5"/>
  <c r="A256" i="5"/>
  <c r="A255" i="5"/>
  <c r="A254" i="5"/>
  <c r="A253" i="5"/>
  <c r="A252" i="5"/>
  <c r="A251" i="5"/>
  <c r="A250" i="5"/>
  <c r="A249" i="5"/>
  <c r="S248" i="5"/>
  <c r="Q248" i="5"/>
  <c r="F248" i="5"/>
  <c r="A248" i="5"/>
  <c r="S247" i="5"/>
  <c r="R247" i="5"/>
  <c r="N247" i="5"/>
  <c r="M247" i="5"/>
  <c r="A247" i="5"/>
  <c r="A246" i="5"/>
  <c r="A245" i="5"/>
  <c r="R244" i="5"/>
  <c r="L250" i="5"/>
  <c r="A244" i="5"/>
  <c r="A243" i="5"/>
  <c r="A242" i="5"/>
  <c r="L242" i="5"/>
  <c r="A241" i="5"/>
  <c r="A240" i="5"/>
  <c r="A239" i="5"/>
  <c r="S236" i="5"/>
  <c r="C236" i="5"/>
  <c r="N232" i="5"/>
  <c r="A228" i="5"/>
  <c r="S227" i="5"/>
  <c r="N227" i="5"/>
  <c r="A227" i="5"/>
  <c r="A226" i="5"/>
  <c r="S225" i="5"/>
  <c r="A225" i="5"/>
  <c r="A224" i="5"/>
  <c r="A223" i="5"/>
  <c r="A222" i="5"/>
  <c r="A221" i="5"/>
  <c r="A220" i="5"/>
  <c r="S219" i="5"/>
  <c r="A219" i="5"/>
  <c r="N218" i="5"/>
  <c r="A218" i="5"/>
  <c r="A217" i="5"/>
  <c r="S216" i="5"/>
  <c r="A216" i="5"/>
  <c r="A215" i="5"/>
  <c r="A214" i="5"/>
  <c r="S213" i="5"/>
  <c r="N213" i="5"/>
  <c r="A213" i="5"/>
  <c r="A212" i="5"/>
  <c r="A211" i="5"/>
  <c r="A210" i="5"/>
  <c r="N209" i="5"/>
  <c r="A209" i="5"/>
  <c r="A208" i="5"/>
  <c r="S207" i="5"/>
  <c r="A207" i="5"/>
  <c r="A206" i="5"/>
  <c r="S205" i="5"/>
  <c r="A205" i="5"/>
  <c r="A204" i="5"/>
  <c r="S203" i="5"/>
  <c r="N203" i="5"/>
  <c r="A203" i="5"/>
  <c r="N202" i="5"/>
  <c r="A202" i="5"/>
  <c r="A201" i="5"/>
  <c r="S200" i="5"/>
  <c r="A200" i="5"/>
  <c r="N200" i="5" s="1"/>
  <c r="A199" i="5"/>
  <c r="S198" i="5"/>
  <c r="A198" i="5"/>
  <c r="A197" i="5"/>
  <c r="A196" i="5"/>
  <c r="A195" i="5"/>
  <c r="A194" i="5"/>
  <c r="A193" i="5"/>
  <c r="L192" i="5"/>
  <c r="A192" i="5"/>
  <c r="Q192" i="5"/>
  <c r="F192" i="5"/>
  <c r="A191" i="5"/>
  <c r="A190" i="5"/>
  <c r="A189" i="5"/>
  <c r="R188" i="5"/>
  <c r="Q189" i="5"/>
  <c r="A188" i="5"/>
  <c r="M188" i="5" s="1"/>
  <c r="A187" i="5"/>
  <c r="A186" i="5"/>
  <c r="A185" i="5"/>
  <c r="A184" i="5"/>
  <c r="S184" i="5" s="1"/>
  <c r="A183" i="5"/>
  <c r="M182" i="5"/>
  <c r="A182" i="5"/>
  <c r="R181" i="5"/>
  <c r="L182" i="5"/>
  <c r="A181" i="5"/>
  <c r="A180" i="5"/>
  <c r="R179" i="5"/>
  <c r="A179" i="5"/>
  <c r="S178" i="5"/>
  <c r="A178" i="5"/>
  <c r="A177" i="5"/>
  <c r="A176" i="5"/>
  <c r="A175" i="5"/>
  <c r="K174" i="5"/>
  <c r="A174" i="5"/>
  <c r="L173" i="5"/>
  <c r="A173" i="5"/>
  <c r="J185" i="5"/>
  <c r="A172" i="5"/>
  <c r="N172" i="5" s="1"/>
  <c r="A171" i="5"/>
  <c r="V163" i="5"/>
  <c r="N162" i="5"/>
  <c r="A162" i="5"/>
  <c r="A161" i="5"/>
  <c r="A160" i="5"/>
  <c r="S159" i="5"/>
  <c r="N159" i="5"/>
  <c r="V159" i="5"/>
  <c r="A159" i="5"/>
  <c r="A158" i="5"/>
  <c r="A157" i="5"/>
  <c r="N156" i="5"/>
  <c r="A156" i="5"/>
  <c r="A155" i="5"/>
  <c r="A154" i="5"/>
  <c r="A153" i="5"/>
  <c r="A152" i="5"/>
  <c r="A151" i="5"/>
  <c r="S150" i="5"/>
  <c r="A150" i="5"/>
  <c r="A149" i="5"/>
  <c r="N149" i="5" s="1"/>
  <c r="A148" i="5"/>
  <c r="A147" i="5"/>
  <c r="S146" i="5"/>
  <c r="A146" i="5"/>
  <c r="S145" i="5"/>
  <c r="N145" i="5"/>
  <c r="A145" i="5"/>
  <c r="A144" i="5"/>
  <c r="N144" i="5" s="1"/>
  <c r="S143" i="5"/>
  <c r="A143" i="5"/>
  <c r="N143" i="5" s="1"/>
  <c r="A142" i="5"/>
  <c r="A141" i="5"/>
  <c r="A140" i="5"/>
  <c r="N139" i="5"/>
  <c r="A139" i="5"/>
  <c r="S138" i="5"/>
  <c r="A138" i="5"/>
  <c r="A137" i="5"/>
  <c r="A136" i="5"/>
  <c r="S136" i="5" s="1"/>
  <c r="A135" i="5"/>
  <c r="A134" i="5"/>
  <c r="N133" i="5"/>
  <c r="A133" i="5"/>
  <c r="A132" i="5"/>
  <c r="A131" i="5"/>
  <c r="S131" i="5" s="1"/>
  <c r="A130" i="5"/>
  <c r="S129" i="5"/>
  <c r="A129" i="5"/>
  <c r="N129" i="5" s="1"/>
  <c r="A128" i="5"/>
  <c r="A127" i="5"/>
  <c r="A126" i="5"/>
  <c r="A125" i="5"/>
  <c r="S125" i="5" s="1"/>
  <c r="A124" i="5"/>
  <c r="S124" i="5" s="1"/>
  <c r="S123" i="5"/>
  <c r="A123" i="5"/>
  <c r="A122" i="5"/>
  <c r="A121" i="5"/>
  <c r="A120" i="5"/>
  <c r="S119" i="5"/>
  <c r="A119" i="5"/>
  <c r="N119" i="5" s="1"/>
  <c r="N118" i="5"/>
  <c r="A118" i="5"/>
  <c r="V117" i="5"/>
  <c r="A117" i="5"/>
  <c r="A116" i="5"/>
  <c r="A115" i="5"/>
  <c r="A114" i="5"/>
  <c r="S113" i="5"/>
  <c r="N113" i="5"/>
  <c r="A113" i="5"/>
  <c r="A112" i="5"/>
  <c r="A111" i="5"/>
  <c r="A110" i="5"/>
  <c r="A109" i="5"/>
  <c r="A108" i="5"/>
  <c r="A107" i="5"/>
  <c r="A106" i="5"/>
  <c r="A105" i="5"/>
  <c r="S104" i="5"/>
  <c r="A104" i="5"/>
  <c r="E104" i="5" s="1"/>
  <c r="L105" i="5"/>
  <c r="J113" i="5" s="1"/>
  <c r="A103" i="5"/>
  <c r="E102" i="5"/>
  <c r="A102" i="5"/>
  <c r="Q105" i="5" s="1"/>
  <c r="A101" i="5"/>
  <c r="E100" i="5"/>
  <c r="A100" i="5"/>
  <c r="A99" i="5"/>
  <c r="A98" i="5"/>
  <c r="A97" i="5"/>
  <c r="M96" i="5"/>
  <c r="A96" i="5"/>
  <c r="A95" i="5"/>
  <c r="N95" i="5" s="1"/>
  <c r="A94" i="5"/>
  <c r="A93" i="5"/>
  <c r="B85" i="5"/>
  <c r="A85" i="5" s="1"/>
  <c r="B84" i="5"/>
  <c r="A84" i="5"/>
  <c r="B83" i="5"/>
  <c r="A83" i="5" s="1"/>
  <c r="B82" i="5"/>
  <c r="B81" i="5"/>
  <c r="A81" i="5" s="1"/>
  <c r="S81" i="5" s="1"/>
  <c r="B80" i="5"/>
  <c r="A80" i="5"/>
  <c r="B79" i="5"/>
  <c r="B78" i="5"/>
  <c r="A78" i="5"/>
  <c r="B77" i="5"/>
  <c r="A77" i="5"/>
  <c r="B76" i="5"/>
  <c r="A76" i="5"/>
  <c r="B75" i="5"/>
  <c r="S75" i="5" s="1"/>
  <c r="A75" i="5"/>
  <c r="B74" i="5"/>
  <c r="A74" i="5" s="1"/>
  <c r="B73" i="5"/>
  <c r="A73" i="5"/>
  <c r="B72" i="5"/>
  <c r="A72" i="5"/>
  <c r="B71" i="5"/>
  <c r="A71" i="5"/>
  <c r="B70" i="5"/>
  <c r="A70" i="5"/>
  <c r="B69" i="5"/>
  <c r="A69" i="5" s="1"/>
  <c r="S69" i="5" s="1"/>
  <c r="B68" i="5"/>
  <c r="N67" i="5"/>
  <c r="B67" i="5"/>
  <c r="A67" i="5"/>
  <c r="B66" i="5"/>
  <c r="A66" i="5"/>
  <c r="N65" i="5"/>
  <c r="B65" i="5"/>
  <c r="A65" i="5"/>
  <c r="B64" i="5"/>
  <c r="A64" i="5"/>
  <c r="B63" i="5"/>
  <c r="A63" i="5" s="1"/>
  <c r="N62" i="5"/>
  <c r="B62" i="5"/>
  <c r="A62" i="5"/>
  <c r="B61" i="5"/>
  <c r="A61" i="5" s="1"/>
  <c r="B60" i="5"/>
  <c r="A60" i="5"/>
  <c r="S59" i="5"/>
  <c r="N59" i="5"/>
  <c r="B59" i="5"/>
  <c r="A59" i="5"/>
  <c r="B58" i="5"/>
  <c r="A58" i="5" s="1"/>
  <c r="B57" i="5"/>
  <c r="A57" i="5" s="1"/>
  <c r="B56" i="5"/>
  <c r="B55" i="5"/>
  <c r="A55" i="5"/>
  <c r="B54" i="5"/>
  <c r="A54" i="5" s="1"/>
  <c r="B53" i="5"/>
  <c r="A53" i="5" s="1"/>
  <c r="B52" i="5"/>
  <c r="A52" i="5"/>
  <c r="S51" i="5"/>
  <c r="N51" i="5"/>
  <c r="B51" i="5"/>
  <c r="A51" i="5" s="1"/>
  <c r="B50" i="5"/>
  <c r="B49" i="5"/>
  <c r="A49" i="5"/>
  <c r="S49" i="5" s="1"/>
  <c r="B48" i="5"/>
  <c r="A48" i="5"/>
  <c r="B47" i="5"/>
  <c r="B46" i="5"/>
  <c r="A46" i="5"/>
  <c r="B45" i="5"/>
  <c r="A45" i="5" s="1"/>
  <c r="B44" i="5"/>
  <c r="A44" i="5" s="1"/>
  <c r="B43" i="5"/>
  <c r="A43" i="5"/>
  <c r="N43" i="5" s="1"/>
  <c r="B42" i="5"/>
  <c r="A42" i="5"/>
  <c r="B41" i="5"/>
  <c r="A41" i="5"/>
  <c r="B40" i="5"/>
  <c r="B39" i="5"/>
  <c r="K39" i="5" s="1"/>
  <c r="B38" i="5"/>
  <c r="A38" i="5" s="1"/>
  <c r="B37" i="5"/>
  <c r="A37" i="5" s="1"/>
  <c r="V36" i="5"/>
  <c r="B36" i="5"/>
  <c r="A36" i="5" s="1"/>
  <c r="B35" i="5"/>
  <c r="A35" i="5"/>
  <c r="B34" i="5"/>
  <c r="A34" i="5"/>
  <c r="B33" i="5"/>
  <c r="B32" i="5"/>
  <c r="A32" i="5"/>
  <c r="B31" i="5"/>
  <c r="B30" i="5"/>
  <c r="A30" i="5"/>
  <c r="B29" i="5"/>
  <c r="A29" i="5" s="1"/>
  <c r="B28" i="5"/>
  <c r="A28" i="5" s="1"/>
  <c r="B27" i="5"/>
  <c r="A27" i="5" s="1"/>
  <c r="B26" i="5"/>
  <c r="A26" i="5"/>
  <c r="B25" i="5"/>
  <c r="A25" i="5"/>
  <c r="B24" i="5"/>
  <c r="A24" i="5"/>
  <c r="B23" i="5"/>
  <c r="A23" i="5"/>
  <c r="E23" i="5" s="1"/>
  <c r="N22" i="5"/>
  <c r="B22" i="5"/>
  <c r="A22" i="5"/>
  <c r="E22" i="5" s="1"/>
  <c r="L24" i="5"/>
  <c r="F24" i="5"/>
  <c r="B21" i="5"/>
  <c r="A21" i="5"/>
  <c r="E21" i="5" s="1"/>
  <c r="B20" i="5"/>
  <c r="A20" i="5"/>
  <c r="R19" i="5"/>
  <c r="B19" i="5"/>
  <c r="A19" i="5" s="1"/>
  <c r="E19" i="5" s="1"/>
  <c r="B18" i="5"/>
  <c r="A18" i="5"/>
  <c r="B17" i="5"/>
  <c r="B16" i="5"/>
  <c r="A16" i="5" s="1"/>
  <c r="N15" i="5"/>
  <c r="M15" i="5"/>
  <c r="E15" i="5"/>
  <c r="B15" i="5"/>
  <c r="A15" i="5"/>
  <c r="B14" i="5"/>
  <c r="A14" i="5"/>
  <c r="B13" i="5"/>
  <c r="A13" i="5"/>
  <c r="P12" i="5"/>
  <c r="N12" i="5"/>
  <c r="K12" i="5"/>
  <c r="E12" i="5"/>
  <c r="B12" i="5"/>
  <c r="A12" i="5"/>
  <c r="B11" i="5"/>
  <c r="A11" i="5"/>
  <c r="E11" i="5" s="1"/>
  <c r="B10" i="5"/>
  <c r="E9" i="5"/>
  <c r="B9" i="5"/>
  <c r="A9" i="5" s="1"/>
  <c r="K8" i="5"/>
  <c r="B8" i="5"/>
  <c r="A8" i="5"/>
  <c r="B7" i="5"/>
  <c r="A7" i="5"/>
  <c r="B6" i="5"/>
  <c r="A6" i="5"/>
  <c r="B5" i="5"/>
  <c r="A5" i="5"/>
  <c r="S373" i="5" l="1"/>
  <c r="S152" i="5"/>
  <c r="AO491" i="5"/>
  <c r="S275" i="5"/>
  <c r="N146" i="5"/>
  <c r="N259" i="5"/>
  <c r="N60" i="5"/>
  <c r="S103" i="5"/>
  <c r="S161" i="5"/>
  <c r="M172" i="5"/>
  <c r="K194" i="5"/>
  <c r="L245" i="5"/>
  <c r="S269" i="5"/>
  <c r="N333" i="5"/>
  <c r="N336" i="5"/>
  <c r="K360" i="5"/>
  <c r="P362" i="5"/>
  <c r="M100" i="5"/>
  <c r="S121" i="5"/>
  <c r="Q179" i="5"/>
  <c r="S322" i="5"/>
  <c r="Q362" i="5"/>
  <c r="S363" i="5" s="1"/>
  <c r="AN493" i="5"/>
  <c r="S77" i="5"/>
  <c r="S115" i="5"/>
  <c r="S147" i="5"/>
  <c r="N150" i="5"/>
  <c r="K185" i="5"/>
  <c r="K186" i="5" s="1"/>
  <c r="R175" i="5"/>
  <c r="N216" i="5"/>
  <c r="S259" i="5"/>
  <c r="K266" i="5"/>
  <c r="N270" i="5"/>
  <c r="K300" i="5"/>
  <c r="N308" i="5"/>
  <c r="S329" i="5"/>
  <c r="S367" i="5"/>
  <c r="S382" i="5"/>
  <c r="N221" i="5"/>
  <c r="S48" i="5"/>
  <c r="S65" i="5"/>
  <c r="L97" i="5"/>
  <c r="L108" i="5" s="1"/>
  <c r="K122" i="5" s="1"/>
  <c r="N104" i="5"/>
  <c r="N126" i="5"/>
  <c r="S133" i="5"/>
  <c r="N147" i="5"/>
  <c r="L179" i="5"/>
  <c r="M241" i="5"/>
  <c r="S279" i="5"/>
  <c r="M308" i="5"/>
  <c r="S390" i="5"/>
  <c r="AN461" i="5"/>
  <c r="AO461" i="5" s="1"/>
  <c r="AH491" i="5"/>
  <c r="AI491" i="5" s="1"/>
  <c r="N284" i="5"/>
  <c r="N277" i="5"/>
  <c r="N280" i="5"/>
  <c r="N324" i="5"/>
  <c r="S327" i="5"/>
  <c r="S337" i="5"/>
  <c r="N348" i="5"/>
  <c r="N219" i="5"/>
  <c r="S42" i="5"/>
  <c r="K15" i="5"/>
  <c r="L122" i="5"/>
  <c r="S62" i="5"/>
  <c r="N81" i="5"/>
  <c r="N138" i="5"/>
  <c r="N148" i="5"/>
  <c r="S151" i="5"/>
  <c r="S209" i="5"/>
  <c r="S257" i="5"/>
  <c r="S282" i="5"/>
  <c r="S348" i="5"/>
  <c r="S368" i="5"/>
  <c r="S384" i="5"/>
  <c r="F105" i="5"/>
  <c r="S160" i="5"/>
  <c r="S162" i="5"/>
  <c r="S214" i="5"/>
  <c r="R241" i="5"/>
  <c r="N77" i="5"/>
  <c r="S21" i="5"/>
  <c r="S53" i="5"/>
  <c r="N71" i="5"/>
  <c r="S148" i="5"/>
  <c r="N152" i="5"/>
  <c r="N160" i="5"/>
  <c r="N225" i="5"/>
  <c r="S278" i="5"/>
  <c r="S120" i="5"/>
  <c r="E96" i="5"/>
  <c r="S44" i="5"/>
  <c r="N44" i="5"/>
  <c r="N76" i="5"/>
  <c r="S76" i="5"/>
  <c r="S206" i="5"/>
  <c r="N206" i="5"/>
  <c r="P285" i="5"/>
  <c r="Q250" i="5"/>
  <c r="S245" i="5"/>
  <c r="Q245" i="5"/>
  <c r="P266" i="5"/>
  <c r="S244" i="5"/>
  <c r="S126" i="5"/>
  <c r="S117" i="5"/>
  <c r="N117" i="5"/>
  <c r="N204" i="5"/>
  <c r="S204" i="5"/>
  <c r="L285" i="5"/>
  <c r="S268" i="5"/>
  <c r="R301" i="5"/>
  <c r="P7" i="5"/>
  <c r="P9" i="5"/>
  <c r="N35" i="5"/>
  <c r="S45" i="5"/>
  <c r="N57" i="5"/>
  <c r="N69" i="5"/>
  <c r="V82" i="5"/>
  <c r="N102" i="5"/>
  <c r="S102" i="5"/>
  <c r="S175" i="5"/>
  <c r="L176" i="5"/>
  <c r="L185" i="5"/>
  <c r="N188" i="5"/>
  <c r="S188" i="5"/>
  <c r="L189" i="5"/>
  <c r="S66" i="5"/>
  <c r="N66" i="5"/>
  <c r="R172" i="5"/>
  <c r="R12" i="5"/>
  <c r="S128" i="5"/>
  <c r="L135" i="5"/>
  <c r="S374" i="5"/>
  <c r="L395" i="5"/>
  <c r="K395" i="5" s="1"/>
  <c r="N53" i="5"/>
  <c r="N21" i="5"/>
  <c r="N24" i="5"/>
  <c r="N25" i="5" s="1"/>
  <c r="S78" i="5"/>
  <c r="S23" i="5"/>
  <c r="A33" i="5"/>
  <c r="N341" i="5"/>
  <c r="S341" i="5"/>
  <c r="S100" i="5"/>
  <c r="N100" i="5"/>
  <c r="N103" i="5"/>
  <c r="N105" i="5"/>
  <c r="N106" i="5" s="1"/>
  <c r="K38" i="5"/>
  <c r="S46" i="5"/>
  <c r="P177" i="5"/>
  <c r="S220" i="5"/>
  <c r="N220" i="5"/>
  <c r="N48" i="5"/>
  <c r="L72" i="5"/>
  <c r="A68" i="5"/>
  <c r="N184" i="5"/>
  <c r="K95" i="5"/>
  <c r="D53" i="5"/>
  <c r="S158" i="5"/>
  <c r="N158" i="5"/>
  <c r="S378" i="5"/>
  <c r="L153" i="5"/>
  <c r="N137" i="5"/>
  <c r="S137" i="5"/>
  <c r="N222" i="5"/>
  <c r="N64" i="5"/>
  <c r="N123" i="5"/>
  <c r="N128" i="5"/>
  <c r="L54" i="5"/>
  <c r="A47" i="5"/>
  <c r="N55" i="5"/>
  <c r="N61" i="5"/>
  <c r="R100" i="5"/>
  <c r="S105" i="5"/>
  <c r="S106" i="5" s="1"/>
  <c r="Q122" i="5"/>
  <c r="S226" i="5"/>
  <c r="N226" i="5"/>
  <c r="S114" i="5"/>
  <c r="N141" i="5"/>
  <c r="S37" i="5"/>
  <c r="N32" i="5"/>
  <c r="J32" i="5"/>
  <c r="N37" i="5"/>
  <c r="N42" i="5"/>
  <c r="S63" i="5"/>
  <c r="N63" i="5"/>
  <c r="K100" i="5"/>
  <c r="K17" i="5"/>
  <c r="N23" i="5"/>
  <c r="N46" i="5"/>
  <c r="N49" i="5"/>
  <c r="S52" i="5"/>
  <c r="N52" i="5"/>
  <c r="N265" i="5"/>
  <c r="S265" i="5"/>
  <c r="S298" i="5"/>
  <c r="N298" i="5"/>
  <c r="E298" i="5"/>
  <c r="N8" i="5"/>
  <c r="P8" i="5"/>
  <c r="S12" i="5"/>
  <c r="S58" i="5"/>
  <c r="S80" i="5"/>
  <c r="N161" i="5"/>
  <c r="N34" i="5"/>
  <c r="S38" i="5"/>
  <c r="A50" i="5"/>
  <c r="S61" i="5"/>
  <c r="N80" i="5"/>
  <c r="S118" i="5"/>
  <c r="R15" i="5"/>
  <c r="N19" i="5"/>
  <c r="N112" i="5"/>
  <c r="S112" i="5"/>
  <c r="N124" i="5"/>
  <c r="N130" i="5"/>
  <c r="M95" i="5"/>
  <c r="S95" i="5"/>
  <c r="R95" i="5"/>
  <c r="S96" i="5"/>
  <c r="P11" i="5"/>
  <c r="O113" i="5"/>
  <c r="S32" i="5"/>
  <c r="A79" i="5"/>
  <c r="S35" i="5"/>
  <c r="A10" i="5"/>
  <c r="S22" i="5"/>
  <c r="A39" i="5"/>
  <c r="S55" i="5"/>
  <c r="S67" i="5"/>
  <c r="K96" i="5"/>
  <c r="S141" i="5"/>
  <c r="P287" i="5"/>
  <c r="R295" i="5"/>
  <c r="P295" i="5"/>
  <c r="N299" i="5"/>
  <c r="S323" i="5"/>
  <c r="L330" i="5"/>
  <c r="Q377" i="5"/>
  <c r="S365" i="5"/>
  <c r="R8" i="5"/>
  <c r="A31" i="5"/>
  <c r="A56" i="5"/>
  <c r="K94" i="5"/>
  <c r="J97" i="5"/>
  <c r="M94" i="5"/>
  <c r="S222" i="5"/>
  <c r="N228" i="5"/>
  <c r="S228" i="5"/>
  <c r="S241" i="5"/>
  <c r="S242" i="5" s="1"/>
  <c r="N260" i="5"/>
  <c r="S260" i="5"/>
  <c r="N70" i="5"/>
  <c r="E103" i="5"/>
  <c r="N127" i="5"/>
  <c r="S132" i="5"/>
  <c r="S134" i="5"/>
  <c r="S142" i="5"/>
  <c r="N142" i="5"/>
  <c r="S149" i="5"/>
  <c r="N151" i="5"/>
  <c r="E174" i="5"/>
  <c r="Q176" i="5"/>
  <c r="N207" i="5"/>
  <c r="L229" i="5"/>
  <c r="S211" i="5"/>
  <c r="S223" i="5"/>
  <c r="N223" i="5"/>
  <c r="S283" i="5"/>
  <c r="N283" i="5"/>
  <c r="S297" i="5"/>
  <c r="N297" i="5"/>
  <c r="R307" i="5"/>
  <c r="P307" i="5"/>
  <c r="V485" i="5"/>
  <c r="A485" i="5" s="1"/>
  <c r="Q24" i="5"/>
  <c r="S8" i="5"/>
  <c r="N38" i="5"/>
  <c r="S60" i="5"/>
  <c r="S70" i="5"/>
  <c r="P100" i="5"/>
  <c r="D113" i="5"/>
  <c r="N114" i="5"/>
  <c r="N125" i="5"/>
  <c r="S127" i="5"/>
  <c r="N132" i="5"/>
  <c r="N134" i="5"/>
  <c r="S139" i="5"/>
  <c r="S199" i="5"/>
  <c r="N199" i="5"/>
  <c r="N211" i="5"/>
  <c r="E250" i="5"/>
  <c r="R303" i="5"/>
  <c r="P303" i="5"/>
  <c r="AF410" i="5"/>
  <c r="V402" i="5"/>
  <c r="C291" i="5"/>
  <c r="C356" i="5" s="1"/>
  <c r="C89" i="5"/>
  <c r="C168" i="5"/>
  <c r="AF471" i="5" s="1"/>
  <c r="AL446" i="5"/>
  <c r="M12" i="5"/>
  <c r="A17" i="5"/>
  <c r="A40" i="5"/>
  <c r="L41" i="5"/>
  <c r="S130" i="5"/>
  <c r="N212" i="5"/>
  <c r="S217" i="5"/>
  <c r="N217" i="5"/>
  <c r="L266" i="5"/>
  <c r="S255" i="5"/>
  <c r="N263" i="5"/>
  <c r="N278" i="5"/>
  <c r="F245" i="5"/>
  <c r="N244" i="5"/>
  <c r="N245" i="5" s="1"/>
  <c r="AO485" i="5"/>
  <c r="AO402" i="5"/>
  <c r="S291" i="5"/>
  <c r="S356" i="5"/>
  <c r="S168" i="5"/>
  <c r="S89" i="5"/>
  <c r="K40" i="5"/>
  <c r="S43" i="5"/>
  <c r="S140" i="5"/>
  <c r="N140" i="5"/>
  <c r="R178" i="5"/>
  <c r="M178" i="5"/>
  <c r="S208" i="5"/>
  <c r="N208" i="5"/>
  <c r="S215" i="5"/>
  <c r="N215" i="5"/>
  <c r="S224" i="5"/>
  <c r="N255" i="5"/>
  <c r="N261" i="5"/>
  <c r="S328" i="5"/>
  <c r="N328" i="5"/>
  <c r="S71" i="5"/>
  <c r="N75" i="5"/>
  <c r="R94" i="5"/>
  <c r="N96" i="5"/>
  <c r="N121" i="5"/>
  <c r="S156" i="5"/>
  <c r="L163" i="5"/>
  <c r="N224" i="5"/>
  <c r="L304" i="5"/>
  <c r="S295" i="5"/>
  <c r="K308" i="5"/>
  <c r="S181" i="5"/>
  <c r="F189" i="5"/>
  <c r="S272" i="5"/>
  <c r="N272" i="5"/>
  <c r="S321" i="5"/>
  <c r="N321" i="5"/>
  <c r="S344" i="5"/>
  <c r="N344" i="5"/>
  <c r="AN477" i="5"/>
  <c r="AO477" i="5" s="1"/>
  <c r="S172" i="5"/>
  <c r="S202" i="5"/>
  <c r="N258" i="5"/>
  <c r="N268" i="5"/>
  <c r="K297" i="5"/>
  <c r="M299" i="5"/>
  <c r="K299" i="5"/>
  <c r="J304" i="5"/>
  <c r="E308" i="5"/>
  <c r="Q330" i="5"/>
  <c r="S318" i="5"/>
  <c r="S369" i="5"/>
  <c r="AN460" i="5"/>
  <c r="AO460" i="5" s="1"/>
  <c r="AH460" i="5"/>
  <c r="AI460" i="5" s="1"/>
  <c r="A82" i="5"/>
  <c r="S116" i="5"/>
  <c r="P183" i="5"/>
  <c r="L210" i="5"/>
  <c r="N205" i="5"/>
  <c r="K250" i="5"/>
  <c r="L251" i="5" s="1"/>
  <c r="M244" i="5"/>
  <c r="S308" i="5"/>
  <c r="S325" i="5"/>
  <c r="N325" i="5"/>
  <c r="S334" i="5"/>
  <c r="N334" i="5"/>
  <c r="L349" i="5"/>
  <c r="AN458" i="5"/>
  <c r="D185" i="5"/>
  <c r="N198" i="5"/>
  <c r="S264" i="5"/>
  <c r="N274" i="5"/>
  <c r="S346" i="5"/>
  <c r="R360" i="5"/>
  <c r="P360" i="5"/>
  <c r="S388" i="5"/>
  <c r="P15" i="5"/>
  <c r="N116" i="5"/>
  <c r="S144" i="5"/>
  <c r="S157" i="5"/>
  <c r="N157" i="5"/>
  <c r="N163" i="5" s="1"/>
  <c r="S201" i="5"/>
  <c r="N201" i="5"/>
  <c r="P250" i="5"/>
  <c r="F250" i="5"/>
  <c r="S274" i="5"/>
  <c r="K307" i="5"/>
  <c r="S331" i="5"/>
  <c r="AN420" i="5"/>
  <c r="AO420" i="5" s="1"/>
  <c r="AI453" i="5"/>
  <c r="N131" i="5"/>
  <c r="F173" i="5"/>
  <c r="M181" i="5"/>
  <c r="S218" i="5"/>
  <c r="N248" i="5"/>
  <c r="L248" i="5"/>
  <c r="M295" i="5"/>
  <c r="K295" i="5"/>
  <c r="K298" i="5"/>
  <c r="N323" i="5"/>
  <c r="S326" i="5"/>
  <c r="N346" i="5"/>
  <c r="S381" i="5"/>
  <c r="S385" i="5"/>
  <c r="AH420" i="5"/>
  <c r="AI420" i="5" s="1"/>
  <c r="AN453" i="5"/>
  <c r="AH453" i="5"/>
  <c r="AN456" i="5"/>
  <c r="AH456" i="5"/>
  <c r="S256" i="5"/>
  <c r="N256" i="5"/>
  <c r="S273" i="5"/>
  <c r="S342" i="5"/>
  <c r="N342" i="5"/>
  <c r="AH493" i="5"/>
  <c r="N273" i="5"/>
  <c r="N276" i="5"/>
  <c r="N301" i="5"/>
  <c r="E301" i="5"/>
  <c r="S332" i="5"/>
  <c r="N332" i="5"/>
  <c r="S383" i="5"/>
  <c r="AH454" i="5"/>
  <c r="AI454" i="5" s="1"/>
  <c r="S276" i="5"/>
  <c r="S281" i="5"/>
  <c r="S302" i="5"/>
  <c r="S379" i="5"/>
  <c r="S221" i="5"/>
  <c r="S296" i="5"/>
  <c r="S301" i="5"/>
  <c r="S303" i="5"/>
  <c r="S319" i="5"/>
  <c r="N319" i="5"/>
  <c r="S380" i="5"/>
  <c r="S393" i="5"/>
  <c r="AN454" i="5"/>
  <c r="AO454" i="5" s="1"/>
  <c r="AN496" i="5"/>
  <c r="AH496" i="5"/>
  <c r="AI496" i="5" s="1"/>
  <c r="S391" i="5"/>
  <c r="S212" i="5"/>
  <c r="S299" i="5"/>
  <c r="N302" i="5"/>
  <c r="E302" i="5"/>
  <c r="AI461" i="5"/>
  <c r="AN492" i="5"/>
  <c r="AN494" i="5"/>
  <c r="S340" i="5"/>
  <c r="L377" i="5"/>
  <c r="S370" i="5"/>
  <c r="S386" i="5"/>
  <c r="K301" i="5"/>
  <c r="N307" i="5"/>
  <c r="S338" i="5"/>
  <c r="N340" i="5"/>
  <c r="AN459" i="5"/>
  <c r="AO459" i="5" s="1"/>
  <c r="AN469" i="5"/>
  <c r="AO469" i="5" s="1"/>
  <c r="AH477" i="5"/>
  <c r="AI477" i="5" s="1"/>
  <c r="S312" i="5"/>
  <c r="R312" i="5" s="1"/>
  <c r="S333" i="5"/>
  <c r="N335" i="5"/>
  <c r="E360" i="5"/>
  <c r="AN455" i="5"/>
  <c r="AO455" i="5" s="1"/>
  <c r="AH492" i="5"/>
  <c r="N320" i="5"/>
  <c r="N331" i="5"/>
  <c r="S347" i="5"/>
  <c r="AH455" i="5"/>
  <c r="AI455" i="5" s="1"/>
  <c r="AH457" i="5"/>
  <c r="AI457" i="5" s="1"/>
  <c r="S362" i="5" l="1"/>
  <c r="AF446" i="5"/>
  <c r="AF434" i="5"/>
  <c r="Z437" i="5"/>
  <c r="AF474" i="5"/>
  <c r="Z470" i="5"/>
  <c r="AF429" i="5"/>
  <c r="Z430" i="5"/>
  <c r="F229" i="5"/>
  <c r="N229" i="5" s="1"/>
  <c r="Q182" i="5"/>
  <c r="F330" i="5"/>
  <c r="N330" i="5" s="1"/>
  <c r="AL431" i="5"/>
  <c r="F210" i="5"/>
  <c r="AL436" i="5"/>
  <c r="AL410" i="5"/>
  <c r="F349" i="5"/>
  <c r="AF411" i="5"/>
  <c r="Z476" i="5"/>
  <c r="AL414" i="5"/>
  <c r="E297" i="5"/>
  <c r="AF432" i="5"/>
  <c r="AL444" i="5"/>
  <c r="F377" i="5"/>
  <c r="E377" i="5" s="1"/>
  <c r="Z410" i="5"/>
  <c r="AH410" i="5" s="1"/>
  <c r="AI410" i="5" s="1"/>
  <c r="AF476" i="5"/>
  <c r="AH476" i="5" s="1"/>
  <c r="AI476" i="5" s="1"/>
  <c r="Z424" i="5"/>
  <c r="E299" i="5"/>
  <c r="S15" i="5"/>
  <c r="Z414" i="5"/>
  <c r="J112" i="5"/>
  <c r="Z431" i="5"/>
  <c r="M297" i="5"/>
  <c r="Z474" i="5"/>
  <c r="AF436" i="5"/>
  <c r="AN436" i="5" s="1"/>
  <c r="AO436" i="5" s="1"/>
  <c r="AF416" i="5"/>
  <c r="AE416" i="5" s="1"/>
  <c r="Z446" i="5"/>
  <c r="AH446" i="5" s="1"/>
  <c r="AI446" i="5" s="1"/>
  <c r="Z473" i="5"/>
  <c r="AF409" i="5"/>
  <c r="AE409" i="5" s="1"/>
  <c r="M301" i="5"/>
  <c r="Z428" i="5"/>
  <c r="Z415" i="5"/>
  <c r="F163" i="5"/>
  <c r="S57" i="5"/>
  <c r="F251" i="5"/>
  <c r="N250" i="5"/>
  <c r="N251" i="5" s="1"/>
  <c r="F13" i="5"/>
  <c r="F231" i="5"/>
  <c r="F351" i="5"/>
  <c r="E330" i="5"/>
  <c r="N136" i="5"/>
  <c r="F153" i="5"/>
  <c r="S395" i="5"/>
  <c r="Q54" i="5"/>
  <c r="N45" i="5"/>
  <c r="S17" i="5"/>
  <c r="N17" i="5"/>
  <c r="AF451" i="5"/>
  <c r="AF421" i="5"/>
  <c r="AF414" i="5"/>
  <c r="AF425" i="5"/>
  <c r="Q242" i="5"/>
  <c r="M11" i="5"/>
  <c r="K11" i="5"/>
  <c r="R11" i="5"/>
  <c r="Q251" i="5"/>
  <c r="E307" i="5"/>
  <c r="M307" i="5"/>
  <c r="R250" i="5"/>
  <c r="M250" i="5"/>
  <c r="N214" i="5"/>
  <c r="F179" i="5"/>
  <c r="N179" i="5" s="1"/>
  <c r="N178" i="5"/>
  <c r="AL437" i="5"/>
  <c r="AF464" i="5"/>
  <c r="AF479" i="5"/>
  <c r="AL434" i="5"/>
  <c r="AN434" i="5" s="1"/>
  <c r="AF430" i="5"/>
  <c r="AF428" i="5"/>
  <c r="AL439" i="5"/>
  <c r="P377" i="5"/>
  <c r="N94" i="5"/>
  <c r="F97" i="5"/>
  <c r="N58" i="5"/>
  <c r="Z471" i="5"/>
  <c r="AH471" i="5" s="1"/>
  <c r="AI471" i="5" s="1"/>
  <c r="Z448" i="5"/>
  <c r="AL448" i="5"/>
  <c r="AF444" i="5"/>
  <c r="N6" i="5"/>
  <c r="L13" i="5"/>
  <c r="S6" i="5"/>
  <c r="N78" i="5"/>
  <c r="S24" i="5"/>
  <c r="S25" i="5" s="1"/>
  <c r="Q135" i="5"/>
  <c r="S135" i="5" s="1"/>
  <c r="L397" i="5"/>
  <c r="K377" i="5"/>
  <c r="S377" i="5"/>
  <c r="S254" i="5"/>
  <c r="Q266" i="5"/>
  <c r="S82" i="5"/>
  <c r="L74" i="5"/>
  <c r="S64" i="5"/>
  <c r="Z438" i="5"/>
  <c r="AF447" i="5"/>
  <c r="AF438" i="5"/>
  <c r="Z412" i="5"/>
  <c r="AF480" i="5"/>
  <c r="S11" i="5"/>
  <c r="N11" i="5"/>
  <c r="S163" i="5"/>
  <c r="AL475" i="5"/>
  <c r="AO475" i="5" s="1"/>
  <c r="AL445" i="5"/>
  <c r="AF427" i="5"/>
  <c r="Z423" i="5"/>
  <c r="AL421" i="5"/>
  <c r="S33" i="5"/>
  <c r="N33" i="5"/>
  <c r="M6" i="5"/>
  <c r="J13" i="5"/>
  <c r="AE410" i="5" s="1"/>
  <c r="R6" i="5"/>
  <c r="K6" i="5"/>
  <c r="AN466" i="5"/>
  <c r="AO453" i="5"/>
  <c r="S349" i="5"/>
  <c r="AO458" i="5"/>
  <c r="L287" i="5"/>
  <c r="AF473" i="5"/>
  <c r="Z439" i="5"/>
  <c r="AF435" i="5"/>
  <c r="AF423" i="5"/>
  <c r="AL430" i="5"/>
  <c r="AF431" i="5"/>
  <c r="Z421" i="5"/>
  <c r="S330" i="5"/>
  <c r="L351" i="5"/>
  <c r="P6" i="5"/>
  <c r="Q97" i="5"/>
  <c r="S94" i="5"/>
  <c r="S97" i="5" s="1"/>
  <c r="AH458" i="5"/>
  <c r="Q349" i="5"/>
  <c r="Q351" i="5" s="1"/>
  <c r="N210" i="5"/>
  <c r="L231" i="5"/>
  <c r="AL413" i="5"/>
  <c r="AL447" i="5"/>
  <c r="AL476" i="5"/>
  <c r="AO476" i="5" s="1"/>
  <c r="AL438" i="5"/>
  <c r="Z442" i="5"/>
  <c r="Z447" i="5"/>
  <c r="Z434" i="5"/>
  <c r="AH434" i="5" s="1"/>
  <c r="AL422" i="5"/>
  <c r="E7" i="5"/>
  <c r="P94" i="5"/>
  <c r="K153" i="5"/>
  <c r="N153" i="5"/>
  <c r="K135" i="5"/>
  <c r="K285" i="5"/>
  <c r="E94" i="5"/>
  <c r="AN410" i="5"/>
  <c r="AO410" i="5" s="1"/>
  <c r="F72" i="5"/>
  <c r="P300" i="5"/>
  <c r="R300" i="5"/>
  <c r="AN446" i="5"/>
  <c r="AO446" i="5" s="1"/>
  <c r="AL470" i="5"/>
  <c r="AF440" i="5"/>
  <c r="O304" i="5"/>
  <c r="Q285" i="5"/>
  <c r="S285" i="5" s="1"/>
  <c r="S267" i="5"/>
  <c r="Q210" i="5"/>
  <c r="AF470" i="5"/>
  <c r="Z443" i="5"/>
  <c r="AF417" i="5"/>
  <c r="P10" i="5"/>
  <c r="E10" i="5"/>
  <c r="P96" i="5"/>
  <c r="R96" i="5"/>
  <c r="AL424" i="5"/>
  <c r="P95" i="5"/>
  <c r="O97" i="5"/>
  <c r="K10" i="5"/>
  <c r="P308" i="5"/>
  <c r="R308" i="5"/>
  <c r="E185" i="5"/>
  <c r="M175" i="5"/>
  <c r="L309" i="5"/>
  <c r="R97" i="5"/>
  <c r="AF449" i="5"/>
  <c r="AF443" i="5"/>
  <c r="Z445" i="5"/>
  <c r="AL440" i="5"/>
  <c r="AO440" i="5" s="1"/>
  <c r="AF463" i="5"/>
  <c r="N79" i="5"/>
  <c r="Q83" i="5"/>
  <c r="F135" i="5"/>
  <c r="N135" i="5" s="1"/>
  <c r="E6" i="5"/>
  <c r="Q153" i="5"/>
  <c r="S10" i="5"/>
  <c r="N10" i="5"/>
  <c r="AF478" i="5"/>
  <c r="L155" i="5"/>
  <c r="F285" i="5"/>
  <c r="E285" i="5" s="1"/>
  <c r="N267" i="5"/>
  <c r="N285" i="5" s="1"/>
  <c r="M298" i="5"/>
  <c r="Z441" i="5"/>
  <c r="AF475" i="5"/>
  <c r="AL442" i="5"/>
  <c r="Z413" i="5"/>
  <c r="AF422" i="5"/>
  <c r="R298" i="5"/>
  <c r="P298" i="5"/>
  <c r="S47" i="5"/>
  <c r="F54" i="5"/>
  <c r="F122" i="5"/>
  <c r="AL423" i="5"/>
  <c r="AF441" i="5"/>
  <c r="AL443" i="5"/>
  <c r="AF437" i="5"/>
  <c r="R299" i="5"/>
  <c r="P299" i="5"/>
  <c r="M9" i="5"/>
  <c r="K9" i="5"/>
  <c r="R9" i="5"/>
  <c r="P180" i="5"/>
  <c r="P296" i="5"/>
  <c r="R296" i="5"/>
  <c r="D304" i="5"/>
  <c r="AF426" i="5"/>
  <c r="Z440" i="5"/>
  <c r="AI440" i="5" s="1"/>
  <c r="AL412" i="5"/>
  <c r="AL471" i="5"/>
  <c r="AN471" i="5" s="1"/>
  <c r="AF439" i="5"/>
  <c r="AF465" i="5"/>
  <c r="AF442" i="5"/>
  <c r="AL472" i="5"/>
  <c r="AO472" i="5" s="1"/>
  <c r="K119" i="5"/>
  <c r="J108" i="5"/>
  <c r="K97" i="5"/>
  <c r="J105" i="5"/>
  <c r="K120" i="5"/>
  <c r="K113" i="5"/>
  <c r="K121" i="5"/>
  <c r="K103" i="5"/>
  <c r="R103" i="5" s="1"/>
  <c r="W159" i="5"/>
  <c r="K114" i="5"/>
  <c r="K102" i="5"/>
  <c r="R102" i="5" s="1"/>
  <c r="K117" i="5"/>
  <c r="K115" i="5"/>
  <c r="K118" i="5"/>
  <c r="K104" i="5"/>
  <c r="R104" i="5" s="1"/>
  <c r="K116" i="5"/>
  <c r="K112" i="5"/>
  <c r="E95" i="5"/>
  <c r="D97" i="5"/>
  <c r="E115" i="5" s="1"/>
  <c r="S36" i="5"/>
  <c r="N36" i="5"/>
  <c r="M7" i="5"/>
  <c r="K7" i="5"/>
  <c r="R7" i="5"/>
  <c r="N120" i="5"/>
  <c r="Q395" i="5"/>
  <c r="P395" i="5" s="1"/>
  <c r="Q163" i="5"/>
  <c r="S19" i="5"/>
  <c r="E296" i="5"/>
  <c r="M296" i="5"/>
  <c r="E300" i="5"/>
  <c r="N300" i="5"/>
  <c r="O32" i="5"/>
  <c r="AH474" i="5"/>
  <c r="AI474" i="5" s="1"/>
  <c r="AF415" i="5"/>
  <c r="S34" i="5"/>
  <c r="Z475" i="5"/>
  <c r="P185" i="5"/>
  <c r="P194" i="5" s="1"/>
  <c r="P174" i="5"/>
  <c r="Q304" i="5"/>
  <c r="Z436" i="5"/>
  <c r="Z422" i="5"/>
  <c r="AF418" i="5"/>
  <c r="AF413" i="5"/>
  <c r="AF412" i="5"/>
  <c r="AF450" i="5"/>
  <c r="AL415" i="5"/>
  <c r="AL473" i="5"/>
  <c r="AO473" i="5" s="1"/>
  <c r="AF448" i="5"/>
  <c r="N9" i="5"/>
  <c r="S9" i="5"/>
  <c r="L186" i="5"/>
  <c r="L194" i="5"/>
  <c r="K229" i="5" s="1"/>
  <c r="Q229" i="5"/>
  <c r="S229" i="5" s="1"/>
  <c r="N181" i="5"/>
  <c r="F182" i="5"/>
  <c r="F176" i="5"/>
  <c r="F185" i="5"/>
  <c r="N185" i="5" s="1"/>
  <c r="N186" i="5" s="1"/>
  <c r="N175" i="5"/>
  <c r="J309" i="5"/>
  <c r="K304" i="5"/>
  <c r="L83" i="5"/>
  <c r="N349" i="5"/>
  <c r="Q185" i="5"/>
  <c r="Q173" i="5"/>
  <c r="F242" i="5"/>
  <c r="N241" i="5"/>
  <c r="N242" i="5" s="1"/>
  <c r="N254" i="5"/>
  <c r="F266" i="5"/>
  <c r="N266" i="5" s="1"/>
  <c r="S250" i="5"/>
  <c r="AF424" i="5"/>
  <c r="AL441" i="5"/>
  <c r="Z472" i="5"/>
  <c r="AF472" i="5"/>
  <c r="AF445" i="5"/>
  <c r="AL474" i="5"/>
  <c r="AN474" i="5" s="1"/>
  <c r="AL428" i="5"/>
  <c r="P297" i="5"/>
  <c r="R297" i="5"/>
  <c r="Z444" i="5"/>
  <c r="E8" i="5"/>
  <c r="M8" i="5"/>
  <c r="N7" i="5"/>
  <c r="S7" i="5"/>
  <c r="F395" i="5"/>
  <c r="E395" i="5" s="1"/>
  <c r="D32" i="5"/>
  <c r="O185" i="5"/>
  <c r="N115" i="5"/>
  <c r="N296" i="5"/>
  <c r="F304" i="5"/>
  <c r="F309" i="5" s="1"/>
  <c r="F314" i="5" s="1"/>
  <c r="S122" i="5"/>
  <c r="AF419" i="5" l="1"/>
  <c r="O13" i="5"/>
  <c r="AK410" i="5" s="1"/>
  <c r="F353" i="5"/>
  <c r="E120" i="5"/>
  <c r="M97" i="5"/>
  <c r="M98" i="5" s="1"/>
  <c r="R10" i="5"/>
  <c r="S13" i="5"/>
  <c r="S251" i="5"/>
  <c r="AH436" i="5"/>
  <c r="AI436" i="5" s="1"/>
  <c r="Q287" i="5"/>
  <c r="Q289" i="5" s="1"/>
  <c r="E54" i="5"/>
  <c r="AF468" i="5"/>
  <c r="AK415" i="5"/>
  <c r="F83" i="5"/>
  <c r="AI434" i="5"/>
  <c r="AE418" i="5"/>
  <c r="AN442" i="5"/>
  <c r="AO442" i="5" s="1"/>
  <c r="AH442" i="5"/>
  <c r="AI442" i="5" s="1"/>
  <c r="J27" i="5"/>
  <c r="K13" i="5"/>
  <c r="K23" i="5"/>
  <c r="R23" i="5" s="1"/>
  <c r="K22" i="5"/>
  <c r="R22" i="5" s="1"/>
  <c r="K21" i="5"/>
  <c r="R21" i="5" s="1"/>
  <c r="J24" i="5"/>
  <c r="L233" i="5"/>
  <c r="L195" i="5"/>
  <c r="AN443" i="5"/>
  <c r="AH443" i="5"/>
  <c r="O27" i="5"/>
  <c r="O24" i="5"/>
  <c r="P39" i="5" s="1"/>
  <c r="AH473" i="5"/>
  <c r="AI473" i="5" s="1"/>
  <c r="AN473" i="5"/>
  <c r="K397" i="5"/>
  <c r="L399" i="5"/>
  <c r="AH430" i="5"/>
  <c r="AI430" i="5" s="1"/>
  <c r="AN430" i="5"/>
  <c r="AO430" i="5" s="1"/>
  <c r="AN476" i="5"/>
  <c r="AH415" i="5"/>
  <c r="AI415" i="5" s="1"/>
  <c r="AE415" i="5"/>
  <c r="AN415" i="5"/>
  <c r="AO415" i="5" s="1"/>
  <c r="E304" i="5"/>
  <c r="D309" i="5"/>
  <c r="AH447" i="5"/>
  <c r="AI447" i="5" s="1"/>
  <c r="AN447" i="5"/>
  <c r="AO447" i="5" s="1"/>
  <c r="N14" i="5"/>
  <c r="F27" i="5"/>
  <c r="AI458" i="5"/>
  <c r="AN440" i="5"/>
  <c r="AH440" i="5"/>
  <c r="AN428" i="5"/>
  <c r="AO428" i="5" s="1"/>
  <c r="AH428" i="5"/>
  <c r="AI428" i="5" s="1"/>
  <c r="Q309" i="5"/>
  <c r="AH439" i="5"/>
  <c r="AI439" i="5" s="1"/>
  <c r="AN439" i="5"/>
  <c r="AO439" i="5" s="1"/>
  <c r="D13" i="5"/>
  <c r="M10" i="5"/>
  <c r="M13" i="5" s="1"/>
  <c r="AO434" i="5"/>
  <c r="P17" i="5"/>
  <c r="R17" i="5"/>
  <c r="AN475" i="5"/>
  <c r="AH475" i="5"/>
  <c r="AI475" i="5" s="1"/>
  <c r="M185" i="5"/>
  <c r="E194" i="5"/>
  <c r="Q231" i="5"/>
  <c r="S231" i="5" s="1"/>
  <c r="AE413" i="5"/>
  <c r="AN413" i="5"/>
  <c r="AH413" i="5"/>
  <c r="AI413" i="5" s="1"/>
  <c r="F155" i="5"/>
  <c r="N122" i="5"/>
  <c r="AN414" i="5"/>
  <c r="AO414" i="5" s="1"/>
  <c r="AE414" i="5"/>
  <c r="AH414" i="5"/>
  <c r="AI414" i="5" s="1"/>
  <c r="AN472" i="5"/>
  <c r="AH472" i="5"/>
  <c r="AI472" i="5" s="1"/>
  <c r="N40" i="5"/>
  <c r="S40" i="5"/>
  <c r="AN424" i="5"/>
  <c r="AO424" i="5" s="1"/>
  <c r="AH424" i="5"/>
  <c r="AI424" i="5" s="1"/>
  <c r="M309" i="5"/>
  <c r="K309" i="5"/>
  <c r="J314" i="5"/>
  <c r="D108" i="5"/>
  <c r="E97" i="5"/>
  <c r="D105" i="5"/>
  <c r="E105" i="5" s="1"/>
  <c r="E117" i="5"/>
  <c r="E113" i="5"/>
  <c r="E116" i="5"/>
  <c r="E114" i="5"/>
  <c r="E119" i="5"/>
  <c r="E118" i="5"/>
  <c r="E112" i="5"/>
  <c r="E121" i="5"/>
  <c r="AO471" i="5"/>
  <c r="R98" i="5"/>
  <c r="Z429" i="5"/>
  <c r="N50" i="5"/>
  <c r="AL427" i="5"/>
  <c r="AO427" i="5" s="1"/>
  <c r="AL465" i="5"/>
  <c r="AL416" i="5"/>
  <c r="AL449" i="5"/>
  <c r="AO449" i="5" s="1"/>
  <c r="AL463" i="5"/>
  <c r="AL417" i="5"/>
  <c r="AL450" i="5"/>
  <c r="AO450" i="5" s="1"/>
  <c r="AL425" i="5"/>
  <c r="AO425" i="5" s="1"/>
  <c r="AL432" i="5"/>
  <c r="AL479" i="5"/>
  <c r="AO479" i="5" s="1"/>
  <c r="AL464" i="5"/>
  <c r="AL418" i="5"/>
  <c r="AL426" i="5"/>
  <c r="AO426" i="5" s="1"/>
  <c r="AL451" i="5"/>
  <c r="AO451" i="5" s="1"/>
  <c r="AL478" i="5"/>
  <c r="AO478" i="5" s="1"/>
  <c r="AK414" i="5"/>
  <c r="S39" i="5"/>
  <c r="K287" i="5"/>
  <c r="L289" i="5"/>
  <c r="Z411" i="5"/>
  <c r="F108" i="5"/>
  <c r="E153" i="5" s="1"/>
  <c r="N97" i="5"/>
  <c r="N98" i="5" s="1"/>
  <c r="D112" i="5"/>
  <c r="N155" i="5"/>
  <c r="K155" i="5"/>
  <c r="S79" i="5"/>
  <c r="S83" i="5" s="1"/>
  <c r="AE412" i="5"/>
  <c r="AN412" i="5"/>
  <c r="AO412" i="5" s="1"/>
  <c r="AH412" i="5"/>
  <c r="AI412" i="5" s="1"/>
  <c r="K108" i="5"/>
  <c r="E72" i="5"/>
  <c r="AO474" i="5"/>
  <c r="AH444" i="5"/>
  <c r="AN444" i="5"/>
  <c r="AO444" i="5" s="1"/>
  <c r="P304" i="5"/>
  <c r="R304" i="5"/>
  <c r="O309" i="5"/>
  <c r="AH421" i="5"/>
  <c r="AN421" i="5"/>
  <c r="AO421" i="5" s="1"/>
  <c r="AF433" i="5"/>
  <c r="S98" i="5"/>
  <c r="Q108" i="5"/>
  <c r="P153" i="5" s="1"/>
  <c r="O112" i="5"/>
  <c r="AN451" i="5"/>
  <c r="E351" i="5"/>
  <c r="M304" i="5"/>
  <c r="L165" i="5"/>
  <c r="AK412" i="5"/>
  <c r="AH437" i="5"/>
  <c r="AI437" i="5" s="1"/>
  <c r="AN437" i="5"/>
  <c r="AO437" i="5" s="1"/>
  <c r="AH422" i="5"/>
  <c r="AN422" i="5"/>
  <c r="AO422" i="5" s="1"/>
  <c r="AE411" i="5"/>
  <c r="S304" i="5"/>
  <c r="S305" i="5" s="1"/>
  <c r="S50" i="5"/>
  <c r="S54" i="5" s="1"/>
  <c r="AL429" i="5"/>
  <c r="Z417" i="5"/>
  <c r="AH417" i="5" s="1"/>
  <c r="Z427" i="5"/>
  <c r="AI427" i="5" s="1"/>
  <c r="Z465" i="5"/>
  <c r="AI465" i="5" s="1"/>
  <c r="Z416" i="5"/>
  <c r="Z478" i="5"/>
  <c r="AH478" i="5" s="1"/>
  <c r="AI478" i="5" s="1"/>
  <c r="Z464" i="5"/>
  <c r="AI464" i="5" s="1"/>
  <c r="Z450" i="5"/>
  <c r="AI450" i="5" s="1"/>
  <c r="Z418" i="5"/>
  <c r="AH418" i="5" s="1"/>
  <c r="Z479" i="5"/>
  <c r="AH479" i="5" s="1"/>
  <c r="AI479" i="5" s="1"/>
  <c r="Z463" i="5"/>
  <c r="Z497" i="5"/>
  <c r="Z449" i="5"/>
  <c r="AI449" i="5" s="1"/>
  <c r="Z432" i="5"/>
  <c r="Z426" i="5"/>
  <c r="AI426" i="5" s="1"/>
  <c r="Z451" i="5"/>
  <c r="AI451" i="5" s="1"/>
  <c r="Z425" i="5"/>
  <c r="AI425" i="5" s="1"/>
  <c r="Z495" i="5"/>
  <c r="E349" i="5"/>
  <c r="N39" i="5"/>
  <c r="AO413" i="5"/>
  <c r="AK413" i="5"/>
  <c r="S351" i="5"/>
  <c r="N351" i="5"/>
  <c r="S266" i="5"/>
  <c r="AL411" i="5"/>
  <c r="AH480" i="5"/>
  <c r="AI480" i="5" s="1"/>
  <c r="AN480" i="5"/>
  <c r="AO480" i="5" s="1"/>
  <c r="E17" i="5"/>
  <c r="M17" i="5"/>
  <c r="AI421" i="5"/>
  <c r="AH463" i="5"/>
  <c r="AF466" i="5"/>
  <c r="AH445" i="5"/>
  <c r="AN445" i="5"/>
  <c r="AO445" i="5" s="1"/>
  <c r="Q194" i="5"/>
  <c r="S194" i="5" s="1"/>
  <c r="S195" i="5" s="1"/>
  <c r="Q186" i="5"/>
  <c r="S185" i="5"/>
  <c r="R13" i="5"/>
  <c r="R14" i="5" s="1"/>
  <c r="AI422" i="5"/>
  <c r="AN448" i="5"/>
  <c r="AO448" i="5" s="1"/>
  <c r="AH448" i="5"/>
  <c r="AI448" i="5" s="1"/>
  <c r="AO443" i="5"/>
  <c r="Q155" i="5"/>
  <c r="N304" i="5"/>
  <c r="N305" i="5" s="1"/>
  <c r="O105" i="5"/>
  <c r="P105" i="5" s="1"/>
  <c r="P117" i="5"/>
  <c r="O108" i="5"/>
  <c r="R108" i="5" s="1"/>
  <c r="P97" i="5"/>
  <c r="P115" i="5"/>
  <c r="P118" i="5"/>
  <c r="P120" i="5"/>
  <c r="P119" i="5"/>
  <c r="P112" i="5"/>
  <c r="P114" i="5"/>
  <c r="P113" i="5"/>
  <c r="P121" i="5"/>
  <c r="P116" i="5"/>
  <c r="AE417" i="5"/>
  <c r="AN417" i="5"/>
  <c r="Q41" i="5"/>
  <c r="P31" i="5"/>
  <c r="S31" i="5"/>
  <c r="AL409" i="5"/>
  <c r="AL435" i="5"/>
  <c r="AN435" i="5" s="1"/>
  <c r="Q72" i="5"/>
  <c r="S56" i="5"/>
  <c r="S153" i="5"/>
  <c r="K210" i="5"/>
  <c r="N47" i="5"/>
  <c r="N54" i="5" s="1"/>
  <c r="Y412" i="5"/>
  <c r="S68" i="5"/>
  <c r="Q13" i="5"/>
  <c r="P13" i="5" s="1"/>
  <c r="AN470" i="5"/>
  <c r="AO470" i="5" s="1"/>
  <c r="AH470" i="5"/>
  <c r="AI470" i="5" s="1"/>
  <c r="AF481" i="5"/>
  <c r="AF452" i="5"/>
  <c r="N231" i="5"/>
  <c r="K231" i="5"/>
  <c r="AN431" i="5"/>
  <c r="AO431" i="5" s="1"/>
  <c r="AH431" i="5"/>
  <c r="AI431" i="5" s="1"/>
  <c r="N82" i="5"/>
  <c r="N83" i="5" s="1"/>
  <c r="Z480" i="5"/>
  <c r="L27" i="5"/>
  <c r="K74" i="5" s="1"/>
  <c r="J31" i="5"/>
  <c r="P186" i="5"/>
  <c r="R185" i="5"/>
  <c r="N13" i="5"/>
  <c r="AN423" i="5"/>
  <c r="AO423" i="5" s="1"/>
  <c r="AH423" i="5"/>
  <c r="AI423" i="5" s="1"/>
  <c r="AI445" i="5"/>
  <c r="AI444" i="5"/>
  <c r="F287" i="5"/>
  <c r="N287" i="5" s="1"/>
  <c r="E266" i="5"/>
  <c r="F186" i="5"/>
  <c r="F194" i="5"/>
  <c r="N194" i="5" s="1"/>
  <c r="N195" i="5" s="1"/>
  <c r="K105" i="5"/>
  <c r="AN441" i="5"/>
  <c r="AO441" i="5" s="1"/>
  <c r="AH441" i="5"/>
  <c r="AI441" i="5" s="1"/>
  <c r="N309" i="5"/>
  <c r="N310" i="5" s="1"/>
  <c r="L314" i="5"/>
  <c r="K351" i="5" s="1"/>
  <c r="AI443" i="5"/>
  <c r="F41" i="5"/>
  <c r="D31" i="5"/>
  <c r="Z409" i="5"/>
  <c r="N31" i="5"/>
  <c r="Z435" i="5"/>
  <c r="N56" i="5"/>
  <c r="S210" i="5"/>
  <c r="AN438" i="5"/>
  <c r="AO438" i="5" s="1"/>
  <c r="AH438" i="5"/>
  <c r="AI438" i="5" s="1"/>
  <c r="N68" i="5"/>
  <c r="Q397" i="5"/>
  <c r="S397" i="5" s="1"/>
  <c r="F397" i="5"/>
  <c r="E231" i="5"/>
  <c r="P155" i="5" l="1"/>
  <c r="AN478" i="5"/>
  <c r="S287" i="5"/>
  <c r="AN427" i="5"/>
  <c r="AN426" i="5"/>
  <c r="P210" i="5"/>
  <c r="E135" i="5"/>
  <c r="E108" i="5"/>
  <c r="O31" i="5"/>
  <c r="E122" i="5"/>
  <c r="P33" i="5"/>
  <c r="E155" i="5"/>
  <c r="S155" i="5"/>
  <c r="AH426" i="5"/>
  <c r="N72" i="5"/>
  <c r="AH427" i="5"/>
  <c r="P229" i="5"/>
  <c r="P40" i="5"/>
  <c r="AN449" i="5"/>
  <c r="Z452" i="5"/>
  <c r="AH449" i="5"/>
  <c r="AI495" i="5"/>
  <c r="AH495" i="5"/>
  <c r="Y416" i="5"/>
  <c r="AI416" i="5"/>
  <c r="AH416" i="5"/>
  <c r="AP468" i="5"/>
  <c r="AS468" i="5" s="1"/>
  <c r="AN450" i="5"/>
  <c r="E13" i="5"/>
  <c r="D27" i="5"/>
  <c r="E27" i="5" s="1"/>
  <c r="M14" i="5"/>
  <c r="D24" i="5"/>
  <c r="M24" i="5" s="1"/>
  <c r="Y414" i="5"/>
  <c r="Y415" i="5"/>
  <c r="AM415" i="5" s="1"/>
  <c r="Y410" i="5"/>
  <c r="AG418" i="5"/>
  <c r="AM418" i="5"/>
  <c r="M105" i="5"/>
  <c r="AH435" i="5"/>
  <c r="AH452" i="5" s="1"/>
  <c r="AI452" i="5" s="1"/>
  <c r="Z433" i="5"/>
  <c r="AH433" i="5"/>
  <c r="AI433" i="5" s="1"/>
  <c r="M108" i="5"/>
  <c r="M109" i="5" s="1"/>
  <c r="K314" i="5"/>
  <c r="AF406" i="5"/>
  <c r="AH450" i="5"/>
  <c r="D314" i="5"/>
  <c r="E314" i="5" s="1"/>
  <c r="E309" i="5"/>
  <c r="AH429" i="5"/>
  <c r="AI429" i="5" s="1"/>
  <c r="AI497" i="5"/>
  <c r="AH497" i="5"/>
  <c r="O314" i="5"/>
  <c r="R309" i="5"/>
  <c r="P309" i="5"/>
  <c r="AN479" i="5"/>
  <c r="AL466" i="5"/>
  <c r="AO466" i="5" s="1"/>
  <c r="AK418" i="5"/>
  <c r="AO418" i="5"/>
  <c r="AI417" i="5"/>
  <c r="Y417" i="5"/>
  <c r="AM417" i="5" s="1"/>
  <c r="AO417" i="5"/>
  <c r="AK417" i="5"/>
  <c r="Q314" i="5"/>
  <c r="S314" i="5" s="1"/>
  <c r="P24" i="5"/>
  <c r="P38" i="5"/>
  <c r="P37" i="5"/>
  <c r="P34" i="5"/>
  <c r="P32" i="5"/>
  <c r="P35" i="5"/>
  <c r="P36" i="5"/>
  <c r="P397" i="5"/>
  <c r="Q399" i="5"/>
  <c r="S399" i="5" s="1"/>
  <c r="AO435" i="5"/>
  <c r="Q233" i="5"/>
  <c r="S233" i="5" s="1"/>
  <c r="Q195" i="5"/>
  <c r="R194" i="5" s="1"/>
  <c r="AH464" i="5"/>
  <c r="AI463" i="5"/>
  <c r="Z466" i="5"/>
  <c r="AH451" i="5"/>
  <c r="AH425" i="5"/>
  <c r="S289" i="5"/>
  <c r="AN418" i="5"/>
  <c r="AM413" i="5"/>
  <c r="K34" i="5"/>
  <c r="K24" i="5"/>
  <c r="K37" i="5"/>
  <c r="K31" i="5"/>
  <c r="K35" i="5"/>
  <c r="K32" i="5"/>
  <c r="K36" i="5"/>
  <c r="K33" i="5"/>
  <c r="E397" i="5"/>
  <c r="F399" i="5"/>
  <c r="E41" i="5"/>
  <c r="F74" i="5"/>
  <c r="N41" i="5"/>
  <c r="F233" i="5"/>
  <c r="N233" i="5" s="1"/>
  <c r="F195" i="5"/>
  <c r="M194" i="5" s="1"/>
  <c r="E210" i="5"/>
  <c r="E229" i="5"/>
  <c r="S72" i="5"/>
  <c r="AL419" i="5"/>
  <c r="AK409" i="5"/>
  <c r="AN409" i="5"/>
  <c r="AO409" i="5" s="1"/>
  <c r="Y413" i="5"/>
  <c r="AG413" i="5" s="1"/>
  <c r="AG411" i="5"/>
  <c r="AM411" i="5"/>
  <c r="AM412" i="5"/>
  <c r="AG412" i="5"/>
  <c r="AK416" i="5"/>
  <c r="AO416" i="5"/>
  <c r="AN416" i="5"/>
  <c r="AL481" i="5"/>
  <c r="AN481" i="5" s="1"/>
  <c r="AH465" i="5"/>
  <c r="AN425" i="5"/>
  <c r="Z481" i="5"/>
  <c r="AK411" i="5"/>
  <c r="AN411" i="5"/>
  <c r="AO411" i="5" s="1"/>
  <c r="AI432" i="5"/>
  <c r="AH432" i="5"/>
  <c r="AN429" i="5"/>
  <c r="AO429" i="5" s="1"/>
  <c r="S186" i="5"/>
  <c r="AS481" i="5"/>
  <c r="S309" i="5"/>
  <c r="S310" i="5" s="1"/>
  <c r="N314" i="5"/>
  <c r="N315" i="5" s="1"/>
  <c r="L353" i="5"/>
  <c r="K349" i="5"/>
  <c r="K330" i="5"/>
  <c r="E287" i="5"/>
  <c r="F289" i="5"/>
  <c r="F401" i="5" s="1"/>
  <c r="AF407" i="5"/>
  <c r="AD481" i="5" s="1"/>
  <c r="L85" i="5"/>
  <c r="N27" i="5"/>
  <c r="K54" i="5"/>
  <c r="K41" i="5"/>
  <c r="K72" i="5"/>
  <c r="AI418" i="5"/>
  <c r="Y418" i="5"/>
  <c r="F165" i="5"/>
  <c r="N165" i="5" s="1"/>
  <c r="N108" i="5"/>
  <c r="N109" i="5" s="1"/>
  <c r="AG414" i="5"/>
  <c r="AM414" i="5"/>
  <c r="AL452" i="5"/>
  <c r="M27" i="5"/>
  <c r="M28" i="5" s="1"/>
  <c r="K27" i="5"/>
  <c r="R27" i="5"/>
  <c r="R28" i="5" s="1"/>
  <c r="W82" i="5"/>
  <c r="AL433" i="5"/>
  <c r="AN433" i="5" s="1"/>
  <c r="Q74" i="5"/>
  <c r="S41" i="5"/>
  <c r="Z419" i="5"/>
  <c r="Y409" i="5"/>
  <c r="AH409" i="5"/>
  <c r="AI409" i="5" s="1"/>
  <c r="R109" i="5"/>
  <c r="P108" i="5"/>
  <c r="S14" i="5"/>
  <c r="Q27" i="5"/>
  <c r="P41" i="5" s="1"/>
  <c r="Q165" i="5"/>
  <c r="S165" i="5" s="1"/>
  <c r="P122" i="5"/>
  <c r="S108" i="5"/>
  <c r="S109" i="5" s="1"/>
  <c r="Y411" i="5"/>
  <c r="AH411" i="5"/>
  <c r="AI411" i="5" s="1"/>
  <c r="P231" i="5"/>
  <c r="P135" i="5"/>
  <c r="Z407" i="5"/>
  <c r="X452" i="5" s="1"/>
  <c r="F85" i="5"/>
  <c r="AN452" i="5" l="1"/>
  <c r="AH466" i="5"/>
  <c r="N289" i="5"/>
  <c r="AD452" i="5"/>
  <c r="R314" i="5"/>
  <c r="P314" i="5"/>
  <c r="AL406" i="5"/>
  <c r="AD466" i="5"/>
  <c r="P74" i="5"/>
  <c r="S74" i="5"/>
  <c r="M314" i="5"/>
  <c r="AG410" i="5"/>
  <c r="AM410" i="5"/>
  <c r="P27" i="5"/>
  <c r="AD433" i="5"/>
  <c r="AO481" i="5"/>
  <c r="AO433" i="5"/>
  <c r="AG417" i="5"/>
  <c r="N85" i="5"/>
  <c r="N28" i="5"/>
  <c r="AI435" i="5"/>
  <c r="E74" i="5"/>
  <c r="N74" i="5"/>
  <c r="S315" i="5"/>
  <c r="Q353" i="5"/>
  <c r="S353" i="5" s="1"/>
  <c r="P330" i="5"/>
  <c r="P349" i="5"/>
  <c r="P351" i="5"/>
  <c r="AG415" i="5"/>
  <c r="AG409" i="5"/>
  <c r="AM409" i="5"/>
  <c r="AD468" i="5"/>
  <c r="X419" i="5"/>
  <c r="Z468" i="5"/>
  <c r="AH419" i="5"/>
  <c r="AI419" i="5" s="1"/>
  <c r="AL468" i="5"/>
  <c r="AN419" i="5"/>
  <c r="AO419" i="5" s="1"/>
  <c r="AL407" i="5"/>
  <c r="Q85" i="5"/>
  <c r="P54" i="5"/>
  <c r="X466" i="5"/>
  <c r="AI466" i="5"/>
  <c r="AG416" i="5"/>
  <c r="AM416" i="5"/>
  <c r="AF483" i="5"/>
  <c r="AH407" i="5"/>
  <c r="AI407" i="5" s="1"/>
  <c r="AS407" i="5"/>
  <c r="AN407" i="5"/>
  <c r="AD419" i="5"/>
  <c r="N353" i="5"/>
  <c r="L401" i="5"/>
  <c r="Z406" i="5"/>
  <c r="Y448" i="5" s="1"/>
  <c r="E37" i="5"/>
  <c r="E24" i="5"/>
  <c r="E34" i="5"/>
  <c r="E36" i="5"/>
  <c r="E38" i="5"/>
  <c r="E35" i="5"/>
  <c r="E32" i="5"/>
  <c r="E39" i="5"/>
  <c r="E40" i="5"/>
  <c r="E33" i="5"/>
  <c r="E31" i="5"/>
  <c r="X481" i="5"/>
  <c r="AO452" i="5"/>
  <c r="S27" i="5"/>
  <c r="S85" i="5" s="1"/>
  <c r="AH481" i="5"/>
  <c r="AI481" i="5" s="1"/>
  <c r="P72" i="5"/>
  <c r="X433" i="5"/>
  <c r="AN468" i="5" l="1"/>
  <c r="AO468" i="5" s="1"/>
  <c r="AE483" i="5"/>
  <c r="AF489" i="5"/>
  <c r="X468" i="5"/>
  <c r="AH468" i="5"/>
  <c r="AI468" i="5" s="1"/>
  <c r="S28" i="5"/>
  <c r="Z483" i="5"/>
  <c r="AH483" i="5" s="1"/>
  <c r="AI483" i="5" s="1"/>
  <c r="AJ452" i="5"/>
  <c r="AL483" i="5"/>
  <c r="AN483" i="5" s="1"/>
  <c r="AJ419" i="5"/>
  <c r="AO407" i="5"/>
  <c r="AJ433" i="5"/>
  <c r="AJ407" i="5"/>
  <c r="AJ466" i="5"/>
  <c r="AJ468" i="5"/>
  <c r="AL489" i="5" l="1"/>
  <c r="AO483" i="5"/>
  <c r="AK483" i="5"/>
  <c r="Y483" i="5"/>
  <c r="Z489" i="5"/>
  <c r="AN489" i="5"/>
  <c r="AF488" i="5"/>
  <c r="AF498" i="5"/>
  <c r="AH489" i="5"/>
  <c r="AI489" i="5" s="1"/>
  <c r="AE489" i="5"/>
  <c r="AE488" i="5" l="1"/>
  <c r="AF507" i="5"/>
  <c r="AE498" i="5"/>
  <c r="AF502" i="5"/>
  <c r="AF504" i="5"/>
  <c r="Z498" i="5"/>
  <c r="Y498" i="5" s="1"/>
  <c r="Z488" i="5"/>
  <c r="Y488" i="5" s="1"/>
  <c r="Y489" i="5"/>
  <c r="AO489" i="5"/>
  <c r="AL498" i="5"/>
  <c r="AN498" i="5" s="1"/>
  <c r="AL488" i="5"/>
  <c r="AK489" i="5"/>
  <c r="AH498" i="5" l="1"/>
  <c r="AI498" i="5" s="1"/>
  <c r="AK488" i="5"/>
  <c r="AH488" i="5"/>
  <c r="AI488" i="5" s="1"/>
  <c r="AO498" i="5"/>
  <c r="AK498" i="5"/>
  <c r="AN488" i="5"/>
  <c r="AO488" i="5" s="1"/>
  <c r="A499" i="15" l="1"/>
  <c r="A498" i="15"/>
  <c r="AN497" i="15"/>
  <c r="A497" i="15"/>
  <c r="AO497" i="15" s="1"/>
  <c r="A496" i="15"/>
  <c r="AO496" i="15" s="1"/>
  <c r="A495" i="15"/>
  <c r="AN495" i="15" s="1"/>
  <c r="AN494" i="15"/>
  <c r="AI494" i="15"/>
  <c r="A494" i="15"/>
  <c r="AI493" i="15"/>
  <c r="A493" i="15"/>
  <c r="AO493" i="15" s="1"/>
  <c r="AO492" i="15"/>
  <c r="A492" i="15"/>
  <c r="AI492" i="15" s="1"/>
  <c r="A491" i="15"/>
  <c r="A490" i="15"/>
  <c r="A489" i="15"/>
  <c r="A488" i="15"/>
  <c r="A487" i="15"/>
  <c r="A486" i="15"/>
  <c r="A484" i="15"/>
  <c r="A483" i="15"/>
  <c r="AO482" i="15"/>
  <c r="AN482" i="15"/>
  <c r="A482" i="15"/>
  <c r="A481" i="15"/>
  <c r="A480" i="15"/>
  <c r="A479" i="15"/>
  <c r="A478" i="15"/>
  <c r="AN477" i="15"/>
  <c r="AO477" i="15" s="1"/>
  <c r="AF484" i="15"/>
  <c r="A477" i="15"/>
  <c r="A476" i="15"/>
  <c r="A475" i="15"/>
  <c r="A474" i="15"/>
  <c r="A473" i="15"/>
  <c r="A472" i="15"/>
  <c r="A471" i="15"/>
  <c r="A470" i="15"/>
  <c r="A469" i="15"/>
  <c r="AR468" i="15"/>
  <c r="AR483" i="15" s="1"/>
  <c r="A468" i="15"/>
  <c r="AO467" i="15"/>
  <c r="AN467" i="15"/>
  <c r="AH467" i="15"/>
  <c r="A467" i="15"/>
  <c r="A466" i="15"/>
  <c r="A465" i="15"/>
  <c r="A464" i="15"/>
  <c r="A463" i="15"/>
  <c r="A462" i="15"/>
  <c r="A461" i="15"/>
  <c r="AN460" i="15"/>
  <c r="A460" i="15"/>
  <c r="A459" i="15"/>
  <c r="AQ458" i="15"/>
  <c r="A458" i="15"/>
  <c r="AQ457" i="15"/>
  <c r="AH457" i="15"/>
  <c r="AI457" i="15" s="1"/>
  <c r="A457" i="15"/>
  <c r="AO456" i="15"/>
  <c r="AN456" i="15"/>
  <c r="A456" i="15"/>
  <c r="AI456" i="15" s="1"/>
  <c r="A455" i="15"/>
  <c r="AN454" i="15"/>
  <c r="A454" i="15"/>
  <c r="AN453" i="15"/>
  <c r="A453" i="15"/>
  <c r="A452" i="15"/>
  <c r="A451" i="15"/>
  <c r="A450" i="15"/>
  <c r="A449" i="15"/>
  <c r="A448" i="15"/>
  <c r="AQ447" i="15"/>
  <c r="A447" i="15"/>
  <c r="A446" i="15"/>
  <c r="A445" i="15"/>
  <c r="A444" i="15"/>
  <c r="AQ443" i="15"/>
  <c r="A443" i="15"/>
  <c r="AQ442" i="15"/>
  <c r="A442" i="15"/>
  <c r="A441" i="15"/>
  <c r="AQ439" i="15"/>
  <c r="A439" i="15"/>
  <c r="AQ438" i="15"/>
  <c r="A438" i="15"/>
  <c r="AQ437" i="15"/>
  <c r="A437" i="15"/>
  <c r="A436" i="15"/>
  <c r="AQ435" i="15"/>
  <c r="A435" i="15"/>
  <c r="AQ434" i="15"/>
  <c r="A434" i="15"/>
  <c r="A433" i="15"/>
  <c r="A432" i="15"/>
  <c r="A431" i="15"/>
  <c r="A430" i="15"/>
  <c r="A429" i="15"/>
  <c r="A428" i="15"/>
  <c r="A427" i="15"/>
  <c r="A426" i="15"/>
  <c r="A425" i="15"/>
  <c r="A424" i="15"/>
  <c r="A423" i="15"/>
  <c r="A422" i="15"/>
  <c r="A421" i="15"/>
  <c r="A420" i="15"/>
  <c r="A419" i="15"/>
  <c r="A418" i="15"/>
  <c r="A417" i="15"/>
  <c r="A416" i="15"/>
  <c r="A415" i="15"/>
  <c r="A414" i="15"/>
  <c r="A413" i="15"/>
  <c r="A412" i="15"/>
  <c r="A411" i="15"/>
  <c r="A410" i="15"/>
  <c r="A409" i="15"/>
  <c r="A408" i="15"/>
  <c r="A407" i="15"/>
  <c r="A406" i="15"/>
  <c r="A405" i="15"/>
  <c r="A404" i="15"/>
  <c r="A394" i="15"/>
  <c r="S394" i="15" s="1"/>
  <c r="A393" i="15"/>
  <c r="A392" i="15"/>
  <c r="A391" i="15"/>
  <c r="S390" i="15"/>
  <c r="A390" i="15"/>
  <c r="S389" i="15"/>
  <c r="A389" i="15"/>
  <c r="A388" i="15"/>
  <c r="A387" i="15"/>
  <c r="A386" i="15"/>
  <c r="A385" i="15"/>
  <c r="A384" i="15"/>
  <c r="S383" i="15"/>
  <c r="A383" i="15"/>
  <c r="A382" i="15"/>
  <c r="A381" i="15"/>
  <c r="S380" i="15"/>
  <c r="A380" i="15"/>
  <c r="A379" i="15"/>
  <c r="S378" i="15"/>
  <c r="A378" i="15"/>
  <c r="A377" i="15"/>
  <c r="S376" i="15"/>
  <c r="A376" i="15"/>
  <c r="A375" i="15"/>
  <c r="A374" i="15"/>
  <c r="A373" i="15"/>
  <c r="S372" i="15"/>
  <c r="A372" i="15"/>
  <c r="S371" i="15"/>
  <c r="A371" i="15"/>
  <c r="A370" i="15"/>
  <c r="S369" i="15"/>
  <c r="A369" i="15"/>
  <c r="A368" i="15"/>
  <c r="A367" i="15"/>
  <c r="A366" i="15"/>
  <c r="L377" i="15"/>
  <c r="A365" i="15"/>
  <c r="A364" i="15"/>
  <c r="A363" i="15"/>
  <c r="D362" i="15"/>
  <c r="E362" i="15" s="1"/>
  <c r="A362" i="15"/>
  <c r="A361" i="15"/>
  <c r="P360" i="15"/>
  <c r="L362" i="15"/>
  <c r="K360" i="15"/>
  <c r="F362" i="15"/>
  <c r="A360" i="15"/>
  <c r="A359" i="15"/>
  <c r="N352" i="15"/>
  <c r="A348" i="15"/>
  <c r="S347" i="15"/>
  <c r="A347" i="15"/>
  <c r="A346" i="15"/>
  <c r="A345" i="15"/>
  <c r="A344" i="15"/>
  <c r="S343" i="15"/>
  <c r="A343" i="15"/>
  <c r="S342" i="15"/>
  <c r="A342" i="15"/>
  <c r="A341" i="15"/>
  <c r="S341" i="15" s="1"/>
  <c r="A340" i="15"/>
  <c r="A339" i="15"/>
  <c r="A338" i="15"/>
  <c r="A337" i="15"/>
  <c r="S336" i="15"/>
  <c r="N336" i="15"/>
  <c r="A336" i="15"/>
  <c r="A335" i="15"/>
  <c r="N335" i="15" s="1"/>
  <c r="A334" i="15"/>
  <c r="S333" i="15"/>
  <c r="N333" i="15"/>
  <c r="A333" i="15"/>
  <c r="S332" i="15"/>
  <c r="A332" i="15"/>
  <c r="A331" i="15"/>
  <c r="A330" i="15"/>
  <c r="A329" i="15"/>
  <c r="S328" i="15"/>
  <c r="A328" i="15"/>
  <c r="A327" i="15"/>
  <c r="A326" i="15"/>
  <c r="N326" i="15" s="1"/>
  <c r="S325" i="15"/>
  <c r="A325" i="15"/>
  <c r="A324" i="15"/>
  <c r="A323" i="15"/>
  <c r="S322" i="15"/>
  <c r="N322" i="15"/>
  <c r="A322" i="15"/>
  <c r="S321" i="15"/>
  <c r="N321" i="15"/>
  <c r="A321" i="15"/>
  <c r="S320" i="15"/>
  <c r="A320" i="15"/>
  <c r="A319" i="15"/>
  <c r="N318" i="15"/>
  <c r="A318" i="15"/>
  <c r="A317" i="15"/>
  <c r="A316" i="15"/>
  <c r="A315" i="15"/>
  <c r="A314" i="15"/>
  <c r="A313" i="15"/>
  <c r="K312" i="15"/>
  <c r="A312" i="15"/>
  <c r="A311" i="15"/>
  <c r="A310" i="15"/>
  <c r="A309" i="15"/>
  <c r="A308" i="15"/>
  <c r="S307" i="15"/>
  <c r="K307" i="15"/>
  <c r="E307" i="15"/>
  <c r="A307" i="15"/>
  <c r="A306" i="15"/>
  <c r="A305" i="15"/>
  <c r="A304" i="15"/>
  <c r="K303" i="15"/>
  <c r="A303" i="15"/>
  <c r="K302" i="15"/>
  <c r="A302" i="15"/>
  <c r="P301" i="15"/>
  <c r="N301" i="15"/>
  <c r="K301" i="15"/>
  <c r="M301" i="15"/>
  <c r="A301" i="15"/>
  <c r="A300" i="15"/>
  <c r="K299" i="15"/>
  <c r="N299" i="15"/>
  <c r="E299" i="15"/>
  <c r="A299" i="15"/>
  <c r="S299" i="15" s="1"/>
  <c r="A298" i="15"/>
  <c r="A297" i="15"/>
  <c r="N296" i="15"/>
  <c r="K296" i="15"/>
  <c r="A296" i="15"/>
  <c r="A295" i="15"/>
  <c r="A294" i="15"/>
  <c r="N288" i="15"/>
  <c r="S284" i="15"/>
  <c r="N284" i="15"/>
  <c r="A284" i="15"/>
  <c r="A283" i="15"/>
  <c r="A282" i="15"/>
  <c r="A281" i="15"/>
  <c r="A280" i="15"/>
  <c r="A279" i="15"/>
  <c r="S278" i="15"/>
  <c r="A278" i="15"/>
  <c r="N277" i="15"/>
  <c r="A277" i="15"/>
  <c r="N276" i="15"/>
  <c r="A276" i="15"/>
  <c r="A275" i="15"/>
  <c r="A274" i="15"/>
  <c r="S274" i="15" s="1"/>
  <c r="N273" i="15"/>
  <c r="A273" i="15"/>
  <c r="A272" i="15"/>
  <c r="S271" i="15"/>
  <c r="A271" i="15"/>
  <c r="N271" i="15" s="1"/>
  <c r="A270" i="15"/>
  <c r="S269" i="15"/>
  <c r="N269" i="15"/>
  <c r="A269" i="15"/>
  <c r="S268" i="15"/>
  <c r="N268" i="15"/>
  <c r="A268" i="15"/>
  <c r="A267" i="15"/>
  <c r="A266" i="15"/>
  <c r="A265" i="15"/>
  <c r="A264" i="15"/>
  <c r="A263" i="15"/>
  <c r="A262" i="15"/>
  <c r="A261" i="15"/>
  <c r="N260" i="15"/>
  <c r="A260" i="15"/>
  <c r="A259" i="15"/>
  <c r="N258" i="15"/>
  <c r="A258" i="15"/>
  <c r="A257" i="15"/>
  <c r="A256" i="15"/>
  <c r="A255" i="15"/>
  <c r="A254" i="15"/>
  <c r="A253" i="15"/>
  <c r="A252" i="15"/>
  <c r="A251" i="15"/>
  <c r="A250" i="15"/>
  <c r="A249" i="15"/>
  <c r="S248" i="15"/>
  <c r="Q248" i="15"/>
  <c r="F248" i="15"/>
  <c r="A248" i="15"/>
  <c r="R247" i="15"/>
  <c r="N248" i="15"/>
  <c r="M247" i="15"/>
  <c r="A247" i="15"/>
  <c r="A246" i="15"/>
  <c r="A245" i="15"/>
  <c r="R244" i="15"/>
  <c r="F250" i="15"/>
  <c r="A244" i="15"/>
  <c r="A243" i="15"/>
  <c r="A242" i="15"/>
  <c r="N241" i="15"/>
  <c r="M241" i="15"/>
  <c r="F242" i="15"/>
  <c r="A241" i="15"/>
  <c r="A240" i="15"/>
  <c r="A239" i="15"/>
  <c r="N232" i="15"/>
  <c r="A228" i="15"/>
  <c r="A227" i="15"/>
  <c r="S226" i="15"/>
  <c r="A226" i="15"/>
  <c r="A225" i="15"/>
  <c r="A224" i="15"/>
  <c r="A223" i="15"/>
  <c r="A222" i="15"/>
  <c r="S221" i="15"/>
  <c r="A221" i="15"/>
  <c r="A220" i="15"/>
  <c r="A219" i="15"/>
  <c r="S218" i="15"/>
  <c r="A218" i="15"/>
  <c r="S217" i="15"/>
  <c r="N217" i="15"/>
  <c r="A217" i="15"/>
  <c r="S216" i="15"/>
  <c r="A216" i="15"/>
  <c r="S215" i="15"/>
  <c r="N215" i="15"/>
  <c r="A215" i="15"/>
  <c r="A214" i="15"/>
  <c r="S213" i="15"/>
  <c r="A213" i="15"/>
  <c r="A212" i="15"/>
  <c r="S211" i="15"/>
  <c r="A211" i="15"/>
  <c r="N211" i="15" s="1"/>
  <c r="A210" i="15"/>
  <c r="S209" i="15"/>
  <c r="A209" i="15"/>
  <c r="N208" i="15"/>
  <c r="A208" i="15"/>
  <c r="A207" i="15"/>
  <c r="N206" i="15"/>
  <c r="A206" i="15"/>
  <c r="A205" i="15"/>
  <c r="S204" i="15"/>
  <c r="A204" i="15"/>
  <c r="N204" i="15" s="1"/>
  <c r="S203" i="15"/>
  <c r="A203" i="15"/>
  <c r="A202" i="15"/>
  <c r="N201" i="15"/>
  <c r="A201" i="15"/>
  <c r="S201" i="15" s="1"/>
  <c r="S200" i="15"/>
  <c r="A200" i="15"/>
  <c r="A199" i="15"/>
  <c r="N198" i="15"/>
  <c r="A198" i="15"/>
  <c r="A197" i="15"/>
  <c r="A196" i="15"/>
  <c r="A195" i="15"/>
  <c r="A194" i="15"/>
  <c r="A193" i="15"/>
  <c r="L192" i="15"/>
  <c r="F192" i="15"/>
  <c r="A192" i="15"/>
  <c r="Q192" i="15"/>
  <c r="A191" i="15"/>
  <c r="A190" i="15"/>
  <c r="A189" i="15"/>
  <c r="R188" i="15"/>
  <c r="L189" i="15"/>
  <c r="A188" i="15"/>
  <c r="A187" i="15"/>
  <c r="A186" i="15"/>
  <c r="A185" i="15"/>
  <c r="S184" i="15"/>
  <c r="N184" i="15"/>
  <c r="A184" i="15"/>
  <c r="A183" i="15"/>
  <c r="M182" i="15"/>
  <c r="A182" i="15"/>
  <c r="Q182" i="15"/>
  <c r="L182" i="15"/>
  <c r="A181" i="15"/>
  <c r="A180" i="15"/>
  <c r="R179" i="15"/>
  <c r="A179" i="15"/>
  <c r="R178" i="15"/>
  <c r="N178" i="15"/>
  <c r="L179" i="15"/>
  <c r="A178" i="15"/>
  <c r="A177" i="15"/>
  <c r="F176" i="15"/>
  <c r="A176" i="15"/>
  <c r="M175" i="15"/>
  <c r="A175" i="15"/>
  <c r="A174" i="15"/>
  <c r="A173" i="15"/>
  <c r="S172" i="15"/>
  <c r="R172" i="15"/>
  <c r="E185" i="15"/>
  <c r="A172" i="15"/>
  <c r="A171" i="15"/>
  <c r="A162" i="15"/>
  <c r="N162" i="15" s="1"/>
  <c r="A161" i="15"/>
  <c r="N160" i="15"/>
  <c r="A160" i="15"/>
  <c r="S160" i="15" s="1"/>
  <c r="S159" i="15"/>
  <c r="N159" i="15"/>
  <c r="V159" i="15"/>
  <c r="A159" i="15"/>
  <c r="A158" i="15"/>
  <c r="A157" i="15"/>
  <c r="A156" i="15"/>
  <c r="A155" i="15"/>
  <c r="A154" i="15"/>
  <c r="A153" i="15"/>
  <c r="A152" i="15"/>
  <c r="A151" i="15"/>
  <c r="A150" i="15"/>
  <c r="A149" i="15"/>
  <c r="N148" i="15"/>
  <c r="A148" i="15"/>
  <c r="S148" i="15" s="1"/>
  <c r="A147" i="15"/>
  <c r="A146" i="15"/>
  <c r="A145" i="15"/>
  <c r="A144" i="15"/>
  <c r="S144" i="15" s="1"/>
  <c r="A143" i="15"/>
  <c r="A142" i="15"/>
  <c r="A141" i="15"/>
  <c r="N140" i="15"/>
  <c r="A140" i="15"/>
  <c r="A139" i="15"/>
  <c r="S138" i="15"/>
  <c r="N138" i="15"/>
  <c r="A138" i="15"/>
  <c r="A137" i="15"/>
  <c r="A136" i="15"/>
  <c r="S136" i="15" s="1"/>
  <c r="A135" i="15"/>
  <c r="N134" i="15"/>
  <c r="A134" i="15"/>
  <c r="A133" i="15"/>
  <c r="A132" i="15"/>
  <c r="A131" i="15"/>
  <c r="N130" i="15"/>
  <c r="A130" i="15"/>
  <c r="A129" i="15"/>
  <c r="S128" i="15"/>
  <c r="A128" i="15"/>
  <c r="N128" i="15" s="1"/>
  <c r="A127" i="15"/>
  <c r="A126" i="15"/>
  <c r="S126" i="15" s="1"/>
  <c r="A125" i="15"/>
  <c r="A124" i="15"/>
  <c r="A123" i="15"/>
  <c r="A122" i="15"/>
  <c r="A121" i="15"/>
  <c r="S120" i="15"/>
  <c r="A120" i="15"/>
  <c r="A119" i="15"/>
  <c r="A118" i="15"/>
  <c r="A117" i="15"/>
  <c r="A116" i="15"/>
  <c r="A115" i="15"/>
  <c r="S114" i="15"/>
  <c r="N114" i="15"/>
  <c r="A114" i="15"/>
  <c r="A113" i="15"/>
  <c r="A112" i="15"/>
  <c r="A111" i="15"/>
  <c r="A110" i="15"/>
  <c r="A109" i="15"/>
  <c r="A108" i="15"/>
  <c r="A107" i="15"/>
  <c r="A106" i="15"/>
  <c r="A105" i="15"/>
  <c r="L105" i="15"/>
  <c r="E104" i="15"/>
  <c r="A104" i="15"/>
  <c r="A103" i="15"/>
  <c r="S103" i="15" s="1"/>
  <c r="A102" i="15"/>
  <c r="A101" i="15"/>
  <c r="K100" i="15"/>
  <c r="E100" i="15"/>
  <c r="A100" i="15"/>
  <c r="A99" i="15"/>
  <c r="A98" i="15"/>
  <c r="A97" i="15"/>
  <c r="P96" i="15"/>
  <c r="S96" i="15"/>
  <c r="K96" i="15"/>
  <c r="E96" i="15"/>
  <c r="A96" i="15"/>
  <c r="A95" i="15"/>
  <c r="N94" i="15"/>
  <c r="M94" i="15"/>
  <c r="E94" i="15"/>
  <c r="A94" i="15"/>
  <c r="A93" i="15"/>
  <c r="C89" i="15"/>
  <c r="B85" i="15"/>
  <c r="A85" i="15"/>
  <c r="B84" i="15"/>
  <c r="A84" i="15"/>
  <c r="B83" i="15"/>
  <c r="A83" i="15" s="1"/>
  <c r="B82" i="15"/>
  <c r="A82" i="15"/>
  <c r="B81" i="15"/>
  <c r="B80" i="15"/>
  <c r="A80" i="15"/>
  <c r="B79" i="15"/>
  <c r="B78" i="15"/>
  <c r="A78" i="15"/>
  <c r="S77" i="15"/>
  <c r="B77" i="15"/>
  <c r="A77" i="15"/>
  <c r="B76" i="15"/>
  <c r="N76" i="15" s="1"/>
  <c r="A76" i="15"/>
  <c r="B75" i="15"/>
  <c r="A75" i="15"/>
  <c r="B74" i="15"/>
  <c r="A74" i="15"/>
  <c r="B73" i="15"/>
  <c r="A73" i="15"/>
  <c r="B72" i="15"/>
  <c r="A72" i="15"/>
  <c r="B71" i="15"/>
  <c r="A71" i="15"/>
  <c r="B70" i="15"/>
  <c r="A70" i="15" s="1"/>
  <c r="B69" i="15"/>
  <c r="A69" i="15"/>
  <c r="B68" i="15"/>
  <c r="B67" i="15"/>
  <c r="A67" i="15"/>
  <c r="N66" i="15"/>
  <c r="B66" i="15"/>
  <c r="A66" i="15"/>
  <c r="B65" i="15"/>
  <c r="A65" i="15"/>
  <c r="B64" i="15"/>
  <c r="A64" i="15"/>
  <c r="B63" i="15"/>
  <c r="A63" i="15"/>
  <c r="B62" i="15"/>
  <c r="A62" i="15"/>
  <c r="B61" i="15"/>
  <c r="A61" i="15"/>
  <c r="B60" i="15"/>
  <c r="A60" i="15"/>
  <c r="S59" i="15"/>
  <c r="B59" i="15"/>
  <c r="A59" i="15"/>
  <c r="B58" i="15"/>
  <c r="A58" i="15" s="1"/>
  <c r="B57" i="15"/>
  <c r="A57" i="15"/>
  <c r="B56" i="15"/>
  <c r="B55" i="15"/>
  <c r="A55" i="15" s="1"/>
  <c r="B54" i="15"/>
  <c r="A54" i="15"/>
  <c r="N53" i="15"/>
  <c r="B53" i="15"/>
  <c r="A53" i="15" s="1"/>
  <c r="B52" i="15"/>
  <c r="B51" i="15"/>
  <c r="A51" i="15" s="1"/>
  <c r="B50" i="15"/>
  <c r="A50" i="15" s="1"/>
  <c r="B49" i="15"/>
  <c r="A49" i="15"/>
  <c r="B48" i="15"/>
  <c r="A48" i="15" s="1"/>
  <c r="B47" i="15"/>
  <c r="A47" i="15" s="1"/>
  <c r="B46" i="15"/>
  <c r="A46" i="15"/>
  <c r="B45" i="15"/>
  <c r="A45" i="15"/>
  <c r="S44" i="15"/>
  <c r="B44" i="15"/>
  <c r="A44" i="15" s="1"/>
  <c r="B43" i="15"/>
  <c r="B42" i="15"/>
  <c r="A42" i="15" s="1"/>
  <c r="B41" i="15"/>
  <c r="A41" i="15" s="1"/>
  <c r="K40" i="15"/>
  <c r="B40" i="15"/>
  <c r="A40" i="15"/>
  <c r="B39" i="15"/>
  <c r="A39" i="15" s="1"/>
  <c r="S38" i="15"/>
  <c r="B38" i="15"/>
  <c r="K38" i="15" s="1"/>
  <c r="A38" i="15"/>
  <c r="B37" i="15"/>
  <c r="V36" i="15"/>
  <c r="B36" i="15"/>
  <c r="A36" i="15" s="1"/>
  <c r="B35" i="15"/>
  <c r="A35" i="15"/>
  <c r="S34" i="15"/>
  <c r="B34" i="15"/>
  <c r="A34" i="15"/>
  <c r="S33" i="15"/>
  <c r="B33" i="15"/>
  <c r="A33" i="15"/>
  <c r="B32" i="15"/>
  <c r="B31" i="15"/>
  <c r="A31" i="15" s="1"/>
  <c r="B30" i="15"/>
  <c r="A30" i="15"/>
  <c r="B29" i="15"/>
  <c r="A29" i="15"/>
  <c r="B28" i="15"/>
  <c r="A28" i="15"/>
  <c r="B27" i="15"/>
  <c r="A27" i="15" s="1"/>
  <c r="B26" i="15"/>
  <c r="A26" i="15" s="1"/>
  <c r="B25" i="15"/>
  <c r="A25" i="15" s="1"/>
  <c r="B24" i="15"/>
  <c r="A24" i="15"/>
  <c r="S23" i="15"/>
  <c r="B23" i="15"/>
  <c r="A23" i="15"/>
  <c r="E23" i="15" s="1"/>
  <c r="N22" i="15"/>
  <c r="B22" i="15"/>
  <c r="A22" i="15"/>
  <c r="E22" i="15" s="1"/>
  <c r="B21" i="15"/>
  <c r="A21" i="15"/>
  <c r="E21" i="15" s="1"/>
  <c r="B20" i="15"/>
  <c r="A20" i="15"/>
  <c r="R19" i="15"/>
  <c r="S19" i="15"/>
  <c r="E19" i="15"/>
  <c r="B19" i="15"/>
  <c r="A19" i="15"/>
  <c r="B18" i="15"/>
  <c r="A18" i="15"/>
  <c r="B17" i="15"/>
  <c r="A17" i="15"/>
  <c r="B16" i="15"/>
  <c r="A16" i="15" s="1"/>
  <c r="B15" i="15"/>
  <c r="B14" i="15"/>
  <c r="A14" i="15"/>
  <c r="B13" i="15"/>
  <c r="A13" i="15"/>
  <c r="B12" i="15"/>
  <c r="N12" i="15" s="1"/>
  <c r="A12" i="15"/>
  <c r="P11" i="15"/>
  <c r="S11" i="15"/>
  <c r="B11" i="15"/>
  <c r="A11" i="15" s="1"/>
  <c r="E11" i="15" s="1"/>
  <c r="B10" i="15"/>
  <c r="A10" i="15"/>
  <c r="B9" i="15"/>
  <c r="A9" i="15"/>
  <c r="P9" i="15" s="1"/>
  <c r="P8" i="15"/>
  <c r="M8" i="15"/>
  <c r="S8" i="15"/>
  <c r="K8" i="15"/>
  <c r="E8" i="15"/>
  <c r="B8" i="15"/>
  <c r="A8" i="15"/>
  <c r="B7" i="15"/>
  <c r="P6" i="15"/>
  <c r="B6" i="15"/>
  <c r="A6" i="15"/>
  <c r="B5" i="15"/>
  <c r="A5" i="15"/>
  <c r="C236" i="15"/>
  <c r="Q179" i="15" l="1"/>
  <c r="S178" i="15"/>
  <c r="AO453" i="15"/>
  <c r="S157" i="15"/>
  <c r="S61" i="15"/>
  <c r="M95" i="15"/>
  <c r="N225" i="15"/>
  <c r="S255" i="15"/>
  <c r="S368" i="15"/>
  <c r="AH454" i="15"/>
  <c r="AI454" i="15" s="1"/>
  <c r="S22" i="15"/>
  <c r="N123" i="15"/>
  <c r="N200" i="15"/>
  <c r="N255" i="15"/>
  <c r="S258" i="15"/>
  <c r="E301" i="15"/>
  <c r="M307" i="15"/>
  <c r="N324" i="15"/>
  <c r="S338" i="15"/>
  <c r="N341" i="15"/>
  <c r="S385" i="15"/>
  <c r="S393" i="15"/>
  <c r="N38" i="15"/>
  <c r="S131" i="15"/>
  <c r="L153" i="15"/>
  <c r="S225" i="15"/>
  <c r="S275" i="15"/>
  <c r="N307" i="15"/>
  <c r="N338" i="15"/>
  <c r="S60" i="15"/>
  <c r="S12" i="15"/>
  <c r="J97" i="15"/>
  <c r="K113" i="15" s="1"/>
  <c r="N124" i="15"/>
  <c r="N158" i="15"/>
  <c r="M178" i="15"/>
  <c r="E250" i="15"/>
  <c r="N275" i="15"/>
  <c r="N278" i="15"/>
  <c r="M299" i="15"/>
  <c r="S202" i="15"/>
  <c r="L97" i="15"/>
  <c r="K97" i="15" s="1"/>
  <c r="N65" i="15"/>
  <c r="K94" i="15"/>
  <c r="D97" i="15"/>
  <c r="E114" i="15" s="1"/>
  <c r="S158" i="15"/>
  <c r="S161" i="15"/>
  <c r="P183" i="15"/>
  <c r="S264" i="15"/>
  <c r="S283" i="15"/>
  <c r="S296" i="15"/>
  <c r="N328" i="15"/>
  <c r="J362" i="15"/>
  <c r="K362" i="15" s="1"/>
  <c r="E174" i="15"/>
  <c r="N242" i="15"/>
  <c r="S150" i="15"/>
  <c r="D185" i="15"/>
  <c r="S223" i="15"/>
  <c r="S247" i="15"/>
  <c r="E360" i="15"/>
  <c r="S134" i="15"/>
  <c r="M296" i="15"/>
  <c r="M96" i="15"/>
  <c r="S100" i="15"/>
  <c r="S146" i="15"/>
  <c r="M181" i="15"/>
  <c r="S227" i="15"/>
  <c r="E296" i="15"/>
  <c r="M298" i="15"/>
  <c r="S375" i="15"/>
  <c r="S373" i="15"/>
  <c r="S387" i="15"/>
  <c r="S392" i="15"/>
  <c r="N100" i="15"/>
  <c r="N121" i="15"/>
  <c r="Q176" i="15"/>
  <c r="R181" i="15"/>
  <c r="N202" i="15"/>
  <c r="S273" i="15"/>
  <c r="S308" i="15"/>
  <c r="R100" i="15"/>
  <c r="P100" i="15"/>
  <c r="Q24" i="15"/>
  <c r="N46" i="15"/>
  <c r="P95" i="15"/>
  <c r="O97" i="15"/>
  <c r="S39" i="15"/>
  <c r="S117" i="15"/>
  <c r="A79" i="15"/>
  <c r="S21" i="15"/>
  <c r="S175" i="15"/>
  <c r="N175" i="15"/>
  <c r="L176" i="15"/>
  <c r="L185" i="15"/>
  <c r="A68" i="15"/>
  <c r="R94" i="15"/>
  <c r="P94" i="15"/>
  <c r="N103" i="15"/>
  <c r="N146" i="15"/>
  <c r="Q285" i="15"/>
  <c r="N272" i="15"/>
  <c r="R301" i="15"/>
  <c r="N347" i="15"/>
  <c r="S31" i="15"/>
  <c r="S35" i="15"/>
  <c r="N220" i="15"/>
  <c r="S220" i="15"/>
  <c r="F97" i="15"/>
  <c r="N97" i="15" s="1"/>
  <c r="N98" i="15" s="1"/>
  <c r="S48" i="15"/>
  <c r="S53" i="15"/>
  <c r="S147" i="15"/>
  <c r="N151" i="15"/>
  <c r="S151" i="15"/>
  <c r="N199" i="15"/>
  <c r="N209" i="15"/>
  <c r="F245" i="15"/>
  <c r="N244" i="15"/>
  <c r="N245" i="15" s="1"/>
  <c r="AO485" i="15"/>
  <c r="AO402" i="15"/>
  <c r="S356" i="15"/>
  <c r="S291" i="15"/>
  <c r="S236" i="15"/>
  <c r="S89" i="15"/>
  <c r="S168" i="15"/>
  <c r="A32" i="15"/>
  <c r="N218" i="15"/>
  <c r="N126" i="15"/>
  <c r="N216" i="15"/>
  <c r="S360" i="15"/>
  <c r="Q362" i="15"/>
  <c r="K377" i="15"/>
  <c r="N117" i="15"/>
  <c r="S129" i="15"/>
  <c r="N129" i="15"/>
  <c r="S141" i="15"/>
  <c r="N141" i="15"/>
  <c r="N214" i="15"/>
  <c r="N221" i="15"/>
  <c r="S267" i="15"/>
  <c r="N280" i="15"/>
  <c r="S280" i="15"/>
  <c r="N334" i="15"/>
  <c r="S334" i="15"/>
  <c r="E6" i="15"/>
  <c r="N19" i="15"/>
  <c r="N44" i="15"/>
  <c r="AF435" i="15"/>
  <c r="A56" i="15"/>
  <c r="P307" i="15"/>
  <c r="R307" i="15"/>
  <c r="L108" i="15"/>
  <c r="R11" i="15"/>
  <c r="N143" i="15"/>
  <c r="S143" i="15"/>
  <c r="N150" i="15"/>
  <c r="F251" i="15"/>
  <c r="S63" i="15"/>
  <c r="S69" i="15"/>
  <c r="N69" i="15"/>
  <c r="V82" i="15"/>
  <c r="N283" i="15"/>
  <c r="AF447" i="15"/>
  <c r="AF444" i="15"/>
  <c r="AL438" i="15"/>
  <c r="V485" i="15"/>
  <c r="A485" i="15" s="1"/>
  <c r="V402" i="15"/>
  <c r="AF438" i="15"/>
  <c r="Z429" i="15"/>
  <c r="AF418" i="15"/>
  <c r="AL414" i="15"/>
  <c r="C291" i="15"/>
  <c r="C356" i="15" s="1"/>
  <c r="AF476" i="15"/>
  <c r="AL473" i="15"/>
  <c r="AO473" i="15" s="1"/>
  <c r="AF441" i="15"/>
  <c r="C168" i="15"/>
  <c r="AF424" i="15" s="1"/>
  <c r="AL474" i="15"/>
  <c r="AF434" i="15"/>
  <c r="Z439" i="15"/>
  <c r="N227" i="15"/>
  <c r="S199" i="15"/>
  <c r="L210" i="15"/>
  <c r="N75" i="15"/>
  <c r="L83" i="15"/>
  <c r="S75" i="15"/>
  <c r="N228" i="15"/>
  <c r="S228" i="15"/>
  <c r="P10" i="15"/>
  <c r="R12" i="15"/>
  <c r="AF422" i="15"/>
  <c r="A43" i="15"/>
  <c r="N96" i="15"/>
  <c r="A7" i="15"/>
  <c r="N9" i="15"/>
  <c r="A15" i="15"/>
  <c r="AF414" i="15"/>
  <c r="S49" i="15"/>
  <c r="N104" i="15"/>
  <c r="J108" i="15"/>
  <c r="J113" i="15"/>
  <c r="E115" i="15"/>
  <c r="E120" i="15"/>
  <c r="S152" i="15"/>
  <c r="S214" i="15"/>
  <c r="N274" i="15"/>
  <c r="S116" i="15"/>
  <c r="K153" i="15"/>
  <c r="Q189" i="15"/>
  <c r="S188" i="15"/>
  <c r="S67" i="15"/>
  <c r="N67" i="15"/>
  <c r="S82" i="15"/>
  <c r="N82" i="15"/>
  <c r="E121" i="15"/>
  <c r="D108" i="15"/>
  <c r="D105" i="15"/>
  <c r="E103" i="15"/>
  <c r="N21" i="15"/>
  <c r="M6" i="15"/>
  <c r="L24" i="15"/>
  <c r="N60" i="15"/>
  <c r="L285" i="15"/>
  <c r="S45" i="15"/>
  <c r="N45" i="15"/>
  <c r="S295" i="15"/>
  <c r="E10" i="15"/>
  <c r="R95" i="15"/>
  <c r="E117" i="15"/>
  <c r="K119" i="15"/>
  <c r="S121" i="15"/>
  <c r="S132" i="15"/>
  <c r="N132" i="15"/>
  <c r="S9" i="15"/>
  <c r="M11" i="15"/>
  <c r="AF430" i="15"/>
  <c r="N77" i="15"/>
  <c r="S94" i="15"/>
  <c r="Q97" i="15"/>
  <c r="O112" i="15" s="1"/>
  <c r="K95" i="15"/>
  <c r="N224" i="15"/>
  <c r="S224" i="15"/>
  <c r="F285" i="15"/>
  <c r="E285" i="15" s="1"/>
  <c r="R6" i="15"/>
  <c r="E9" i="15"/>
  <c r="N11" i="15"/>
  <c r="P17" i="15"/>
  <c r="E17" i="15"/>
  <c r="N61" i="15"/>
  <c r="K7" i="15"/>
  <c r="J13" i="15"/>
  <c r="N40" i="15"/>
  <c r="S46" i="15"/>
  <c r="N49" i="15"/>
  <c r="A52" i="15"/>
  <c r="N120" i="15"/>
  <c r="N152" i="15"/>
  <c r="L163" i="15"/>
  <c r="S156" i="15"/>
  <c r="N156" i="15"/>
  <c r="S241" i="15"/>
  <c r="L242" i="15"/>
  <c r="S254" i="15"/>
  <c r="L266" i="15"/>
  <c r="L395" i="15"/>
  <c r="K395" i="15" s="1"/>
  <c r="AL446" i="15"/>
  <c r="AN458" i="15"/>
  <c r="Z476" i="15"/>
  <c r="S55" i="15"/>
  <c r="N55" i="15"/>
  <c r="J105" i="15"/>
  <c r="K114" i="15"/>
  <c r="K118" i="15"/>
  <c r="K115" i="15"/>
  <c r="K102" i="15"/>
  <c r="R102" i="15" s="1"/>
  <c r="K121" i="15"/>
  <c r="K120" i="15"/>
  <c r="K116" i="15"/>
  <c r="K112" i="15"/>
  <c r="K103" i="15"/>
  <c r="R103" i="15" s="1"/>
  <c r="S119" i="15"/>
  <c r="Q185" i="15"/>
  <c r="Q173" i="15"/>
  <c r="N8" i="15"/>
  <c r="N50" i="15"/>
  <c r="S50" i="15"/>
  <c r="M97" i="15"/>
  <c r="M98" i="15" s="1"/>
  <c r="S302" i="15"/>
  <c r="N302" i="15"/>
  <c r="E302" i="15"/>
  <c r="K6" i="15"/>
  <c r="AF426" i="15"/>
  <c r="K11" i="15"/>
  <c r="K12" i="15"/>
  <c r="N31" i="15"/>
  <c r="N33" i="15"/>
  <c r="N137" i="15"/>
  <c r="S137" i="15"/>
  <c r="K117" i="15"/>
  <c r="N144" i="15"/>
  <c r="F185" i="15"/>
  <c r="F173" i="15"/>
  <c r="N172" i="15"/>
  <c r="N95" i="15"/>
  <c r="S95" i="15"/>
  <c r="E102" i="15"/>
  <c r="F105" i="15"/>
  <c r="N105" i="15" s="1"/>
  <c r="N106" i="15" s="1"/>
  <c r="K104" i="15"/>
  <c r="R104" i="15" s="1"/>
  <c r="D53" i="15"/>
  <c r="R8" i="15"/>
  <c r="P12" i="15"/>
  <c r="E12" i="15"/>
  <c r="A37" i="15"/>
  <c r="S62" i="15"/>
  <c r="N62" i="15"/>
  <c r="S65" i="15"/>
  <c r="S78" i="15"/>
  <c r="N78" i="15"/>
  <c r="S104" i="15"/>
  <c r="O185" i="15"/>
  <c r="F182" i="15"/>
  <c r="S212" i="15"/>
  <c r="N254" i="15"/>
  <c r="N264" i="15"/>
  <c r="S57" i="15"/>
  <c r="N57" i="15"/>
  <c r="N59" i="15"/>
  <c r="N133" i="15"/>
  <c r="S133" i="15"/>
  <c r="J185" i="15"/>
  <c r="S261" i="15"/>
  <c r="K297" i="15"/>
  <c r="P312" i="15"/>
  <c r="M312" i="15"/>
  <c r="E312" i="15"/>
  <c r="S344" i="15"/>
  <c r="N344" i="15"/>
  <c r="N118" i="15"/>
  <c r="E118" i="15"/>
  <c r="S71" i="15"/>
  <c r="N71" i="15"/>
  <c r="L122" i="15"/>
  <c r="S125" i="15"/>
  <c r="N136" i="15"/>
  <c r="N145" i="15"/>
  <c r="S145" i="15"/>
  <c r="N157" i="15"/>
  <c r="P180" i="15"/>
  <c r="K250" i="15"/>
  <c r="M244" i="15"/>
  <c r="N297" i="15"/>
  <c r="N39" i="15"/>
  <c r="K39" i="15"/>
  <c r="S64" i="15"/>
  <c r="Z444" i="15"/>
  <c r="S66" i="15"/>
  <c r="S76" i="15"/>
  <c r="A81" i="15"/>
  <c r="S112" i="15"/>
  <c r="N139" i="15"/>
  <c r="S162" i="15"/>
  <c r="L250" i="15"/>
  <c r="K266" i="15"/>
  <c r="L245" i="15"/>
  <c r="R297" i="15"/>
  <c r="Q122" i="15"/>
  <c r="S142" i="15"/>
  <c r="N142" i="15"/>
  <c r="N181" i="15"/>
  <c r="S181" i="15"/>
  <c r="S262" i="15"/>
  <c r="K285" i="15"/>
  <c r="N282" i="15"/>
  <c r="S282" i="15"/>
  <c r="E298" i="15"/>
  <c r="S298" i="15"/>
  <c r="S312" i="15"/>
  <c r="R312" i="15" s="1"/>
  <c r="R360" i="15"/>
  <c r="O362" i="15"/>
  <c r="S365" i="15"/>
  <c r="AO454" i="15"/>
  <c r="AN461" i="15"/>
  <c r="AO461" i="15" s="1"/>
  <c r="N127" i="15"/>
  <c r="L135" i="15"/>
  <c r="K185" i="15"/>
  <c r="K174" i="15"/>
  <c r="L173" i="15"/>
  <c r="F179" i="15"/>
  <c r="S205" i="15"/>
  <c r="S207" i="15"/>
  <c r="S219" i="15"/>
  <c r="N219" i="15"/>
  <c r="M300" i="15"/>
  <c r="E303" i="15"/>
  <c r="S303" i="15"/>
  <c r="N327" i="15"/>
  <c r="S367" i="15"/>
  <c r="AH494" i="15"/>
  <c r="S80" i="15"/>
  <c r="N131" i="15"/>
  <c r="R175" i="15"/>
  <c r="S198" i="15"/>
  <c r="Q210" i="15"/>
  <c r="N203" i="15"/>
  <c r="N205" i="15"/>
  <c r="N207" i="15"/>
  <c r="N261" i="15"/>
  <c r="J304" i="15"/>
  <c r="K295" i="15"/>
  <c r="M295" i="15"/>
  <c r="K300" i="15"/>
  <c r="S327" i="15"/>
  <c r="N339" i="15"/>
  <c r="N342" i="15"/>
  <c r="S391" i="15"/>
  <c r="R96" i="15"/>
  <c r="M100" i="15"/>
  <c r="S115" i="15"/>
  <c r="N179" i="15"/>
  <c r="S256" i="15"/>
  <c r="N259" i="15"/>
  <c r="S259" i="15"/>
  <c r="L304" i="15"/>
  <c r="S300" i="15"/>
  <c r="S324" i="15"/>
  <c r="S339" i="15"/>
  <c r="AN420" i="15"/>
  <c r="AO420" i="15" s="1"/>
  <c r="AN491" i="15"/>
  <c r="AO491" i="15" s="1"/>
  <c r="AH491" i="15"/>
  <c r="AI491" i="15" s="1"/>
  <c r="AO494" i="15"/>
  <c r="P296" i="15"/>
  <c r="R296" i="15"/>
  <c r="N300" i="15"/>
  <c r="E300" i="15"/>
  <c r="N80" i="15"/>
  <c r="M172" i="15"/>
  <c r="F210" i="15"/>
  <c r="N23" i="15"/>
  <c r="Z412" i="15"/>
  <c r="E95" i="15"/>
  <c r="N115" i="15"/>
  <c r="S127" i="15"/>
  <c r="S140" i="15"/>
  <c r="N147" i="15"/>
  <c r="S149" i="15"/>
  <c r="W159" i="15"/>
  <c r="N161" i="15"/>
  <c r="M188" i="15"/>
  <c r="N223" i="15"/>
  <c r="N256" i="15"/>
  <c r="N262" i="15"/>
  <c r="N265" i="15"/>
  <c r="S265" i="15"/>
  <c r="S276" i="15"/>
  <c r="N320" i="15"/>
  <c r="Z434" i="15"/>
  <c r="AL434" i="15"/>
  <c r="F377" i="15"/>
  <c r="AH420" i="15"/>
  <c r="AI420" i="15" s="1"/>
  <c r="S124" i="15"/>
  <c r="P177" i="15"/>
  <c r="S208" i="15"/>
  <c r="P250" i="15"/>
  <c r="R241" i="15"/>
  <c r="N257" i="15"/>
  <c r="S257" i="15"/>
  <c r="K298" i="15"/>
  <c r="N323" i="15"/>
  <c r="S323" i="15"/>
  <c r="S130" i="15"/>
  <c r="S206" i="15"/>
  <c r="N222" i="15"/>
  <c r="AL445" i="15"/>
  <c r="S260" i="15"/>
  <c r="N281" i="15"/>
  <c r="S281" i="15"/>
  <c r="S318" i="15"/>
  <c r="L330" i="15"/>
  <c r="N343" i="15"/>
  <c r="L349" i="15"/>
  <c r="S388" i="15"/>
  <c r="AN455" i="15"/>
  <c r="AH460" i="15"/>
  <c r="AI460" i="15" s="1"/>
  <c r="P174" i="15"/>
  <c r="P185" i="15"/>
  <c r="P194" i="15" s="1"/>
  <c r="S222" i="15"/>
  <c r="S270" i="15"/>
  <c r="E297" i="15"/>
  <c r="P299" i="15"/>
  <c r="R299" i="15"/>
  <c r="S326" i="15"/>
  <c r="N346" i="15"/>
  <c r="S346" i="15"/>
  <c r="AH453" i="15"/>
  <c r="AN492" i="15"/>
  <c r="AO495" i="15"/>
  <c r="L229" i="15"/>
  <c r="N263" i="15"/>
  <c r="S263" i="15"/>
  <c r="N270" i="15"/>
  <c r="S319" i="15"/>
  <c r="S329" i="15"/>
  <c r="N329" i="15"/>
  <c r="M297" i="15"/>
  <c r="Q377" i="15"/>
  <c r="N226" i="15"/>
  <c r="S244" i="15"/>
  <c r="L248" i="15"/>
  <c r="N279" i="15"/>
  <c r="M308" i="15"/>
  <c r="S379" i="15"/>
  <c r="S382" i="15"/>
  <c r="N247" i="15"/>
  <c r="S277" i="15"/>
  <c r="K308" i="15"/>
  <c r="N325" i="15"/>
  <c r="S340" i="15"/>
  <c r="S345" i="15"/>
  <c r="S374" i="15"/>
  <c r="AN459" i="15"/>
  <c r="AH496" i="15"/>
  <c r="N213" i="15"/>
  <c r="N267" i="15"/>
  <c r="S279" i="15"/>
  <c r="N303" i="15"/>
  <c r="N340" i="15"/>
  <c r="N345" i="15"/>
  <c r="AN496" i="15"/>
  <c r="N332" i="15"/>
  <c r="P297" i="15"/>
  <c r="S337" i="15"/>
  <c r="S366" i="15"/>
  <c r="AH456" i="15"/>
  <c r="S301" i="15"/>
  <c r="S335" i="15"/>
  <c r="N337" i="15"/>
  <c r="N348" i="15"/>
  <c r="S348" i="15"/>
  <c r="S384" i="15"/>
  <c r="AO460" i="15"/>
  <c r="S381" i="15"/>
  <c r="AH492" i="15"/>
  <c r="AN493" i="15"/>
  <c r="AH493" i="15"/>
  <c r="AN457" i="15"/>
  <c r="AO457" i="15" s="1"/>
  <c r="AH459" i="15"/>
  <c r="AH461" i="15"/>
  <c r="AI461" i="15" s="1"/>
  <c r="AN469" i="15"/>
  <c r="AO469" i="15" s="1"/>
  <c r="AH477" i="15"/>
  <c r="AI477" i="15" s="1"/>
  <c r="Q395" i="15" l="1"/>
  <c r="P395" i="15" s="1"/>
  <c r="AL442" i="15"/>
  <c r="AF411" i="15"/>
  <c r="F153" i="15"/>
  <c r="Q163" i="15"/>
  <c r="AL437" i="15"/>
  <c r="S297" i="15"/>
  <c r="AF479" i="15"/>
  <c r="AF427" i="15"/>
  <c r="Z423" i="15"/>
  <c r="Z446" i="15"/>
  <c r="S242" i="15"/>
  <c r="N64" i="15"/>
  <c r="AF440" i="15"/>
  <c r="Q330" i="15"/>
  <c r="Q153" i="15"/>
  <c r="N163" i="15"/>
  <c r="J112" i="15"/>
  <c r="AF432" i="15"/>
  <c r="AF417" i="15"/>
  <c r="R97" i="15"/>
  <c r="R98" i="15" s="1"/>
  <c r="AN466" i="15"/>
  <c r="S139" i="15"/>
  <c r="L251" i="15"/>
  <c r="M250" i="15" s="1"/>
  <c r="S163" i="15"/>
  <c r="AL421" i="15"/>
  <c r="Z437" i="15"/>
  <c r="Q242" i="15"/>
  <c r="E194" i="15"/>
  <c r="L72" i="15"/>
  <c r="E153" i="15"/>
  <c r="N153" i="15"/>
  <c r="S395" i="15"/>
  <c r="Q397" i="15"/>
  <c r="P397" i="15" s="1"/>
  <c r="P377" i="15"/>
  <c r="S377" i="15"/>
  <c r="E377" i="15"/>
  <c r="K186" i="15"/>
  <c r="AN414" i="15"/>
  <c r="AE414" i="15"/>
  <c r="N32" i="15"/>
  <c r="J32" i="15"/>
  <c r="E308" i="15"/>
  <c r="N308" i="15"/>
  <c r="AH476" i="15"/>
  <c r="AI476" i="15" s="1"/>
  <c r="Z413" i="15"/>
  <c r="E112" i="15"/>
  <c r="D112" i="15"/>
  <c r="F122" i="15"/>
  <c r="O105" i="15"/>
  <c r="O108" i="15"/>
  <c r="P97" i="15"/>
  <c r="S386" i="15"/>
  <c r="P308" i="15"/>
  <c r="R308" i="15"/>
  <c r="Z443" i="15"/>
  <c r="R303" i="15"/>
  <c r="P303" i="15"/>
  <c r="P121" i="15"/>
  <c r="F266" i="15"/>
  <c r="N266" i="15" s="1"/>
  <c r="N298" i="15"/>
  <c r="AF443" i="15"/>
  <c r="S36" i="15"/>
  <c r="N36" i="15"/>
  <c r="AF439" i="15"/>
  <c r="AF451" i="15"/>
  <c r="AF449" i="15"/>
  <c r="AF471" i="15"/>
  <c r="N35" i="15"/>
  <c r="S15" i="15"/>
  <c r="M15" i="15"/>
  <c r="N15" i="15"/>
  <c r="AF436" i="15"/>
  <c r="K17" i="15"/>
  <c r="R17" i="15"/>
  <c r="M17" i="15"/>
  <c r="J24" i="15"/>
  <c r="K36" i="15" s="1"/>
  <c r="K15" i="15"/>
  <c r="AF472" i="15"/>
  <c r="AL411" i="15"/>
  <c r="AN411" i="15" s="1"/>
  <c r="Z475" i="15"/>
  <c r="AL471" i="15"/>
  <c r="AF480" i="15"/>
  <c r="AH458" i="15"/>
  <c r="AI458" i="15" s="1"/>
  <c r="P362" i="15"/>
  <c r="R362" i="15"/>
  <c r="N17" i="15"/>
  <c r="S17" i="15"/>
  <c r="F186" i="15"/>
  <c r="F194" i="15"/>
  <c r="E210" i="15" s="1"/>
  <c r="Q186" i="15"/>
  <c r="Q194" i="15"/>
  <c r="P210" i="15" s="1"/>
  <c r="S272" i="15"/>
  <c r="E105" i="15"/>
  <c r="S153" i="15"/>
  <c r="Z470" i="15"/>
  <c r="AF415" i="15"/>
  <c r="AF413" i="15"/>
  <c r="AL439" i="15"/>
  <c r="Z473" i="15"/>
  <c r="AL428" i="15"/>
  <c r="AF412" i="15"/>
  <c r="N108" i="15"/>
  <c r="N109" i="15" s="1"/>
  <c r="L165" i="15"/>
  <c r="N42" i="15"/>
  <c r="S42" i="15"/>
  <c r="L54" i="15"/>
  <c r="M12" i="15"/>
  <c r="AH434" i="15"/>
  <c r="AN434" i="15"/>
  <c r="AO434" i="15" s="1"/>
  <c r="AN438" i="15"/>
  <c r="AO438" i="15" s="1"/>
  <c r="AH438" i="15"/>
  <c r="AE411" i="15"/>
  <c r="P113" i="15"/>
  <c r="N125" i="15"/>
  <c r="F304" i="15"/>
  <c r="F309" i="15" s="1"/>
  <c r="F314" i="15" s="1"/>
  <c r="J27" i="15"/>
  <c r="K22" i="15"/>
  <c r="R22" i="15" s="1"/>
  <c r="K21" i="15"/>
  <c r="R21" i="15" s="1"/>
  <c r="K23" i="15"/>
  <c r="R23" i="15" s="1"/>
  <c r="AH444" i="15"/>
  <c r="AI444" i="15" s="1"/>
  <c r="F135" i="15"/>
  <c r="E135" i="15" s="1"/>
  <c r="S32" i="15"/>
  <c r="S70" i="15"/>
  <c r="N70" i="15"/>
  <c r="N43" i="15"/>
  <c r="AL422" i="15"/>
  <c r="AN422" i="15" s="1"/>
  <c r="L231" i="15"/>
  <c r="N210" i="15"/>
  <c r="S210" i="15"/>
  <c r="AH447" i="15"/>
  <c r="S56" i="15"/>
  <c r="N56" i="15"/>
  <c r="N58" i="15"/>
  <c r="S58" i="15"/>
  <c r="S81" i="15"/>
  <c r="N81" i="15"/>
  <c r="AF445" i="15"/>
  <c r="Z471" i="15"/>
  <c r="L186" i="15"/>
  <c r="N185" i="15"/>
  <c r="N186" i="15" s="1"/>
  <c r="L194" i="15"/>
  <c r="K210" i="15" s="1"/>
  <c r="S185" i="15"/>
  <c r="S10" i="15"/>
  <c r="N10" i="15"/>
  <c r="F163" i="15"/>
  <c r="AF473" i="15"/>
  <c r="AF464" i="15"/>
  <c r="N285" i="15"/>
  <c r="Q135" i="15"/>
  <c r="Q155" i="15" s="1"/>
  <c r="S123" i="15"/>
  <c r="N250" i="15"/>
  <c r="N251" i="15" s="1"/>
  <c r="L289" i="15"/>
  <c r="K10" i="15"/>
  <c r="R10" i="15"/>
  <c r="M10" i="15"/>
  <c r="Q54" i="15"/>
  <c r="S97" i="15"/>
  <c r="S285" i="15"/>
  <c r="Z436" i="15"/>
  <c r="Z472" i="15"/>
  <c r="Z445" i="15"/>
  <c r="AF475" i="15"/>
  <c r="AL475" i="15"/>
  <c r="N116" i="15"/>
  <c r="E116" i="15"/>
  <c r="AH469" i="15"/>
  <c r="AI469" i="15" s="1"/>
  <c r="AI496" i="15"/>
  <c r="N295" i="15"/>
  <c r="F395" i="15"/>
  <c r="E395" i="15" s="1"/>
  <c r="P119" i="15"/>
  <c r="M105" i="15"/>
  <c r="K105" i="15"/>
  <c r="L287" i="15"/>
  <c r="E108" i="15"/>
  <c r="P115" i="15"/>
  <c r="AL476" i="15"/>
  <c r="AO476" i="15" s="1"/>
  <c r="AL429" i="15"/>
  <c r="Z428" i="15"/>
  <c r="Z441" i="15"/>
  <c r="AH441" i="15" s="1"/>
  <c r="AL427" i="15"/>
  <c r="AO427" i="15" s="1"/>
  <c r="AF463" i="15"/>
  <c r="Z411" i="15"/>
  <c r="AF410" i="15"/>
  <c r="Z480" i="15"/>
  <c r="Z430" i="15"/>
  <c r="Z414" i="15"/>
  <c r="AH414" i="15" s="1"/>
  <c r="W82" i="15"/>
  <c r="S40" i="15"/>
  <c r="P112" i="15"/>
  <c r="AL425" i="15"/>
  <c r="AO425" i="15" s="1"/>
  <c r="F83" i="15"/>
  <c r="N188" i="15"/>
  <c r="F189" i="15"/>
  <c r="AE418" i="15"/>
  <c r="S363" i="15"/>
  <c r="S362" i="15"/>
  <c r="K135" i="15"/>
  <c r="AH430" i="15"/>
  <c r="AL448" i="15"/>
  <c r="Z448" i="15"/>
  <c r="R298" i="15"/>
  <c r="P298" i="15"/>
  <c r="P118" i="15"/>
  <c r="S118" i="15"/>
  <c r="N112" i="15"/>
  <c r="R185" i="15"/>
  <c r="P186" i="15"/>
  <c r="S102" i="15"/>
  <c r="Q105" i="15"/>
  <c r="Q108" i="15" s="1"/>
  <c r="P122" i="15" s="1"/>
  <c r="R295" i="15"/>
  <c r="O304" i="15"/>
  <c r="P295" i="15"/>
  <c r="AF448" i="15"/>
  <c r="Z442" i="15"/>
  <c r="N149" i="15"/>
  <c r="S122" i="15"/>
  <c r="K122" i="15"/>
  <c r="L155" i="15"/>
  <c r="AO414" i="15"/>
  <c r="AL443" i="15"/>
  <c r="Z447" i="15"/>
  <c r="Z440" i="15"/>
  <c r="AI440" i="15" s="1"/>
  <c r="AI453" i="15"/>
  <c r="F24" i="15"/>
  <c r="N24" i="15" s="1"/>
  <c r="N25" i="15" s="1"/>
  <c r="AF409" i="15"/>
  <c r="AL447" i="15"/>
  <c r="AL441" i="15"/>
  <c r="AN441" i="15" s="1"/>
  <c r="N319" i="15"/>
  <c r="F330" i="15"/>
  <c r="N330" i="15" s="1"/>
  <c r="Q229" i="15"/>
  <c r="Q231" i="15" s="1"/>
  <c r="AL424" i="15"/>
  <c r="AN424" i="15" s="1"/>
  <c r="Z424" i="15"/>
  <c r="AH424" i="15" s="1"/>
  <c r="K304" i="15"/>
  <c r="J309" i="15"/>
  <c r="AL409" i="15"/>
  <c r="AF474" i="15"/>
  <c r="K229" i="15"/>
  <c r="L13" i="15"/>
  <c r="K13" i="15" s="1"/>
  <c r="N6" i="15"/>
  <c r="S6" i="15"/>
  <c r="N51" i="15"/>
  <c r="S51" i="15"/>
  <c r="N102" i="15"/>
  <c r="AL450" i="15"/>
  <c r="AO450" i="15" s="1"/>
  <c r="AL430" i="15"/>
  <c r="AL440" i="15"/>
  <c r="AO440" i="15" s="1"/>
  <c r="AL444" i="15"/>
  <c r="AN444" i="15" s="1"/>
  <c r="AL470" i="15"/>
  <c r="AL413" i="15"/>
  <c r="AF425" i="15"/>
  <c r="AL412" i="15"/>
  <c r="AF421" i="15"/>
  <c r="L397" i="15"/>
  <c r="AF431" i="15"/>
  <c r="N48" i="15"/>
  <c r="S79" i="15"/>
  <c r="S83" i="15" s="1"/>
  <c r="N79" i="15"/>
  <c r="N83" i="15" s="1"/>
  <c r="AF446" i="15"/>
  <c r="K194" i="15"/>
  <c r="M185" i="15"/>
  <c r="Q304" i="15"/>
  <c r="S304" i="15" s="1"/>
  <c r="S24" i="15"/>
  <c r="S25" i="15" s="1"/>
  <c r="K108" i="15"/>
  <c r="M108" i="15"/>
  <c r="M109" i="15" s="1"/>
  <c r="AE417" i="15"/>
  <c r="N119" i="15"/>
  <c r="E119" i="15"/>
  <c r="Q349" i="15"/>
  <c r="Q351" i="15" s="1"/>
  <c r="S331" i="15"/>
  <c r="S349" i="15" s="1"/>
  <c r="AI434" i="15"/>
  <c r="AL423" i="15"/>
  <c r="AH455" i="15"/>
  <c r="N331" i="15"/>
  <c r="N349" i="15" s="1"/>
  <c r="F349" i="15"/>
  <c r="E349" i="15" s="1"/>
  <c r="D113" i="15"/>
  <c r="E113" i="15"/>
  <c r="AO458" i="15"/>
  <c r="AF478" i="15"/>
  <c r="AF450" i="15"/>
  <c r="F108" i="15"/>
  <c r="AO455" i="15"/>
  <c r="Z438" i="15"/>
  <c r="AL436" i="15"/>
  <c r="Z421" i="15"/>
  <c r="AF423" i="15"/>
  <c r="AF442" i="15"/>
  <c r="S245" i="15"/>
  <c r="P266" i="15"/>
  <c r="Q245" i="15"/>
  <c r="P287" i="15"/>
  <c r="P285" i="15"/>
  <c r="Q250" i="15"/>
  <c r="S250" i="15" s="1"/>
  <c r="R300" i="15"/>
  <c r="P300" i="15"/>
  <c r="S113" i="15"/>
  <c r="AL472" i="15"/>
  <c r="AO472" i="15" s="1"/>
  <c r="N113" i="15"/>
  <c r="S98" i="15"/>
  <c r="AF428" i="15"/>
  <c r="Z474" i="15"/>
  <c r="AO459" i="15"/>
  <c r="S47" i="15"/>
  <c r="N47" i="15"/>
  <c r="L309" i="15"/>
  <c r="N304" i="15"/>
  <c r="N305" i="15" s="1"/>
  <c r="N312" i="15"/>
  <c r="AI459" i="15"/>
  <c r="L351" i="15"/>
  <c r="S330" i="15"/>
  <c r="N34" i="15"/>
  <c r="Q266" i="15"/>
  <c r="Q287" i="15" s="1"/>
  <c r="S370" i="15"/>
  <c r="F229" i="15"/>
  <c r="N229" i="15" s="1"/>
  <c r="N212" i="15"/>
  <c r="P114" i="15"/>
  <c r="P302" i="15"/>
  <c r="R302" i="15"/>
  <c r="P120" i="15"/>
  <c r="M9" i="15"/>
  <c r="R9" i="15"/>
  <c r="K9" i="15"/>
  <c r="E295" i="15"/>
  <c r="D304" i="15"/>
  <c r="M304" i="15" s="1"/>
  <c r="L41" i="15"/>
  <c r="E97" i="15"/>
  <c r="P116" i="15"/>
  <c r="AF470" i="15"/>
  <c r="AF465" i="15"/>
  <c r="Z409" i="15"/>
  <c r="Z463" i="15"/>
  <c r="AI463" i="15" s="1"/>
  <c r="AF416" i="15"/>
  <c r="AF429" i="15"/>
  <c r="Z495" i="15"/>
  <c r="AF437" i="15"/>
  <c r="AF452" i="15" s="1"/>
  <c r="P117" i="15"/>
  <c r="N63" i="15"/>
  <c r="O113" i="15" l="1"/>
  <c r="P231" i="15"/>
  <c r="AN427" i="15"/>
  <c r="P105" i="15"/>
  <c r="AL478" i="15"/>
  <c r="AO478" i="15" s="1"/>
  <c r="Z450" i="15"/>
  <c r="AI450" i="15" s="1"/>
  <c r="Z479" i="15"/>
  <c r="AH479" i="15" s="1"/>
  <c r="AI479" i="15" s="1"/>
  <c r="Z418" i="15"/>
  <c r="AI418" i="15" s="1"/>
  <c r="S68" i="15"/>
  <c r="S72" i="15" s="1"/>
  <c r="S266" i="15"/>
  <c r="Z464" i="15"/>
  <c r="AI464" i="15" s="1"/>
  <c r="AN476" i="15"/>
  <c r="S135" i="15"/>
  <c r="Q399" i="15"/>
  <c r="AH464" i="15"/>
  <c r="AL432" i="15"/>
  <c r="AN440" i="15"/>
  <c r="P229" i="15"/>
  <c r="F231" i="15"/>
  <c r="Z451" i="15"/>
  <c r="AI451" i="15" s="1"/>
  <c r="AH440" i="15"/>
  <c r="Z481" i="15"/>
  <c r="AE416" i="15"/>
  <c r="K397" i="15"/>
  <c r="L399" i="15"/>
  <c r="S397" i="15"/>
  <c r="AN421" i="15"/>
  <c r="AO421" i="15" s="1"/>
  <c r="AH421" i="15"/>
  <c r="AI421" i="15" s="1"/>
  <c r="AF433" i="15"/>
  <c r="AN445" i="15"/>
  <c r="AO445" i="15" s="1"/>
  <c r="AH445" i="15"/>
  <c r="AL415" i="15"/>
  <c r="AN415" i="15" s="1"/>
  <c r="S37" i="15"/>
  <c r="AH463" i="15"/>
  <c r="AF466" i="15"/>
  <c r="AN472" i="15"/>
  <c r="AH472" i="15"/>
  <c r="AI472" i="15" s="1"/>
  <c r="P15" i="15"/>
  <c r="AN443" i="15"/>
  <c r="AO443" i="15" s="1"/>
  <c r="AH443" i="15"/>
  <c r="AI443" i="15" s="1"/>
  <c r="P155" i="15"/>
  <c r="AN428" i="15"/>
  <c r="AO428" i="15" s="1"/>
  <c r="AH428" i="15"/>
  <c r="AI455" i="15"/>
  <c r="AN425" i="15"/>
  <c r="AH473" i="15"/>
  <c r="AI473" i="15" s="1"/>
  <c r="AN473" i="15"/>
  <c r="Z425" i="15"/>
  <c r="AI425" i="15" s="1"/>
  <c r="Z432" i="15"/>
  <c r="Z478" i="15"/>
  <c r="AF481" i="15"/>
  <c r="AN470" i="15"/>
  <c r="AO470" i="15" s="1"/>
  <c r="AH470" i="15"/>
  <c r="AI470" i="15" s="1"/>
  <c r="L27" i="15"/>
  <c r="J31" i="15"/>
  <c r="AI447" i="15"/>
  <c r="AL465" i="15"/>
  <c r="AL463" i="15"/>
  <c r="AL416" i="15"/>
  <c r="AN416" i="15" s="1"/>
  <c r="AL418" i="15"/>
  <c r="AL464" i="15"/>
  <c r="AL426" i="15"/>
  <c r="Q83" i="15"/>
  <c r="AL479" i="15"/>
  <c r="AI441" i="15"/>
  <c r="S287" i="15"/>
  <c r="K287" i="15"/>
  <c r="Z427" i="15"/>
  <c r="AL449" i="15"/>
  <c r="AO449" i="15" s="1"/>
  <c r="AE413" i="15"/>
  <c r="AN413" i="15"/>
  <c r="AO413" i="15" s="1"/>
  <c r="AH413" i="15"/>
  <c r="AI413" i="15" s="1"/>
  <c r="R15" i="15"/>
  <c r="AL431" i="15"/>
  <c r="S52" i="15"/>
  <c r="Z431" i="15"/>
  <c r="N52" i="15"/>
  <c r="N54" i="15" s="1"/>
  <c r="AO411" i="15"/>
  <c r="E15" i="15"/>
  <c r="S351" i="15"/>
  <c r="N351" i="15"/>
  <c r="Q165" i="15"/>
  <c r="S165" i="15" s="1"/>
  <c r="N231" i="15"/>
  <c r="K231" i="15"/>
  <c r="S231" i="15"/>
  <c r="AH411" i="15"/>
  <c r="AI411" i="15" s="1"/>
  <c r="AN475" i="15"/>
  <c r="AO475" i="15" s="1"/>
  <c r="AH475" i="15"/>
  <c r="AI475" i="15" s="1"/>
  <c r="AH471" i="15"/>
  <c r="AI471" i="15" s="1"/>
  <c r="AN471" i="15"/>
  <c r="AO471" i="15" s="1"/>
  <c r="F287" i="15"/>
  <c r="E266" i="15"/>
  <c r="P108" i="15"/>
  <c r="P153" i="15"/>
  <c r="AH442" i="15"/>
  <c r="AN442" i="15"/>
  <c r="AO442" i="15" s="1"/>
  <c r="S43" i="15"/>
  <c r="Z449" i="15"/>
  <c r="AI449" i="15" s="1"/>
  <c r="F155" i="15"/>
  <c r="E155" i="15" s="1"/>
  <c r="E122" i="15"/>
  <c r="F397" i="15"/>
  <c r="Z416" i="15"/>
  <c r="D309" i="15"/>
  <c r="E304" i="15"/>
  <c r="E229" i="15"/>
  <c r="Z465" i="15"/>
  <c r="AI465" i="15" s="1"/>
  <c r="AO441" i="15"/>
  <c r="AI414" i="15"/>
  <c r="E7" i="15"/>
  <c r="M7" i="15"/>
  <c r="M13" i="15" s="1"/>
  <c r="D13" i="15"/>
  <c r="L233" i="15"/>
  <c r="L195" i="15"/>
  <c r="S194" i="15"/>
  <c r="S195" i="15" s="1"/>
  <c r="N194" i="15"/>
  <c r="N195" i="15" s="1"/>
  <c r="F72" i="15"/>
  <c r="Z435" i="15"/>
  <c r="K27" i="15"/>
  <c r="AE412" i="15"/>
  <c r="AH412" i="15"/>
  <c r="AI412" i="15" s="1"/>
  <c r="AN412" i="15"/>
  <c r="AO412" i="15" s="1"/>
  <c r="AL451" i="15"/>
  <c r="AO451" i="15" s="1"/>
  <c r="Z497" i="15"/>
  <c r="Q289" i="15"/>
  <c r="S289" i="15" s="1"/>
  <c r="Q251" i="15"/>
  <c r="R250" i="15" s="1"/>
  <c r="S251" i="15" s="1"/>
  <c r="N37" i="15"/>
  <c r="Z415" i="15"/>
  <c r="AH415" i="15" s="1"/>
  <c r="Q309" i="15"/>
  <c r="S305" i="15"/>
  <c r="AI424" i="15"/>
  <c r="AE415" i="15"/>
  <c r="E231" i="15"/>
  <c r="AO444" i="15"/>
  <c r="R304" i="15"/>
  <c r="O309" i="15"/>
  <c r="P304" i="15"/>
  <c r="K31" i="15"/>
  <c r="K24" i="15"/>
  <c r="K33" i="15"/>
  <c r="K37" i="15"/>
  <c r="K34" i="15"/>
  <c r="K35" i="15"/>
  <c r="S229" i="15"/>
  <c r="F351" i="15"/>
  <c r="E351" i="15" s="1"/>
  <c r="E330" i="15"/>
  <c r="AH423" i="15"/>
  <c r="AI423" i="15" s="1"/>
  <c r="AN423" i="15"/>
  <c r="AO423" i="15" s="1"/>
  <c r="R108" i="15"/>
  <c r="R109" i="15" s="1"/>
  <c r="AH429" i="15"/>
  <c r="AI429" i="15" s="1"/>
  <c r="AN429" i="15"/>
  <c r="AO429" i="15" s="1"/>
  <c r="N309" i="15"/>
  <c r="N310" i="15" s="1"/>
  <c r="L314" i="15"/>
  <c r="AN431" i="15"/>
  <c r="AI430" i="15"/>
  <c r="Q13" i="15"/>
  <c r="S7" i="15"/>
  <c r="S13" i="15" s="1"/>
  <c r="P135" i="15"/>
  <c r="AL435" i="15"/>
  <c r="Q72" i="15"/>
  <c r="D32" i="15"/>
  <c r="Z410" i="15"/>
  <c r="F41" i="15"/>
  <c r="N41" i="15" s="1"/>
  <c r="Q195" i="15"/>
  <c r="Q233" i="15"/>
  <c r="AH480" i="15"/>
  <c r="AI480" i="15" s="1"/>
  <c r="AN480" i="15"/>
  <c r="AO480" i="15" s="1"/>
  <c r="AN439" i="15"/>
  <c r="AO439" i="15" s="1"/>
  <c r="AH439" i="15"/>
  <c r="AI439" i="15" s="1"/>
  <c r="AH410" i="15"/>
  <c r="AE410" i="15"/>
  <c r="F195" i="15"/>
  <c r="F233" i="15"/>
  <c r="AI442" i="15"/>
  <c r="N135" i="15"/>
  <c r="AH448" i="15"/>
  <c r="AI448" i="15" s="1"/>
  <c r="AN448" i="15"/>
  <c r="AO448" i="15" s="1"/>
  <c r="AO424" i="15"/>
  <c r="AI428" i="15"/>
  <c r="AN450" i="15"/>
  <c r="AH450" i="15"/>
  <c r="AH446" i="15"/>
  <c r="AI446" i="15" s="1"/>
  <c r="AN446" i="15"/>
  <c r="AO446" i="15" s="1"/>
  <c r="AO422" i="15"/>
  <c r="S108" i="15"/>
  <c r="S109" i="15" s="1"/>
  <c r="AH437" i="15"/>
  <c r="AI437" i="15" s="1"/>
  <c r="AN437" i="15"/>
  <c r="AO437" i="15" s="1"/>
  <c r="AH478" i="15"/>
  <c r="AI478" i="15" s="1"/>
  <c r="AI445" i="15"/>
  <c r="F54" i="15"/>
  <c r="Z422" i="15"/>
  <c r="AI495" i="15"/>
  <c r="AH495" i="15"/>
  <c r="K41" i="15"/>
  <c r="L74" i="15"/>
  <c r="AH474" i="15"/>
  <c r="AI474" i="15" s="1"/>
  <c r="AN474" i="15"/>
  <c r="AO474" i="15" s="1"/>
  <c r="S155" i="15"/>
  <c r="K155" i="15"/>
  <c r="S105" i="15"/>
  <c r="S106" i="15" s="1"/>
  <c r="AN430" i="15"/>
  <c r="AO430" i="15" s="1"/>
  <c r="O13" i="15"/>
  <c r="AK411" i="15" s="1"/>
  <c r="P7" i="15"/>
  <c r="R7" i="15"/>
  <c r="R13" i="15" s="1"/>
  <c r="Z417" i="15"/>
  <c r="AI438" i="15"/>
  <c r="J314" i="15"/>
  <c r="AF406" i="15" s="1"/>
  <c r="M309" i="15"/>
  <c r="K309" i="15"/>
  <c r="AH409" i="15"/>
  <c r="AI409" i="15" s="1"/>
  <c r="AF419" i="15"/>
  <c r="AE409" i="15"/>
  <c r="AN409" i="15"/>
  <c r="AO409" i="15" s="1"/>
  <c r="N122" i="15"/>
  <c r="S186" i="15"/>
  <c r="F13" i="15"/>
  <c r="N7" i="15"/>
  <c r="N13" i="15" s="1"/>
  <c r="AN447" i="15"/>
  <c r="AO447" i="15" s="1"/>
  <c r="O32" i="15"/>
  <c r="AL410" i="15"/>
  <c r="AN410" i="15" s="1"/>
  <c r="Q41" i="15"/>
  <c r="AH436" i="15"/>
  <c r="AI436" i="15" s="1"/>
  <c r="AN436" i="15"/>
  <c r="AO436" i="15" s="1"/>
  <c r="N68" i="15"/>
  <c r="N72" i="15" s="1"/>
  <c r="K32" i="15"/>
  <c r="AL417" i="15"/>
  <c r="Z426" i="15"/>
  <c r="AN478" i="15" l="1"/>
  <c r="S399" i="15"/>
  <c r="AH418" i="15"/>
  <c r="AK409" i="15"/>
  <c r="AK413" i="15"/>
  <c r="R14" i="15"/>
  <c r="S54" i="15"/>
  <c r="F353" i="15"/>
  <c r="AH451" i="15"/>
  <c r="N155" i="15"/>
  <c r="AK412" i="15"/>
  <c r="O24" i="15"/>
  <c r="P37" i="15" s="1"/>
  <c r="AN451" i="15"/>
  <c r="AH422" i="15"/>
  <c r="AI422" i="15" s="1"/>
  <c r="Q314" i="15"/>
  <c r="E13" i="15"/>
  <c r="D27" i="15"/>
  <c r="M14" i="15"/>
  <c r="Y412" i="15"/>
  <c r="AG412" i="15" s="1"/>
  <c r="AO431" i="15"/>
  <c r="S309" i="15"/>
  <c r="S310" i="15" s="1"/>
  <c r="E397" i="15"/>
  <c r="F399" i="15"/>
  <c r="AH435" i="15"/>
  <c r="AI435" i="15" s="1"/>
  <c r="Z452" i="15"/>
  <c r="Y414" i="15"/>
  <c r="E287" i="15"/>
  <c r="F289" i="15"/>
  <c r="N289" i="15" s="1"/>
  <c r="D24" i="15"/>
  <c r="AI426" i="15"/>
  <c r="AH426" i="15"/>
  <c r="AO416" i="15"/>
  <c r="AK416" i="15"/>
  <c r="AI427" i="15"/>
  <c r="AH427" i="15"/>
  <c r="Y416" i="15"/>
  <c r="AM416" i="15" s="1"/>
  <c r="AI416" i="15"/>
  <c r="AO479" i="15"/>
  <c r="AN479" i="15"/>
  <c r="AO426" i="15"/>
  <c r="AN426" i="15"/>
  <c r="K74" i="15"/>
  <c r="AK418" i="15"/>
  <c r="AO418" i="15"/>
  <c r="AN418" i="15"/>
  <c r="F165" i="15"/>
  <c r="N165" i="15" s="1"/>
  <c r="Y409" i="15"/>
  <c r="AG409" i="15" s="1"/>
  <c r="AH481" i="15"/>
  <c r="AI481" i="15" s="1"/>
  <c r="AD481" i="15"/>
  <c r="AS481" i="15"/>
  <c r="K314" i="15"/>
  <c r="Y417" i="15"/>
  <c r="AI417" i="15"/>
  <c r="AH417" i="15"/>
  <c r="Y415" i="15"/>
  <c r="AM415" i="15" s="1"/>
  <c r="AI415" i="15"/>
  <c r="AL433" i="15"/>
  <c r="AN435" i="15"/>
  <c r="AL452" i="15"/>
  <c r="AH416" i="15"/>
  <c r="AM413" i="15"/>
  <c r="AI497" i="15"/>
  <c r="AH497" i="15"/>
  <c r="AL466" i="15"/>
  <c r="AO466" i="15" s="1"/>
  <c r="AH449" i="15"/>
  <c r="R194" i="15"/>
  <c r="M194" i="15"/>
  <c r="Y411" i="15"/>
  <c r="P309" i="15"/>
  <c r="O314" i="15"/>
  <c r="R309" i="15"/>
  <c r="N233" i="15"/>
  <c r="S233" i="15"/>
  <c r="N287" i="15"/>
  <c r="AI432" i="15"/>
  <c r="AH432" i="15"/>
  <c r="AH465" i="15"/>
  <c r="AH466" i="15" s="1"/>
  <c r="E54" i="15"/>
  <c r="L353" i="15"/>
  <c r="N314" i="15"/>
  <c r="N315" i="15" s="1"/>
  <c r="K349" i="15"/>
  <c r="K330" i="15"/>
  <c r="AO415" i="15"/>
  <c r="AK415" i="15"/>
  <c r="AL419" i="15"/>
  <c r="AH425" i="15"/>
  <c r="Z419" i="15"/>
  <c r="Q74" i="15"/>
  <c r="AN419" i="15"/>
  <c r="AF468" i="15"/>
  <c r="AO410" i="15"/>
  <c r="AK410" i="15"/>
  <c r="S41" i="15"/>
  <c r="Q27" i="15"/>
  <c r="S27" i="15" s="1"/>
  <c r="S14" i="15"/>
  <c r="O31" i="15"/>
  <c r="AO417" i="15"/>
  <c r="AK417" i="15"/>
  <c r="AN417" i="15"/>
  <c r="O27" i="15"/>
  <c r="P13" i="15"/>
  <c r="AK414" i="15"/>
  <c r="AL481" i="15"/>
  <c r="Z433" i="15"/>
  <c r="AH433" i="15" s="1"/>
  <c r="AI433" i="15" s="1"/>
  <c r="AN449" i="15"/>
  <c r="Y418" i="15"/>
  <c r="AD433" i="15"/>
  <c r="Y413" i="15"/>
  <c r="AG413" i="15" s="1"/>
  <c r="F74" i="15"/>
  <c r="N74" i="15" s="1"/>
  <c r="N14" i="15"/>
  <c r="F27" i="15"/>
  <c r="D31" i="15"/>
  <c r="Y410" i="15"/>
  <c r="AM410" i="15" s="1"/>
  <c r="AI410" i="15"/>
  <c r="AH431" i="15"/>
  <c r="AI431" i="15" s="1"/>
  <c r="D314" i="15"/>
  <c r="M314" i="15" s="1"/>
  <c r="E309" i="15"/>
  <c r="K351" i="15"/>
  <c r="Z466" i="15"/>
  <c r="L85" i="15"/>
  <c r="AF407" i="15"/>
  <c r="K72" i="15"/>
  <c r="K54" i="15"/>
  <c r="AD466" i="15"/>
  <c r="P40" i="15" l="1"/>
  <c r="P35" i="15"/>
  <c r="P31" i="15"/>
  <c r="P39" i="15"/>
  <c r="P41" i="15"/>
  <c r="S85" i="15"/>
  <c r="AN452" i="15"/>
  <c r="AO452" i="15" s="1"/>
  <c r="P36" i="15"/>
  <c r="P24" i="15"/>
  <c r="P34" i="15"/>
  <c r="P74" i="15"/>
  <c r="AG416" i="15"/>
  <c r="P38" i="15"/>
  <c r="P33" i="15"/>
  <c r="P32" i="15"/>
  <c r="E27" i="15"/>
  <c r="M27" i="15"/>
  <c r="M28" i="15" s="1"/>
  <c r="AG410" i="15"/>
  <c r="AL468" i="15"/>
  <c r="AN468" i="15" s="1"/>
  <c r="AO419" i="15"/>
  <c r="AF483" i="15"/>
  <c r="AS407" i="15"/>
  <c r="AN407" i="15"/>
  <c r="AH407" i="15"/>
  <c r="AI407" i="15" s="1"/>
  <c r="AD452" i="15"/>
  <c r="Z468" i="15"/>
  <c r="X468" i="15" s="1"/>
  <c r="F85" i="15"/>
  <c r="Z407" i="15"/>
  <c r="X419" i="15" s="1"/>
  <c r="AM412" i="15"/>
  <c r="AM409" i="15"/>
  <c r="AG418" i="15"/>
  <c r="AM418" i="15"/>
  <c r="AG414" i="15"/>
  <c r="AM414" i="15"/>
  <c r="AO481" i="15"/>
  <c r="AH452" i="15"/>
  <c r="AI452" i="15" s="1"/>
  <c r="AM417" i="15"/>
  <c r="AG417" i="15"/>
  <c r="Q353" i="15"/>
  <c r="P330" i="15"/>
  <c r="P349" i="15"/>
  <c r="P351" i="15"/>
  <c r="E24" i="15"/>
  <c r="E38" i="15"/>
  <c r="E33" i="15"/>
  <c r="E39" i="15"/>
  <c r="E31" i="15"/>
  <c r="E40" i="15"/>
  <c r="E34" i="15"/>
  <c r="E35" i="15"/>
  <c r="E36" i="15"/>
  <c r="M24" i="15"/>
  <c r="E32" i="15"/>
  <c r="E37" i="15"/>
  <c r="X466" i="15"/>
  <c r="AI466" i="15"/>
  <c r="E72" i="15"/>
  <c r="R314" i="15"/>
  <c r="P314" i="15"/>
  <c r="AL406" i="15"/>
  <c r="S74" i="15"/>
  <c r="E41" i="15"/>
  <c r="P27" i="15"/>
  <c r="R27" i="15"/>
  <c r="R28" i="15" s="1"/>
  <c r="AP468" i="15"/>
  <c r="AS468" i="15" s="1"/>
  <c r="AD468" i="15"/>
  <c r="AD419" i="15"/>
  <c r="S314" i="15"/>
  <c r="S315" i="15" s="1"/>
  <c r="AM411" i="15"/>
  <c r="AG411" i="15"/>
  <c r="AG415" i="15"/>
  <c r="AO435" i="15"/>
  <c r="AL407" i="15"/>
  <c r="Q85" i="15"/>
  <c r="S28" i="15"/>
  <c r="P54" i="15"/>
  <c r="X433" i="15"/>
  <c r="X452" i="15"/>
  <c r="N27" i="15"/>
  <c r="E74" i="15"/>
  <c r="E314" i="15"/>
  <c r="Z406" i="15"/>
  <c r="Y448" i="15" s="1"/>
  <c r="AN433" i="15"/>
  <c r="AO433" i="15" s="1"/>
  <c r="AH419" i="15"/>
  <c r="AI419" i="15" s="1"/>
  <c r="N353" i="15"/>
  <c r="L401" i="15"/>
  <c r="S353" i="15"/>
  <c r="AN481" i="15"/>
  <c r="F401" i="15"/>
  <c r="P72" i="15"/>
  <c r="AH468" i="15" l="1"/>
  <c r="AI468" i="15" s="1"/>
  <c r="Z483" i="15"/>
  <c r="X481" i="15"/>
  <c r="N28" i="15"/>
  <c r="N85" i="15"/>
  <c r="AH483" i="15"/>
  <c r="AI483" i="15" s="1"/>
  <c r="AE483" i="15"/>
  <c r="AF489" i="15"/>
  <c r="AO468" i="15"/>
  <c r="AJ407" i="15"/>
  <c r="AJ468" i="15"/>
  <c r="AJ452" i="15"/>
  <c r="AJ419" i="15"/>
  <c r="AO407" i="15"/>
  <c r="AJ466" i="15"/>
  <c r="AL483" i="15"/>
  <c r="AJ433" i="15"/>
  <c r="AE489" i="15" l="1"/>
  <c r="AF488" i="15"/>
  <c r="AF498" i="15"/>
  <c r="AL489" i="15"/>
  <c r="Y483" i="15"/>
  <c r="Z489" i="15"/>
  <c r="AK483" i="15"/>
  <c r="AN483" i="15"/>
  <c r="AO483" i="15" s="1"/>
  <c r="AE488" i="15" l="1"/>
  <c r="Z498" i="15"/>
  <c r="Y498" i="15" s="1"/>
  <c r="Z488" i="15"/>
  <c r="Y488" i="15" s="1"/>
  <c r="Y489" i="15"/>
  <c r="AO489" i="15"/>
  <c r="AL488" i="15"/>
  <c r="AL498" i="15"/>
  <c r="AK489" i="15"/>
  <c r="AF507" i="15"/>
  <c r="AE498" i="15"/>
  <c r="AF502" i="15"/>
  <c r="AF504" i="15"/>
  <c r="AH489" i="15"/>
  <c r="AI489" i="15" s="1"/>
  <c r="AN489" i="15"/>
  <c r="AK498" i="15" l="1"/>
  <c r="AK488" i="15"/>
  <c r="AH488" i="15"/>
  <c r="AI488" i="15" s="1"/>
  <c r="AH498" i="15"/>
  <c r="AI498" i="15" s="1"/>
  <c r="AN498" i="15"/>
  <c r="AO498" i="15" s="1"/>
  <c r="AN488" i="15"/>
  <c r="AO488" i="15" s="1"/>
  <c r="AO482" i="1" l="1"/>
  <c r="AN482" i="1"/>
  <c r="AO467" i="1"/>
  <c r="AN467" i="1"/>
  <c r="AO451" i="1"/>
  <c r="AO450" i="1"/>
  <c r="AO427" i="1"/>
  <c r="AO426" i="1"/>
  <c r="AO425" i="1"/>
  <c r="AO418" i="1"/>
  <c r="AO417" i="1"/>
  <c r="AO416" i="1"/>
  <c r="AH467" i="1"/>
  <c r="L329" i="1"/>
  <c r="I329" i="1"/>
  <c r="Q265" i="1"/>
  <c r="L265" i="1"/>
  <c r="I265" i="1"/>
  <c r="F265" i="1"/>
  <c r="N352" i="1"/>
  <c r="N288" i="1"/>
  <c r="N232" i="1"/>
  <c r="M182" i="1"/>
  <c r="R188" i="1"/>
  <c r="R185" i="1"/>
  <c r="S186" i="1" s="1"/>
  <c r="R179" i="1"/>
  <c r="R19" i="1"/>
  <c r="S1" i="1"/>
  <c r="AO485" i="1" s="1"/>
  <c r="AL496" i="1"/>
  <c r="AO496" i="1" s="1"/>
  <c r="AF496" i="1"/>
  <c r="AC496" i="1"/>
  <c r="S89" i="1" l="1"/>
  <c r="S168" i="1"/>
  <c r="S236" i="1"/>
  <c r="S291" i="1"/>
  <c r="S356" i="1"/>
  <c r="F282" i="1"/>
  <c r="AL460" i="1"/>
  <c r="AN496" i="1"/>
  <c r="S265" i="1"/>
  <c r="F140" i="1"/>
  <c r="F329" i="1"/>
  <c r="N329" i="1" s="1"/>
  <c r="N265" i="1"/>
  <c r="AB496" i="1"/>
  <c r="Q144" i="1"/>
  <c r="AL493" i="1"/>
  <c r="AO493" i="1" s="1"/>
  <c r="AL462" i="1"/>
  <c r="AL461" i="1"/>
  <c r="AL459" i="1"/>
  <c r="AL456" i="1"/>
  <c r="AO456" i="1" s="1"/>
  <c r="AL453" i="1"/>
  <c r="AL420" i="1"/>
  <c r="Q348" i="1"/>
  <c r="L348" i="1"/>
  <c r="I348" i="1"/>
  <c r="Q347" i="1"/>
  <c r="L347" i="1"/>
  <c r="I347" i="1"/>
  <c r="Q346" i="1"/>
  <c r="L346" i="1"/>
  <c r="I346" i="1"/>
  <c r="F346" i="1"/>
  <c r="Q284" i="1"/>
  <c r="L284" i="1"/>
  <c r="I284" i="1"/>
  <c r="F284" i="1"/>
  <c r="Q283" i="1"/>
  <c r="L283" i="1"/>
  <c r="I283" i="1"/>
  <c r="F283" i="1"/>
  <c r="Q282" i="1"/>
  <c r="L282" i="1"/>
  <c r="I282" i="1"/>
  <c r="Q228" i="1"/>
  <c r="L228" i="1"/>
  <c r="I228" i="1"/>
  <c r="F228" i="1"/>
  <c r="L227" i="1"/>
  <c r="I227" i="1"/>
  <c r="F227" i="1"/>
  <c r="Q226" i="1"/>
  <c r="L226" i="1"/>
  <c r="I226" i="1"/>
  <c r="F226" i="1"/>
  <c r="L209" i="1"/>
  <c r="I209" i="1"/>
  <c r="F209" i="1"/>
  <c r="Q162" i="1"/>
  <c r="L162" i="1"/>
  <c r="I162" i="1"/>
  <c r="L161" i="1"/>
  <c r="I161" i="1"/>
  <c r="F161" i="1"/>
  <c r="Q160" i="1"/>
  <c r="L160" i="1"/>
  <c r="I160" i="1"/>
  <c r="F160" i="1"/>
  <c r="L159" i="1"/>
  <c r="I159" i="1"/>
  <c r="F159" i="1"/>
  <c r="Q158" i="1"/>
  <c r="L158" i="1"/>
  <c r="I158" i="1"/>
  <c r="F158" i="1"/>
  <c r="Q157" i="1"/>
  <c r="L157" i="1"/>
  <c r="I157" i="1"/>
  <c r="F157" i="1"/>
  <c r="Q156" i="1"/>
  <c r="L156" i="1"/>
  <c r="I156" i="1"/>
  <c r="L152" i="1"/>
  <c r="I152" i="1"/>
  <c r="F152" i="1"/>
  <c r="Q151" i="1"/>
  <c r="L151" i="1"/>
  <c r="I151" i="1"/>
  <c r="F151" i="1"/>
  <c r="Q150" i="1"/>
  <c r="L150" i="1"/>
  <c r="I150" i="1"/>
  <c r="L149" i="1"/>
  <c r="I149" i="1"/>
  <c r="F149" i="1"/>
  <c r="Q148" i="1"/>
  <c r="L148" i="1"/>
  <c r="I148" i="1"/>
  <c r="F148" i="1"/>
  <c r="Q147" i="1"/>
  <c r="L147" i="1"/>
  <c r="I147" i="1"/>
  <c r="F147" i="1"/>
  <c r="Q146" i="1"/>
  <c r="L146" i="1"/>
  <c r="I146" i="1"/>
  <c r="F146" i="1"/>
  <c r="Q145" i="1"/>
  <c r="L145" i="1"/>
  <c r="I145" i="1"/>
  <c r="F145" i="1"/>
  <c r="L144" i="1"/>
  <c r="I144" i="1"/>
  <c r="F144" i="1"/>
  <c r="Q143" i="1"/>
  <c r="L143" i="1"/>
  <c r="I143" i="1"/>
  <c r="F143" i="1"/>
  <c r="Q142" i="1"/>
  <c r="L142" i="1"/>
  <c r="I142" i="1"/>
  <c r="F142" i="1"/>
  <c r="Q141" i="1"/>
  <c r="L141" i="1"/>
  <c r="I141" i="1"/>
  <c r="F141" i="1"/>
  <c r="Q140" i="1"/>
  <c r="L140" i="1"/>
  <c r="I140" i="1"/>
  <c r="Q139" i="1"/>
  <c r="L139" i="1"/>
  <c r="I139" i="1"/>
  <c r="F139" i="1"/>
  <c r="Q138" i="1"/>
  <c r="L138" i="1"/>
  <c r="I138" i="1"/>
  <c r="F138" i="1"/>
  <c r="Q137" i="1"/>
  <c r="L137" i="1"/>
  <c r="I137" i="1"/>
  <c r="F137" i="1"/>
  <c r="Q136" i="1"/>
  <c r="L136" i="1"/>
  <c r="I136" i="1"/>
  <c r="Q121" i="1"/>
  <c r="L121" i="1"/>
  <c r="I121" i="1"/>
  <c r="F121" i="1"/>
  <c r="Q120" i="1"/>
  <c r="L120" i="1"/>
  <c r="I120" i="1"/>
  <c r="F120" i="1"/>
  <c r="Q119" i="1"/>
  <c r="L119" i="1"/>
  <c r="I119" i="1"/>
  <c r="F119" i="1"/>
  <c r="Q134" i="1"/>
  <c r="L134" i="1"/>
  <c r="I134" i="1"/>
  <c r="F134" i="1"/>
  <c r="Q133" i="1"/>
  <c r="L133" i="1"/>
  <c r="I133" i="1"/>
  <c r="F133" i="1"/>
  <c r="Q132" i="1"/>
  <c r="L132" i="1"/>
  <c r="I132" i="1"/>
  <c r="L131" i="1"/>
  <c r="I131" i="1"/>
  <c r="F131" i="1"/>
  <c r="Q130" i="1"/>
  <c r="L130" i="1"/>
  <c r="I130" i="1"/>
  <c r="F130" i="1"/>
  <c r="Q129" i="1"/>
  <c r="L129" i="1"/>
  <c r="I129" i="1"/>
  <c r="F129" i="1"/>
  <c r="Q128" i="1"/>
  <c r="L128" i="1"/>
  <c r="I128" i="1"/>
  <c r="F128" i="1"/>
  <c r="Q127" i="1"/>
  <c r="L127" i="1"/>
  <c r="I127" i="1"/>
  <c r="F127" i="1"/>
  <c r="Q126" i="1"/>
  <c r="L126" i="1"/>
  <c r="I126" i="1"/>
  <c r="F126" i="1"/>
  <c r="Q125" i="1"/>
  <c r="L125" i="1"/>
  <c r="I125" i="1"/>
  <c r="F125" i="1"/>
  <c r="Q124" i="1"/>
  <c r="L124" i="1"/>
  <c r="I124" i="1"/>
  <c r="F124" i="1"/>
  <c r="Q123" i="1"/>
  <c r="L123" i="1"/>
  <c r="I123" i="1"/>
  <c r="Q118" i="1"/>
  <c r="L118" i="1"/>
  <c r="I118" i="1"/>
  <c r="Q117" i="1"/>
  <c r="L117" i="1"/>
  <c r="I117" i="1"/>
  <c r="F117" i="1"/>
  <c r="Q116" i="1"/>
  <c r="L116" i="1"/>
  <c r="I116" i="1"/>
  <c r="F116" i="1"/>
  <c r="Q115" i="1"/>
  <c r="L115" i="1"/>
  <c r="I115" i="1"/>
  <c r="L114" i="1"/>
  <c r="I114" i="1"/>
  <c r="F114" i="1"/>
  <c r="Q113" i="1"/>
  <c r="L113" i="1"/>
  <c r="I113" i="1"/>
  <c r="F113" i="1"/>
  <c r="Q112" i="1"/>
  <c r="L112" i="1"/>
  <c r="I112" i="1"/>
  <c r="F112" i="1"/>
  <c r="AC480" i="1"/>
  <c r="AC479" i="1"/>
  <c r="AC478" i="1"/>
  <c r="AC432" i="1"/>
  <c r="AC431" i="1"/>
  <c r="AC418" i="1"/>
  <c r="AC417" i="1"/>
  <c r="AC416" i="1"/>
  <c r="AB416" i="1" s="1"/>
  <c r="AC497" i="1"/>
  <c r="AF495" i="1"/>
  <c r="AC495" i="1"/>
  <c r="AB495" i="1" s="1"/>
  <c r="AF494" i="1"/>
  <c r="AC494" i="1"/>
  <c r="AF493" i="1"/>
  <c r="AC493" i="1"/>
  <c r="AF492" i="1"/>
  <c r="AC492" i="1"/>
  <c r="AB492" i="1" s="1"/>
  <c r="AF491" i="1"/>
  <c r="AC491" i="1"/>
  <c r="AB491" i="1" s="1"/>
  <c r="F347" i="1" l="1"/>
  <c r="N347" i="1" s="1"/>
  <c r="F118" i="1"/>
  <c r="N118" i="1" s="1"/>
  <c r="F156" i="1"/>
  <c r="N156" i="1" s="1"/>
  <c r="Z496" i="1"/>
  <c r="AH496" i="1" s="1"/>
  <c r="AI496" i="1" s="1"/>
  <c r="S117" i="1"/>
  <c r="N117" i="1"/>
  <c r="N147" i="1"/>
  <c r="S147" i="1"/>
  <c r="AL455" i="1"/>
  <c r="N141" i="1"/>
  <c r="S141" i="1"/>
  <c r="S346" i="1"/>
  <c r="N346" i="1"/>
  <c r="N124" i="1"/>
  <c r="S124" i="1"/>
  <c r="N130" i="1"/>
  <c r="S130" i="1"/>
  <c r="N209" i="1"/>
  <c r="N134" i="1"/>
  <c r="S134" i="1"/>
  <c r="S138" i="1"/>
  <c r="N138" i="1"/>
  <c r="N144" i="1"/>
  <c r="S144" i="1"/>
  <c r="N160" i="1"/>
  <c r="S160" i="1"/>
  <c r="AN493" i="1"/>
  <c r="N114" i="1"/>
  <c r="N151" i="1"/>
  <c r="S151" i="1"/>
  <c r="N157" i="1"/>
  <c r="S157" i="1"/>
  <c r="N226" i="1"/>
  <c r="S226" i="1"/>
  <c r="AL458" i="1"/>
  <c r="S125" i="1"/>
  <c r="N125" i="1"/>
  <c r="S128" i="1"/>
  <c r="N128" i="1"/>
  <c r="N131" i="1"/>
  <c r="F136" i="1"/>
  <c r="N136" i="1" s="1"/>
  <c r="S132" i="1"/>
  <c r="N119" i="1"/>
  <c r="S119" i="1"/>
  <c r="S136" i="1"/>
  <c r="N139" i="1"/>
  <c r="S139" i="1"/>
  <c r="S142" i="1"/>
  <c r="N142" i="1"/>
  <c r="N161" i="1"/>
  <c r="N283" i="1"/>
  <c r="S283" i="1"/>
  <c r="S347" i="1"/>
  <c r="N121" i="1"/>
  <c r="S121" i="1"/>
  <c r="N282" i="1"/>
  <c r="S282" i="1"/>
  <c r="S118" i="1"/>
  <c r="S115" i="1"/>
  <c r="N145" i="1"/>
  <c r="S145" i="1"/>
  <c r="S148" i="1"/>
  <c r="N148" i="1"/>
  <c r="S123" i="1"/>
  <c r="N126" i="1"/>
  <c r="S126" i="1"/>
  <c r="N129" i="1"/>
  <c r="S129" i="1"/>
  <c r="Q152" i="1"/>
  <c r="S152" i="1" s="1"/>
  <c r="S162" i="1"/>
  <c r="S112" i="1"/>
  <c r="N112" i="1"/>
  <c r="N152" i="1"/>
  <c r="S158" i="1"/>
  <c r="N158" i="1"/>
  <c r="N227" i="1"/>
  <c r="Q329" i="1"/>
  <c r="S329" i="1" s="1"/>
  <c r="S116" i="1"/>
  <c r="N116" i="1"/>
  <c r="S146" i="1"/>
  <c r="N146" i="1"/>
  <c r="N149" i="1"/>
  <c r="S348" i="1"/>
  <c r="AL492" i="1"/>
  <c r="AO492" i="1" s="1"/>
  <c r="N133" i="1"/>
  <c r="S133" i="1"/>
  <c r="S120" i="1"/>
  <c r="N120" i="1"/>
  <c r="S137" i="1"/>
  <c r="N137" i="1"/>
  <c r="S140" i="1"/>
  <c r="N140" i="1"/>
  <c r="S143" i="1"/>
  <c r="N143" i="1"/>
  <c r="S228" i="1"/>
  <c r="N228" i="1"/>
  <c r="S284" i="1"/>
  <c r="N284" i="1"/>
  <c r="S127" i="1"/>
  <c r="N127" i="1"/>
  <c r="N113" i="1"/>
  <c r="S113" i="1"/>
  <c r="S150" i="1"/>
  <c r="S156" i="1"/>
  <c r="N159" i="1"/>
  <c r="AL457" i="1"/>
  <c r="F123" i="1"/>
  <c r="N123" i="1" s="1"/>
  <c r="F162" i="1"/>
  <c r="N162" i="1" s="1"/>
  <c r="AL454" i="1"/>
  <c r="Q161" i="1"/>
  <c r="S161" i="1" s="1"/>
  <c r="AL494" i="1"/>
  <c r="AO494" i="1" s="1"/>
  <c r="F150" i="1"/>
  <c r="N150" i="1" s="1"/>
  <c r="F115" i="1"/>
  <c r="N115" i="1" s="1"/>
  <c r="Q131" i="1"/>
  <c r="S131" i="1" s="1"/>
  <c r="F348" i="1"/>
  <c r="N348" i="1" s="1"/>
  <c r="F132" i="1"/>
  <c r="N132" i="1" s="1"/>
  <c r="AB417" i="1"/>
  <c r="Q209" i="1"/>
  <c r="S209" i="1" s="1"/>
  <c r="Q114" i="1"/>
  <c r="S114" i="1" s="1"/>
  <c r="AL469" i="1"/>
  <c r="AL491" i="1"/>
  <c r="AN491" i="1" s="1"/>
  <c r="AO491" i="1" s="1"/>
  <c r="Q159" i="1"/>
  <c r="S159" i="1" s="1"/>
  <c r="Q227" i="1"/>
  <c r="S227" i="1" s="1"/>
  <c r="AB418" i="1"/>
  <c r="AB478" i="1"/>
  <c r="AB494" i="1"/>
  <c r="AB497" i="1"/>
  <c r="AB479" i="1"/>
  <c r="AB493" i="1"/>
  <c r="AB432" i="1"/>
  <c r="AB480" i="1"/>
  <c r="G113" i="1"/>
  <c r="AB431" i="1"/>
  <c r="AC477" i="1"/>
  <c r="AC476" i="1"/>
  <c r="AC475" i="1"/>
  <c r="AB475" i="1" s="1"/>
  <c r="AC474" i="1"/>
  <c r="AB474" i="1" s="1"/>
  <c r="AC473" i="1"/>
  <c r="AC472" i="1"/>
  <c r="AC471" i="1"/>
  <c r="AB471" i="1" s="1"/>
  <c r="AC470" i="1"/>
  <c r="AF469" i="1"/>
  <c r="AC469" i="1"/>
  <c r="AF462" i="1"/>
  <c r="AC462" i="1"/>
  <c r="Z462" i="1"/>
  <c r="AF461" i="1"/>
  <c r="AC461" i="1"/>
  <c r="AB461" i="1" s="1"/>
  <c r="AF460" i="1"/>
  <c r="AC460" i="1"/>
  <c r="AB460" i="1" s="1"/>
  <c r="AF459" i="1"/>
  <c r="AC459" i="1"/>
  <c r="AF458" i="1"/>
  <c r="AC458" i="1"/>
  <c r="AF457" i="1"/>
  <c r="AC457" i="1"/>
  <c r="AB457" i="1" s="1"/>
  <c r="AF456" i="1"/>
  <c r="AC456" i="1"/>
  <c r="AB456" i="1" s="1"/>
  <c r="AF455" i="1"/>
  <c r="AC455" i="1"/>
  <c r="AF454" i="1"/>
  <c r="AC454" i="1"/>
  <c r="AB454" i="1" s="1"/>
  <c r="AF453" i="1"/>
  <c r="AC453" i="1"/>
  <c r="AC451" i="1"/>
  <c r="AC450" i="1"/>
  <c r="AB450" i="1" s="1"/>
  <c r="AC449" i="1"/>
  <c r="AC448" i="1"/>
  <c r="AC447" i="1"/>
  <c r="AB447" i="1" s="1"/>
  <c r="AC446" i="1"/>
  <c r="AB446" i="1" s="1"/>
  <c r="AC445" i="1"/>
  <c r="AB445" i="1" s="1"/>
  <c r="AC444" i="1"/>
  <c r="AC443" i="1"/>
  <c r="AB443" i="1" s="1"/>
  <c r="AC442" i="1"/>
  <c r="AB442" i="1" s="1"/>
  <c r="AC441" i="1"/>
  <c r="AC440" i="1"/>
  <c r="AC439" i="1"/>
  <c r="AC438" i="1"/>
  <c r="AB438" i="1" s="1"/>
  <c r="AC437" i="1"/>
  <c r="AB437" i="1" s="1"/>
  <c r="AC436" i="1"/>
  <c r="AC435" i="1"/>
  <c r="AB435" i="1" s="1"/>
  <c r="AC434" i="1"/>
  <c r="AB434" i="1" s="1"/>
  <c r="AC430" i="1"/>
  <c r="AB430" i="1" s="1"/>
  <c r="AC429" i="1"/>
  <c r="AC428" i="1"/>
  <c r="AB428" i="1" s="1"/>
  <c r="AC427" i="1"/>
  <c r="AC426" i="1"/>
  <c r="AB426" i="1" s="1"/>
  <c r="AC425" i="1"/>
  <c r="AB425" i="1" s="1"/>
  <c r="AC424" i="1"/>
  <c r="AC423" i="1"/>
  <c r="AC422" i="1"/>
  <c r="AB422" i="1" s="1"/>
  <c r="AC421" i="1"/>
  <c r="AB421" i="1" s="1"/>
  <c r="AF420" i="1"/>
  <c r="AC420" i="1"/>
  <c r="AC415" i="1"/>
  <c r="AC414" i="1"/>
  <c r="AC413" i="1"/>
  <c r="AC412" i="1"/>
  <c r="AB412" i="1" s="1"/>
  <c r="AC411" i="1"/>
  <c r="AC410" i="1"/>
  <c r="AC409" i="1"/>
  <c r="Q104" i="1"/>
  <c r="O104" i="1"/>
  <c r="P104" i="1" s="1"/>
  <c r="L104" i="1"/>
  <c r="J104" i="1"/>
  <c r="K104" i="1" s="1"/>
  <c r="I104" i="1"/>
  <c r="G104" i="1"/>
  <c r="H104" i="1" s="1"/>
  <c r="F104" i="1"/>
  <c r="D104" i="1"/>
  <c r="E104" i="1" s="1"/>
  <c r="Q103" i="1"/>
  <c r="O103" i="1"/>
  <c r="P103" i="1" s="1"/>
  <c r="L103" i="1"/>
  <c r="J103" i="1"/>
  <c r="K103" i="1" s="1"/>
  <c r="I103" i="1"/>
  <c r="G103" i="1"/>
  <c r="H103" i="1" s="1"/>
  <c r="F103" i="1"/>
  <c r="D103" i="1"/>
  <c r="E103" i="1" s="1"/>
  <c r="Q102" i="1"/>
  <c r="O102" i="1"/>
  <c r="P102" i="1" s="1"/>
  <c r="L102" i="1"/>
  <c r="J102" i="1"/>
  <c r="K102" i="1" s="1"/>
  <c r="R102" i="1" s="1"/>
  <c r="I102" i="1"/>
  <c r="G102" i="1"/>
  <c r="H102" i="1" s="1"/>
  <c r="F102" i="1"/>
  <c r="D102" i="1"/>
  <c r="E102" i="1" s="1"/>
  <c r="Q100" i="1"/>
  <c r="O100" i="1"/>
  <c r="L100" i="1"/>
  <c r="J100" i="1"/>
  <c r="I100" i="1"/>
  <c r="G100" i="1"/>
  <c r="F100" i="1"/>
  <c r="D100" i="1"/>
  <c r="Q99" i="1"/>
  <c r="O99" i="1"/>
  <c r="L99" i="1"/>
  <c r="J99" i="1"/>
  <c r="I99" i="1"/>
  <c r="G99" i="1"/>
  <c r="F99" i="1"/>
  <c r="D99" i="1"/>
  <c r="Q184" i="1"/>
  <c r="L184" i="1"/>
  <c r="I184" i="1"/>
  <c r="F184" i="1"/>
  <c r="Q360" i="1"/>
  <c r="O360" i="1"/>
  <c r="R360" i="1" s="1"/>
  <c r="L360" i="1"/>
  <c r="J360" i="1"/>
  <c r="I360" i="1"/>
  <c r="G360" i="1"/>
  <c r="F360" i="1"/>
  <c r="D360" i="1"/>
  <c r="L345" i="1"/>
  <c r="I345" i="1"/>
  <c r="F345" i="1"/>
  <c r="Q344" i="1"/>
  <c r="L344" i="1"/>
  <c r="I344" i="1"/>
  <c r="F344" i="1"/>
  <c r="Q343" i="1"/>
  <c r="L343" i="1"/>
  <c r="I343" i="1"/>
  <c r="F343" i="1"/>
  <c r="Q342" i="1"/>
  <c r="L342" i="1"/>
  <c r="I342" i="1"/>
  <c r="F342" i="1"/>
  <c r="Q341" i="1"/>
  <c r="L341" i="1"/>
  <c r="I341" i="1"/>
  <c r="F341" i="1"/>
  <c r="Q340" i="1"/>
  <c r="L340" i="1"/>
  <c r="I340" i="1"/>
  <c r="F340" i="1"/>
  <c r="Q339" i="1"/>
  <c r="L339" i="1"/>
  <c r="I339" i="1"/>
  <c r="F339" i="1"/>
  <c r="Q338" i="1"/>
  <c r="L338" i="1"/>
  <c r="I338" i="1"/>
  <c r="F338" i="1"/>
  <c r="Q337" i="1"/>
  <c r="L337" i="1"/>
  <c r="I337" i="1"/>
  <c r="F337" i="1"/>
  <c r="Q336" i="1"/>
  <c r="L336" i="1"/>
  <c r="I336" i="1"/>
  <c r="F336" i="1"/>
  <c r="Q335" i="1"/>
  <c r="L335" i="1"/>
  <c r="I335" i="1"/>
  <c r="F335" i="1"/>
  <c r="Q334" i="1"/>
  <c r="L334" i="1"/>
  <c r="I334" i="1"/>
  <c r="F334" i="1"/>
  <c r="Q333" i="1"/>
  <c r="L333" i="1"/>
  <c r="I333" i="1"/>
  <c r="F333" i="1"/>
  <c r="Q332" i="1"/>
  <c r="L332" i="1"/>
  <c r="I332" i="1"/>
  <c r="F332" i="1"/>
  <c r="Q331" i="1"/>
  <c r="L331" i="1"/>
  <c r="I331" i="1"/>
  <c r="F331" i="1"/>
  <c r="Q328" i="1"/>
  <c r="L328" i="1"/>
  <c r="I328" i="1"/>
  <c r="F328" i="1"/>
  <c r="Q327" i="1"/>
  <c r="L327" i="1"/>
  <c r="I327" i="1"/>
  <c r="F327" i="1"/>
  <c r="Q326" i="1"/>
  <c r="L326" i="1"/>
  <c r="I326" i="1"/>
  <c r="F326" i="1"/>
  <c r="Q325" i="1"/>
  <c r="L325" i="1"/>
  <c r="I325" i="1"/>
  <c r="F325" i="1"/>
  <c r="Q324" i="1"/>
  <c r="L324" i="1"/>
  <c r="I324" i="1"/>
  <c r="F324" i="1"/>
  <c r="Q323" i="1"/>
  <c r="L323" i="1"/>
  <c r="I323" i="1"/>
  <c r="F323" i="1"/>
  <c r="Q322" i="1"/>
  <c r="L322" i="1"/>
  <c r="I322" i="1"/>
  <c r="F322" i="1"/>
  <c r="Q321" i="1"/>
  <c r="L321" i="1"/>
  <c r="I321" i="1"/>
  <c r="F321" i="1"/>
  <c r="Q320" i="1"/>
  <c r="L320" i="1"/>
  <c r="I320" i="1"/>
  <c r="F320" i="1"/>
  <c r="Q319" i="1"/>
  <c r="L319" i="1"/>
  <c r="I319" i="1"/>
  <c r="F319" i="1"/>
  <c r="Q318" i="1"/>
  <c r="L318" i="1"/>
  <c r="I318" i="1"/>
  <c r="F318" i="1"/>
  <c r="Q312" i="1"/>
  <c r="O312" i="1"/>
  <c r="L312" i="1"/>
  <c r="J312" i="1"/>
  <c r="K312" i="1" s="1"/>
  <c r="I312" i="1"/>
  <c r="G312" i="1"/>
  <c r="H312" i="1" s="1"/>
  <c r="F312" i="1"/>
  <c r="M312" i="1" s="1"/>
  <c r="D312" i="1"/>
  <c r="E312" i="1" s="1"/>
  <c r="Q311" i="1"/>
  <c r="O311" i="1"/>
  <c r="L311" i="1"/>
  <c r="J311" i="1"/>
  <c r="K311" i="1" s="1"/>
  <c r="I311" i="1"/>
  <c r="G311" i="1"/>
  <c r="H311" i="1" s="1"/>
  <c r="F311" i="1"/>
  <c r="D311" i="1"/>
  <c r="E311" i="1" s="1"/>
  <c r="Q308" i="1"/>
  <c r="O308" i="1"/>
  <c r="L308" i="1"/>
  <c r="J308" i="1"/>
  <c r="I308" i="1"/>
  <c r="G308" i="1"/>
  <c r="H308" i="1" s="1"/>
  <c r="F308" i="1"/>
  <c r="D308" i="1"/>
  <c r="Q307" i="1"/>
  <c r="O307" i="1"/>
  <c r="L307" i="1"/>
  <c r="J307" i="1"/>
  <c r="I307" i="1"/>
  <c r="G307" i="1"/>
  <c r="H307" i="1" s="1"/>
  <c r="F307" i="1"/>
  <c r="D307" i="1"/>
  <c r="Q303" i="1"/>
  <c r="O303" i="1"/>
  <c r="L303" i="1"/>
  <c r="J303" i="1"/>
  <c r="K303" i="1" s="1"/>
  <c r="I303" i="1"/>
  <c r="G303" i="1"/>
  <c r="H303" i="1" s="1"/>
  <c r="F303" i="1"/>
  <c r="D303" i="1"/>
  <c r="E303" i="1" s="1"/>
  <c r="Q302" i="1"/>
  <c r="O302" i="1"/>
  <c r="R302" i="1" s="1"/>
  <c r="L302" i="1"/>
  <c r="J302" i="1"/>
  <c r="K302" i="1" s="1"/>
  <c r="I302" i="1"/>
  <c r="G302" i="1"/>
  <c r="H302" i="1" s="1"/>
  <c r="F302" i="1"/>
  <c r="D302" i="1"/>
  <c r="E302" i="1" s="1"/>
  <c r="Q301" i="1"/>
  <c r="O301" i="1"/>
  <c r="R301" i="1" s="1"/>
  <c r="L301" i="1"/>
  <c r="J301" i="1"/>
  <c r="I301" i="1"/>
  <c r="G301" i="1"/>
  <c r="H301" i="1" s="1"/>
  <c r="F301" i="1"/>
  <c r="D301" i="1"/>
  <c r="E301" i="1" s="1"/>
  <c r="Q300" i="1"/>
  <c r="O300" i="1"/>
  <c r="L300" i="1"/>
  <c r="J300" i="1"/>
  <c r="I300" i="1"/>
  <c r="G300" i="1"/>
  <c r="H300" i="1" s="1"/>
  <c r="F300" i="1"/>
  <c r="D300" i="1"/>
  <c r="E300" i="1" s="1"/>
  <c r="Q299" i="1"/>
  <c r="O299" i="1"/>
  <c r="L299" i="1"/>
  <c r="J299" i="1"/>
  <c r="I299" i="1"/>
  <c r="G299" i="1"/>
  <c r="H299" i="1" s="1"/>
  <c r="F299" i="1"/>
  <c r="D299" i="1"/>
  <c r="Q298" i="1"/>
  <c r="O298" i="1"/>
  <c r="L298" i="1"/>
  <c r="J298" i="1"/>
  <c r="I298" i="1"/>
  <c r="G298" i="1"/>
  <c r="H298" i="1" s="1"/>
  <c r="F298" i="1"/>
  <c r="D298" i="1"/>
  <c r="Q297" i="1"/>
  <c r="O297" i="1"/>
  <c r="L297" i="1"/>
  <c r="J297" i="1"/>
  <c r="I297" i="1"/>
  <c r="G297" i="1"/>
  <c r="H297" i="1" s="1"/>
  <c r="F297" i="1"/>
  <c r="D297" i="1"/>
  <c r="E297" i="1" s="1"/>
  <c r="Q296" i="1"/>
  <c r="O296" i="1"/>
  <c r="L296" i="1"/>
  <c r="J296" i="1"/>
  <c r="I296" i="1"/>
  <c r="G296" i="1"/>
  <c r="H296" i="1" s="1"/>
  <c r="F296" i="1"/>
  <c r="D296" i="1"/>
  <c r="Q295" i="1"/>
  <c r="O295" i="1"/>
  <c r="L295" i="1"/>
  <c r="J295" i="1"/>
  <c r="I295" i="1"/>
  <c r="G295" i="1"/>
  <c r="F295" i="1"/>
  <c r="D295" i="1"/>
  <c r="L281" i="1"/>
  <c r="I281" i="1"/>
  <c r="F281" i="1"/>
  <c r="Q280" i="1"/>
  <c r="L280" i="1"/>
  <c r="I280" i="1"/>
  <c r="F280" i="1"/>
  <c r="Q279" i="1"/>
  <c r="L279" i="1"/>
  <c r="I279" i="1"/>
  <c r="F279" i="1"/>
  <c r="Q278" i="1"/>
  <c r="L278" i="1"/>
  <c r="I278" i="1"/>
  <c r="F278" i="1"/>
  <c r="Q277" i="1"/>
  <c r="L277" i="1"/>
  <c r="I277" i="1"/>
  <c r="F277" i="1"/>
  <c r="Q276" i="1"/>
  <c r="L276" i="1"/>
  <c r="I276" i="1"/>
  <c r="F276" i="1"/>
  <c r="Q275" i="1"/>
  <c r="L275" i="1"/>
  <c r="I275" i="1"/>
  <c r="F275" i="1"/>
  <c r="Q274" i="1"/>
  <c r="L274" i="1"/>
  <c r="I274" i="1"/>
  <c r="F274" i="1"/>
  <c r="Q273" i="1"/>
  <c r="L273" i="1"/>
  <c r="I273" i="1"/>
  <c r="F273" i="1"/>
  <c r="Q272" i="1"/>
  <c r="L272" i="1"/>
  <c r="I272" i="1"/>
  <c r="F272" i="1"/>
  <c r="Q271" i="1"/>
  <c r="L271" i="1"/>
  <c r="I271" i="1"/>
  <c r="F271" i="1"/>
  <c r="Q270" i="1"/>
  <c r="L270" i="1"/>
  <c r="I270" i="1"/>
  <c r="F270" i="1"/>
  <c r="Q269" i="1"/>
  <c r="L269" i="1"/>
  <c r="I269" i="1"/>
  <c r="F269" i="1"/>
  <c r="Q268" i="1"/>
  <c r="L268" i="1"/>
  <c r="I268" i="1"/>
  <c r="F268" i="1"/>
  <c r="Q267" i="1"/>
  <c r="L267" i="1"/>
  <c r="I267" i="1"/>
  <c r="F267" i="1"/>
  <c r="Q264" i="1"/>
  <c r="L264" i="1"/>
  <c r="I264" i="1"/>
  <c r="F264" i="1"/>
  <c r="Q263" i="1"/>
  <c r="L263" i="1"/>
  <c r="I263" i="1"/>
  <c r="F263" i="1"/>
  <c r="Q262" i="1"/>
  <c r="L262" i="1"/>
  <c r="I262" i="1"/>
  <c r="F262" i="1"/>
  <c r="Q261" i="1"/>
  <c r="L261" i="1"/>
  <c r="I261" i="1"/>
  <c r="F261" i="1"/>
  <c r="Q260" i="1"/>
  <c r="L260" i="1"/>
  <c r="I260" i="1"/>
  <c r="F260" i="1"/>
  <c r="Q259" i="1"/>
  <c r="L259" i="1"/>
  <c r="I259" i="1"/>
  <c r="F259" i="1"/>
  <c r="Q258" i="1"/>
  <c r="L258" i="1"/>
  <c r="I258" i="1"/>
  <c r="F258" i="1"/>
  <c r="Q257" i="1"/>
  <c r="L257" i="1"/>
  <c r="I257" i="1"/>
  <c r="F257" i="1"/>
  <c r="Q256" i="1"/>
  <c r="L256" i="1"/>
  <c r="I256" i="1"/>
  <c r="F256" i="1"/>
  <c r="Q255" i="1"/>
  <c r="L255" i="1"/>
  <c r="I255" i="1"/>
  <c r="F255" i="1"/>
  <c r="Q254" i="1"/>
  <c r="L254" i="1"/>
  <c r="I254" i="1"/>
  <c r="F254" i="1"/>
  <c r="Q247" i="1"/>
  <c r="S248" i="1" s="1"/>
  <c r="P247" i="1"/>
  <c r="O247" i="1"/>
  <c r="R247" i="1" s="1"/>
  <c r="L247" i="1"/>
  <c r="K247" i="1"/>
  <c r="J247" i="1"/>
  <c r="I247" i="1"/>
  <c r="H247" i="1"/>
  <c r="G247" i="1"/>
  <c r="F247" i="1"/>
  <c r="E247" i="1"/>
  <c r="D247" i="1"/>
  <c r="Q244" i="1"/>
  <c r="S245" i="1" s="1"/>
  <c r="P244" i="1"/>
  <c r="O244" i="1"/>
  <c r="R244" i="1" s="1"/>
  <c r="L244" i="1"/>
  <c r="K244" i="1"/>
  <c r="J244" i="1"/>
  <c r="I244" i="1"/>
  <c r="H244" i="1"/>
  <c r="G244" i="1"/>
  <c r="F244" i="1"/>
  <c r="E244" i="1"/>
  <c r="D244" i="1"/>
  <c r="Q241" i="1"/>
  <c r="P241" i="1"/>
  <c r="O241" i="1"/>
  <c r="L241" i="1"/>
  <c r="K241" i="1"/>
  <c r="J241" i="1"/>
  <c r="I241" i="1"/>
  <c r="H241" i="1"/>
  <c r="G241" i="1"/>
  <c r="F241" i="1"/>
  <c r="E241" i="1"/>
  <c r="D241" i="1"/>
  <c r="L225" i="1"/>
  <c r="I225" i="1"/>
  <c r="F225" i="1"/>
  <c r="Q224" i="1"/>
  <c r="L224" i="1"/>
  <c r="I224" i="1"/>
  <c r="F224" i="1"/>
  <c r="Q223" i="1"/>
  <c r="L223" i="1"/>
  <c r="I223" i="1"/>
  <c r="F223" i="1"/>
  <c r="Q222" i="1"/>
  <c r="L222" i="1"/>
  <c r="I222" i="1"/>
  <c r="F222" i="1"/>
  <c r="Q221" i="1"/>
  <c r="L221" i="1"/>
  <c r="I221" i="1"/>
  <c r="F221" i="1"/>
  <c r="Q220" i="1"/>
  <c r="L220" i="1"/>
  <c r="I220" i="1"/>
  <c r="F220" i="1"/>
  <c r="Q219" i="1"/>
  <c r="L219" i="1"/>
  <c r="I219" i="1"/>
  <c r="F219" i="1"/>
  <c r="Q218" i="1"/>
  <c r="L218" i="1"/>
  <c r="I218" i="1"/>
  <c r="F218" i="1"/>
  <c r="Q217" i="1"/>
  <c r="L217" i="1"/>
  <c r="I217" i="1"/>
  <c r="F217" i="1"/>
  <c r="Q216" i="1"/>
  <c r="L216" i="1"/>
  <c r="I216" i="1"/>
  <c r="F216" i="1"/>
  <c r="Q215" i="1"/>
  <c r="L215" i="1"/>
  <c r="I215" i="1"/>
  <c r="F215" i="1"/>
  <c r="Q214" i="1"/>
  <c r="L214" i="1"/>
  <c r="I214" i="1"/>
  <c r="F214" i="1"/>
  <c r="Q213" i="1"/>
  <c r="L213" i="1"/>
  <c r="I213" i="1"/>
  <c r="F213" i="1"/>
  <c r="Q212" i="1"/>
  <c r="L212" i="1"/>
  <c r="I212" i="1"/>
  <c r="F212" i="1"/>
  <c r="Q211" i="1"/>
  <c r="L211" i="1"/>
  <c r="I211" i="1"/>
  <c r="F211" i="1"/>
  <c r="Q208" i="1"/>
  <c r="L208" i="1"/>
  <c r="I208" i="1"/>
  <c r="F208" i="1"/>
  <c r="Q207" i="1"/>
  <c r="L207" i="1"/>
  <c r="I207" i="1"/>
  <c r="F207" i="1"/>
  <c r="Q206" i="1"/>
  <c r="L206" i="1"/>
  <c r="I206" i="1"/>
  <c r="F206" i="1"/>
  <c r="Q205" i="1"/>
  <c r="L205" i="1"/>
  <c r="I205" i="1"/>
  <c r="F205" i="1"/>
  <c r="Q204" i="1"/>
  <c r="L204" i="1"/>
  <c r="I204" i="1"/>
  <c r="F204" i="1"/>
  <c r="Q203" i="1"/>
  <c r="L203" i="1"/>
  <c r="I203" i="1"/>
  <c r="F203" i="1"/>
  <c r="Q202" i="1"/>
  <c r="L202" i="1"/>
  <c r="I202" i="1"/>
  <c r="F202" i="1"/>
  <c r="Q201" i="1"/>
  <c r="L201" i="1"/>
  <c r="I201" i="1"/>
  <c r="F201" i="1"/>
  <c r="Q200" i="1"/>
  <c r="L200" i="1"/>
  <c r="I200" i="1"/>
  <c r="F200" i="1"/>
  <c r="Q199" i="1"/>
  <c r="L199" i="1"/>
  <c r="I199" i="1"/>
  <c r="F199" i="1"/>
  <c r="Q198" i="1"/>
  <c r="L198" i="1"/>
  <c r="I198" i="1"/>
  <c r="F198" i="1"/>
  <c r="Q191" i="1"/>
  <c r="P191" i="1"/>
  <c r="L191" i="1"/>
  <c r="K191" i="1"/>
  <c r="I191" i="1"/>
  <c r="H191" i="1"/>
  <c r="F191" i="1"/>
  <c r="E191" i="1"/>
  <c r="Q188" i="1"/>
  <c r="P188" i="1"/>
  <c r="L188" i="1"/>
  <c r="K188" i="1"/>
  <c r="I188" i="1"/>
  <c r="H188" i="1"/>
  <c r="F188" i="1"/>
  <c r="E188" i="1"/>
  <c r="Q181" i="1"/>
  <c r="P181" i="1"/>
  <c r="O181" i="1"/>
  <c r="L181" i="1"/>
  <c r="K181" i="1"/>
  <c r="J181" i="1"/>
  <c r="I181" i="1"/>
  <c r="H181" i="1"/>
  <c r="G181" i="1"/>
  <c r="F181" i="1"/>
  <c r="E181" i="1"/>
  <c r="D181" i="1"/>
  <c r="Q178" i="1"/>
  <c r="P178" i="1"/>
  <c r="O178" i="1"/>
  <c r="L178" i="1"/>
  <c r="K178" i="1"/>
  <c r="J178" i="1"/>
  <c r="I178" i="1"/>
  <c r="H178" i="1"/>
  <c r="G178" i="1"/>
  <c r="F178" i="1"/>
  <c r="E178" i="1"/>
  <c r="D178" i="1"/>
  <c r="D175" i="1"/>
  <c r="Q175" i="1"/>
  <c r="P175" i="1"/>
  <c r="O175" i="1"/>
  <c r="L175" i="1"/>
  <c r="K175" i="1"/>
  <c r="J175" i="1"/>
  <c r="I175" i="1"/>
  <c r="H175" i="1"/>
  <c r="G175" i="1"/>
  <c r="F175" i="1"/>
  <c r="E175" i="1"/>
  <c r="Q172" i="1"/>
  <c r="P172" i="1"/>
  <c r="O172" i="1"/>
  <c r="L172" i="1"/>
  <c r="K172" i="1"/>
  <c r="J172" i="1"/>
  <c r="I172" i="1"/>
  <c r="H172" i="1"/>
  <c r="G172" i="1"/>
  <c r="D172" i="1"/>
  <c r="F172" i="1"/>
  <c r="E172" i="1"/>
  <c r="M175" i="1" l="1"/>
  <c r="M241" i="1"/>
  <c r="M244" i="1"/>
  <c r="M247" i="1"/>
  <c r="M178" i="1"/>
  <c r="M172" i="1"/>
  <c r="R296" i="1"/>
  <c r="R299" i="1"/>
  <c r="R308" i="1"/>
  <c r="R104" i="1"/>
  <c r="E296" i="1"/>
  <c r="E299" i="1"/>
  <c r="M300" i="1"/>
  <c r="S360" i="1"/>
  <c r="S223" i="1"/>
  <c r="N223" i="1"/>
  <c r="N103" i="1"/>
  <c r="S103" i="1"/>
  <c r="N220" i="1"/>
  <c r="S220" i="1"/>
  <c r="AN494" i="1"/>
  <c r="N188" i="1"/>
  <c r="S188" i="1"/>
  <c r="N261" i="1"/>
  <c r="S261" i="1"/>
  <c r="N281" i="1"/>
  <c r="AN454" i="1"/>
  <c r="AO454" i="1" s="1"/>
  <c r="AN460" i="1"/>
  <c r="AO460" i="1" s="1"/>
  <c r="S198" i="1"/>
  <c r="N198" i="1"/>
  <c r="N201" i="1"/>
  <c r="S201" i="1"/>
  <c r="S204" i="1"/>
  <c r="N204" i="1"/>
  <c r="N207" i="1"/>
  <c r="S207" i="1"/>
  <c r="N212" i="1"/>
  <c r="S212" i="1"/>
  <c r="N215" i="1"/>
  <c r="S215" i="1"/>
  <c r="S218" i="1"/>
  <c r="N218" i="1"/>
  <c r="S221" i="1"/>
  <c r="N221" i="1"/>
  <c r="S224" i="1"/>
  <c r="N224" i="1"/>
  <c r="M296" i="1"/>
  <c r="M299" i="1"/>
  <c r="M308" i="1"/>
  <c r="N102" i="1"/>
  <c r="S102" i="1"/>
  <c r="S318" i="1"/>
  <c r="N318" i="1"/>
  <c r="S338" i="1"/>
  <c r="N338" i="1"/>
  <c r="N214" i="1"/>
  <c r="S214" i="1"/>
  <c r="S297" i="1"/>
  <c r="N297" i="1"/>
  <c r="N303" i="1"/>
  <c r="S303" i="1"/>
  <c r="AN459" i="1"/>
  <c r="AO459" i="1" s="1"/>
  <c r="R297" i="1"/>
  <c r="P303" i="1"/>
  <c r="R303" i="1"/>
  <c r="S324" i="1"/>
  <c r="N324" i="1"/>
  <c r="S344" i="1"/>
  <c r="N344" i="1"/>
  <c r="N269" i="1"/>
  <c r="S269" i="1"/>
  <c r="N275" i="1"/>
  <c r="S275" i="1"/>
  <c r="S175" i="1"/>
  <c r="N175" i="1"/>
  <c r="N244" i="1"/>
  <c r="N245" i="1" s="1"/>
  <c r="S244" i="1"/>
  <c r="S302" i="1"/>
  <c r="N302" i="1"/>
  <c r="AN455" i="1"/>
  <c r="N206" i="1"/>
  <c r="S206" i="1"/>
  <c r="R175" i="1"/>
  <c r="S322" i="1"/>
  <c r="N322" i="1"/>
  <c r="S333" i="1"/>
  <c r="N333" i="1"/>
  <c r="S336" i="1"/>
  <c r="N336" i="1"/>
  <c r="N342" i="1"/>
  <c r="S342" i="1"/>
  <c r="R300" i="1"/>
  <c r="N321" i="1"/>
  <c r="S321" i="1"/>
  <c r="N335" i="1"/>
  <c r="S335" i="1"/>
  <c r="N255" i="1"/>
  <c r="S255" i="1"/>
  <c r="S272" i="1"/>
  <c r="N272" i="1"/>
  <c r="S247" i="1"/>
  <c r="N248" i="1"/>
  <c r="N247" i="1"/>
  <c r="N296" i="1"/>
  <c r="S296" i="1"/>
  <c r="N299" i="1"/>
  <c r="S299" i="1"/>
  <c r="N308" i="1"/>
  <c r="S308" i="1"/>
  <c r="N184" i="1"/>
  <c r="S184" i="1"/>
  <c r="AN461" i="1"/>
  <c r="AO461" i="1" s="1"/>
  <c r="S163" i="1"/>
  <c r="S172" i="1"/>
  <c r="N172" i="1"/>
  <c r="R241" i="1"/>
  <c r="S319" i="1"/>
  <c r="N319" i="1"/>
  <c r="N345" i="1"/>
  <c r="N202" i="1"/>
  <c r="S202" i="1"/>
  <c r="N208" i="1"/>
  <c r="S208" i="1"/>
  <c r="N219" i="1"/>
  <c r="S219" i="1"/>
  <c r="N225" i="1"/>
  <c r="M295" i="1"/>
  <c r="N100" i="1"/>
  <c r="S100" i="1"/>
  <c r="N104" i="1"/>
  <c r="S104" i="1"/>
  <c r="S203" i="1"/>
  <c r="N203" i="1"/>
  <c r="AN453" i="1"/>
  <c r="AO453" i="1" s="1"/>
  <c r="N332" i="1"/>
  <c r="S332" i="1"/>
  <c r="S258" i="1"/>
  <c r="N258" i="1"/>
  <c r="N163" i="1"/>
  <c r="R181" i="1"/>
  <c r="N256" i="1"/>
  <c r="S256" i="1"/>
  <c r="N259" i="1"/>
  <c r="S259" i="1"/>
  <c r="S262" i="1"/>
  <c r="N262" i="1"/>
  <c r="S267" i="1"/>
  <c r="N267" i="1"/>
  <c r="N270" i="1"/>
  <c r="S270" i="1"/>
  <c r="N273" i="1"/>
  <c r="S273" i="1"/>
  <c r="N276" i="1"/>
  <c r="S276" i="1"/>
  <c r="S279" i="1"/>
  <c r="N279" i="1"/>
  <c r="M100" i="1"/>
  <c r="R100" i="1"/>
  <c r="AN420" i="1"/>
  <c r="AO420" i="1" s="1"/>
  <c r="AN456" i="1"/>
  <c r="N199" i="1"/>
  <c r="S199" i="1"/>
  <c r="S205" i="1"/>
  <c r="N205" i="1"/>
  <c r="S213" i="1"/>
  <c r="N213" i="1"/>
  <c r="N216" i="1"/>
  <c r="S216" i="1"/>
  <c r="N222" i="1"/>
  <c r="S222" i="1"/>
  <c r="K298" i="1"/>
  <c r="M298" i="1"/>
  <c r="K301" i="1"/>
  <c r="M301" i="1"/>
  <c r="M307" i="1"/>
  <c r="F266" i="1"/>
  <c r="N295" i="1"/>
  <c r="S295" i="1"/>
  <c r="N298" i="1"/>
  <c r="S298" i="1"/>
  <c r="N301" i="1"/>
  <c r="S301" i="1"/>
  <c r="N307" i="1"/>
  <c r="S307" i="1"/>
  <c r="S312" i="1"/>
  <c r="R312" i="1" s="1"/>
  <c r="N312" i="1"/>
  <c r="AN457" i="1"/>
  <c r="AO457" i="1" s="1"/>
  <c r="AN492" i="1"/>
  <c r="S211" i="1"/>
  <c r="N211" i="1"/>
  <c r="S300" i="1"/>
  <c r="N300" i="1"/>
  <c r="S178" i="1"/>
  <c r="N178" i="1"/>
  <c r="S181" i="1"/>
  <c r="N181" i="1"/>
  <c r="S325" i="1"/>
  <c r="N325" i="1"/>
  <c r="N328" i="1"/>
  <c r="S328" i="1"/>
  <c r="N339" i="1"/>
  <c r="S339" i="1"/>
  <c r="M188" i="1"/>
  <c r="R295" i="1"/>
  <c r="R298" i="1"/>
  <c r="R307" i="1"/>
  <c r="N320" i="1"/>
  <c r="S320" i="1"/>
  <c r="N323" i="1"/>
  <c r="S323" i="1"/>
  <c r="N326" i="1"/>
  <c r="S326" i="1"/>
  <c r="S331" i="1"/>
  <c r="N331" i="1"/>
  <c r="S334" i="1"/>
  <c r="N334" i="1"/>
  <c r="N337" i="1"/>
  <c r="S337" i="1"/>
  <c r="N340" i="1"/>
  <c r="S340" i="1"/>
  <c r="S343" i="1"/>
  <c r="N343" i="1"/>
  <c r="AN469" i="1"/>
  <c r="AO469" i="1" s="1"/>
  <c r="S200" i="1"/>
  <c r="N200" i="1"/>
  <c r="S217" i="1"/>
  <c r="N217" i="1"/>
  <c r="K297" i="1"/>
  <c r="M297" i="1"/>
  <c r="N327" i="1"/>
  <c r="S327" i="1"/>
  <c r="N341" i="1"/>
  <c r="S341" i="1"/>
  <c r="N264" i="1"/>
  <c r="S264" i="1"/>
  <c r="S278" i="1"/>
  <c r="N278" i="1"/>
  <c r="N241" i="1"/>
  <c r="N242" i="1" s="1"/>
  <c r="S241" i="1"/>
  <c r="R172" i="1"/>
  <c r="R178" i="1"/>
  <c r="M181" i="1"/>
  <c r="L266" i="1"/>
  <c r="S254" i="1"/>
  <c r="N254" i="1"/>
  <c r="N257" i="1"/>
  <c r="S257" i="1"/>
  <c r="N260" i="1"/>
  <c r="S260" i="1"/>
  <c r="N263" i="1"/>
  <c r="S263" i="1"/>
  <c r="S268" i="1"/>
  <c r="N268" i="1"/>
  <c r="N271" i="1"/>
  <c r="S271" i="1"/>
  <c r="S274" i="1"/>
  <c r="N274" i="1"/>
  <c r="N277" i="1"/>
  <c r="S277" i="1"/>
  <c r="N280" i="1"/>
  <c r="S280" i="1"/>
  <c r="R103" i="1"/>
  <c r="AN458" i="1"/>
  <c r="AO458" i="1" s="1"/>
  <c r="AB415" i="1"/>
  <c r="P299" i="1"/>
  <c r="AB448" i="1"/>
  <c r="AB476" i="1"/>
  <c r="P308" i="1"/>
  <c r="AB451" i="1"/>
  <c r="P312" i="1"/>
  <c r="P297" i="1"/>
  <c r="P300" i="1"/>
  <c r="E307" i="1"/>
  <c r="AB440" i="1"/>
  <c r="AB449" i="1"/>
  <c r="K307" i="1"/>
  <c r="K296" i="1"/>
  <c r="E298" i="1"/>
  <c r="K299" i="1"/>
  <c r="P307" i="1"/>
  <c r="P296" i="1"/>
  <c r="E308" i="1"/>
  <c r="AB472" i="1"/>
  <c r="F185" i="1"/>
  <c r="P302" i="1"/>
  <c r="P298" i="1"/>
  <c r="K308" i="1"/>
  <c r="AB462" i="1"/>
  <c r="P301" i="1"/>
  <c r="K300" i="1"/>
  <c r="AB410" i="1"/>
  <c r="AB429" i="1"/>
  <c r="AB459" i="1"/>
  <c r="AB469" i="1"/>
  <c r="AB413" i="1"/>
  <c r="AB453" i="1"/>
  <c r="AB455" i="1"/>
  <c r="AB477" i="1"/>
  <c r="AB420" i="1"/>
  <c r="AB423" i="1"/>
  <c r="AB441" i="1"/>
  <c r="AB411" i="1"/>
  <c r="AB427" i="1"/>
  <c r="AB414" i="1"/>
  <c r="AB470" i="1"/>
  <c r="AB424" i="1"/>
  <c r="AB439" i="1"/>
  <c r="AB458" i="1"/>
  <c r="P311" i="1"/>
  <c r="AB473" i="1"/>
  <c r="AB436" i="1"/>
  <c r="AB444" i="1"/>
  <c r="N266" i="1" l="1"/>
  <c r="S242" i="1"/>
  <c r="AN466" i="1"/>
  <c r="N349" i="1"/>
  <c r="AO455" i="1"/>
  <c r="N285" i="1"/>
  <c r="AL448" i="1"/>
  <c r="D96" i="1" l="1"/>
  <c r="F96" i="1"/>
  <c r="G96" i="1"/>
  <c r="H96" i="1" s="1"/>
  <c r="I96" i="1"/>
  <c r="J96" i="1"/>
  <c r="L96" i="1"/>
  <c r="A96" i="1"/>
  <c r="N96" i="1" l="1"/>
  <c r="M96" i="1"/>
  <c r="K96" i="1"/>
  <c r="E96" i="1"/>
  <c r="Z492" i="1"/>
  <c r="Z491" i="1"/>
  <c r="AH491" i="1" s="1"/>
  <c r="AI491" i="1" s="1"/>
  <c r="Z469" i="1"/>
  <c r="AH469" i="1" s="1"/>
  <c r="AI469" i="1" s="1"/>
  <c r="Z461" i="1"/>
  <c r="Z458" i="1"/>
  <c r="AH458" i="1" s="1"/>
  <c r="AI458" i="1" s="1"/>
  <c r="AH461" i="1" l="1"/>
  <c r="AI461" i="1" s="1"/>
  <c r="AI492" i="1"/>
  <c r="AH492" i="1"/>
  <c r="Z420" i="1"/>
  <c r="AH420" i="1" s="1"/>
  <c r="AI420" i="1" s="1"/>
  <c r="Z460" i="1"/>
  <c r="AH460" i="1" s="1"/>
  <c r="AI460" i="1" s="1"/>
  <c r="Z453" i="1"/>
  <c r="AH453" i="1" s="1"/>
  <c r="Z454" i="1"/>
  <c r="AH454" i="1" s="1"/>
  <c r="AI454" i="1" s="1"/>
  <c r="Z455" i="1"/>
  <c r="Z456" i="1"/>
  <c r="Z457" i="1"/>
  <c r="Z493" i="1"/>
  <c r="Z459" i="1"/>
  <c r="AH459" i="1" s="1"/>
  <c r="AI459" i="1" s="1"/>
  <c r="AI493" i="1" l="1"/>
  <c r="AH493" i="1"/>
  <c r="AH457" i="1"/>
  <c r="AI457" i="1" s="1"/>
  <c r="AI456" i="1"/>
  <c r="AH456" i="1"/>
  <c r="AH455" i="1"/>
  <c r="AI455" i="1" s="1"/>
  <c r="AI453" i="1"/>
  <c r="O96" i="1"/>
  <c r="R96" i="1" s="1"/>
  <c r="Q96" i="1"/>
  <c r="S96" i="1" s="1"/>
  <c r="P96" i="1" l="1"/>
  <c r="Q281" i="1" l="1"/>
  <c r="S281" i="1" s="1"/>
  <c r="Q225" i="1"/>
  <c r="S225" i="1" s="1"/>
  <c r="Q345" i="1" l="1"/>
  <c r="S345" i="1" s="1"/>
  <c r="S349" i="1" s="1"/>
  <c r="Q149" i="1"/>
  <c r="S149" i="1" s="1"/>
  <c r="Z495" i="1" l="1"/>
  <c r="Z494" i="1"/>
  <c r="AF424" i="1"/>
  <c r="AF423" i="1"/>
  <c r="AF448" i="1"/>
  <c r="AL464" i="1"/>
  <c r="AF473" i="1"/>
  <c r="AF471" i="1"/>
  <c r="Z476" i="1"/>
  <c r="AF418" i="1"/>
  <c r="AF430" i="1"/>
  <c r="AF449" i="1"/>
  <c r="Z411" i="1"/>
  <c r="AF432" i="1"/>
  <c r="AF475" i="1"/>
  <c r="AF436" i="1"/>
  <c r="AF427" i="1"/>
  <c r="AF435" i="1"/>
  <c r="AF434" i="1"/>
  <c r="AF425" i="1"/>
  <c r="AF409" i="1"/>
  <c r="AF442" i="1"/>
  <c r="AF470" i="1"/>
  <c r="AF410" i="1"/>
  <c r="AL470" i="1"/>
  <c r="AF446" i="1"/>
  <c r="Z412" i="1"/>
  <c r="Z424" i="1"/>
  <c r="AF474" i="1"/>
  <c r="Z436" i="1"/>
  <c r="AF412" i="1"/>
  <c r="AH412" i="1" s="1"/>
  <c r="AF417" i="1"/>
  <c r="Z439" i="1"/>
  <c r="Z447" i="1"/>
  <c r="AF439" i="1"/>
  <c r="AH439" i="1" s="1"/>
  <c r="AF478" i="1"/>
  <c r="AF414" i="1"/>
  <c r="Z474" i="1"/>
  <c r="AF426" i="1"/>
  <c r="AF445" i="1"/>
  <c r="AF437" i="1"/>
  <c r="Z444" i="1"/>
  <c r="AN417" i="1" l="1"/>
  <c r="AN418" i="1"/>
  <c r="AN425" i="1"/>
  <c r="AN448" i="1"/>
  <c r="AO448" i="1" s="1"/>
  <c r="AH474" i="1"/>
  <c r="AI474" i="1" s="1"/>
  <c r="AH424" i="1"/>
  <c r="AI424" i="1" s="1"/>
  <c r="AN470" i="1"/>
  <c r="AO470" i="1" s="1"/>
  <c r="AI439" i="1"/>
  <c r="AI412" i="1"/>
  <c r="AI494" i="1"/>
  <c r="AH494" i="1"/>
  <c r="AN427" i="1"/>
  <c r="AH436" i="1"/>
  <c r="AI436" i="1" s="1"/>
  <c r="AN426" i="1"/>
  <c r="AI495" i="1"/>
  <c r="AH495" i="1"/>
  <c r="AF441" i="1"/>
  <c r="AF440" i="1"/>
  <c r="Z413" i="1"/>
  <c r="AF476" i="1"/>
  <c r="Z437" i="1"/>
  <c r="AH437" i="1" s="1"/>
  <c r="Z445" i="1"/>
  <c r="Z409" i="1"/>
  <c r="AH409" i="1" s="1"/>
  <c r="AF421" i="1"/>
  <c r="Z428" i="1"/>
  <c r="Z435" i="1"/>
  <c r="AH435" i="1" s="1"/>
  <c r="AI435" i="1" s="1"/>
  <c r="Z415" i="1"/>
  <c r="AF444" i="1"/>
  <c r="AH444" i="1" s="1"/>
  <c r="AI444" i="1" s="1"/>
  <c r="AF477" i="1"/>
  <c r="Z430" i="1"/>
  <c r="AH430" i="1" s="1"/>
  <c r="AI430" i="1" s="1"/>
  <c r="Z480" i="1"/>
  <c r="AF422" i="1"/>
  <c r="AF438" i="1"/>
  <c r="AF413" i="1"/>
  <c r="Z441" i="1"/>
  <c r="Z497" i="1"/>
  <c r="AI497" i="1" s="1"/>
  <c r="Z431" i="1"/>
  <c r="Z442" i="1"/>
  <c r="AH442" i="1" s="1"/>
  <c r="AI442" i="1" s="1"/>
  <c r="AF429" i="1"/>
  <c r="AF472" i="1"/>
  <c r="Z414" i="1"/>
  <c r="AH414" i="1" s="1"/>
  <c r="AI414" i="1" s="1"/>
  <c r="Z410" i="1"/>
  <c r="AH410" i="1" s="1"/>
  <c r="AI410" i="1" s="1"/>
  <c r="AF416" i="1"/>
  <c r="AF450" i="1"/>
  <c r="Z434" i="1"/>
  <c r="AH434" i="1" s="1"/>
  <c r="AF411" i="1"/>
  <c r="AH411" i="1" s="1"/>
  <c r="AI411" i="1" s="1"/>
  <c r="AF428" i="1"/>
  <c r="AF431" i="1"/>
  <c r="Z422" i="1"/>
  <c r="AF415" i="1"/>
  <c r="Z438" i="1"/>
  <c r="Z421" i="1"/>
  <c r="AF447" i="1"/>
  <c r="AH447" i="1" s="1"/>
  <c r="AI447" i="1" s="1"/>
  <c r="AF480" i="1"/>
  <c r="Z446" i="1"/>
  <c r="AH446" i="1" s="1"/>
  <c r="AI446" i="1" s="1"/>
  <c r="Z475" i="1"/>
  <c r="AH475" i="1" s="1"/>
  <c r="AI475" i="1" s="1"/>
  <c r="AF443" i="1"/>
  <c r="Z470" i="1"/>
  <c r="AH470" i="1" s="1"/>
  <c r="Z429" i="1"/>
  <c r="Z472" i="1"/>
  <c r="Z443" i="1"/>
  <c r="Z448" i="1"/>
  <c r="AH448" i="1" s="1"/>
  <c r="AI448" i="1" s="1"/>
  <c r="AF497" i="1"/>
  <c r="AF451" i="1"/>
  <c r="AE417" i="1"/>
  <c r="AF479" i="1"/>
  <c r="AE418" i="1"/>
  <c r="Z471" i="1"/>
  <c r="AH471" i="1" s="1"/>
  <c r="AI471" i="1" s="1"/>
  <c r="Z423" i="1"/>
  <c r="AH423" i="1" s="1"/>
  <c r="AI423" i="1" s="1"/>
  <c r="Z473" i="1"/>
  <c r="AH473" i="1" s="1"/>
  <c r="AI473" i="1" s="1"/>
  <c r="Z440" i="1"/>
  <c r="AI440" i="1" s="1"/>
  <c r="AL465" i="1"/>
  <c r="AL471" i="1"/>
  <c r="AN471" i="1" s="1"/>
  <c r="AO471" i="1" s="1"/>
  <c r="AL463" i="1"/>
  <c r="AL497" i="1"/>
  <c r="AO497" i="1" s="1"/>
  <c r="AL495" i="1"/>
  <c r="AL479" i="1"/>
  <c r="AO479" i="1" s="1"/>
  <c r="AL472" i="1"/>
  <c r="AO472" i="1" s="1"/>
  <c r="AL477" i="1"/>
  <c r="AL475" i="1"/>
  <c r="AN475" i="1" s="1"/>
  <c r="AO475" i="1" s="1"/>
  <c r="AL474" i="1"/>
  <c r="AN474" i="1" s="1"/>
  <c r="AO474" i="1" s="1"/>
  <c r="AL473" i="1"/>
  <c r="AO473" i="1" s="1"/>
  <c r="AL476" i="1"/>
  <c r="AO476" i="1" s="1"/>
  <c r="AL478" i="1"/>
  <c r="AO478" i="1" s="1"/>
  <c r="Z451" i="1"/>
  <c r="AI451" i="1" s="1"/>
  <c r="Z417" i="1"/>
  <c r="AI417" i="1" s="1"/>
  <c r="Z477" i="1"/>
  <c r="AH413" i="1" l="1"/>
  <c r="AN478" i="1"/>
  <c r="AH440" i="1"/>
  <c r="AH441" i="1"/>
  <c r="AI441" i="1" s="1"/>
  <c r="AH429" i="1"/>
  <c r="AI429" i="1" s="1"/>
  <c r="AI434" i="1"/>
  <c r="AH480" i="1"/>
  <c r="AI480" i="1" s="1"/>
  <c r="AH477" i="1"/>
  <c r="AI477" i="1" s="1"/>
  <c r="AN477" i="1"/>
  <c r="AO477" i="1" s="1"/>
  <c r="AN472" i="1"/>
  <c r="AH472" i="1"/>
  <c r="AI472" i="1" s="1"/>
  <c r="AI431" i="1"/>
  <c r="AH421" i="1"/>
  <c r="AI421" i="1" s="1"/>
  <c r="AH415" i="1"/>
  <c r="AI415" i="1" s="1"/>
  <c r="AI409" i="1"/>
  <c r="AN473" i="1"/>
  <c r="AH445" i="1"/>
  <c r="AI445" i="1" s="1"/>
  <c r="AN479" i="1"/>
  <c r="AN497" i="1"/>
  <c r="AH497" i="1"/>
  <c r="AH428" i="1"/>
  <c r="AI428" i="1" s="1"/>
  <c r="AH443" i="1"/>
  <c r="AI443" i="1" s="1"/>
  <c r="AH438" i="1"/>
  <c r="AI438" i="1" s="1"/>
  <c r="AI437" i="1"/>
  <c r="AN451" i="1"/>
  <c r="AH451" i="1"/>
  <c r="AH431" i="1"/>
  <c r="AN450" i="1"/>
  <c r="AN476" i="1"/>
  <c r="AH476" i="1"/>
  <c r="AI476" i="1" s="1"/>
  <c r="AO495" i="1"/>
  <c r="AN495" i="1"/>
  <c r="AI470" i="1"/>
  <c r="AH422" i="1"/>
  <c r="AI422" i="1" s="1"/>
  <c r="AE416" i="1"/>
  <c r="AN416" i="1"/>
  <c r="AI413" i="1"/>
  <c r="AH417" i="1"/>
  <c r="AL466" i="1"/>
  <c r="AO466" i="1" s="1"/>
  <c r="AE497" i="1"/>
  <c r="Z479" i="1"/>
  <c r="AH479" i="1" s="1"/>
  <c r="AI479" i="1" s="1"/>
  <c r="Z426" i="1"/>
  <c r="Z416" i="1"/>
  <c r="AI416" i="1" s="1"/>
  <c r="Z418" i="1"/>
  <c r="Z427" i="1"/>
  <c r="Z449" i="1"/>
  <c r="Z478" i="1"/>
  <c r="AH478" i="1" s="1"/>
  <c r="AI478" i="1" s="1"/>
  <c r="Z450" i="1"/>
  <c r="AI450" i="1" s="1"/>
  <c r="Z425" i="1"/>
  <c r="Z432" i="1"/>
  <c r="AH416" i="1" l="1"/>
  <c r="AI432" i="1"/>
  <c r="AH432" i="1"/>
  <c r="AI425" i="1"/>
  <c r="AH425" i="1"/>
  <c r="AI427" i="1"/>
  <c r="AH427" i="1"/>
  <c r="AI449" i="1"/>
  <c r="AH449" i="1"/>
  <c r="AH450" i="1"/>
  <c r="AH452" i="1" s="1"/>
  <c r="AI452" i="1" s="1"/>
  <c r="AI418" i="1"/>
  <c r="AH418" i="1"/>
  <c r="AI426" i="1"/>
  <c r="AH426" i="1"/>
  <c r="Z452" i="1"/>
  <c r="Z433" i="1"/>
  <c r="AL480" i="1"/>
  <c r="AL481" i="1" l="1"/>
  <c r="AN480" i="1"/>
  <c r="AO480" i="1" s="1"/>
  <c r="AC452" i="1"/>
  <c r="Q11" i="2" l="1"/>
  <c r="P11" i="2"/>
  <c r="O11" i="2"/>
  <c r="N11" i="2"/>
  <c r="K11" i="2"/>
  <c r="J11" i="2"/>
  <c r="I11" i="2"/>
  <c r="H11" i="2"/>
  <c r="G11" i="2"/>
  <c r="F11" i="2"/>
  <c r="E11" i="2"/>
  <c r="D11" i="2"/>
  <c r="C11" i="2"/>
  <c r="B11" i="2"/>
  <c r="K12" i="2" l="1"/>
  <c r="L12" i="2" l="1"/>
  <c r="N12" i="2"/>
  <c r="O12" i="2"/>
  <c r="J12" i="2"/>
  <c r="C12" i="2" l="1"/>
  <c r="P12" i="2"/>
  <c r="F12" i="2"/>
  <c r="B12" i="2"/>
  <c r="D12" i="2"/>
  <c r="G12" i="2" l="1"/>
  <c r="H12" i="2"/>
  <c r="M12" i="2"/>
  <c r="Q12" i="2" l="1"/>
  <c r="E12" i="2" l="1"/>
  <c r="I12" i="2"/>
  <c r="AF465" i="1" l="1"/>
  <c r="AF464" i="1"/>
  <c r="AF463" i="1"/>
  <c r="AC465" i="1"/>
  <c r="AC464" i="1"/>
  <c r="AC463" i="1"/>
  <c r="Z465" i="1"/>
  <c r="AI465" i="1" s="1"/>
  <c r="Z464" i="1"/>
  <c r="AI464" i="1" s="1"/>
  <c r="Z463" i="1"/>
  <c r="AI463" i="1" s="1"/>
  <c r="Q394" i="1"/>
  <c r="Q393" i="1"/>
  <c r="Q392" i="1"/>
  <c r="Q391" i="1"/>
  <c r="Q390" i="1"/>
  <c r="Q389" i="1"/>
  <c r="Q388" i="1"/>
  <c r="Q387" i="1"/>
  <c r="Q386" i="1"/>
  <c r="Q385" i="1"/>
  <c r="Q384" i="1"/>
  <c r="Q383" i="1"/>
  <c r="Q382" i="1"/>
  <c r="Q381" i="1"/>
  <c r="Q380" i="1"/>
  <c r="Q379" i="1"/>
  <c r="Q378" i="1"/>
  <c r="Q376" i="1"/>
  <c r="Q375" i="1"/>
  <c r="Q374" i="1"/>
  <c r="Q373" i="1"/>
  <c r="Q372" i="1"/>
  <c r="Q371" i="1"/>
  <c r="Q370" i="1"/>
  <c r="Q369" i="1"/>
  <c r="Q368" i="1"/>
  <c r="Q367" i="1"/>
  <c r="Q366" i="1"/>
  <c r="Q365" i="1"/>
  <c r="O362" i="1"/>
  <c r="R362" i="1" s="1"/>
  <c r="L394" i="1"/>
  <c r="L393" i="1"/>
  <c r="L392" i="1"/>
  <c r="L391" i="1"/>
  <c r="S391" i="1" s="1"/>
  <c r="L390" i="1"/>
  <c r="S390" i="1" s="1"/>
  <c r="L389" i="1"/>
  <c r="S389" i="1" s="1"/>
  <c r="L388" i="1"/>
  <c r="S388" i="1" s="1"/>
  <c r="L387" i="1"/>
  <c r="S387" i="1" s="1"/>
  <c r="L386" i="1"/>
  <c r="L385" i="1"/>
  <c r="L384" i="1"/>
  <c r="L383" i="1"/>
  <c r="L382" i="1"/>
  <c r="L381" i="1"/>
  <c r="L380" i="1"/>
  <c r="L379" i="1"/>
  <c r="S379" i="1" s="1"/>
  <c r="L378" i="1"/>
  <c r="S378" i="1" s="1"/>
  <c r="L376" i="1"/>
  <c r="S376" i="1" s="1"/>
  <c r="L375" i="1"/>
  <c r="S375" i="1" s="1"/>
  <c r="L374" i="1"/>
  <c r="S374" i="1" s="1"/>
  <c r="L373" i="1"/>
  <c r="S373" i="1" s="1"/>
  <c r="L372" i="1"/>
  <c r="L371" i="1"/>
  <c r="L370" i="1"/>
  <c r="L369" i="1"/>
  <c r="L368" i="1"/>
  <c r="L367" i="1"/>
  <c r="L366" i="1"/>
  <c r="S366" i="1" s="1"/>
  <c r="L365" i="1"/>
  <c r="S365" i="1" s="1"/>
  <c r="J362" i="1"/>
  <c r="I394" i="1"/>
  <c r="I393" i="1"/>
  <c r="I392" i="1"/>
  <c r="I391" i="1"/>
  <c r="I390" i="1"/>
  <c r="I389" i="1"/>
  <c r="I388" i="1"/>
  <c r="I387" i="1"/>
  <c r="I386" i="1"/>
  <c r="I385" i="1"/>
  <c r="I384" i="1"/>
  <c r="I383" i="1"/>
  <c r="I382" i="1"/>
  <c r="I381" i="1"/>
  <c r="I380" i="1"/>
  <c r="I379" i="1"/>
  <c r="I378" i="1"/>
  <c r="I376" i="1"/>
  <c r="I375" i="1"/>
  <c r="I374" i="1"/>
  <c r="I373" i="1"/>
  <c r="I372" i="1"/>
  <c r="I371" i="1"/>
  <c r="I370" i="1"/>
  <c r="I369" i="1"/>
  <c r="I368" i="1"/>
  <c r="I367" i="1"/>
  <c r="I366" i="1"/>
  <c r="I365" i="1"/>
  <c r="I362" i="1"/>
  <c r="G362" i="1"/>
  <c r="F394" i="1"/>
  <c r="F393" i="1"/>
  <c r="F392" i="1"/>
  <c r="F391" i="1"/>
  <c r="F390" i="1"/>
  <c r="F389" i="1"/>
  <c r="F388" i="1"/>
  <c r="F387" i="1"/>
  <c r="F386" i="1"/>
  <c r="F385" i="1"/>
  <c r="F384" i="1"/>
  <c r="F383" i="1"/>
  <c r="F382" i="1"/>
  <c r="F381" i="1"/>
  <c r="F380" i="1"/>
  <c r="F379" i="1"/>
  <c r="F378" i="1"/>
  <c r="F376" i="1"/>
  <c r="F375" i="1"/>
  <c r="F374" i="1"/>
  <c r="F373" i="1"/>
  <c r="F372" i="1"/>
  <c r="F371" i="1"/>
  <c r="F370" i="1"/>
  <c r="F369" i="1"/>
  <c r="F368" i="1"/>
  <c r="F367" i="1"/>
  <c r="F366" i="1"/>
  <c r="F365" i="1"/>
  <c r="F93" i="1"/>
  <c r="S386" i="1" l="1"/>
  <c r="S367" i="1"/>
  <c r="S380" i="1"/>
  <c r="S392" i="1"/>
  <c r="S393" i="1"/>
  <c r="S381" i="1"/>
  <c r="S369" i="1"/>
  <c r="S382" i="1"/>
  <c r="S394" i="1"/>
  <c r="S370" i="1"/>
  <c r="S383" i="1"/>
  <c r="AH463" i="1"/>
  <c r="AH466" i="1" s="1"/>
  <c r="S368" i="1"/>
  <c r="S371" i="1"/>
  <c r="S384" i="1"/>
  <c r="AH464" i="1"/>
  <c r="S372" i="1"/>
  <c r="S385" i="1"/>
  <c r="AH465" i="1"/>
  <c r="Q176" i="1"/>
  <c r="I248" i="1"/>
  <c r="L176" i="1"/>
  <c r="Q242" i="1"/>
  <c r="Q179" i="1"/>
  <c r="Q192" i="1"/>
  <c r="I189" i="1"/>
  <c r="H362" i="1"/>
  <c r="Q248" i="1"/>
  <c r="I182" i="1"/>
  <c r="L179" i="1"/>
  <c r="L192" i="1"/>
  <c r="P174" i="1"/>
  <c r="I304" i="1"/>
  <c r="I309" i="1" s="1"/>
  <c r="I314" i="1" s="1"/>
  <c r="Q182" i="1"/>
  <c r="I176" i="1"/>
  <c r="I242" i="1"/>
  <c r="Q173" i="1"/>
  <c r="I245" i="1"/>
  <c r="I330" i="1"/>
  <c r="I349" i="1"/>
  <c r="Q330" i="1"/>
  <c r="H250" i="1"/>
  <c r="Q189" i="1"/>
  <c r="F210" i="1"/>
  <c r="P250" i="1"/>
  <c r="Q304" i="1"/>
  <c r="Q309" i="1" s="1"/>
  <c r="Q314" i="1" s="1"/>
  <c r="H295" i="1"/>
  <c r="I179" i="1"/>
  <c r="I192" i="1"/>
  <c r="K174" i="1"/>
  <c r="L210" i="1"/>
  <c r="Q210" i="1"/>
  <c r="Q285" i="1"/>
  <c r="L330" i="1"/>
  <c r="P360" i="1"/>
  <c r="H174" i="1"/>
  <c r="I210" i="1"/>
  <c r="L185" i="1"/>
  <c r="L182" i="1"/>
  <c r="Q266" i="1"/>
  <c r="P266" i="1" s="1"/>
  <c r="L304" i="1"/>
  <c r="H360" i="1"/>
  <c r="I395" i="1"/>
  <c r="H395" i="1" s="1"/>
  <c r="K360" i="1"/>
  <c r="Q377" i="1"/>
  <c r="P377" i="1" s="1"/>
  <c r="I185" i="1"/>
  <c r="I194" i="1" s="1"/>
  <c r="L377" i="1"/>
  <c r="Q250" i="1"/>
  <c r="I377" i="1"/>
  <c r="L189" i="1"/>
  <c r="J304" i="1"/>
  <c r="Q395" i="1"/>
  <c r="P395" i="1" s="1"/>
  <c r="I266" i="1"/>
  <c r="I285" i="1"/>
  <c r="P295" i="1"/>
  <c r="Q349" i="1"/>
  <c r="L395" i="1"/>
  <c r="K395" i="1" s="1"/>
  <c r="Q362" i="1"/>
  <c r="S363" i="1" s="1"/>
  <c r="L362" i="1"/>
  <c r="O304" i="1"/>
  <c r="K295" i="1"/>
  <c r="G304" i="1"/>
  <c r="Q245" i="1"/>
  <c r="I250" i="1"/>
  <c r="P185" i="1"/>
  <c r="P194" i="1" s="1"/>
  <c r="Q185" i="1"/>
  <c r="K185" i="1"/>
  <c r="L173" i="1"/>
  <c r="H185" i="1"/>
  <c r="H194" i="1" s="1"/>
  <c r="I173" i="1"/>
  <c r="Q95" i="1"/>
  <c r="O95" i="1"/>
  <c r="Q94" i="1"/>
  <c r="O94" i="1"/>
  <c r="L95" i="1"/>
  <c r="J95" i="1"/>
  <c r="L94" i="1"/>
  <c r="J94" i="1"/>
  <c r="I95" i="1"/>
  <c r="G95" i="1"/>
  <c r="I94" i="1"/>
  <c r="G94" i="1"/>
  <c r="F95" i="1"/>
  <c r="F94" i="1"/>
  <c r="D95" i="1"/>
  <c r="D94" i="1"/>
  <c r="Q93" i="1"/>
  <c r="L93" i="1"/>
  <c r="I93" i="1"/>
  <c r="Q82" i="1"/>
  <c r="Q81" i="1"/>
  <c r="Q80" i="1"/>
  <c r="Q79" i="1"/>
  <c r="Q78" i="1"/>
  <c r="Q77" i="1"/>
  <c r="Q76" i="1"/>
  <c r="Q75" i="1"/>
  <c r="L81" i="1"/>
  <c r="L80" i="1"/>
  <c r="L79" i="1"/>
  <c r="L78" i="1"/>
  <c r="L77" i="1"/>
  <c r="L76" i="1"/>
  <c r="L75" i="1"/>
  <c r="I82" i="1"/>
  <c r="I81" i="1"/>
  <c r="I80" i="1"/>
  <c r="I79" i="1"/>
  <c r="I78" i="1"/>
  <c r="I77" i="1"/>
  <c r="I76" i="1"/>
  <c r="I75" i="1"/>
  <c r="F82" i="1"/>
  <c r="F81" i="1"/>
  <c r="F80" i="1"/>
  <c r="F79" i="1"/>
  <c r="F78" i="1"/>
  <c r="F77" i="1"/>
  <c r="F76" i="1"/>
  <c r="F75" i="1"/>
  <c r="I97" i="1" l="1"/>
  <c r="S395" i="1"/>
  <c r="S362" i="1"/>
  <c r="S377" i="1"/>
  <c r="M95" i="1"/>
  <c r="R95" i="1"/>
  <c r="N80" i="1"/>
  <c r="S80" i="1"/>
  <c r="S81" i="1"/>
  <c r="N81" i="1"/>
  <c r="N79" i="1"/>
  <c r="S79" i="1"/>
  <c r="N75" i="1"/>
  <c r="S75" i="1"/>
  <c r="R304" i="1"/>
  <c r="N76" i="1"/>
  <c r="S76" i="1"/>
  <c r="N77" i="1"/>
  <c r="S77" i="1"/>
  <c r="M94" i="1"/>
  <c r="R94" i="1"/>
  <c r="N95" i="1"/>
  <c r="S95" i="1"/>
  <c r="S78" i="1"/>
  <c r="N78" i="1"/>
  <c r="L97" i="1"/>
  <c r="J112" i="1" s="1"/>
  <c r="S94" i="1"/>
  <c r="N94" i="1"/>
  <c r="S330" i="1"/>
  <c r="S304" i="1"/>
  <c r="S305" i="1" s="1"/>
  <c r="S210" i="1"/>
  <c r="N210" i="1"/>
  <c r="N185" i="1"/>
  <c r="N186" i="1" s="1"/>
  <c r="S185" i="1"/>
  <c r="K362" i="1"/>
  <c r="L309" i="1"/>
  <c r="L194" i="1"/>
  <c r="K194" i="1"/>
  <c r="G97" i="1"/>
  <c r="H97" i="1" s="1"/>
  <c r="D97" i="1"/>
  <c r="E113" i="1" s="1"/>
  <c r="F97" i="1"/>
  <c r="J97" i="1"/>
  <c r="Q97" i="1"/>
  <c r="O97" i="1"/>
  <c r="H99" i="1"/>
  <c r="E99" i="1"/>
  <c r="P99" i="1"/>
  <c r="K99" i="1"/>
  <c r="I397" i="1"/>
  <c r="H397" i="1" s="1"/>
  <c r="H94" i="1"/>
  <c r="P94" i="1"/>
  <c r="H330" i="1"/>
  <c r="H349" i="1"/>
  <c r="I287" i="1"/>
  <c r="I289" i="1" s="1"/>
  <c r="P349" i="1"/>
  <c r="H95" i="1"/>
  <c r="P95" i="1"/>
  <c r="P100" i="1"/>
  <c r="P330" i="1"/>
  <c r="K95" i="1"/>
  <c r="Q397" i="1"/>
  <c r="P397" i="1" s="1"/>
  <c r="Q351" i="1"/>
  <c r="P351" i="1" s="1"/>
  <c r="H266" i="1"/>
  <c r="H100" i="1"/>
  <c r="Q287" i="1"/>
  <c r="Q289" i="1" s="1"/>
  <c r="K304" i="1"/>
  <c r="L397" i="1"/>
  <c r="K100" i="1"/>
  <c r="H377" i="1"/>
  <c r="Q83" i="1"/>
  <c r="J309" i="1"/>
  <c r="K94" i="1"/>
  <c r="P285" i="1"/>
  <c r="E100" i="1"/>
  <c r="I195" i="1"/>
  <c r="K377" i="1"/>
  <c r="Q251" i="1"/>
  <c r="P362" i="1"/>
  <c r="O309" i="1"/>
  <c r="P304" i="1"/>
  <c r="G309" i="1"/>
  <c r="G314" i="1" s="1"/>
  <c r="H304" i="1"/>
  <c r="I251" i="1"/>
  <c r="H285" i="1"/>
  <c r="Q194" i="1"/>
  <c r="Q186" i="1"/>
  <c r="L186" i="1"/>
  <c r="H210" i="1"/>
  <c r="I186" i="1"/>
  <c r="Q71" i="1"/>
  <c r="Q70" i="1"/>
  <c r="Q69" i="1"/>
  <c r="Q68" i="1"/>
  <c r="Q67" i="1"/>
  <c r="Q66" i="1"/>
  <c r="Q65" i="1"/>
  <c r="Q64" i="1"/>
  <c r="Q63" i="1"/>
  <c r="Q62" i="1"/>
  <c r="Q61" i="1"/>
  <c r="Q60" i="1"/>
  <c r="Q59" i="1"/>
  <c r="Q58" i="1"/>
  <c r="Q57" i="1"/>
  <c r="Q56" i="1"/>
  <c r="Q55" i="1"/>
  <c r="L71" i="1"/>
  <c r="L70" i="1"/>
  <c r="L69" i="1"/>
  <c r="L67" i="1"/>
  <c r="L66" i="1"/>
  <c r="L65" i="1"/>
  <c r="L64" i="1"/>
  <c r="L63" i="1"/>
  <c r="L62" i="1"/>
  <c r="L61" i="1"/>
  <c r="L60" i="1"/>
  <c r="L59" i="1"/>
  <c r="L58" i="1"/>
  <c r="L57" i="1"/>
  <c r="L56" i="1"/>
  <c r="L55" i="1"/>
  <c r="I71" i="1"/>
  <c r="I70" i="1"/>
  <c r="I69" i="1"/>
  <c r="I68" i="1"/>
  <c r="I67" i="1"/>
  <c r="I66" i="1"/>
  <c r="I65" i="1"/>
  <c r="I64" i="1"/>
  <c r="I63" i="1"/>
  <c r="I62" i="1"/>
  <c r="I61" i="1"/>
  <c r="I60" i="1"/>
  <c r="I59" i="1"/>
  <c r="I58" i="1"/>
  <c r="I57" i="1"/>
  <c r="I56" i="1"/>
  <c r="I55" i="1"/>
  <c r="F71" i="1"/>
  <c r="F70" i="1"/>
  <c r="F69" i="1"/>
  <c r="F68" i="1"/>
  <c r="F67" i="1"/>
  <c r="F66" i="1"/>
  <c r="F65" i="1"/>
  <c r="F64" i="1"/>
  <c r="F63" i="1"/>
  <c r="F62" i="1"/>
  <c r="F61" i="1"/>
  <c r="F60" i="1"/>
  <c r="F59" i="1"/>
  <c r="F58" i="1"/>
  <c r="F57" i="1"/>
  <c r="F56" i="1"/>
  <c r="F55" i="1"/>
  <c r="Q53" i="1"/>
  <c r="Q52" i="1"/>
  <c r="Q51" i="1"/>
  <c r="Q50" i="1"/>
  <c r="Q49" i="1"/>
  <c r="Q48" i="1"/>
  <c r="Q47" i="1"/>
  <c r="Q46" i="1"/>
  <c r="Q45" i="1"/>
  <c r="Q44" i="1"/>
  <c r="Q43" i="1"/>
  <c r="Q42" i="1"/>
  <c r="L53" i="1"/>
  <c r="I53" i="1"/>
  <c r="F53" i="1"/>
  <c r="L52" i="1"/>
  <c r="I52" i="1"/>
  <c r="F52" i="1"/>
  <c r="L51" i="1"/>
  <c r="I51" i="1"/>
  <c r="F51" i="1"/>
  <c r="L50" i="1"/>
  <c r="I50" i="1"/>
  <c r="F50" i="1"/>
  <c r="L49" i="1"/>
  <c r="I49" i="1"/>
  <c r="F49" i="1"/>
  <c r="L48" i="1"/>
  <c r="I48" i="1"/>
  <c r="F48" i="1"/>
  <c r="L47" i="1"/>
  <c r="I47" i="1"/>
  <c r="F47" i="1"/>
  <c r="L46" i="1"/>
  <c r="I46" i="1"/>
  <c r="F46" i="1"/>
  <c r="L45" i="1"/>
  <c r="I45" i="1"/>
  <c r="F45" i="1"/>
  <c r="L44" i="1"/>
  <c r="I44" i="1"/>
  <c r="F44" i="1"/>
  <c r="L43" i="1"/>
  <c r="I43" i="1"/>
  <c r="F43" i="1"/>
  <c r="L42" i="1"/>
  <c r="I42" i="1"/>
  <c r="F42" i="1"/>
  <c r="Q40" i="1"/>
  <c r="Q39" i="1"/>
  <c r="Q38" i="1"/>
  <c r="Q37" i="1"/>
  <c r="Q36" i="1"/>
  <c r="Q35" i="1"/>
  <c r="Q34" i="1"/>
  <c r="Q33" i="1"/>
  <c r="Q32" i="1"/>
  <c r="Q31" i="1"/>
  <c r="L40" i="1"/>
  <c r="L39" i="1"/>
  <c r="L38" i="1"/>
  <c r="L37" i="1"/>
  <c r="L36" i="1"/>
  <c r="L35" i="1"/>
  <c r="L34" i="1"/>
  <c r="L33" i="1"/>
  <c r="L32" i="1"/>
  <c r="L31" i="1"/>
  <c r="I40" i="1"/>
  <c r="I39" i="1"/>
  <c r="I38" i="1"/>
  <c r="I37" i="1"/>
  <c r="I36" i="1"/>
  <c r="I35" i="1"/>
  <c r="I34" i="1"/>
  <c r="I33" i="1"/>
  <c r="I32" i="1"/>
  <c r="I31" i="1"/>
  <c r="F40" i="1"/>
  <c r="F39" i="1"/>
  <c r="F38" i="1"/>
  <c r="F37" i="1"/>
  <c r="F36" i="1"/>
  <c r="F35" i="1"/>
  <c r="F34" i="1"/>
  <c r="F33" i="1"/>
  <c r="F32" i="1"/>
  <c r="F31" i="1"/>
  <c r="Q23" i="1"/>
  <c r="Q22" i="1"/>
  <c r="Q21" i="1"/>
  <c r="L23" i="1"/>
  <c r="L22" i="1"/>
  <c r="L21" i="1"/>
  <c r="I23" i="1"/>
  <c r="I22" i="1"/>
  <c r="I21" i="1"/>
  <c r="F23" i="1"/>
  <c r="F22" i="1"/>
  <c r="F21" i="1"/>
  <c r="Q19" i="1"/>
  <c r="L19" i="1"/>
  <c r="I19" i="1"/>
  <c r="F19" i="1"/>
  <c r="Q17" i="1"/>
  <c r="O17" i="1"/>
  <c r="L17" i="1"/>
  <c r="J17" i="1"/>
  <c r="I17" i="1"/>
  <c r="G17" i="1"/>
  <c r="F17" i="1"/>
  <c r="D17" i="1"/>
  <c r="Q15" i="1"/>
  <c r="O15" i="1"/>
  <c r="L15" i="1"/>
  <c r="J15" i="1"/>
  <c r="I15" i="1"/>
  <c r="G15" i="1"/>
  <c r="F15" i="1"/>
  <c r="D15" i="1"/>
  <c r="Q12" i="1"/>
  <c r="Q11" i="1"/>
  <c r="Q10" i="1"/>
  <c r="Q9" i="1"/>
  <c r="Q8" i="1"/>
  <c r="Q7" i="1"/>
  <c r="Q6" i="1"/>
  <c r="O12" i="1"/>
  <c r="O11" i="1"/>
  <c r="O10" i="1"/>
  <c r="O9" i="1"/>
  <c r="O8" i="1"/>
  <c r="O7" i="1"/>
  <c r="O6" i="1"/>
  <c r="L12" i="1"/>
  <c r="L11" i="1"/>
  <c r="L10" i="1"/>
  <c r="L9" i="1"/>
  <c r="L8" i="1"/>
  <c r="L7" i="1"/>
  <c r="L6" i="1"/>
  <c r="J12" i="1"/>
  <c r="J11" i="1"/>
  <c r="J10" i="1"/>
  <c r="J9" i="1"/>
  <c r="J8" i="1"/>
  <c r="J7" i="1"/>
  <c r="J6" i="1"/>
  <c r="I12" i="1"/>
  <c r="I11" i="1"/>
  <c r="I10" i="1"/>
  <c r="I9" i="1"/>
  <c r="I8" i="1"/>
  <c r="I7" i="1"/>
  <c r="I6" i="1"/>
  <c r="G12" i="1"/>
  <c r="G11" i="1"/>
  <c r="G10" i="1"/>
  <c r="G9" i="1"/>
  <c r="G8" i="1"/>
  <c r="G7" i="1"/>
  <c r="G6" i="1"/>
  <c r="F12" i="1"/>
  <c r="F11" i="1"/>
  <c r="F10" i="1"/>
  <c r="F9" i="1"/>
  <c r="F8" i="1"/>
  <c r="F7" i="1"/>
  <c r="F6" i="1"/>
  <c r="D12" i="1"/>
  <c r="D11" i="1"/>
  <c r="D10" i="1"/>
  <c r="D9" i="1"/>
  <c r="D8" i="1"/>
  <c r="D7" i="1"/>
  <c r="D6" i="1"/>
  <c r="Q5" i="1"/>
  <c r="L5" i="1"/>
  <c r="I5" i="1"/>
  <c r="F5" i="1"/>
  <c r="S97" i="1" l="1"/>
  <c r="S98" i="1" s="1"/>
  <c r="H120" i="1"/>
  <c r="E119" i="1"/>
  <c r="R97" i="1"/>
  <c r="R98" i="1" s="1"/>
  <c r="E118" i="1"/>
  <c r="E114" i="1"/>
  <c r="M97" i="1"/>
  <c r="M98" i="1" s="1"/>
  <c r="S6" i="1"/>
  <c r="N6" i="1"/>
  <c r="S22" i="1"/>
  <c r="N22" i="1"/>
  <c r="S60" i="1"/>
  <c r="N60" i="1"/>
  <c r="N42" i="1"/>
  <c r="S42" i="1"/>
  <c r="R15" i="1"/>
  <c r="M15" i="1"/>
  <c r="S23" i="1"/>
  <c r="N23" i="1"/>
  <c r="N31" i="1"/>
  <c r="S31" i="1"/>
  <c r="S61" i="1"/>
  <c r="N61" i="1"/>
  <c r="N8" i="1"/>
  <c r="S8" i="1"/>
  <c r="N15" i="1"/>
  <c r="S15" i="1"/>
  <c r="S32" i="1"/>
  <c r="N32" i="1"/>
  <c r="S43" i="1"/>
  <c r="N43" i="1"/>
  <c r="S47" i="1"/>
  <c r="N47" i="1"/>
  <c r="N51" i="1"/>
  <c r="S51" i="1"/>
  <c r="N62" i="1"/>
  <c r="S62" i="1"/>
  <c r="S21" i="1"/>
  <c r="N21" i="1"/>
  <c r="N9" i="1"/>
  <c r="S9" i="1"/>
  <c r="N19" i="1"/>
  <c r="S19" i="1"/>
  <c r="S33" i="1"/>
  <c r="N33" i="1"/>
  <c r="S63" i="1"/>
  <c r="N63" i="1"/>
  <c r="S50" i="1"/>
  <c r="N50" i="1"/>
  <c r="N59" i="1"/>
  <c r="S59" i="1"/>
  <c r="N10" i="1"/>
  <c r="S10" i="1"/>
  <c r="N34" i="1"/>
  <c r="S34" i="1"/>
  <c r="N64" i="1"/>
  <c r="S64" i="1"/>
  <c r="R6" i="1"/>
  <c r="M6" i="1"/>
  <c r="S11" i="1"/>
  <c r="N11" i="1"/>
  <c r="N35" i="1"/>
  <c r="S35" i="1"/>
  <c r="N44" i="1"/>
  <c r="S44" i="1"/>
  <c r="S48" i="1"/>
  <c r="N48" i="1"/>
  <c r="N52" i="1"/>
  <c r="S52" i="1"/>
  <c r="S65" i="1"/>
  <c r="N65" i="1"/>
  <c r="R7" i="1"/>
  <c r="M7" i="1"/>
  <c r="N12" i="1"/>
  <c r="S12" i="1"/>
  <c r="N36" i="1"/>
  <c r="S36" i="1"/>
  <c r="S66" i="1"/>
  <c r="N66" i="1"/>
  <c r="R12" i="1"/>
  <c r="M12" i="1"/>
  <c r="R8" i="1"/>
  <c r="M8" i="1"/>
  <c r="S37" i="1"/>
  <c r="N37" i="1"/>
  <c r="N55" i="1"/>
  <c r="S55" i="1"/>
  <c r="N67" i="1"/>
  <c r="S67" i="1"/>
  <c r="S46" i="1"/>
  <c r="N46" i="1"/>
  <c r="N7" i="1"/>
  <c r="S7" i="1"/>
  <c r="R9" i="1"/>
  <c r="M9" i="1"/>
  <c r="N38" i="1"/>
  <c r="S38" i="1"/>
  <c r="S45" i="1"/>
  <c r="N45" i="1"/>
  <c r="N49" i="1"/>
  <c r="S49" i="1"/>
  <c r="S53" i="1"/>
  <c r="N53" i="1"/>
  <c r="S56" i="1"/>
  <c r="N56" i="1"/>
  <c r="N69" i="1"/>
  <c r="S69" i="1"/>
  <c r="N97" i="1"/>
  <c r="N98" i="1" s="1"/>
  <c r="R10" i="1"/>
  <c r="M10" i="1"/>
  <c r="M17" i="1"/>
  <c r="R17" i="1"/>
  <c r="N39" i="1"/>
  <c r="S39" i="1"/>
  <c r="N57" i="1"/>
  <c r="S57" i="1"/>
  <c r="S70" i="1"/>
  <c r="N70" i="1"/>
  <c r="R11" i="1"/>
  <c r="M11" i="1"/>
  <c r="N17" i="1"/>
  <c r="S17" i="1"/>
  <c r="S40" i="1"/>
  <c r="N40" i="1"/>
  <c r="S58" i="1"/>
  <c r="N58" i="1"/>
  <c r="N71" i="1"/>
  <c r="S71" i="1"/>
  <c r="O314" i="1"/>
  <c r="R309" i="1"/>
  <c r="S397" i="1"/>
  <c r="K210" i="1"/>
  <c r="S194" i="1"/>
  <c r="S195" i="1" s="1"/>
  <c r="H119" i="1"/>
  <c r="S309" i="1"/>
  <c r="S310" i="1" s="1"/>
  <c r="H115" i="1"/>
  <c r="L195" i="1"/>
  <c r="H113" i="1"/>
  <c r="O112" i="1"/>
  <c r="H116" i="1"/>
  <c r="E120" i="1"/>
  <c r="E115" i="1"/>
  <c r="E117" i="1"/>
  <c r="E116" i="1"/>
  <c r="L314" i="1"/>
  <c r="K397" i="1"/>
  <c r="J314" i="1"/>
  <c r="E121" i="1"/>
  <c r="H121" i="1"/>
  <c r="H117" i="1"/>
  <c r="H114" i="1"/>
  <c r="H118" i="1"/>
  <c r="K117" i="1"/>
  <c r="P121" i="1"/>
  <c r="K120" i="1"/>
  <c r="P120" i="1"/>
  <c r="K116" i="1"/>
  <c r="P119" i="1"/>
  <c r="P118" i="1"/>
  <c r="P114" i="1"/>
  <c r="K113" i="1"/>
  <c r="P117" i="1"/>
  <c r="K118" i="1"/>
  <c r="P115" i="1"/>
  <c r="P113" i="1"/>
  <c r="K114" i="1"/>
  <c r="K121" i="1"/>
  <c r="K119" i="1"/>
  <c r="P116" i="1"/>
  <c r="K115" i="1"/>
  <c r="K97" i="1"/>
  <c r="L399" i="1"/>
  <c r="I399" i="1"/>
  <c r="H287" i="1"/>
  <c r="P287" i="1"/>
  <c r="K309" i="1"/>
  <c r="Q399" i="1"/>
  <c r="Q353" i="1"/>
  <c r="P314" i="1"/>
  <c r="P309" i="1"/>
  <c r="H314" i="1"/>
  <c r="H309" i="1"/>
  <c r="Q195" i="1"/>
  <c r="P210" i="1"/>
  <c r="N13" i="1" l="1"/>
  <c r="S399" i="1"/>
  <c r="S54" i="1"/>
  <c r="N54" i="1"/>
  <c r="M13" i="1"/>
  <c r="R13" i="1"/>
  <c r="S13" i="1"/>
  <c r="R194" i="1"/>
  <c r="S314" i="1"/>
  <c r="S315" i="1" s="1"/>
  <c r="R314" i="1"/>
  <c r="K314" i="1"/>
  <c r="K330" i="1"/>
  <c r="O13" i="2"/>
  <c r="O10" i="2" l="1"/>
  <c r="N13" i="2"/>
  <c r="J13" i="2"/>
  <c r="J10" i="2" l="1"/>
  <c r="N10" i="2"/>
  <c r="K13" i="2"/>
  <c r="C13" i="2"/>
  <c r="F13" i="2"/>
  <c r="L13" i="2"/>
  <c r="G13" i="2"/>
  <c r="B13" i="2"/>
  <c r="B10" i="2" s="1"/>
  <c r="F10" i="2" l="1"/>
  <c r="G10" i="2"/>
  <c r="K10" i="2"/>
  <c r="P13" i="2"/>
  <c r="P10" i="2" l="1"/>
  <c r="D13" i="2"/>
  <c r="H13" i="2"/>
  <c r="Q13" i="2"/>
  <c r="M13" i="2"/>
  <c r="H10" i="2" l="1"/>
  <c r="Q10" i="2"/>
  <c r="I13" i="2"/>
  <c r="E13" i="2"/>
  <c r="A499" i="1"/>
  <c r="A498" i="1"/>
  <c r="A497" i="1"/>
  <c r="A496" i="1"/>
  <c r="A495" i="1"/>
  <c r="A494" i="1"/>
  <c r="A493" i="1"/>
  <c r="A492" i="1"/>
  <c r="A491" i="1"/>
  <c r="A490" i="1"/>
  <c r="A489" i="1"/>
  <c r="A488" i="1"/>
  <c r="A487" i="1"/>
  <c r="A486" i="1"/>
  <c r="A484" i="1"/>
  <c r="A483" i="1"/>
  <c r="A482" i="1"/>
  <c r="A481" i="1"/>
  <c r="A480" i="1"/>
  <c r="A479" i="1"/>
  <c r="A478" i="1"/>
  <c r="A477" i="1"/>
  <c r="A476" i="1"/>
  <c r="A475" i="1"/>
  <c r="A474" i="1"/>
  <c r="A473" i="1"/>
  <c r="A472" i="1"/>
  <c r="A471" i="1"/>
  <c r="A470" i="1"/>
  <c r="A469" i="1"/>
  <c r="A468" i="1"/>
  <c r="A467" i="1"/>
  <c r="A466" i="1"/>
  <c r="A465" i="1"/>
  <c r="A464" i="1"/>
  <c r="A463" i="1"/>
  <c r="A462" i="1"/>
  <c r="A461" i="1"/>
  <c r="A460" i="1"/>
  <c r="A459" i="1"/>
  <c r="A458" i="1"/>
  <c r="A457" i="1"/>
  <c r="A456" i="1"/>
  <c r="A455" i="1"/>
  <c r="A454" i="1"/>
  <c r="A453" i="1"/>
  <c r="A452" i="1"/>
  <c r="A451" i="1"/>
  <c r="A450" i="1"/>
  <c r="A449" i="1"/>
  <c r="A448" i="1"/>
  <c r="A447" i="1"/>
  <c r="A446" i="1"/>
  <c r="A445" i="1"/>
  <c r="A444" i="1"/>
  <c r="A443" i="1"/>
  <c r="A442" i="1"/>
  <c r="A441" i="1"/>
  <c r="A439" i="1"/>
  <c r="A438" i="1"/>
  <c r="A437" i="1"/>
  <c r="A436" i="1"/>
  <c r="A435" i="1"/>
  <c r="A434" i="1"/>
  <c r="A433" i="1"/>
  <c r="A432" i="1"/>
  <c r="A431" i="1"/>
  <c r="A430" i="1"/>
  <c r="A429" i="1"/>
  <c r="A428" i="1"/>
  <c r="A427" i="1"/>
  <c r="A426" i="1"/>
  <c r="A425" i="1"/>
  <c r="A424" i="1"/>
  <c r="A423" i="1"/>
  <c r="A422" i="1"/>
  <c r="A421" i="1"/>
  <c r="A420" i="1"/>
  <c r="A419" i="1"/>
  <c r="A418" i="1"/>
  <c r="A417" i="1"/>
  <c r="A416" i="1"/>
  <c r="A415" i="1"/>
  <c r="A414" i="1"/>
  <c r="A413" i="1"/>
  <c r="A412" i="1"/>
  <c r="A411" i="1"/>
  <c r="A410" i="1"/>
  <c r="A409" i="1"/>
  <c r="A408" i="1"/>
  <c r="A407" i="1"/>
  <c r="A406" i="1"/>
  <c r="A405" i="1"/>
  <c r="A404" i="1"/>
  <c r="A394" i="1"/>
  <c r="A393" i="1"/>
  <c r="A392" i="1"/>
  <c r="A391" i="1"/>
  <c r="A390" i="1"/>
  <c r="A389" i="1"/>
  <c r="A388" i="1"/>
  <c r="A387" i="1"/>
  <c r="A386" i="1"/>
  <c r="A385" i="1"/>
  <c r="A384" i="1"/>
  <c r="A383" i="1"/>
  <c r="A382" i="1"/>
  <c r="A381" i="1"/>
  <c r="A380" i="1"/>
  <c r="A379" i="1"/>
  <c r="A378" i="1"/>
  <c r="A377" i="1"/>
  <c r="A376" i="1"/>
  <c r="A375" i="1"/>
  <c r="A374" i="1"/>
  <c r="A373" i="1"/>
  <c r="A372" i="1"/>
  <c r="A371" i="1"/>
  <c r="A370" i="1"/>
  <c r="A369" i="1"/>
  <c r="A368" i="1"/>
  <c r="A367" i="1"/>
  <c r="A366" i="1"/>
  <c r="A365" i="1"/>
  <c r="A364" i="1"/>
  <c r="A363" i="1"/>
  <c r="A362" i="1"/>
  <c r="A361" i="1"/>
  <c r="F362" i="1"/>
  <c r="D362" i="1"/>
  <c r="A360" i="1"/>
  <c r="A359" i="1"/>
  <c r="A348" i="1"/>
  <c r="A347" i="1"/>
  <c r="A346" i="1"/>
  <c r="A345" i="1"/>
  <c r="A344" i="1"/>
  <c r="A343" i="1"/>
  <c r="A342" i="1"/>
  <c r="A341" i="1"/>
  <c r="A340" i="1"/>
  <c r="A339" i="1"/>
  <c r="A338" i="1"/>
  <c r="A337" i="1"/>
  <c r="A336" i="1"/>
  <c r="A335" i="1"/>
  <c r="A334" i="1"/>
  <c r="A333" i="1"/>
  <c r="A332" i="1"/>
  <c r="A331" i="1"/>
  <c r="A330" i="1"/>
  <c r="A329" i="1"/>
  <c r="A328" i="1"/>
  <c r="A327" i="1"/>
  <c r="A326" i="1"/>
  <c r="A325" i="1"/>
  <c r="A324" i="1"/>
  <c r="A323" i="1"/>
  <c r="A322" i="1"/>
  <c r="A321" i="1"/>
  <c r="A320" i="1"/>
  <c r="A319" i="1"/>
  <c r="A318" i="1"/>
  <c r="A317" i="1"/>
  <c r="A316" i="1"/>
  <c r="A315" i="1"/>
  <c r="A314" i="1"/>
  <c r="A313" i="1"/>
  <c r="A312" i="1"/>
  <c r="A311" i="1"/>
  <c r="A310" i="1"/>
  <c r="A309" i="1"/>
  <c r="A308" i="1"/>
  <c r="A307" i="1"/>
  <c r="A306" i="1"/>
  <c r="A305" i="1"/>
  <c r="A304" i="1"/>
  <c r="A303" i="1"/>
  <c r="A302" i="1"/>
  <c r="A301" i="1"/>
  <c r="A300" i="1"/>
  <c r="A299" i="1"/>
  <c r="A298" i="1"/>
  <c r="A297" i="1"/>
  <c r="A296" i="1"/>
  <c r="A295" i="1"/>
  <c r="A294" i="1"/>
  <c r="A284" i="1"/>
  <c r="A283" i="1"/>
  <c r="A282" i="1"/>
  <c r="A281" i="1"/>
  <c r="A280" i="1"/>
  <c r="A279" i="1"/>
  <c r="A278" i="1"/>
  <c r="A277" i="1"/>
  <c r="A276" i="1"/>
  <c r="A275" i="1"/>
  <c r="A274" i="1"/>
  <c r="A273" i="1"/>
  <c r="A272" i="1"/>
  <c r="A271" i="1"/>
  <c r="A270" i="1"/>
  <c r="A269" i="1"/>
  <c r="A268" i="1"/>
  <c r="A267" i="1"/>
  <c r="A266" i="1"/>
  <c r="A265" i="1"/>
  <c r="A264" i="1"/>
  <c r="A263" i="1"/>
  <c r="A262" i="1"/>
  <c r="A261" i="1"/>
  <c r="A260" i="1"/>
  <c r="A259" i="1"/>
  <c r="A258" i="1"/>
  <c r="A257" i="1"/>
  <c r="A256" i="1"/>
  <c r="A255" i="1"/>
  <c r="A254" i="1"/>
  <c r="A253" i="1"/>
  <c r="A252" i="1"/>
  <c r="A251" i="1"/>
  <c r="A250" i="1"/>
  <c r="A249" i="1"/>
  <c r="F248" i="1"/>
  <c r="A248" i="1"/>
  <c r="L248" i="1"/>
  <c r="A247" i="1"/>
  <c r="A246" i="1"/>
  <c r="A245" i="1"/>
  <c r="K250" i="1"/>
  <c r="A244" i="1"/>
  <c r="A243" i="1"/>
  <c r="A242" i="1"/>
  <c r="A241" i="1"/>
  <c r="A240" i="1"/>
  <c r="A239" i="1"/>
  <c r="A228" i="1"/>
  <c r="A226" i="1"/>
  <c r="A225" i="1"/>
  <c r="A224" i="1"/>
  <c r="A223" i="1"/>
  <c r="A222" i="1"/>
  <c r="A221" i="1"/>
  <c r="A220" i="1"/>
  <c r="A219" i="1"/>
  <c r="A218" i="1"/>
  <c r="A217" i="1"/>
  <c r="A216" i="1"/>
  <c r="A215" i="1"/>
  <c r="A214" i="1"/>
  <c r="A213" i="1"/>
  <c r="A212" i="1"/>
  <c r="A211" i="1"/>
  <c r="A210" i="1"/>
  <c r="A209" i="1"/>
  <c r="A208" i="1"/>
  <c r="A207" i="1"/>
  <c r="A206" i="1"/>
  <c r="A205" i="1"/>
  <c r="A204" i="1"/>
  <c r="A203" i="1"/>
  <c r="A202" i="1"/>
  <c r="A201" i="1"/>
  <c r="A200" i="1"/>
  <c r="A199" i="1"/>
  <c r="A198" i="1"/>
  <c r="A197" i="1"/>
  <c r="A196" i="1"/>
  <c r="A195" i="1"/>
  <c r="A194" i="1"/>
  <c r="A193" i="1"/>
  <c r="A192" i="1"/>
  <c r="F192" i="1"/>
  <c r="A191" i="1"/>
  <c r="A190" i="1"/>
  <c r="A189" i="1"/>
  <c r="A188" i="1"/>
  <c r="A187" i="1"/>
  <c r="A186" i="1"/>
  <c r="A185" i="1"/>
  <c r="A184" i="1"/>
  <c r="A183" i="1"/>
  <c r="A182" i="1"/>
  <c r="A181" i="1"/>
  <c r="A180" i="1"/>
  <c r="A179" i="1"/>
  <c r="F179" i="1"/>
  <c r="N179" i="1" s="1"/>
  <c r="A178" i="1"/>
  <c r="A177" i="1"/>
  <c r="A176" i="1"/>
  <c r="A175" i="1"/>
  <c r="E174" i="1"/>
  <c r="A174" i="1"/>
  <c r="A173" i="1"/>
  <c r="A172" i="1"/>
  <c r="A171" i="1"/>
  <c r="L163" i="1"/>
  <c r="A162" i="1"/>
  <c r="A161" i="1"/>
  <c r="A160" i="1"/>
  <c r="A159" i="1"/>
  <c r="A158" i="1"/>
  <c r="A157" i="1"/>
  <c r="Q163" i="1"/>
  <c r="A156" i="1"/>
  <c r="A155" i="1"/>
  <c r="A154" i="1"/>
  <c r="A153" i="1"/>
  <c r="A152" i="1"/>
  <c r="A151" i="1"/>
  <c r="A150" i="1"/>
  <c r="A149" i="1"/>
  <c r="A148" i="1"/>
  <c r="A147" i="1"/>
  <c r="A146" i="1"/>
  <c r="A145" i="1"/>
  <c r="A144" i="1"/>
  <c r="A143" i="1"/>
  <c r="A142" i="1"/>
  <c r="A141" i="1"/>
  <c r="A140" i="1"/>
  <c r="A139" i="1"/>
  <c r="A138" i="1"/>
  <c r="A137" i="1"/>
  <c r="Q153" i="1"/>
  <c r="A136" i="1"/>
  <c r="A135" i="1"/>
  <c r="A134" i="1"/>
  <c r="A133" i="1"/>
  <c r="A132" i="1"/>
  <c r="A131" i="1"/>
  <c r="A130" i="1"/>
  <c r="A129" i="1"/>
  <c r="A128" i="1"/>
  <c r="A127" i="1"/>
  <c r="A126" i="1"/>
  <c r="A125" i="1"/>
  <c r="A124" i="1"/>
  <c r="A123" i="1"/>
  <c r="A122" i="1"/>
  <c r="A121" i="1"/>
  <c r="A120" i="1"/>
  <c r="A119" i="1"/>
  <c r="A118" i="1"/>
  <c r="A117" i="1"/>
  <c r="A116" i="1"/>
  <c r="A115" i="1"/>
  <c r="A114" i="1"/>
  <c r="A113" i="1"/>
  <c r="Q122" i="1"/>
  <c r="A112" i="1"/>
  <c r="A111" i="1"/>
  <c r="A110" i="1"/>
  <c r="A109" i="1"/>
  <c r="A108" i="1"/>
  <c r="A107" i="1"/>
  <c r="A106" i="1"/>
  <c r="L105" i="1"/>
  <c r="A105" i="1"/>
  <c r="A104" i="1"/>
  <c r="A103" i="1"/>
  <c r="F105" i="1"/>
  <c r="A102" i="1"/>
  <c r="A101" i="1"/>
  <c r="A100" i="1"/>
  <c r="A99" i="1"/>
  <c r="H98" i="1"/>
  <c r="A98" i="1"/>
  <c r="O108" i="1"/>
  <c r="J108" i="1"/>
  <c r="A97" i="1"/>
  <c r="A95" i="1"/>
  <c r="A94" i="1"/>
  <c r="A93" i="1"/>
  <c r="B85" i="1"/>
  <c r="A85" i="1" s="1"/>
  <c r="B84" i="1"/>
  <c r="A84" i="1" s="1"/>
  <c r="B83" i="1"/>
  <c r="A83" i="1" s="1"/>
  <c r="B82" i="1"/>
  <c r="B81" i="1"/>
  <c r="B80" i="1"/>
  <c r="B79" i="1"/>
  <c r="B78" i="1"/>
  <c r="B77" i="1"/>
  <c r="B76" i="1"/>
  <c r="B75" i="1"/>
  <c r="A75" i="1" s="1"/>
  <c r="B74" i="1"/>
  <c r="A74" i="1" s="1"/>
  <c r="B73" i="1"/>
  <c r="A73" i="1" s="1"/>
  <c r="B72" i="1"/>
  <c r="A72" i="1" s="1"/>
  <c r="B71" i="1"/>
  <c r="A71" i="1" s="1"/>
  <c r="B70" i="1"/>
  <c r="A70" i="1" s="1"/>
  <c r="B69" i="1"/>
  <c r="A69" i="1" s="1"/>
  <c r="B68" i="1"/>
  <c r="A68" i="1" s="1"/>
  <c r="B67" i="1"/>
  <c r="A67" i="1" s="1"/>
  <c r="B66" i="1"/>
  <c r="A66" i="1" s="1"/>
  <c r="B65" i="1"/>
  <c r="A65" i="1" s="1"/>
  <c r="B64" i="1"/>
  <c r="A64" i="1" s="1"/>
  <c r="B63" i="1"/>
  <c r="A63" i="1" s="1"/>
  <c r="B62" i="1"/>
  <c r="A62" i="1" s="1"/>
  <c r="B61" i="1"/>
  <c r="A61" i="1" s="1"/>
  <c r="B60" i="1"/>
  <c r="A60" i="1" s="1"/>
  <c r="B59" i="1"/>
  <c r="A59" i="1" s="1"/>
  <c r="B58" i="1"/>
  <c r="A58" i="1" s="1"/>
  <c r="B57" i="1"/>
  <c r="A57" i="1" s="1"/>
  <c r="B56" i="1"/>
  <c r="A56" i="1" s="1"/>
  <c r="I72" i="1" s="1"/>
  <c r="Q72" i="1"/>
  <c r="B55" i="1"/>
  <c r="A55" i="1" s="1"/>
  <c r="B54" i="1"/>
  <c r="A54" i="1" s="1"/>
  <c r="B53" i="1"/>
  <c r="A53" i="1" s="1"/>
  <c r="B52" i="1"/>
  <c r="B51" i="1"/>
  <c r="A51" i="1" s="1"/>
  <c r="B50" i="1"/>
  <c r="A50" i="1" s="1"/>
  <c r="B49" i="1"/>
  <c r="A49" i="1" s="1"/>
  <c r="B48" i="1"/>
  <c r="A48" i="1" s="1"/>
  <c r="B47" i="1"/>
  <c r="A47" i="1" s="1"/>
  <c r="B46" i="1"/>
  <c r="B45" i="1"/>
  <c r="A45" i="1" s="1"/>
  <c r="B44" i="1"/>
  <c r="B43" i="1"/>
  <c r="A43" i="1" s="1"/>
  <c r="B42" i="1"/>
  <c r="B41" i="1"/>
  <c r="A41" i="1" s="1"/>
  <c r="K40" i="1"/>
  <c r="B40" i="1"/>
  <c r="A40" i="1" s="1"/>
  <c r="K39" i="1"/>
  <c r="B39" i="1"/>
  <c r="B38" i="1"/>
  <c r="A38" i="1" s="1"/>
  <c r="B37" i="1"/>
  <c r="A37" i="1" s="1"/>
  <c r="B36" i="1"/>
  <c r="A36" i="1" s="1"/>
  <c r="B35" i="1"/>
  <c r="B34" i="1"/>
  <c r="A34" i="1" s="1"/>
  <c r="B33" i="1"/>
  <c r="B32" i="1"/>
  <c r="B31" i="1"/>
  <c r="A31" i="1" s="1"/>
  <c r="B30" i="1"/>
  <c r="A30" i="1" s="1"/>
  <c r="B29" i="1"/>
  <c r="A29" i="1" s="1"/>
  <c r="B28" i="1"/>
  <c r="A28" i="1" s="1"/>
  <c r="B27" i="1"/>
  <c r="A27" i="1" s="1"/>
  <c r="B26" i="1"/>
  <c r="A26" i="1" s="1"/>
  <c r="B25" i="1"/>
  <c r="A25" i="1" s="1"/>
  <c r="B24" i="1"/>
  <c r="A24" i="1" s="1"/>
  <c r="B23" i="1"/>
  <c r="B22" i="1"/>
  <c r="A22" i="1" s="1"/>
  <c r="E22" i="1" s="1"/>
  <c r="H21" i="1"/>
  <c r="B21" i="1"/>
  <c r="B20" i="1"/>
  <c r="A20" i="1" s="1"/>
  <c r="B19" i="1"/>
  <c r="B18" i="1"/>
  <c r="A18" i="1" s="1"/>
  <c r="P17" i="1"/>
  <c r="K17" i="1"/>
  <c r="E17" i="1"/>
  <c r="B17" i="1"/>
  <c r="A17" i="1" s="1"/>
  <c r="B16" i="1"/>
  <c r="A16" i="1" s="1"/>
  <c r="K15" i="1"/>
  <c r="B15" i="1"/>
  <c r="P15" i="1" s="1"/>
  <c r="B14" i="1"/>
  <c r="A14" i="1" s="1"/>
  <c r="O13" i="1"/>
  <c r="R14" i="1" s="1"/>
  <c r="J13" i="1"/>
  <c r="B13" i="1"/>
  <c r="A13" i="1" s="1"/>
  <c r="P12" i="1"/>
  <c r="K12" i="1"/>
  <c r="B12" i="1"/>
  <c r="A12" i="1" s="1"/>
  <c r="P11" i="1"/>
  <c r="K11" i="1"/>
  <c r="B11" i="1"/>
  <c r="P10" i="1"/>
  <c r="K10" i="1"/>
  <c r="B10" i="1"/>
  <c r="A10" i="1" s="1"/>
  <c r="P9" i="1"/>
  <c r="K9" i="1"/>
  <c r="B9" i="1"/>
  <c r="P8" i="1"/>
  <c r="K8" i="1"/>
  <c r="B8" i="1"/>
  <c r="A8" i="1" s="1"/>
  <c r="K7" i="1"/>
  <c r="B7" i="1"/>
  <c r="P7" i="1" s="1"/>
  <c r="K6" i="1"/>
  <c r="B6" i="1"/>
  <c r="A6" i="1" s="1"/>
  <c r="B5" i="1"/>
  <c r="A5" i="1" s="1"/>
  <c r="S266" i="1" l="1"/>
  <c r="R108" i="1"/>
  <c r="R109" i="1" s="1"/>
  <c r="N105" i="1"/>
  <c r="N106" i="1" s="1"/>
  <c r="F108" i="1"/>
  <c r="D113" i="1"/>
  <c r="D112" i="1"/>
  <c r="J113" i="1"/>
  <c r="AK418" i="1"/>
  <c r="AK417" i="1"/>
  <c r="AK416" i="1"/>
  <c r="AK432" i="1"/>
  <c r="AK497" i="1"/>
  <c r="AE414" i="1"/>
  <c r="AE415" i="1"/>
  <c r="AE410" i="1"/>
  <c r="AE413" i="1"/>
  <c r="AE412" i="1"/>
  <c r="AE411" i="1"/>
  <c r="A7" i="1"/>
  <c r="I10" i="2"/>
  <c r="L108" i="1"/>
  <c r="A21" i="1"/>
  <c r="K22" i="1"/>
  <c r="R22" i="1" s="1"/>
  <c r="A23" i="1"/>
  <c r="O24" i="1"/>
  <c r="A33" i="1"/>
  <c r="A15" i="1"/>
  <c r="E362" i="1"/>
  <c r="K23" i="1"/>
  <c r="R23" i="1" s="1"/>
  <c r="K21" i="1"/>
  <c r="R21" i="1" s="1"/>
  <c r="P6" i="1"/>
  <c r="G105" i="1"/>
  <c r="G108" i="1"/>
  <c r="H6" i="1"/>
  <c r="H22" i="1"/>
  <c r="A32" i="1"/>
  <c r="A44" i="1"/>
  <c r="A52" i="1"/>
  <c r="A76" i="1"/>
  <c r="E95" i="1"/>
  <c r="V485" i="1"/>
  <c r="A485" i="1" s="1"/>
  <c r="V402" i="1"/>
  <c r="C291" i="1"/>
  <c r="C356" i="1" s="1"/>
  <c r="C236" i="1"/>
  <c r="C168" i="1"/>
  <c r="C89" i="1"/>
  <c r="A81" i="1"/>
  <c r="P21" i="1"/>
  <c r="A9" i="1"/>
  <c r="H17" i="1"/>
  <c r="E21" i="1"/>
  <c r="I24" i="1"/>
  <c r="E23" i="1"/>
  <c r="J24" i="1"/>
  <c r="A39" i="1"/>
  <c r="P39" i="1"/>
  <c r="Q54" i="1"/>
  <c r="A46" i="1"/>
  <c r="F72" i="1"/>
  <c r="A78" i="1"/>
  <c r="O105" i="1"/>
  <c r="P97" i="1"/>
  <c r="I122" i="1"/>
  <c r="G112" i="1"/>
  <c r="E12" i="1"/>
  <c r="AO402" i="1"/>
  <c r="A11" i="1"/>
  <c r="A19" i="1"/>
  <c r="F24" i="1"/>
  <c r="D32" i="1" s="1"/>
  <c r="H23" i="1"/>
  <c r="J27" i="1"/>
  <c r="L41" i="1"/>
  <c r="A35" i="1"/>
  <c r="A80" i="1"/>
  <c r="E94" i="1"/>
  <c r="Q105" i="1"/>
  <c r="S105" i="1" s="1"/>
  <c r="J105" i="1"/>
  <c r="H112" i="1"/>
  <c r="A77" i="1"/>
  <c r="Q24" i="1"/>
  <c r="O32" i="1" s="1"/>
  <c r="K38" i="1"/>
  <c r="A42" i="1"/>
  <c r="A82" i="1"/>
  <c r="L122" i="1"/>
  <c r="E10" i="1"/>
  <c r="O27" i="1"/>
  <c r="P23" i="1"/>
  <c r="A79" i="1"/>
  <c r="K112" i="1"/>
  <c r="P112" i="1"/>
  <c r="L135" i="1"/>
  <c r="E185" i="1"/>
  <c r="M185" i="1" s="1"/>
  <c r="L242" i="1"/>
  <c r="Q135" i="1"/>
  <c r="I153" i="1"/>
  <c r="F173" i="1"/>
  <c r="F135" i="1"/>
  <c r="F250" i="1"/>
  <c r="F245" i="1"/>
  <c r="Q229" i="1"/>
  <c r="F229" i="1"/>
  <c r="F176" i="1"/>
  <c r="E250" i="1"/>
  <c r="F163" i="1"/>
  <c r="AF466" i="1"/>
  <c r="F349" i="1"/>
  <c r="E360" i="1"/>
  <c r="F377" i="1"/>
  <c r="F395" i="1"/>
  <c r="E395" i="1" s="1"/>
  <c r="F330" i="1"/>
  <c r="N330" i="1" s="1"/>
  <c r="AC466" i="1"/>
  <c r="Z466" i="1"/>
  <c r="AI466" i="1" s="1"/>
  <c r="S122" i="1" l="1"/>
  <c r="N108" i="1"/>
  <c r="N109" i="1" s="1"/>
  <c r="R27" i="1"/>
  <c r="R28" i="1" s="1"/>
  <c r="S135" i="1"/>
  <c r="N135" i="1"/>
  <c r="S106" i="1"/>
  <c r="Q108" i="1"/>
  <c r="P108" i="1" s="1"/>
  <c r="O113" i="1"/>
  <c r="E194" i="1"/>
  <c r="AL449" i="1"/>
  <c r="AL440" i="1"/>
  <c r="AL443" i="1"/>
  <c r="AN443" i="1" s="1"/>
  <c r="AO443" i="1" s="1"/>
  <c r="AL411" i="1"/>
  <c r="AN411" i="1" s="1"/>
  <c r="AO411" i="1" s="1"/>
  <c r="AL434" i="1"/>
  <c r="AN434" i="1" s="1"/>
  <c r="AL422" i="1"/>
  <c r="AN422" i="1" s="1"/>
  <c r="AO422" i="1" s="1"/>
  <c r="AL444" i="1"/>
  <c r="AL436" i="1"/>
  <c r="AL414" i="1"/>
  <c r="AN414" i="1" s="1"/>
  <c r="AO414" i="1" s="1"/>
  <c r="AL415" i="1"/>
  <c r="AN415" i="1" s="1"/>
  <c r="AO415" i="1" s="1"/>
  <c r="AL442" i="1"/>
  <c r="AL409" i="1"/>
  <c r="AN409" i="1" s="1"/>
  <c r="AO409" i="1" s="1"/>
  <c r="AL428" i="1"/>
  <c r="AN428" i="1" s="1"/>
  <c r="AO428" i="1" s="1"/>
  <c r="AL430" i="1"/>
  <c r="AN430" i="1" s="1"/>
  <c r="AO430" i="1" s="1"/>
  <c r="AL447" i="1"/>
  <c r="AN447" i="1" s="1"/>
  <c r="AO447" i="1" s="1"/>
  <c r="AL421" i="1"/>
  <c r="AN421" i="1" s="1"/>
  <c r="AO421" i="1" s="1"/>
  <c r="AL424" i="1"/>
  <c r="AN424" i="1" s="1"/>
  <c r="AO424" i="1" s="1"/>
  <c r="AL439" i="1"/>
  <c r="AL412" i="1"/>
  <c r="AN412" i="1" s="1"/>
  <c r="AO412" i="1" s="1"/>
  <c r="AL423" i="1"/>
  <c r="AL445" i="1"/>
  <c r="AL437" i="1"/>
  <c r="AN437" i="1" s="1"/>
  <c r="AO437" i="1" s="1"/>
  <c r="AL431" i="1"/>
  <c r="AL446" i="1"/>
  <c r="AN446" i="1" s="1"/>
  <c r="AO446" i="1" s="1"/>
  <c r="AL410" i="1"/>
  <c r="AN410" i="1" s="1"/>
  <c r="AO410" i="1" s="1"/>
  <c r="AL413" i="1"/>
  <c r="AN413" i="1" s="1"/>
  <c r="AO413" i="1" s="1"/>
  <c r="AL438" i="1"/>
  <c r="AL429" i="1"/>
  <c r="AL435" i="1"/>
  <c r="AN435" i="1" s="1"/>
  <c r="AO435" i="1" s="1"/>
  <c r="AL441" i="1"/>
  <c r="AN441" i="1" s="1"/>
  <c r="AO441" i="1" s="1"/>
  <c r="P38" i="1"/>
  <c r="P40" i="1"/>
  <c r="P32" i="1"/>
  <c r="P35" i="1"/>
  <c r="P33" i="1"/>
  <c r="P36" i="1"/>
  <c r="P34" i="1"/>
  <c r="P31" i="1"/>
  <c r="P37" i="1"/>
  <c r="K31" i="1"/>
  <c r="K35" i="1"/>
  <c r="E135" i="1"/>
  <c r="F351" i="1"/>
  <c r="F397" i="1"/>
  <c r="E377" i="1"/>
  <c r="F231" i="1"/>
  <c r="E266" i="1"/>
  <c r="P135" i="1"/>
  <c r="L245" i="1"/>
  <c r="K266" i="1"/>
  <c r="L250" i="1"/>
  <c r="F251" i="1"/>
  <c r="H12" i="1"/>
  <c r="H15" i="1"/>
  <c r="E112" i="1"/>
  <c r="F122" i="1"/>
  <c r="N122" i="1" s="1"/>
  <c r="I13" i="1"/>
  <c r="F242" i="1"/>
  <c r="E11" i="1"/>
  <c r="Q231" i="1"/>
  <c r="K135" i="1"/>
  <c r="K33" i="1"/>
  <c r="K36" i="1"/>
  <c r="I135" i="1"/>
  <c r="H7" i="1"/>
  <c r="H8" i="1"/>
  <c r="Q155" i="1"/>
  <c r="K37" i="1"/>
  <c r="F285" i="1"/>
  <c r="E285" i="1" s="1"/>
  <c r="I229" i="1"/>
  <c r="F189" i="1"/>
  <c r="P22" i="1"/>
  <c r="L13" i="1"/>
  <c r="J31" i="1" s="1"/>
  <c r="E7" i="1"/>
  <c r="L54" i="1"/>
  <c r="I105" i="1"/>
  <c r="H105" i="1" s="1"/>
  <c r="K34" i="1"/>
  <c r="E15" i="1"/>
  <c r="P24" i="1"/>
  <c r="E6" i="1"/>
  <c r="F304" i="1"/>
  <c r="N304" i="1" s="1"/>
  <c r="N305" i="1" s="1"/>
  <c r="I351" i="1"/>
  <c r="H351" i="1" s="1"/>
  <c r="AL406" i="1"/>
  <c r="K105" i="1"/>
  <c r="K32" i="1"/>
  <c r="E9" i="1"/>
  <c r="G13" i="1"/>
  <c r="E295" i="1"/>
  <c r="D304" i="1"/>
  <c r="M304" i="1" s="1"/>
  <c r="F182" i="1"/>
  <c r="E8" i="1"/>
  <c r="P105" i="1"/>
  <c r="H10" i="1"/>
  <c r="L24" i="1"/>
  <c r="D108" i="1"/>
  <c r="M108" i="1" s="1"/>
  <c r="M109" i="1" s="1"/>
  <c r="E97" i="1"/>
  <c r="D105" i="1"/>
  <c r="M105" i="1" s="1"/>
  <c r="F41" i="1"/>
  <c r="N41" i="1" s="1"/>
  <c r="Q41" i="1"/>
  <c r="S41" i="1" s="1"/>
  <c r="Q13" i="1"/>
  <c r="S14" i="1" s="1"/>
  <c r="K122" i="1"/>
  <c r="F153" i="1"/>
  <c r="E153" i="1" s="1"/>
  <c r="I163" i="1"/>
  <c r="K108" i="1"/>
  <c r="F13" i="1"/>
  <c r="N14" i="1" s="1"/>
  <c r="P155" i="1" l="1"/>
  <c r="P153" i="1"/>
  <c r="P122" i="1"/>
  <c r="AN438" i="1"/>
  <c r="AO438" i="1" s="1"/>
  <c r="AN449" i="1"/>
  <c r="AO449" i="1"/>
  <c r="AN431" i="1"/>
  <c r="AO431" i="1" s="1"/>
  <c r="AN442" i="1"/>
  <c r="AO442" i="1" s="1"/>
  <c r="AO440" i="1"/>
  <c r="AN440" i="1"/>
  <c r="AN445" i="1"/>
  <c r="AO445" i="1" s="1"/>
  <c r="AN423" i="1"/>
  <c r="AO423" i="1" s="1"/>
  <c r="AN436" i="1"/>
  <c r="AO436" i="1" s="1"/>
  <c r="AN444" i="1"/>
  <c r="AO444" i="1" s="1"/>
  <c r="AN439" i="1"/>
  <c r="AO439" i="1" s="1"/>
  <c r="AO434" i="1"/>
  <c r="AN429" i="1"/>
  <c r="AO429" i="1" s="1"/>
  <c r="S24" i="1"/>
  <c r="S25" i="1" s="1"/>
  <c r="N24" i="1"/>
  <c r="N25" i="1" s="1"/>
  <c r="N250" i="1"/>
  <c r="N251" i="1" s="1"/>
  <c r="S250" i="1"/>
  <c r="S108" i="1"/>
  <c r="S109" i="1" s="1"/>
  <c r="D31" i="1"/>
  <c r="O31" i="1"/>
  <c r="F309" i="1"/>
  <c r="N309" i="1" s="1"/>
  <c r="N310" i="1" s="1"/>
  <c r="J32" i="1"/>
  <c r="K24" i="1"/>
  <c r="AL419" i="1"/>
  <c r="AK415" i="1"/>
  <c r="AK414" i="1"/>
  <c r="AK412" i="1"/>
  <c r="AL452" i="1"/>
  <c r="AL433" i="1"/>
  <c r="AK411" i="1"/>
  <c r="AK413" i="1"/>
  <c r="AK410" i="1"/>
  <c r="N9" i="2"/>
  <c r="N8" i="2" s="1"/>
  <c r="F27" i="1"/>
  <c r="E41" i="1" s="1"/>
  <c r="K13" i="1"/>
  <c r="E108" i="1"/>
  <c r="E105" i="1"/>
  <c r="G27" i="1"/>
  <c r="H13" i="1"/>
  <c r="AB409" i="1"/>
  <c r="G24" i="1"/>
  <c r="H39" i="1" s="1"/>
  <c r="Q165" i="1"/>
  <c r="I54" i="1"/>
  <c r="I108" i="1"/>
  <c r="H135" i="1" s="1"/>
  <c r="F194" i="1"/>
  <c r="N194" i="1" s="1"/>
  <c r="N195" i="1" s="1"/>
  <c r="F186" i="1"/>
  <c r="P231" i="1"/>
  <c r="I27" i="1"/>
  <c r="F54" i="1"/>
  <c r="D13" i="1"/>
  <c r="M14" i="1" s="1"/>
  <c r="H11" i="1"/>
  <c r="Q27" i="1"/>
  <c r="P13" i="1"/>
  <c r="H229" i="1"/>
  <c r="L251" i="1"/>
  <c r="Q74" i="1"/>
  <c r="AF433" i="1"/>
  <c r="AH433" i="1" s="1"/>
  <c r="AI433" i="1" s="1"/>
  <c r="L27" i="1"/>
  <c r="F155" i="1"/>
  <c r="E122" i="1"/>
  <c r="H9" i="1"/>
  <c r="I83" i="1"/>
  <c r="AE409" i="1"/>
  <c r="AF419" i="1"/>
  <c r="Z419" i="1"/>
  <c r="Z468" i="1" s="1"/>
  <c r="E304" i="1"/>
  <c r="D309" i="1"/>
  <c r="M309" i="1" s="1"/>
  <c r="AK409" i="1"/>
  <c r="I353" i="1"/>
  <c r="F287" i="1"/>
  <c r="E287" i="1" s="1"/>
  <c r="Z481" i="1"/>
  <c r="F83" i="1"/>
  <c r="I41" i="1"/>
  <c r="I155" i="1"/>
  <c r="I231" i="1"/>
  <c r="H231" i="1" s="1"/>
  <c r="E397" i="1"/>
  <c r="F399" i="1"/>
  <c r="AH419" i="1" l="1"/>
  <c r="AI419" i="1" s="1"/>
  <c r="AN452" i="1"/>
  <c r="AO452" i="1" s="1"/>
  <c r="AN433" i="1"/>
  <c r="AO433" i="1" s="1"/>
  <c r="AN419" i="1"/>
  <c r="AO419" i="1" s="1"/>
  <c r="S27" i="1"/>
  <c r="N27" i="1"/>
  <c r="F314" i="1"/>
  <c r="N314" i="1" s="1"/>
  <c r="N315" i="1" s="1"/>
  <c r="M250" i="1"/>
  <c r="R250" i="1"/>
  <c r="S251" i="1" s="1"/>
  <c r="F353" i="1"/>
  <c r="D314" i="1"/>
  <c r="M314" i="1" s="1"/>
  <c r="AF407" i="1"/>
  <c r="AL468" i="1"/>
  <c r="P41" i="1"/>
  <c r="AL407" i="1"/>
  <c r="Y414" i="1"/>
  <c r="Y412" i="1"/>
  <c r="Y410" i="1"/>
  <c r="Y411" i="1"/>
  <c r="Y413" i="1"/>
  <c r="Y415" i="1"/>
  <c r="Y417" i="1"/>
  <c r="Y416" i="1"/>
  <c r="Y418" i="1"/>
  <c r="E54" i="1"/>
  <c r="E72" i="1"/>
  <c r="H35" i="1"/>
  <c r="K27" i="1"/>
  <c r="H155" i="1"/>
  <c r="H32" i="1"/>
  <c r="Y409" i="1"/>
  <c r="AM409" i="1" s="1"/>
  <c r="E231" i="1"/>
  <c r="P74" i="1"/>
  <c r="H54" i="1"/>
  <c r="K54" i="1"/>
  <c r="Q85" i="1"/>
  <c r="P72" i="1"/>
  <c r="P27" i="1"/>
  <c r="P54" i="1"/>
  <c r="I74" i="1"/>
  <c r="I85" i="1" s="1"/>
  <c r="H41" i="1"/>
  <c r="E155" i="1"/>
  <c r="F165" i="1"/>
  <c r="I233" i="1"/>
  <c r="AC407" i="1"/>
  <c r="G9" i="2" s="1"/>
  <c r="G8" i="2" s="1"/>
  <c r="H72" i="1"/>
  <c r="F233" i="1"/>
  <c r="F195" i="1"/>
  <c r="M194" i="1" s="1"/>
  <c r="E229" i="1"/>
  <c r="E210" i="1"/>
  <c r="H33" i="1"/>
  <c r="H40" i="1"/>
  <c r="H24" i="1"/>
  <c r="H37" i="1"/>
  <c r="H38" i="1"/>
  <c r="H34" i="1"/>
  <c r="H31" i="1"/>
  <c r="H36" i="1"/>
  <c r="F74" i="1"/>
  <c r="AC419" i="1"/>
  <c r="Q233" i="1"/>
  <c r="P229" i="1"/>
  <c r="K41" i="1"/>
  <c r="D27" i="1"/>
  <c r="M27" i="1" s="1"/>
  <c r="M28" i="1" s="1"/>
  <c r="E13" i="1"/>
  <c r="D24" i="1"/>
  <c r="M24" i="1" s="1"/>
  <c r="AC481" i="1"/>
  <c r="E309" i="1"/>
  <c r="AF406" i="1"/>
  <c r="I165" i="1"/>
  <c r="H122" i="1"/>
  <c r="H153" i="1"/>
  <c r="H108" i="1"/>
  <c r="F289" i="1"/>
  <c r="AC433" i="1"/>
  <c r="H27" i="1"/>
  <c r="E349" i="1" l="1"/>
  <c r="E351" i="1"/>
  <c r="AG413" i="1"/>
  <c r="AM413" i="1"/>
  <c r="AM412" i="1"/>
  <c r="AG412" i="1"/>
  <c r="AM411" i="1"/>
  <c r="AG411" i="1"/>
  <c r="AG414" i="1"/>
  <c r="AM414" i="1"/>
  <c r="AG418" i="1"/>
  <c r="AM418" i="1"/>
  <c r="AG409" i="1"/>
  <c r="AM415" i="1"/>
  <c r="AG415" i="1"/>
  <c r="AM410" i="1"/>
  <c r="AG410" i="1"/>
  <c r="Z407" i="1"/>
  <c r="Z483" i="1" s="1"/>
  <c r="AG416" i="1"/>
  <c r="AM416" i="1"/>
  <c r="AH407" i="1"/>
  <c r="AI407" i="1" s="1"/>
  <c r="AN407" i="1"/>
  <c r="AO407" i="1" s="1"/>
  <c r="E330" i="1"/>
  <c r="AG417" i="1"/>
  <c r="AM417" i="1"/>
  <c r="N28" i="1"/>
  <c r="S28" i="1"/>
  <c r="Z406" i="1"/>
  <c r="AL483" i="1"/>
  <c r="C9" i="2"/>
  <c r="J9" i="2"/>
  <c r="J8" i="2" s="1"/>
  <c r="O9" i="2"/>
  <c r="O8" i="2" s="1"/>
  <c r="E27" i="1"/>
  <c r="X466" i="1"/>
  <c r="X433" i="1"/>
  <c r="AD433" i="1"/>
  <c r="K9" i="2"/>
  <c r="K8" i="2" s="1"/>
  <c r="C10" i="2"/>
  <c r="AA433" i="1"/>
  <c r="AA481" i="1"/>
  <c r="AA452" i="1"/>
  <c r="AJ468" i="1"/>
  <c r="AJ466" i="1"/>
  <c r="AJ419" i="1"/>
  <c r="AJ433" i="1"/>
  <c r="AJ452" i="1"/>
  <c r="E74" i="1"/>
  <c r="F85" i="1"/>
  <c r="E314" i="1"/>
  <c r="AD419" i="1"/>
  <c r="AA466" i="1"/>
  <c r="E40" i="1"/>
  <c r="E24" i="1"/>
  <c r="E34" i="1"/>
  <c r="E36" i="1"/>
  <c r="E38" i="1"/>
  <c r="E37" i="1"/>
  <c r="E31" i="1"/>
  <c r="E33" i="1"/>
  <c r="E35" i="1"/>
  <c r="E32" i="1"/>
  <c r="E39" i="1"/>
  <c r="AC406" i="1"/>
  <c r="F9" i="2" s="1"/>
  <c r="F8" i="2" s="1"/>
  <c r="H74" i="1"/>
  <c r="AC468" i="1"/>
  <c r="AA468" i="1" s="1"/>
  <c r="AA419" i="1"/>
  <c r="AD466" i="1"/>
  <c r="X419" i="1" l="1"/>
  <c r="X481" i="1"/>
  <c r="X452" i="1"/>
  <c r="C8" i="2"/>
  <c r="P9" i="2"/>
  <c r="P8" i="2" s="1"/>
  <c r="B9" i="2"/>
  <c r="X468" i="1"/>
  <c r="AC483" i="1"/>
  <c r="AL489" i="1"/>
  <c r="AK483" i="1"/>
  <c r="AL488" i="1" l="1"/>
  <c r="AL498" i="1"/>
  <c r="H9" i="2"/>
  <c r="H8" i="2" s="1"/>
  <c r="D9" i="2"/>
  <c r="B8" i="2"/>
  <c r="AK489" i="1"/>
  <c r="AC489" i="1"/>
  <c r="AB483" i="1"/>
  <c r="Z489" i="1"/>
  <c r="Y483" i="1"/>
  <c r="AK488" i="1" l="1"/>
  <c r="Z488" i="1"/>
  <c r="Y488" i="1" s="1"/>
  <c r="Z498" i="1"/>
  <c r="Q9" i="2"/>
  <c r="D10" i="2"/>
  <c r="D8" i="2" s="1"/>
  <c r="Y489" i="1"/>
  <c r="AB489" i="1"/>
  <c r="AC498" i="1"/>
  <c r="AK498" i="1"/>
  <c r="AB498" i="1" l="1"/>
  <c r="I9" i="2"/>
  <c r="I8" i="2" s="1"/>
  <c r="Q8" i="2"/>
  <c r="Y498" i="1"/>
  <c r="E9" i="2"/>
  <c r="E10" i="2" l="1"/>
  <c r="E8" i="2" s="1"/>
  <c r="AF481" i="1"/>
  <c r="L82" i="1"/>
  <c r="S82" i="1" l="1"/>
  <c r="S83" i="1" s="1"/>
  <c r="N82" i="1"/>
  <c r="N83" i="1" s="1"/>
  <c r="AN481" i="1"/>
  <c r="AO481" i="1" s="1"/>
  <c r="AH481" i="1"/>
  <c r="AI481" i="1" s="1"/>
  <c r="L83" i="1"/>
  <c r="AD481" i="1"/>
  <c r="L229" i="1" l="1"/>
  <c r="L68" i="1"/>
  <c r="S68" i="1" l="1"/>
  <c r="S72" i="1" s="1"/>
  <c r="S85" i="1" s="1"/>
  <c r="N68" i="1"/>
  <c r="N72" i="1" s="1"/>
  <c r="N85" i="1" s="1"/>
  <c r="N229" i="1"/>
  <c r="S229" i="1"/>
  <c r="L72" i="1"/>
  <c r="K229" i="1"/>
  <c r="L231" i="1"/>
  <c r="L349" i="1"/>
  <c r="L11" i="2"/>
  <c r="L285" i="1"/>
  <c r="S285" i="1" s="1"/>
  <c r="L153" i="1"/>
  <c r="N153" i="1" l="1"/>
  <c r="S153" i="1"/>
  <c r="N231" i="1"/>
  <c r="S231" i="1"/>
  <c r="L10" i="2"/>
  <c r="L74" i="1"/>
  <c r="K72" i="1"/>
  <c r="L233" i="1"/>
  <c r="K231" i="1"/>
  <c r="K285" i="1"/>
  <c r="L287" i="1"/>
  <c r="L351" i="1"/>
  <c r="K349" i="1"/>
  <c r="L155" i="1"/>
  <c r="K153" i="1"/>
  <c r="AF452" i="1"/>
  <c r="N351" i="1" l="1"/>
  <c r="S351" i="1"/>
  <c r="S287" i="1"/>
  <c r="N287" i="1"/>
  <c r="N233" i="1"/>
  <c r="S233" i="1"/>
  <c r="N74" i="1"/>
  <c r="S74" i="1"/>
  <c r="N155" i="1"/>
  <c r="S155" i="1"/>
  <c r="K155" i="1"/>
  <c r="L165" i="1"/>
  <c r="M11" i="2"/>
  <c r="K287" i="1"/>
  <c r="L289" i="1"/>
  <c r="K351" i="1"/>
  <c r="L353" i="1"/>
  <c r="AF468" i="1"/>
  <c r="AD452" i="1"/>
  <c r="L85" i="1"/>
  <c r="K74" i="1"/>
  <c r="AH468" i="1" l="1"/>
  <c r="AI468" i="1" s="1"/>
  <c r="AN468" i="1"/>
  <c r="AO468" i="1" s="1"/>
  <c r="N353" i="1"/>
  <c r="S353" i="1"/>
  <c r="S289" i="1"/>
  <c r="N289" i="1"/>
  <c r="S165" i="1"/>
  <c r="N165" i="1"/>
  <c r="M10" i="2"/>
  <c r="AF483" i="1"/>
  <c r="AD468" i="1"/>
  <c r="AH483" i="1" l="1"/>
  <c r="AI483" i="1" s="1"/>
  <c r="AN483" i="1"/>
  <c r="AO483" i="1" s="1"/>
  <c r="AE483" i="1"/>
  <c r="L9" i="2"/>
  <c r="L8" i="2" s="1"/>
  <c r="AF489" i="1"/>
  <c r="AH489" i="1" l="1"/>
  <c r="AI489" i="1" s="1"/>
  <c r="AN489" i="1"/>
  <c r="AO489" i="1" s="1"/>
  <c r="AF488" i="1"/>
  <c r="AF498" i="1"/>
  <c r="AE488" i="1"/>
  <c r="AE489" i="1"/>
  <c r="AH488" i="1" l="1"/>
  <c r="AI488" i="1" s="1"/>
  <c r="AN488" i="1"/>
  <c r="AO488" i="1" s="1"/>
  <c r="AN498" i="1"/>
  <c r="AO498" i="1" s="1"/>
  <c r="AH498" i="1"/>
  <c r="AI498" i="1" s="1"/>
  <c r="AE498" i="1"/>
  <c r="M9" i="2"/>
  <c r="M8" i="2" s="1"/>
</calcChain>
</file>

<file path=xl/sharedStrings.xml><?xml version="1.0" encoding="utf-8"?>
<sst xmlns="http://schemas.openxmlformats.org/spreadsheetml/2006/main" count="3826" uniqueCount="278">
  <si>
    <t>Véhicules neufs</t>
  </si>
  <si>
    <t xml:space="preserve"> </t>
  </si>
  <si>
    <t>X</t>
  </si>
  <si>
    <t>O</t>
  </si>
  <si>
    <t>U</t>
  </si>
  <si>
    <t>BUDGET  ORIGINAL</t>
  </si>
  <si>
    <t>BUDGET  REVISE</t>
  </si>
  <si>
    <t>RÉALISATION</t>
  </si>
  <si>
    <t>ANNÉE  PRÉCÉDENTE</t>
  </si>
  <si>
    <t>ÉCART réel / original</t>
  </si>
  <si>
    <t>UNITE</t>
  </si>
  <si>
    <t>$P/UNITÉ</t>
  </si>
  <si>
    <t>$PROFITS</t>
  </si>
  <si>
    <t>$P/UNITE</t>
  </si>
  <si>
    <t>Ventes nettes</t>
  </si>
  <si>
    <t>Autos détail</t>
  </si>
  <si>
    <t>Camions détail</t>
  </si>
  <si>
    <t>Sprinter</t>
  </si>
  <si>
    <t>Moto détail</t>
  </si>
  <si>
    <t>[...]</t>
  </si>
  <si>
    <t>Total Neufs</t>
  </si>
  <si>
    <t>Ex-Démos et courtoisies</t>
  </si>
  <si>
    <t>Flottes</t>
  </si>
  <si>
    <t>Rachat bail</t>
  </si>
  <si>
    <t>Rev. Finances</t>
  </si>
  <si>
    <t>Rev. Protections</t>
  </si>
  <si>
    <t>Rev. Autres</t>
  </si>
  <si>
    <t>Total F&amp;I</t>
  </si>
  <si>
    <t>Total Dépt. Neufs</t>
  </si>
  <si>
    <t>DEPENSES</t>
  </si>
  <si>
    <t>Comm. vendeurs</t>
  </si>
  <si>
    <t>Comm. F&amp;I</t>
  </si>
  <si>
    <t>Frais de livraison</t>
  </si>
  <si>
    <t>Service gratuit 1</t>
  </si>
  <si>
    <t>Entretien stock</t>
  </si>
  <si>
    <t>Publicité 1</t>
  </si>
  <si>
    <t>Intérêt de gros</t>
  </si>
  <si>
    <t>TOTAL VARIABLES</t>
  </si>
  <si>
    <t>% brut</t>
  </si>
  <si>
    <t>#</t>
  </si>
  <si>
    <t>Salaires cadres</t>
  </si>
  <si>
    <t>Salaires commis</t>
  </si>
  <si>
    <t>Salaires autres</t>
  </si>
  <si>
    <t>Salaires spécialistes</t>
  </si>
  <si>
    <t>Salaires en absences</t>
  </si>
  <si>
    <t>Déduction à la source</t>
  </si>
  <si>
    <t>Bénéfices marginaux</t>
  </si>
  <si>
    <t>Csst</t>
  </si>
  <si>
    <t>TOTAL PERSONNEL</t>
  </si>
  <si>
    <t>Publicité 2</t>
  </si>
  <si>
    <t>Service gratuit 2</t>
  </si>
  <si>
    <t>Frais véhicules de cie</t>
  </si>
  <si>
    <t>Informatique</t>
  </si>
  <si>
    <t>Frais de déplacement</t>
  </si>
  <si>
    <t>Services extérieurs</t>
  </si>
  <si>
    <t>Fournitures autres</t>
  </si>
  <si>
    <t>Uniformes</t>
  </si>
  <si>
    <t>Papeterie</t>
  </si>
  <si>
    <t>Téléphone</t>
  </si>
  <si>
    <t>Frais postaux</t>
  </si>
  <si>
    <t>Divers</t>
  </si>
  <si>
    <t>Formation</t>
  </si>
  <si>
    <t>Frais bancaires</t>
  </si>
  <si>
    <t>TOTAL SEMI-FIXES</t>
  </si>
  <si>
    <t>TOTAL DES DÉPENSES</t>
  </si>
  <si>
    <t>Programme neuf 3</t>
  </si>
  <si>
    <t>Holdbacks</t>
  </si>
  <si>
    <t>Frais administration</t>
  </si>
  <si>
    <t>AUTRES REVENUS</t>
  </si>
  <si>
    <t>PROFIT DÉPARTEMENTAL</t>
  </si>
  <si>
    <t>Véhicules usagés</t>
  </si>
  <si>
    <t>BUDGET  RÉVISÉ</t>
  </si>
  <si>
    <t>Certifié</t>
  </si>
  <si>
    <t>Non Certifié</t>
  </si>
  <si>
    <t>Total Usagés</t>
  </si>
  <si>
    <t>Ventes au Gros</t>
  </si>
  <si>
    <t>Total Dépt. Usagés</t>
  </si>
  <si>
    <t>Programme used 3</t>
  </si>
  <si>
    <t>Service</t>
  </si>
  <si>
    <t>$VENTES</t>
  </si>
  <si>
    <t>% VOL</t>
  </si>
  <si>
    <t>M/O Client</t>
  </si>
  <si>
    <t>% profit / ventes</t>
  </si>
  <si>
    <t>M/O Garantie</t>
  </si>
  <si>
    <t>M/O Interne</t>
  </si>
  <si>
    <t>M/O Esthétique</t>
  </si>
  <si>
    <t>Ajustement M/O</t>
  </si>
  <si>
    <t>Sous-total M/O</t>
  </si>
  <si>
    <t>% protit / ventes</t>
  </si>
  <si>
    <t>Sous-traitement</t>
  </si>
  <si>
    <t>M.O. Recond. MCPA</t>
  </si>
  <si>
    <t>Total Mécanique</t>
  </si>
  <si>
    <t>%brut</t>
  </si>
  <si>
    <t>Fournitures d'atelier</t>
  </si>
  <si>
    <t>Carrosserie</t>
  </si>
  <si>
    <t>M/O Sous-traitement</t>
  </si>
  <si>
    <t>M/O Carrosserie</t>
  </si>
  <si>
    <t>M/O Esthétique Carr.</t>
  </si>
  <si>
    <t>Pièces</t>
  </si>
  <si>
    <t>% P. BRUT</t>
  </si>
  <si>
    <t>Pièces Ro Clients</t>
  </si>
  <si>
    <t>Pièces Ro Carrosserie</t>
  </si>
  <si>
    <t>P/A Garantie</t>
  </si>
  <si>
    <t>Ventes Internes</t>
  </si>
  <si>
    <t>Ventes Détails</t>
  </si>
  <si>
    <t>Ventes de Gros</t>
  </si>
  <si>
    <t>Escomptes</t>
  </si>
  <si>
    <t>Rectif. Inventaire</t>
  </si>
  <si>
    <t>Sous-total Pièces</t>
  </si>
  <si>
    <t>Ventes Pneus</t>
  </si>
  <si>
    <t>Huiles et Graisse</t>
  </si>
  <si>
    <t>Sous-total Pièces et Acc.</t>
  </si>
  <si>
    <t>Autostock</t>
  </si>
  <si>
    <t>Total Dépt. Pièces</t>
  </si>
  <si>
    <t>Boutique</t>
  </si>
  <si>
    <t>Total Dépt. Boutique</t>
  </si>
  <si>
    <t>TOTAL  DES  REVENUS  ET  DÉPENSES</t>
  </si>
  <si>
    <t xml:space="preserve">BUDGET  ORIGINAL   </t>
  </si>
  <si>
    <t>ANNEE  PRECEDENTE</t>
  </si>
  <si>
    <t>ECART (réel/ bud. original)</t>
  </si>
  <si>
    <t># cpte</t>
  </si>
  <si>
    <t>%P.Brut</t>
  </si>
  <si>
    <t>$/Unite</t>
  </si>
  <si>
    <t>$TOTAL</t>
  </si>
  <si>
    <t>$/unité</t>
  </si>
  <si>
    <t>$$</t>
  </si>
  <si>
    <t>%%</t>
  </si>
  <si>
    <t>Profit brut</t>
  </si>
  <si>
    <t>DÉPENSES</t>
  </si>
  <si>
    <t>#10</t>
  </si>
  <si>
    <t>#12</t>
  </si>
  <si>
    <t>#13</t>
  </si>
  <si>
    <t>#15</t>
  </si>
  <si>
    <t>#31-32</t>
  </si>
  <si>
    <t>#62</t>
  </si>
  <si>
    <t>Salaires propriétaire</t>
  </si>
  <si>
    <t>#19</t>
  </si>
  <si>
    <t>#20</t>
  </si>
  <si>
    <t>#22</t>
  </si>
  <si>
    <t>#23</t>
  </si>
  <si>
    <t>#21</t>
  </si>
  <si>
    <t>#24</t>
  </si>
  <si>
    <t>#25</t>
  </si>
  <si>
    <t>#27-26</t>
  </si>
  <si>
    <t>#67</t>
  </si>
  <si>
    <t>#51</t>
  </si>
  <si>
    <t>#79</t>
  </si>
  <si>
    <t>#69-70-75</t>
  </si>
  <si>
    <t>#68</t>
  </si>
  <si>
    <t>#61</t>
  </si>
  <si>
    <t>#28</t>
  </si>
  <si>
    <t>#60</t>
  </si>
  <si>
    <t>#74</t>
  </si>
  <si>
    <t>#73-86</t>
  </si>
  <si>
    <t>#76-33</t>
  </si>
  <si>
    <t>#77</t>
  </si>
  <si>
    <t>#78-93</t>
  </si>
  <si>
    <t>Loyer</t>
  </si>
  <si>
    <t>#80</t>
  </si>
  <si>
    <t>Taxes foncières</t>
  </si>
  <si>
    <t>#84</t>
  </si>
  <si>
    <t>Taxes d`affaires</t>
  </si>
  <si>
    <t>#89</t>
  </si>
  <si>
    <t>Taxe sur le capital</t>
  </si>
  <si>
    <t>Assurances</t>
  </si>
  <si>
    <t>#85-88</t>
  </si>
  <si>
    <t>Chauffage, éclairage</t>
  </si>
  <si>
    <t>#87</t>
  </si>
  <si>
    <t>Honoraires</t>
  </si>
  <si>
    <t>#72</t>
  </si>
  <si>
    <t>Réparation équipement</t>
  </si>
  <si>
    <t>#82-90</t>
  </si>
  <si>
    <t>Location équipement</t>
  </si>
  <si>
    <t>#92</t>
  </si>
  <si>
    <t>Dons</t>
  </si>
  <si>
    <t>#66</t>
  </si>
  <si>
    <t>TOTAL DÉPENSES FIXES</t>
  </si>
  <si>
    <t>Revenus autres</t>
  </si>
  <si>
    <t>TOTAL AUTRES REVENUS</t>
  </si>
  <si>
    <t>BAIIA OPÉRATIONNEL</t>
  </si>
  <si>
    <t>%vte</t>
  </si>
  <si>
    <t>CALCUL DU PROFIT NET</t>
  </si>
  <si>
    <t>Amortissement</t>
  </si>
  <si>
    <t>Intérêts sur marge</t>
  </si>
  <si>
    <t>Intérêts sur prêt</t>
  </si>
  <si>
    <t>Intérêts sur avance</t>
  </si>
  <si>
    <t>Profit Net</t>
  </si>
  <si>
    <t>US</t>
  </si>
  <si>
    <t>Programme neuf 2</t>
  </si>
  <si>
    <t>Facility Fund</t>
  </si>
  <si>
    <t>Pièces recond. MCPA</t>
  </si>
  <si>
    <t>Ventes</t>
  </si>
  <si>
    <t>Profits bruts</t>
  </si>
  <si>
    <t>BAIIA</t>
  </si>
  <si>
    <t>EBIT</t>
  </si>
  <si>
    <t>CONSO</t>
  </si>
  <si>
    <t>TOTAL</t>
  </si>
  <si>
    <t>CTRL</t>
  </si>
  <si>
    <t>BUDGET</t>
  </si>
  <si>
    <t>BUDGET RÉVISÉ</t>
  </si>
  <si>
    <t>ACTUAL</t>
  </si>
  <si>
    <t>LAST YEAR</t>
  </si>
  <si>
    <t>Mitsubishi</t>
  </si>
  <si>
    <t>Mois 1</t>
  </si>
  <si>
    <t>Mois 2</t>
  </si>
  <si>
    <t>Mois 3</t>
  </si>
  <si>
    <t>Quarter</t>
  </si>
  <si>
    <t>Autres marques</t>
  </si>
  <si>
    <t>Revenus d'intérêts Floor plan</t>
  </si>
  <si>
    <t>BAIIA Corpo</t>
  </si>
  <si>
    <t>BMW Sherbrooke</t>
  </si>
  <si>
    <t>NB</t>
  </si>
  <si>
    <t>$</t>
  </si>
  <si>
    <t>ÉCART réel / Budget</t>
  </si>
  <si>
    <t>ECART (réel/ Ann.Préc.)</t>
  </si>
  <si>
    <t>UNFTÉ</t>
  </si>
  <si>
    <t>RBSC neuf</t>
  </si>
  <si>
    <t>$PROFFTS</t>
  </si>
  <si>
    <t>RBSC used</t>
  </si>
  <si>
    <t>Programme 360</t>
  </si>
  <si>
    <t>$Ventes</t>
  </si>
  <si>
    <t>FORECAST</t>
  </si>
  <si>
    <t>#14</t>
  </si>
  <si>
    <t>#16-17</t>
  </si>
  <si>
    <t>#18</t>
  </si>
  <si>
    <t>#26</t>
  </si>
  <si>
    <t>#27</t>
  </si>
  <si>
    <t>#29</t>
  </si>
  <si>
    <t>#16</t>
  </si>
  <si>
    <t>#52-53</t>
  </si>
  <si>
    <t>#69</t>
  </si>
  <si>
    <t>#71</t>
  </si>
  <si>
    <t>#70</t>
  </si>
  <si>
    <t>#75</t>
  </si>
  <si>
    <t>#78</t>
  </si>
  <si>
    <t>#72-77</t>
  </si>
  <si>
    <t>#76</t>
  </si>
  <si>
    <t>#73</t>
  </si>
  <si>
    <t>#90</t>
  </si>
  <si>
    <t>Revenus d'intérêts floor plan</t>
  </si>
  <si>
    <t>Impôt exigible</t>
  </si>
  <si>
    <t>Profit Net après impôt</t>
  </si>
  <si>
    <t>Pacing</t>
  </si>
  <si>
    <t>Réalisé, Septembre 2024</t>
  </si>
  <si>
    <t>avec boni F&amp;I vendeur 30.1%</t>
  </si>
  <si>
    <t>sans boni F&amp;I vendeur 24.1%</t>
  </si>
  <si>
    <t>avec boni F&amp;I vendeur 37.1%</t>
  </si>
  <si>
    <t>sans boni F&amp;I vendeur 23%</t>
  </si>
  <si>
    <t>2.4k Yvon + 2k avion + Hébergement meeting BMW</t>
  </si>
  <si>
    <t>autovery 599$</t>
  </si>
  <si>
    <t>Assurance trou d'un coup</t>
  </si>
  <si>
    <t>20 unités</t>
  </si>
  <si>
    <t>18  unités, mais PDSF plus bas</t>
  </si>
  <si>
    <t>18 unités, 1.05% - réel 15 unités et payé à 0.70%</t>
  </si>
  <si>
    <t>20 unités neuf + 20 unités usagé</t>
  </si>
  <si>
    <t>avec boni F&amp;I vendeur 45.4 %</t>
  </si>
  <si>
    <t>avec boni F&amp;I vendeur 38.6%</t>
  </si>
  <si>
    <t>sans boni F&amp;I vendeur 23.8%</t>
  </si>
  <si>
    <t>3 semaines vacances Jeremy</t>
  </si>
  <si>
    <t>Vacances Christian</t>
  </si>
  <si>
    <t>Vacances Chrtistian</t>
  </si>
  <si>
    <t>Dépréciation à 2%</t>
  </si>
  <si>
    <t>18 unités versus 12, prix moyen supérieur</t>
  </si>
  <si>
    <t>14 rdr vs 12, prix moyen 84931$ vs 70000$</t>
  </si>
  <si>
    <t>Réalisé, Juillet 2024</t>
  </si>
  <si>
    <t>Réalisé, Août 2024</t>
  </si>
  <si>
    <t>Q3 2024</t>
  </si>
  <si>
    <t>avec boni F&amp;I vendeur 42.9 %</t>
  </si>
  <si>
    <t>sans boni F&amp;I vendeur 24%</t>
  </si>
  <si>
    <t>salon electrique oct ?</t>
  </si>
  <si>
    <t>Vente privée, manque COOP</t>
  </si>
  <si>
    <t>avec boni F&amp;I vendeur 43%</t>
  </si>
  <si>
    <t>sans boni F&amp;I vendeur 21.9%</t>
  </si>
  <si>
    <t>Atteint max coop ?</t>
  </si>
  <si>
    <t>Entreposage</t>
  </si>
  <si>
    <t>Affichage poste mecanicien</t>
  </si>
  <si>
    <t>Nos pacings pour budget</t>
  </si>
  <si>
    <t>boni cadres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</si>
</sst>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dd\/mm\/yy_)"/>
    <numFmt numFmtId="167" formatCode="0.0%"/>
    <numFmt numFmtId="168" formatCode="0_)"/>
    <numFmt numFmtId="169" formatCode="_(* #,##0_);_(* \(#,##0\);_(* &quot;-&quot;??_);_(@_)"/>
    <numFmt numFmtId="170" formatCode="_-* #,##0.00\ _$_-;_-* #,##0.00\ _$\-;_-* &quot;-&quot;??\ _$_-;_-@_-"/>
    <numFmt numFmtId="171" formatCode="_-* #,##0.00\ &quot;$&quot;_-;_-* #,##0.00\ &quot;$&quot;\-;_-* &quot;-&quot;??\ &quot;$&quot;_-;_-@_-"/>
    <numFmt numFmtId="172" formatCode="0.00_)"/>
    <numFmt numFmtId="173" formatCode="#,##0\ &quot;$&quot;"/>
  </numFmts>
  <fonts count="41">
    <font>
      <sz val="11"/>
      <color theme="1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8"/>
      <color theme="1"/>
      <name val="Arial mt"/>
    </font>
    <font>
      <b/>
      <sz val="28"/>
      <color theme="1"/>
      <name val="Arial"/>
      <family val="2"/>
    </font>
    <font>
      <sz val="11"/>
      <color theme="1"/>
      <name val="Calibri"/>
      <family val="2"/>
    </font>
    <font>
      <sz val="12"/>
      <color theme="1"/>
      <name val="Arial"/>
      <family val="2"/>
    </font>
    <font>
      <sz val="16"/>
      <color theme="1"/>
      <name val="Arial mt"/>
    </font>
    <font>
      <sz val="16"/>
      <color theme="1"/>
      <name val="Arial"/>
      <family val="2"/>
    </font>
    <font>
      <b/>
      <sz val="16"/>
      <color theme="1"/>
      <name val="Arial"/>
      <family val="2"/>
    </font>
    <font>
      <sz val="11"/>
      <name val="Arial"/>
      <family val="2"/>
    </font>
    <font>
      <sz val="16"/>
      <name val="Arial"/>
      <family val="2"/>
    </font>
    <font>
      <sz val="11"/>
      <color theme="1"/>
      <name val="Arial"/>
      <family val="2"/>
    </font>
    <font>
      <sz val="14"/>
      <color theme="1"/>
      <name val="Arial"/>
      <family val="2"/>
    </font>
    <font>
      <sz val="18"/>
      <color theme="1"/>
      <name val="Arial mt"/>
    </font>
    <font>
      <sz val="18"/>
      <color theme="1"/>
      <name val="Arial"/>
      <family val="2"/>
    </font>
    <font>
      <sz val="20"/>
      <color rgb="FFFF0000"/>
      <name val="Arial"/>
      <family val="2"/>
    </font>
    <font>
      <b/>
      <sz val="16"/>
      <name val="Arial"/>
      <family val="2"/>
    </font>
    <font>
      <sz val="22"/>
      <color rgb="FFFF0000"/>
      <name val="Arial"/>
      <family val="2"/>
    </font>
    <font>
      <sz val="12"/>
      <color theme="1"/>
      <name val="Arial mt"/>
    </font>
    <font>
      <b/>
      <sz val="14"/>
      <color theme="1"/>
      <name val="Arial"/>
      <family val="2"/>
    </font>
    <font>
      <sz val="14"/>
      <name val="Arial"/>
      <family val="2"/>
    </font>
    <font>
      <b/>
      <sz val="12"/>
      <color theme="1"/>
      <name val="Arial mt"/>
    </font>
    <font>
      <b/>
      <sz val="14"/>
      <color rgb="FFFF0000"/>
      <name val="Arial"/>
      <family val="2"/>
    </font>
    <font>
      <b/>
      <i/>
      <sz val="12"/>
      <color theme="1"/>
      <name val="Arial mt"/>
    </font>
    <font>
      <b/>
      <sz val="14"/>
      <color theme="1"/>
      <name val="Times New Roman"/>
      <family val="1"/>
    </font>
    <font>
      <sz val="12"/>
      <color theme="1"/>
      <name val="Times New Roman"/>
      <family val="1"/>
    </font>
    <font>
      <b/>
      <sz val="24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rgb="FF0000FF"/>
      <name val="Arial mt"/>
    </font>
    <font>
      <sz val="8"/>
      <name val="Arial"/>
      <family val="2"/>
    </font>
    <font>
      <sz val="11"/>
      <color rgb="FFFF0000"/>
      <name val="Arial"/>
      <family val="2"/>
    </font>
    <font>
      <b/>
      <sz val="11"/>
      <color theme="1"/>
      <name val="Arial"/>
      <family val="2"/>
    </font>
    <font>
      <sz val="12"/>
      <name val="Arial MT"/>
    </font>
    <font>
      <sz val="10"/>
      <name val="Arial"/>
      <family val="2"/>
    </font>
    <font>
      <sz val="11"/>
      <color theme="1"/>
      <name val="Arial"/>
      <family val="2"/>
    </font>
    <font>
      <b/>
      <sz val="11"/>
      <color rgb="FFFF0000"/>
      <name val="Arial"/>
      <family val="2"/>
    </font>
    <font>
      <sz val="8"/>
      <name val="Arial"/>
      <family val="2"/>
    </font>
    <font>
      <sz val="12"/>
      <color theme="0"/>
      <name val="Arial"/>
      <family val="2"/>
    </font>
    <font>
      <sz val="12"/>
      <color theme="1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solid">
        <fgColor rgb="FFFFFFFF"/>
        <bgColor rgb="FFFFFFFF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92D050"/>
        <bgColor indexed="64"/>
      </patternFill>
    </fill>
  </fills>
  <borders count="114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n">
        <color rgb="FF000000"/>
      </bottom>
      <diagonal/>
    </border>
    <border>
      <left/>
      <right/>
      <top style="thick">
        <color indexed="64"/>
      </top>
      <bottom style="thin">
        <color rgb="FF000000"/>
      </bottom>
      <diagonal/>
    </border>
    <border>
      <left/>
      <right style="thick">
        <color rgb="FF000000"/>
      </right>
      <top style="thick">
        <color indexed="64"/>
      </top>
      <bottom style="thin">
        <color rgb="FF000000"/>
      </bottom>
      <diagonal/>
    </border>
    <border>
      <left style="thick">
        <color rgb="FF000000"/>
      </left>
      <right/>
      <top style="thick">
        <color indexed="64"/>
      </top>
      <bottom style="thin">
        <color rgb="FF000000"/>
      </bottom>
      <diagonal/>
    </border>
    <border>
      <left/>
      <right style="thick">
        <color indexed="64"/>
      </right>
      <top style="thick">
        <color indexed="64"/>
      </top>
      <bottom style="thin">
        <color rgb="FF000000"/>
      </bottom>
      <diagonal/>
    </border>
    <border>
      <left style="thick">
        <color indexed="64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ck">
        <color rgb="FF000000"/>
      </right>
      <top/>
      <bottom/>
      <diagonal/>
    </border>
    <border>
      <left style="thick">
        <color rgb="FF000000"/>
      </left>
      <right/>
      <top/>
      <bottom/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/>
      <top/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/>
      <right style="thick">
        <color rgb="FF000000"/>
      </right>
      <top/>
      <bottom style="thin">
        <color indexed="64"/>
      </bottom>
      <diagonal/>
    </border>
    <border>
      <left style="thick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/>
      <right style="thick">
        <color rgb="FF000000"/>
      </right>
      <top/>
      <bottom style="thin">
        <color rgb="FF000000"/>
      </bottom>
      <diagonal/>
    </border>
    <border>
      <left/>
      <right style="thick">
        <color indexed="64"/>
      </right>
      <top/>
      <bottom style="thin">
        <color rgb="FF000000"/>
      </bottom>
      <diagonal/>
    </border>
    <border>
      <left style="thick">
        <color indexed="64"/>
      </left>
      <right/>
      <top/>
      <bottom/>
      <diagonal/>
    </border>
    <border>
      <left/>
      <right style="thick">
        <color rgb="FF000000"/>
      </right>
      <top style="thin">
        <color rgb="FF000000"/>
      </top>
      <bottom/>
      <diagonal/>
    </border>
    <border>
      <left style="thick">
        <color rgb="FF000000"/>
      </left>
      <right/>
      <top style="thin">
        <color rgb="FF000000"/>
      </top>
      <bottom/>
      <diagonal/>
    </border>
    <border>
      <left/>
      <right style="thick">
        <color indexed="64"/>
      </right>
      <top style="thin">
        <color rgb="FF000000"/>
      </top>
      <bottom/>
      <diagonal/>
    </border>
    <border>
      <left style="thick">
        <color indexed="64"/>
      </left>
      <right/>
      <top/>
      <bottom style="thin">
        <color rgb="FF000000"/>
      </bottom>
      <diagonal/>
    </border>
    <border>
      <left style="thick">
        <color rgb="FF000000"/>
      </left>
      <right/>
      <top/>
      <bottom style="thin">
        <color indexed="64"/>
      </bottom>
      <diagonal/>
    </border>
    <border>
      <left style="thick">
        <color indexed="64"/>
      </left>
      <right/>
      <top style="thick">
        <color rgb="FF000000"/>
      </top>
      <bottom/>
      <diagonal/>
    </border>
    <border>
      <left/>
      <right/>
      <top style="thick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/>
      <top style="thick">
        <color rgb="FF000000"/>
      </top>
      <bottom/>
      <diagonal/>
    </border>
    <border>
      <left/>
      <right style="thick">
        <color indexed="64"/>
      </right>
      <top style="thick">
        <color rgb="FF000000"/>
      </top>
      <bottom/>
      <diagonal/>
    </border>
    <border>
      <left style="thick">
        <color indexed="64"/>
      </left>
      <right/>
      <top/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/>
      <right style="thick">
        <color indexed="64"/>
      </right>
      <top/>
      <bottom style="thick">
        <color rgb="FF000000"/>
      </bottom>
      <diagonal/>
    </border>
    <border>
      <left style="thick">
        <color indexed="64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ck">
        <color indexed="64"/>
      </right>
      <top style="thin">
        <color rgb="FF000000"/>
      </top>
      <bottom style="thin">
        <color rgb="FF000000"/>
      </bottom>
      <diagonal/>
    </border>
    <border>
      <left/>
      <right style="thick">
        <color rgb="FF000000"/>
      </right>
      <top style="thin">
        <color indexed="64"/>
      </top>
      <bottom/>
      <diagonal/>
    </border>
    <border>
      <left style="thick">
        <color indexed="64"/>
      </left>
      <right/>
      <top style="thin">
        <color rgb="FF000000"/>
      </top>
      <bottom style="thick">
        <color indexed="64"/>
      </bottom>
      <diagonal/>
    </border>
    <border>
      <left/>
      <right/>
      <top style="thin">
        <color rgb="FF000000"/>
      </top>
      <bottom style="thick">
        <color indexed="64"/>
      </bottom>
      <diagonal/>
    </border>
    <border>
      <left/>
      <right style="thick">
        <color rgb="FF000000"/>
      </right>
      <top style="thin">
        <color rgb="FF000000"/>
      </top>
      <bottom style="thick">
        <color indexed="64"/>
      </bottom>
      <diagonal/>
    </border>
    <border>
      <left style="thick">
        <color rgb="FF000000"/>
      </left>
      <right/>
      <top style="thin">
        <color rgb="FF000000"/>
      </top>
      <bottom style="thick">
        <color indexed="64"/>
      </bottom>
      <diagonal/>
    </border>
    <border>
      <left/>
      <right style="thick">
        <color indexed="64"/>
      </right>
      <top style="thin">
        <color rgb="FF000000"/>
      </top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/>
      <right/>
      <top style="thin">
        <color indexed="64"/>
      </top>
      <bottom/>
      <diagonal/>
    </border>
    <border>
      <left style="thick">
        <color indexed="64"/>
      </left>
      <right/>
      <top style="thin">
        <color indexed="64"/>
      </top>
      <bottom/>
      <diagonal/>
    </border>
    <border>
      <left style="thick">
        <color rgb="FF000000"/>
      </left>
      <right/>
      <top style="thick">
        <color rgb="FF000000"/>
      </top>
      <bottom style="thin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/>
      <right style="thick">
        <color indexed="64"/>
      </right>
      <top style="thick">
        <color rgb="FF000000"/>
      </top>
      <bottom style="thin">
        <color rgb="FF000000"/>
      </bottom>
      <diagonal/>
    </border>
    <border>
      <left style="thick">
        <color indexed="64"/>
      </left>
      <right/>
      <top style="thin">
        <color rgb="FF000000"/>
      </top>
      <bottom style="thick">
        <color rgb="FF000000"/>
      </bottom>
      <diagonal/>
    </border>
    <border>
      <left/>
      <right/>
      <top style="thin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 style="thick">
        <color rgb="FF000000"/>
      </left>
      <right/>
      <top style="thin">
        <color rgb="FF000000"/>
      </top>
      <bottom style="thick">
        <color rgb="FF000000"/>
      </bottom>
      <diagonal/>
    </border>
    <border>
      <left style="thick">
        <color indexed="8"/>
      </left>
      <right/>
      <top/>
      <bottom/>
      <diagonal/>
    </border>
    <border>
      <left style="thick">
        <color indexed="64"/>
      </left>
      <right/>
      <top style="thick">
        <color rgb="FF000000"/>
      </top>
      <bottom style="thick">
        <color indexed="64"/>
      </bottom>
      <diagonal/>
    </border>
    <border>
      <left/>
      <right/>
      <top style="thick">
        <color rgb="FF000000"/>
      </top>
      <bottom style="thick">
        <color indexed="64"/>
      </bottom>
      <diagonal/>
    </border>
    <border>
      <left/>
      <right style="thick">
        <color rgb="FF000000"/>
      </right>
      <top style="thick">
        <color rgb="FF000000"/>
      </top>
      <bottom style="thick">
        <color indexed="64"/>
      </bottom>
      <diagonal/>
    </border>
    <border>
      <left style="thick">
        <color rgb="FF000000"/>
      </left>
      <right/>
      <top style="thick">
        <color rgb="FF000000"/>
      </top>
      <bottom style="thick">
        <color indexed="64"/>
      </bottom>
      <diagonal/>
    </border>
    <border>
      <left/>
      <right style="thick">
        <color indexed="64"/>
      </right>
      <top style="thick">
        <color rgb="FF000000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medium">
        <color rgb="FF000000"/>
      </bottom>
      <diagonal/>
    </border>
    <border>
      <left/>
      <right/>
      <top style="thick">
        <color indexed="64"/>
      </top>
      <bottom style="medium">
        <color rgb="FF000000"/>
      </bottom>
      <diagonal/>
    </border>
    <border>
      <left/>
      <right style="thin">
        <color rgb="FF000000"/>
      </right>
      <top style="thick">
        <color indexed="64"/>
      </top>
      <bottom style="medium">
        <color rgb="FF000000"/>
      </bottom>
      <diagonal/>
    </border>
    <border>
      <left style="thin">
        <color rgb="FF000000"/>
      </left>
      <right/>
      <top style="thick">
        <color indexed="64"/>
      </top>
      <bottom style="medium">
        <color rgb="FF000000"/>
      </bottom>
      <diagonal/>
    </border>
    <border>
      <left/>
      <right style="thick">
        <color indexed="64"/>
      </right>
      <top style="thick">
        <color indexed="64"/>
      </top>
      <bottom style="medium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 style="thick">
        <color indexed="64"/>
      </right>
      <top/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/>
      <top style="thin">
        <color indexed="64"/>
      </top>
      <bottom/>
      <diagonal/>
    </border>
    <border>
      <left style="medium">
        <color rgb="FF000000"/>
      </left>
      <right/>
      <top style="thin">
        <color indexed="64"/>
      </top>
      <bottom/>
      <diagonal/>
    </border>
    <border>
      <left/>
      <right style="thick">
        <color indexed="64"/>
      </right>
      <top style="thin">
        <color indexed="64"/>
      </top>
      <bottom/>
      <diagonal/>
    </border>
    <border>
      <left/>
      <right style="thick">
        <color indexed="64"/>
      </right>
      <top style="thin">
        <color rgb="FF000000"/>
      </top>
      <bottom style="thin">
        <color indexed="64"/>
      </bottom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 style="thin">
        <color rgb="FF000000"/>
      </right>
      <top style="thick">
        <color rgb="FF000000"/>
      </top>
      <bottom style="thick">
        <color indexed="64"/>
      </bottom>
      <diagonal/>
    </border>
    <border>
      <left style="thin">
        <color rgb="FF000000"/>
      </left>
      <right/>
      <top style="thick">
        <color rgb="FF000000"/>
      </top>
      <bottom style="thick">
        <color indexed="64"/>
      </bottom>
      <diagonal/>
    </border>
    <border>
      <left style="thin">
        <color indexed="64"/>
      </left>
      <right style="thin">
        <color rgb="FF000000"/>
      </right>
      <top style="thick">
        <color rgb="FF000000"/>
      </top>
      <bottom style="thick">
        <color indexed="64"/>
      </bottom>
      <diagonal/>
    </border>
    <border>
      <left style="medium">
        <color rgb="FF000000"/>
      </left>
      <right/>
      <top style="thick">
        <color rgb="FF000000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rgb="FF000000"/>
      </bottom>
      <diagonal/>
    </border>
    <border>
      <left/>
      <right/>
      <top style="thick">
        <color indexed="64"/>
      </top>
      <bottom style="thick">
        <color rgb="FF000000"/>
      </bottom>
      <diagonal/>
    </border>
    <border>
      <left/>
      <right style="thin">
        <color rgb="FF000000"/>
      </right>
      <top style="thick">
        <color indexed="64"/>
      </top>
      <bottom style="thick">
        <color rgb="FF000000"/>
      </bottom>
      <diagonal/>
    </border>
    <border>
      <left/>
      <right style="medium">
        <color rgb="FF000000"/>
      </right>
      <top style="thick">
        <color indexed="64"/>
      </top>
      <bottom style="thick">
        <color rgb="FF000000"/>
      </bottom>
      <diagonal/>
    </border>
    <border>
      <left style="medium">
        <color rgb="FF000000"/>
      </left>
      <right/>
      <top style="thick">
        <color indexed="64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ck">
        <color rgb="FF000000"/>
      </left>
      <right/>
      <top style="thick">
        <color rgb="FF000000"/>
      </top>
      <bottom style="thick">
        <color rgb="FF000000"/>
      </bottom>
      <diagonal/>
    </border>
    <border>
      <left/>
      <right/>
      <top style="thick">
        <color rgb="FF000000"/>
      </top>
      <bottom style="thick">
        <color rgb="FF000000"/>
      </bottom>
      <diagonal/>
    </border>
    <border>
      <left/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000000"/>
      </left>
      <right/>
      <top style="thick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 style="medium">
        <color rgb="FF000000"/>
      </left>
      <right/>
      <top style="thick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thick">
        <color rgb="FF000000"/>
      </left>
      <right/>
      <top style="thin">
        <color indexed="64"/>
      </top>
      <bottom style="thin">
        <color rgb="FF000000"/>
      </bottom>
      <diagonal/>
    </border>
    <border>
      <left/>
      <right style="thick">
        <color rgb="FF000000"/>
      </right>
      <top style="thin">
        <color indexed="64"/>
      </top>
      <bottom style="thin">
        <color rgb="FF000000"/>
      </bottom>
      <diagonal/>
    </border>
    <border>
      <left/>
      <right/>
      <top/>
      <bottom style="thin">
        <color indexed="8"/>
      </bottom>
      <diagonal/>
    </border>
  </borders>
  <cellStyleXfs count="16">
    <xf numFmtId="0" fontId="0" fillId="0" borderId="0"/>
    <xf numFmtId="9" fontId="13" fillId="0" borderId="0" applyFont="0" applyFill="0" applyBorder="0" applyAlignment="0" applyProtection="0"/>
    <xf numFmtId="0" fontId="13" fillId="0" borderId="0"/>
    <xf numFmtId="164" fontId="13" fillId="0" borderId="0" applyFont="0" applyFill="0" applyBorder="0" applyAlignment="0" applyProtection="0"/>
    <xf numFmtId="0" fontId="3" fillId="0" borderId="0"/>
    <xf numFmtId="0" fontId="34" fillId="0" borderId="0"/>
    <xf numFmtId="170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171" fontId="35" fillId="0" borderId="0" applyFont="0" applyFill="0" applyBorder="0" applyAlignment="0" applyProtection="0"/>
    <xf numFmtId="0" fontId="13" fillId="0" borderId="0"/>
    <xf numFmtId="0" fontId="2" fillId="0" borderId="0"/>
    <xf numFmtId="0" fontId="34" fillId="0" borderId="0"/>
    <xf numFmtId="165" fontId="36" fillId="0" borderId="0" applyFont="0" applyFill="0" applyBorder="0" applyAlignment="0" applyProtection="0"/>
    <xf numFmtId="0" fontId="13" fillId="0" borderId="0"/>
    <xf numFmtId="9" fontId="13" fillId="0" borderId="0" applyFont="0" applyFill="0" applyBorder="0" applyAlignment="0" applyProtection="0"/>
    <xf numFmtId="0" fontId="1" fillId="0" borderId="0"/>
  </cellStyleXfs>
  <cellXfs count="506">
    <xf numFmtId="0" fontId="0" fillId="0" borderId="0" xfId="0"/>
    <xf numFmtId="0" fontId="4" fillId="0" borderId="0" xfId="0" applyFont="1"/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  <xf numFmtId="3" fontId="4" fillId="0" borderId="0" xfId="0" applyNumberFormat="1" applyFont="1"/>
    <xf numFmtId="0" fontId="4" fillId="0" borderId="0" xfId="0" applyFont="1" applyAlignment="1">
      <alignment horizontal="right"/>
    </xf>
    <xf numFmtId="0" fontId="5" fillId="0" borderId="0" xfId="0" applyFont="1"/>
    <xf numFmtId="0" fontId="6" fillId="0" borderId="0" xfId="0" applyFont="1"/>
    <xf numFmtId="166" fontId="7" fillId="0" borderId="0" xfId="0" applyNumberFormat="1" applyFont="1" applyAlignment="1">
      <alignment horizontal="left"/>
    </xf>
    <xf numFmtId="0" fontId="7" fillId="0" borderId="0" xfId="0" applyFont="1" applyAlignment="1">
      <alignment horizontal="center"/>
    </xf>
    <xf numFmtId="0" fontId="7" fillId="0" borderId="0" xfId="0" applyFont="1"/>
    <xf numFmtId="0" fontId="8" fillId="0" borderId="0" xfId="0" applyFont="1"/>
    <xf numFmtId="0" fontId="9" fillId="0" borderId="1" xfId="0" applyFont="1" applyBorder="1"/>
    <xf numFmtId="0" fontId="9" fillId="0" borderId="0" xfId="0" applyFont="1"/>
    <xf numFmtId="0" fontId="9" fillId="0" borderId="6" xfId="0" applyFont="1" applyBorder="1"/>
    <xf numFmtId="3" fontId="9" fillId="0" borderId="7" xfId="0" applyNumberFormat="1" applyFont="1" applyBorder="1" applyAlignment="1">
      <alignment horizontal="center"/>
    </xf>
    <xf numFmtId="3" fontId="9" fillId="0" borderId="0" xfId="0" applyNumberFormat="1" applyFont="1" applyAlignment="1">
      <alignment horizontal="center"/>
    </xf>
    <xf numFmtId="3" fontId="9" fillId="0" borderId="8" xfId="0" applyNumberFormat="1" applyFont="1" applyBorder="1" applyAlignment="1">
      <alignment horizontal="center"/>
    </xf>
    <xf numFmtId="3" fontId="9" fillId="0" borderId="9" xfId="0" applyNumberFormat="1" applyFont="1" applyBorder="1" applyAlignment="1">
      <alignment horizontal="center"/>
    </xf>
    <xf numFmtId="3" fontId="9" fillId="0" borderId="10" xfId="0" applyNumberFormat="1" applyFont="1" applyBorder="1" applyAlignment="1">
      <alignment horizontal="center"/>
    </xf>
    <xf numFmtId="0" fontId="9" fillId="0" borderId="11" xfId="0" applyFont="1" applyBorder="1"/>
    <xf numFmtId="3" fontId="9" fillId="0" borderId="12" xfId="0" applyNumberFormat="1" applyFont="1" applyBorder="1" applyAlignment="1">
      <alignment horizontal="center"/>
    </xf>
    <xf numFmtId="3" fontId="9" fillId="0" borderId="13" xfId="0" applyNumberFormat="1" applyFont="1" applyBorder="1"/>
    <xf numFmtId="0" fontId="9" fillId="0" borderId="14" xfId="0" applyFont="1" applyBorder="1"/>
    <xf numFmtId="3" fontId="9" fillId="0" borderId="12" xfId="0" applyNumberFormat="1" applyFont="1" applyBorder="1" applyAlignment="1">
      <alignment horizontal="right"/>
    </xf>
    <xf numFmtId="3" fontId="9" fillId="0" borderId="15" xfId="0" applyNumberFormat="1" applyFont="1" applyBorder="1"/>
    <xf numFmtId="3" fontId="9" fillId="0" borderId="14" xfId="0" applyNumberFormat="1" applyFont="1" applyBorder="1" applyAlignment="1">
      <alignment horizontal="center"/>
    </xf>
    <xf numFmtId="3" fontId="9" fillId="0" borderId="16" xfId="0" applyNumberFormat="1" applyFont="1" applyBorder="1" applyAlignment="1">
      <alignment horizontal="center"/>
    </xf>
    <xf numFmtId="3" fontId="9" fillId="0" borderId="17" xfId="0" applyNumberFormat="1" applyFont="1" applyBorder="1" applyAlignment="1">
      <alignment horizontal="center"/>
    </xf>
    <xf numFmtId="0" fontId="9" fillId="0" borderId="18" xfId="0" applyFont="1" applyBorder="1"/>
    <xf numFmtId="3" fontId="9" fillId="0" borderId="0" xfId="0" applyNumberFormat="1" applyFont="1"/>
    <xf numFmtId="3" fontId="9" fillId="0" borderId="9" xfId="0" applyNumberFormat="1" applyFont="1" applyBorder="1"/>
    <xf numFmtId="3" fontId="12" fillId="0" borderId="8" xfId="0" applyNumberFormat="1" applyFont="1" applyBorder="1"/>
    <xf numFmtId="3" fontId="9" fillId="0" borderId="8" xfId="0" applyNumberFormat="1" applyFont="1" applyBorder="1"/>
    <xf numFmtId="3" fontId="9" fillId="0" borderId="10" xfId="0" applyNumberFormat="1" applyFont="1" applyBorder="1"/>
    <xf numFmtId="0" fontId="10" fillId="0" borderId="6" xfId="0" applyFont="1" applyBorder="1"/>
    <xf numFmtId="3" fontId="10" fillId="0" borderId="7" xfId="0" applyNumberFormat="1" applyFont="1" applyBorder="1"/>
    <xf numFmtId="3" fontId="10" fillId="0" borderId="19" xfId="0" applyNumberFormat="1" applyFont="1" applyBorder="1"/>
    <xf numFmtId="3" fontId="10" fillId="0" borderId="20" xfId="0" applyNumberFormat="1" applyFont="1" applyBorder="1"/>
    <xf numFmtId="3" fontId="10" fillId="0" borderId="21" xfId="0" applyNumberFormat="1" applyFont="1" applyBorder="1"/>
    <xf numFmtId="0" fontId="9" fillId="0" borderId="8" xfId="0" applyFont="1" applyBorder="1"/>
    <xf numFmtId="0" fontId="9" fillId="0" borderId="9" xfId="0" applyFont="1" applyBorder="1"/>
    <xf numFmtId="167" fontId="10" fillId="0" borderId="9" xfId="0" applyNumberFormat="1" applyFont="1" applyBorder="1"/>
    <xf numFmtId="167" fontId="10" fillId="0" borderId="8" xfId="0" applyNumberFormat="1" applyFont="1" applyBorder="1"/>
    <xf numFmtId="167" fontId="10" fillId="0" borderId="10" xfId="0" applyNumberFormat="1" applyFont="1" applyBorder="1"/>
    <xf numFmtId="0" fontId="10" fillId="0" borderId="22" xfId="0" applyFont="1" applyBorder="1"/>
    <xf numFmtId="3" fontId="9" fillId="0" borderId="23" xfId="0" applyNumberFormat="1" applyFont="1" applyBorder="1"/>
    <xf numFmtId="3" fontId="9" fillId="0" borderId="12" xfId="0" applyNumberFormat="1" applyFont="1" applyBorder="1"/>
    <xf numFmtId="3" fontId="9" fillId="0" borderId="16" xfId="0" applyNumberFormat="1" applyFont="1" applyBorder="1"/>
    <xf numFmtId="3" fontId="10" fillId="0" borderId="14" xfId="0" applyNumberFormat="1" applyFont="1" applyBorder="1"/>
    <xf numFmtId="3" fontId="10" fillId="0" borderId="12" xfId="0" applyNumberFormat="1" applyFont="1" applyBorder="1"/>
    <xf numFmtId="3" fontId="9" fillId="0" borderId="14" xfId="0" applyNumberFormat="1" applyFont="1" applyBorder="1"/>
    <xf numFmtId="3" fontId="9" fillId="0" borderId="17" xfId="0" applyNumberFormat="1" applyFont="1" applyBorder="1"/>
    <xf numFmtId="0" fontId="10" fillId="0" borderId="18" xfId="0" applyFont="1" applyBorder="1"/>
    <xf numFmtId="3" fontId="9" fillId="0" borderId="7" xfId="0" applyNumberFormat="1" applyFont="1" applyBorder="1"/>
    <xf numFmtId="3" fontId="9" fillId="0" borderId="19" xfId="0" applyNumberFormat="1" applyFont="1" applyBorder="1"/>
    <xf numFmtId="3" fontId="9" fillId="0" borderId="20" xfId="0" applyNumberFormat="1" applyFont="1" applyBorder="1"/>
    <xf numFmtId="3" fontId="9" fillId="0" borderId="21" xfId="0" applyNumberFormat="1" applyFont="1" applyBorder="1"/>
    <xf numFmtId="3" fontId="10" fillId="0" borderId="9" xfId="0" applyNumberFormat="1" applyFont="1" applyBorder="1"/>
    <xf numFmtId="37" fontId="9" fillId="0" borderId="8" xfId="0" applyNumberFormat="1" applyFont="1" applyBorder="1"/>
    <xf numFmtId="37" fontId="9" fillId="0" borderId="9" xfId="0" applyNumberFormat="1" applyFont="1" applyBorder="1"/>
    <xf numFmtId="0" fontId="9" fillId="0" borderId="10" xfId="0" applyFont="1" applyBorder="1"/>
    <xf numFmtId="0" fontId="10" fillId="2" borderId="24" xfId="0" applyFont="1" applyFill="1" applyBorder="1"/>
    <xf numFmtId="37" fontId="10" fillId="2" borderId="25" xfId="0" applyNumberFormat="1" applyFont="1" applyFill="1" applyBorder="1"/>
    <xf numFmtId="3" fontId="10" fillId="2" borderId="25" xfId="0" applyNumberFormat="1" applyFont="1" applyFill="1" applyBorder="1"/>
    <xf numFmtId="37" fontId="10" fillId="2" borderId="26" xfId="0" applyNumberFormat="1" applyFont="1" applyFill="1" applyBorder="1"/>
    <xf numFmtId="37" fontId="10" fillId="2" borderId="27" xfId="0" applyNumberFormat="1" applyFont="1" applyFill="1" applyBorder="1"/>
    <xf numFmtId="168" fontId="10" fillId="2" borderId="25" xfId="0" applyNumberFormat="1" applyFont="1" applyFill="1" applyBorder="1"/>
    <xf numFmtId="37" fontId="10" fillId="2" borderId="28" xfId="0" applyNumberFormat="1" applyFont="1" applyFill="1" applyBorder="1"/>
    <xf numFmtId="0" fontId="10" fillId="2" borderId="29" xfId="0" applyFont="1" applyFill="1" applyBorder="1"/>
    <xf numFmtId="0" fontId="10" fillId="2" borderId="30" xfId="0" applyFont="1" applyFill="1" applyBorder="1"/>
    <xf numFmtId="0" fontId="10" fillId="2" borderId="31" xfId="0" applyFont="1" applyFill="1" applyBorder="1"/>
    <xf numFmtId="0" fontId="10" fillId="2" borderId="32" xfId="0" applyFont="1" applyFill="1" applyBorder="1"/>
    <xf numFmtId="167" fontId="10" fillId="2" borderId="32" xfId="0" applyNumberFormat="1" applyFont="1" applyFill="1" applyBorder="1"/>
    <xf numFmtId="167" fontId="10" fillId="2" borderId="31" xfId="0" applyNumberFormat="1" applyFont="1" applyFill="1" applyBorder="1"/>
    <xf numFmtId="167" fontId="10" fillId="2" borderId="33" xfId="0" applyNumberFormat="1" applyFont="1" applyFill="1" applyBorder="1"/>
    <xf numFmtId="0" fontId="10" fillId="0" borderId="0" xfId="0" applyFont="1"/>
    <xf numFmtId="0" fontId="10" fillId="0" borderId="8" xfId="0" applyFont="1" applyBorder="1"/>
    <xf numFmtId="0" fontId="10" fillId="0" borderId="9" xfId="0" applyFont="1" applyBorder="1"/>
    <xf numFmtId="0" fontId="10" fillId="0" borderId="18" xfId="0" applyFont="1" applyBorder="1" applyAlignment="1">
      <alignment horizontal="left"/>
    </xf>
    <xf numFmtId="0" fontId="9" fillId="0" borderId="0" xfId="0" applyFont="1" applyAlignment="1">
      <alignment horizontal="center"/>
    </xf>
    <xf numFmtId="0" fontId="9" fillId="0" borderId="0" xfId="0" applyFont="1" applyAlignment="1">
      <alignment horizontal="right"/>
    </xf>
    <xf numFmtId="37" fontId="9" fillId="0" borderId="0" xfId="0" applyNumberFormat="1" applyFont="1"/>
    <xf numFmtId="0" fontId="9" fillId="0" borderId="9" xfId="0" applyFont="1" applyBorder="1" applyAlignment="1">
      <alignment horizontal="right"/>
    </xf>
    <xf numFmtId="167" fontId="9" fillId="0" borderId="9" xfId="1" applyNumberFormat="1" applyFont="1" applyFill="1" applyBorder="1"/>
    <xf numFmtId="37" fontId="9" fillId="0" borderId="10" xfId="0" applyNumberFormat="1" applyFont="1" applyBorder="1"/>
    <xf numFmtId="0" fontId="9" fillId="0" borderId="22" xfId="0" applyFont="1" applyBorder="1"/>
    <xf numFmtId="0" fontId="9" fillId="0" borderId="12" xfId="0" applyFont="1" applyBorder="1" applyAlignment="1">
      <alignment horizontal="right"/>
    </xf>
    <xf numFmtId="37" fontId="9" fillId="0" borderId="12" xfId="0" applyNumberFormat="1" applyFont="1" applyBorder="1"/>
    <xf numFmtId="0" fontId="9" fillId="0" borderId="14" xfId="0" applyFont="1" applyBorder="1" applyAlignment="1">
      <alignment horizontal="right"/>
    </xf>
    <xf numFmtId="37" fontId="9" fillId="0" borderId="15" xfId="0" applyNumberFormat="1" applyFont="1" applyBorder="1"/>
    <xf numFmtId="37" fontId="9" fillId="0" borderId="16" xfId="0" applyNumberFormat="1" applyFont="1" applyBorder="1"/>
    <xf numFmtId="37" fontId="9" fillId="0" borderId="17" xfId="0" applyNumberFormat="1" applyFont="1" applyBorder="1"/>
    <xf numFmtId="0" fontId="10" fillId="2" borderId="34" xfId="0" applyFont="1" applyFill="1" applyBorder="1"/>
    <xf numFmtId="0" fontId="10" fillId="2" borderId="35" xfId="0" applyFont="1" applyFill="1" applyBorder="1" applyAlignment="1">
      <alignment horizontal="center"/>
    </xf>
    <xf numFmtId="167" fontId="10" fillId="2" borderId="35" xfId="0" applyNumberFormat="1" applyFont="1" applyFill="1" applyBorder="1"/>
    <xf numFmtId="37" fontId="10" fillId="2" borderId="36" xfId="0" applyNumberFormat="1" applyFont="1" applyFill="1" applyBorder="1"/>
    <xf numFmtId="0" fontId="10" fillId="2" borderId="37" xfId="0" applyFont="1" applyFill="1" applyBorder="1" applyAlignment="1">
      <alignment horizontal="center"/>
    </xf>
    <xf numFmtId="0" fontId="9" fillId="2" borderId="38" xfId="0" applyFont="1" applyFill="1" applyBorder="1"/>
    <xf numFmtId="37" fontId="10" fillId="2" borderId="35" xfId="0" applyNumberFormat="1" applyFont="1" applyFill="1" applyBorder="1"/>
    <xf numFmtId="0" fontId="9" fillId="2" borderId="37" xfId="0" applyFont="1" applyFill="1" applyBorder="1"/>
    <xf numFmtId="37" fontId="10" fillId="2" borderId="39" xfId="0" applyNumberFormat="1" applyFont="1" applyFill="1" applyBorder="1"/>
    <xf numFmtId="0" fontId="14" fillId="0" borderId="18" xfId="0" applyFont="1" applyBorder="1"/>
    <xf numFmtId="0" fontId="14" fillId="0" borderId="22" xfId="0" applyFont="1" applyBorder="1"/>
    <xf numFmtId="0" fontId="9" fillId="0" borderId="7" xfId="0" applyFont="1" applyBorder="1" applyAlignment="1">
      <alignment horizontal="right"/>
    </xf>
    <xf numFmtId="0" fontId="9" fillId="0" borderId="7" xfId="0" applyFont="1" applyBorder="1"/>
    <xf numFmtId="0" fontId="9" fillId="0" borderId="20" xfId="0" applyFont="1" applyBorder="1" applyAlignment="1">
      <alignment horizontal="right"/>
    </xf>
    <xf numFmtId="0" fontId="9" fillId="0" borderId="20" xfId="0" applyFont="1" applyBorder="1"/>
    <xf numFmtId="3" fontId="9" fillId="0" borderId="40" xfId="0" applyNumberFormat="1" applyFont="1" applyBorder="1"/>
    <xf numFmtId="37" fontId="9" fillId="0" borderId="19" xfId="0" applyNumberFormat="1" applyFont="1" applyBorder="1"/>
    <xf numFmtId="37" fontId="9" fillId="0" borderId="21" xfId="0" applyNumberFormat="1" applyFont="1" applyBorder="1"/>
    <xf numFmtId="0" fontId="9" fillId="0" borderId="12" xfId="0" applyFont="1" applyBorder="1"/>
    <xf numFmtId="37" fontId="10" fillId="0" borderId="0" xfId="0" applyNumberFormat="1" applyFont="1"/>
    <xf numFmtId="37" fontId="10" fillId="2" borderId="16" xfId="0" applyNumberFormat="1" applyFont="1" applyFill="1" applyBorder="1"/>
    <xf numFmtId="37" fontId="10" fillId="2" borderId="17" xfId="0" applyNumberFormat="1" applyFont="1" applyFill="1" applyBorder="1"/>
    <xf numFmtId="0" fontId="10" fillId="3" borderId="18" xfId="0" applyFont="1" applyFill="1" applyBorder="1"/>
    <xf numFmtId="0" fontId="9" fillId="3" borderId="0" xfId="0" applyFont="1" applyFill="1"/>
    <xf numFmtId="0" fontId="10" fillId="3" borderId="0" xfId="0" applyFont="1" applyFill="1"/>
    <xf numFmtId="37" fontId="10" fillId="3" borderId="8" xfId="0" applyNumberFormat="1" applyFont="1" applyFill="1" applyBorder="1"/>
    <xf numFmtId="0" fontId="9" fillId="3" borderId="9" xfId="0" applyFont="1" applyFill="1" applyBorder="1"/>
    <xf numFmtId="0" fontId="9" fillId="3" borderId="14" xfId="0" applyFont="1" applyFill="1" applyBorder="1"/>
    <xf numFmtId="0" fontId="9" fillId="3" borderId="12" xfId="0" applyFont="1" applyFill="1" applyBorder="1"/>
    <xf numFmtId="37" fontId="10" fillId="3" borderId="16" xfId="0" applyNumberFormat="1" applyFont="1" applyFill="1" applyBorder="1"/>
    <xf numFmtId="37" fontId="10" fillId="3" borderId="17" xfId="0" applyNumberFormat="1" applyFont="1" applyFill="1" applyBorder="1"/>
    <xf numFmtId="0" fontId="10" fillId="2" borderId="41" xfId="0" applyFont="1" applyFill="1" applyBorder="1"/>
    <xf numFmtId="0" fontId="9" fillId="2" borderId="42" xfId="0" applyFont="1" applyFill="1" applyBorder="1"/>
    <xf numFmtId="0" fontId="10" fillId="2" borderId="42" xfId="0" applyFont="1" applyFill="1" applyBorder="1"/>
    <xf numFmtId="37" fontId="10" fillId="2" borderId="43" xfId="0" applyNumberFormat="1" applyFont="1" applyFill="1" applyBorder="1"/>
    <xf numFmtId="0" fontId="9" fillId="2" borderId="44" xfId="0" applyFont="1" applyFill="1" applyBorder="1"/>
    <xf numFmtId="37" fontId="10" fillId="2" borderId="45" xfId="0" applyNumberFormat="1" applyFont="1" applyFill="1" applyBorder="1"/>
    <xf numFmtId="0" fontId="15" fillId="0" borderId="0" xfId="0" applyFont="1"/>
    <xf numFmtId="0" fontId="16" fillId="0" borderId="0" xfId="0" applyFont="1"/>
    <xf numFmtId="37" fontId="16" fillId="0" borderId="0" xfId="0" applyNumberFormat="1" applyFont="1"/>
    <xf numFmtId="0" fontId="9" fillId="0" borderId="7" xfId="0" applyFont="1" applyBorder="1" applyAlignment="1">
      <alignment horizontal="center"/>
    </xf>
    <xf numFmtId="0" fontId="9" fillId="0" borderId="8" xfId="0" applyFont="1" applyBorder="1" applyAlignment="1">
      <alignment horizontal="center"/>
    </xf>
    <xf numFmtId="0" fontId="9" fillId="0" borderId="9" xfId="0" applyFont="1" applyBorder="1" applyAlignment="1">
      <alignment horizontal="center"/>
    </xf>
    <xf numFmtId="0" fontId="9" fillId="0" borderId="10" xfId="0" applyFont="1" applyBorder="1" applyAlignment="1">
      <alignment horizontal="center"/>
    </xf>
    <xf numFmtId="0" fontId="9" fillId="0" borderId="14" xfId="0" applyFont="1" applyBorder="1" applyAlignment="1">
      <alignment horizontal="center"/>
    </xf>
    <xf numFmtId="0" fontId="9" fillId="0" borderId="16" xfId="0" applyFont="1" applyBorder="1" applyAlignment="1">
      <alignment horizontal="center"/>
    </xf>
    <xf numFmtId="0" fontId="9" fillId="0" borderId="17" xfId="0" applyFont="1" applyBorder="1" applyAlignment="1">
      <alignment horizontal="center"/>
    </xf>
    <xf numFmtId="0" fontId="17" fillId="0" borderId="0" xfId="0" applyFont="1"/>
    <xf numFmtId="39" fontId="9" fillId="0" borderId="0" xfId="0" applyNumberFormat="1" applyFont="1"/>
    <xf numFmtId="3" fontId="10" fillId="0" borderId="16" xfId="0" applyNumberFormat="1" applyFont="1" applyBorder="1"/>
    <xf numFmtId="3" fontId="10" fillId="0" borderId="17" xfId="0" applyNumberFormat="1" applyFont="1" applyBorder="1"/>
    <xf numFmtId="168" fontId="9" fillId="0" borderId="0" xfId="0" applyNumberFormat="1" applyFont="1"/>
    <xf numFmtId="167" fontId="18" fillId="4" borderId="46" xfId="0" applyNumberFormat="1" applyFont="1" applyFill="1" applyBorder="1"/>
    <xf numFmtId="37" fontId="9" fillId="0" borderId="13" xfId="0" applyNumberFormat="1" applyFont="1" applyBorder="1"/>
    <xf numFmtId="0" fontId="9" fillId="2" borderId="14" xfId="0" applyFont="1" applyFill="1" applyBorder="1"/>
    <xf numFmtId="167" fontId="9" fillId="0" borderId="0" xfId="0" applyNumberFormat="1" applyFont="1"/>
    <xf numFmtId="0" fontId="10" fillId="0" borderId="0" xfId="0" applyFont="1" applyAlignment="1">
      <alignment horizontal="center"/>
    </xf>
    <xf numFmtId="167" fontId="10" fillId="0" borderId="0" xfId="0" applyNumberFormat="1" applyFont="1"/>
    <xf numFmtId="0" fontId="10" fillId="0" borderId="9" xfId="0" applyFont="1" applyBorder="1" applyAlignment="1">
      <alignment horizontal="center"/>
    </xf>
    <xf numFmtId="0" fontId="9" fillId="2" borderId="42" xfId="0" applyFont="1" applyFill="1" applyBorder="1" applyAlignment="1">
      <alignment horizontal="right"/>
    </xf>
    <xf numFmtId="0" fontId="9" fillId="2" borderId="44" xfId="0" applyFont="1" applyFill="1" applyBorder="1" applyAlignment="1">
      <alignment horizontal="right"/>
    </xf>
    <xf numFmtId="0" fontId="10" fillId="2" borderId="44" xfId="0" applyFont="1" applyFill="1" applyBorder="1"/>
    <xf numFmtId="37" fontId="7" fillId="0" borderId="0" xfId="0" applyNumberFormat="1" applyFont="1"/>
    <xf numFmtId="1" fontId="9" fillId="0" borderId="9" xfId="0" applyNumberFormat="1" applyFont="1" applyBorder="1"/>
    <xf numFmtId="167" fontId="9" fillId="0" borderId="9" xfId="0" applyNumberFormat="1" applyFont="1" applyBorder="1"/>
    <xf numFmtId="167" fontId="9" fillId="0" borderId="8" xfId="0" applyNumberFormat="1" applyFont="1" applyBorder="1"/>
    <xf numFmtId="168" fontId="9" fillId="0" borderId="12" xfId="0" applyNumberFormat="1" applyFont="1" applyBorder="1"/>
    <xf numFmtId="167" fontId="9" fillId="0" borderId="16" xfId="0" applyNumberFormat="1" applyFont="1" applyBorder="1"/>
    <xf numFmtId="37" fontId="9" fillId="0" borderId="14" xfId="0" applyNumberFormat="1" applyFont="1" applyBorder="1"/>
    <xf numFmtId="167" fontId="9" fillId="0" borderId="14" xfId="0" applyNumberFormat="1" applyFont="1" applyBorder="1"/>
    <xf numFmtId="37" fontId="9" fillId="0" borderId="7" xfId="0" applyNumberFormat="1" applyFont="1" applyBorder="1"/>
    <xf numFmtId="37" fontId="9" fillId="0" borderId="20" xfId="0" applyNumberFormat="1" applyFont="1" applyBorder="1"/>
    <xf numFmtId="3" fontId="9" fillId="0" borderId="47" xfId="0" applyNumberFormat="1" applyFont="1" applyBorder="1"/>
    <xf numFmtId="2" fontId="9" fillId="0" borderId="0" xfId="0" applyNumberFormat="1" applyFont="1"/>
    <xf numFmtId="167" fontId="10" fillId="0" borderId="14" xfId="0" applyNumberFormat="1" applyFont="1" applyBorder="1"/>
    <xf numFmtId="167" fontId="10" fillId="0" borderId="16" xfId="0" applyNumberFormat="1" applyFont="1" applyBorder="1"/>
    <xf numFmtId="167" fontId="10" fillId="0" borderId="17" xfId="0" applyNumberFormat="1" applyFont="1" applyBorder="1"/>
    <xf numFmtId="168" fontId="9" fillId="0" borderId="15" xfId="0" applyNumberFormat="1" applyFont="1" applyBorder="1"/>
    <xf numFmtId="167" fontId="9" fillId="0" borderId="13" xfId="0" applyNumberFormat="1" applyFont="1" applyBorder="1"/>
    <xf numFmtId="37" fontId="9" fillId="0" borderId="23" xfId="0" applyNumberFormat="1" applyFont="1" applyBorder="1"/>
    <xf numFmtId="167" fontId="9" fillId="0" borderId="20" xfId="0" applyNumberFormat="1" applyFont="1" applyBorder="1"/>
    <xf numFmtId="168" fontId="10" fillId="0" borderId="0" xfId="0" applyNumberFormat="1" applyFont="1"/>
    <xf numFmtId="37" fontId="10" fillId="0" borderId="9" xfId="0" applyNumberFormat="1" applyFont="1" applyBorder="1"/>
    <xf numFmtId="37" fontId="10" fillId="0" borderId="8" xfId="0" applyNumberFormat="1" applyFont="1" applyBorder="1"/>
    <xf numFmtId="37" fontId="10" fillId="0" borderId="10" xfId="0" applyNumberFormat="1" applyFont="1" applyBorder="1"/>
    <xf numFmtId="0" fontId="10" fillId="0" borderId="12" xfId="0" applyFont="1" applyBorder="1"/>
    <xf numFmtId="168" fontId="10" fillId="0" borderId="12" xfId="0" applyNumberFormat="1" applyFont="1" applyBorder="1"/>
    <xf numFmtId="0" fontId="10" fillId="0" borderId="14" xfId="0" applyFont="1" applyBorder="1"/>
    <xf numFmtId="37" fontId="10" fillId="0" borderId="14" xfId="0" applyNumberFormat="1" applyFont="1" applyBorder="1"/>
    <xf numFmtId="37" fontId="10" fillId="0" borderId="16" xfId="0" applyNumberFormat="1" applyFont="1" applyBorder="1"/>
    <xf numFmtId="37" fontId="10" fillId="0" borderId="17" xfId="0" applyNumberFormat="1" applyFont="1" applyBorder="1"/>
    <xf numFmtId="37" fontId="9" fillId="0" borderId="44" xfId="0" applyNumberFormat="1" applyFont="1" applyBorder="1"/>
    <xf numFmtId="0" fontId="10" fillId="3" borderId="24" xfId="0" applyFont="1" applyFill="1" applyBorder="1"/>
    <xf numFmtId="37" fontId="10" fillId="3" borderId="25" xfId="0" applyNumberFormat="1" applyFont="1" applyFill="1" applyBorder="1"/>
    <xf numFmtId="37" fontId="10" fillId="3" borderId="26" xfId="0" applyNumberFormat="1" applyFont="1" applyFill="1" applyBorder="1"/>
    <xf numFmtId="37" fontId="10" fillId="3" borderId="27" xfId="0" applyNumberFormat="1" applyFont="1" applyFill="1" applyBorder="1"/>
    <xf numFmtId="167" fontId="10" fillId="3" borderId="27" xfId="0" applyNumberFormat="1" applyFont="1" applyFill="1" applyBorder="1"/>
    <xf numFmtId="37" fontId="10" fillId="3" borderId="28" xfId="0" applyNumberFormat="1" applyFont="1" applyFill="1" applyBorder="1"/>
    <xf numFmtId="0" fontId="10" fillId="3" borderId="22" xfId="0" applyFont="1" applyFill="1" applyBorder="1"/>
    <xf numFmtId="37" fontId="10" fillId="3" borderId="12" xfId="0" applyNumberFormat="1" applyFont="1" applyFill="1" applyBorder="1"/>
    <xf numFmtId="167" fontId="10" fillId="3" borderId="16" xfId="0" applyNumberFormat="1" applyFont="1" applyFill="1" applyBorder="1"/>
    <xf numFmtId="37" fontId="10" fillId="3" borderId="14" xfId="0" applyNumberFormat="1" applyFont="1" applyFill="1" applyBorder="1"/>
    <xf numFmtId="37" fontId="10" fillId="0" borderId="7" xfId="0" applyNumberFormat="1" applyFont="1" applyBorder="1"/>
    <xf numFmtId="168" fontId="10" fillId="0" borderId="7" xfId="0" applyNumberFormat="1" applyFont="1" applyBorder="1"/>
    <xf numFmtId="37" fontId="10" fillId="0" borderId="19" xfId="0" applyNumberFormat="1" applyFont="1" applyBorder="1"/>
    <xf numFmtId="37" fontId="10" fillId="0" borderId="20" xfId="0" applyNumberFormat="1" applyFont="1" applyBorder="1"/>
    <xf numFmtId="37" fontId="10" fillId="0" borderId="21" xfId="0" applyNumberFormat="1" applyFont="1" applyBorder="1"/>
    <xf numFmtId="0" fontId="10" fillId="3" borderId="6" xfId="0" applyFont="1" applyFill="1" applyBorder="1"/>
    <xf numFmtId="37" fontId="10" fillId="3" borderId="7" xfId="0" applyNumberFormat="1" applyFont="1" applyFill="1" applyBorder="1"/>
    <xf numFmtId="168" fontId="10" fillId="3" borderId="7" xfId="0" applyNumberFormat="1" applyFont="1" applyFill="1" applyBorder="1"/>
    <xf numFmtId="37" fontId="10" fillId="3" borderId="19" xfId="0" applyNumberFormat="1" applyFont="1" applyFill="1" applyBorder="1"/>
    <xf numFmtId="37" fontId="10" fillId="3" borderId="20" xfId="0" applyNumberFormat="1" applyFont="1" applyFill="1" applyBorder="1"/>
    <xf numFmtId="37" fontId="10" fillId="3" borderId="21" xfId="0" applyNumberFormat="1" applyFont="1" applyFill="1" applyBorder="1"/>
    <xf numFmtId="167" fontId="10" fillId="2" borderId="27" xfId="0" applyNumberFormat="1" applyFont="1" applyFill="1" applyBorder="1"/>
    <xf numFmtId="0" fontId="9" fillId="0" borderId="15" xfId="0" applyFont="1" applyBorder="1" applyAlignment="1">
      <alignment horizontal="center"/>
    </xf>
    <xf numFmtId="0" fontId="9" fillId="0" borderId="23" xfId="0" applyFont="1" applyBorder="1" applyAlignment="1">
      <alignment horizontal="center"/>
    </xf>
    <xf numFmtId="1" fontId="9" fillId="0" borderId="20" xfId="0" applyNumberFormat="1" applyFont="1" applyBorder="1"/>
    <xf numFmtId="2" fontId="9" fillId="0" borderId="12" xfId="0" applyNumberFormat="1" applyFont="1" applyBorder="1"/>
    <xf numFmtId="0" fontId="14" fillId="0" borderId="6" xfId="0" applyFont="1" applyBorder="1"/>
    <xf numFmtId="0" fontId="14" fillId="0" borderId="48" xfId="0" applyFont="1" applyBorder="1"/>
    <xf numFmtId="167" fontId="10" fillId="0" borderId="7" xfId="0" applyNumberFormat="1" applyFont="1" applyBorder="1"/>
    <xf numFmtId="167" fontId="10" fillId="0" borderId="20" xfId="0" applyNumberFormat="1" applyFont="1" applyBorder="1"/>
    <xf numFmtId="0" fontId="9" fillId="0" borderId="16" xfId="0" applyFont="1" applyBorder="1"/>
    <xf numFmtId="0" fontId="12" fillId="0" borderId="12" xfId="0" applyFont="1" applyBorder="1"/>
    <xf numFmtId="167" fontId="9" fillId="0" borderId="15" xfId="0" applyNumberFormat="1" applyFont="1" applyBorder="1"/>
    <xf numFmtId="167" fontId="9" fillId="0" borderId="12" xfId="0" applyNumberFormat="1" applyFont="1" applyBorder="1"/>
    <xf numFmtId="167" fontId="10" fillId="2" borderId="25" xfId="0" applyNumberFormat="1" applyFont="1" applyFill="1" applyBorder="1"/>
    <xf numFmtId="167" fontId="10" fillId="2" borderId="49" xfId="0" applyNumberFormat="1" applyFont="1" applyFill="1" applyBorder="1"/>
    <xf numFmtId="37" fontId="10" fillId="2" borderId="50" xfId="0" applyNumberFormat="1" applyFont="1" applyFill="1" applyBorder="1"/>
    <xf numFmtId="37" fontId="10" fillId="2" borderId="51" xfId="0" applyNumberFormat="1" applyFont="1" applyFill="1" applyBorder="1"/>
    <xf numFmtId="0" fontId="10" fillId="2" borderId="52" xfId="0" applyFont="1" applyFill="1" applyBorder="1"/>
    <xf numFmtId="37" fontId="10" fillId="2" borderId="53" xfId="0" applyNumberFormat="1" applyFont="1" applyFill="1" applyBorder="1"/>
    <xf numFmtId="168" fontId="10" fillId="2" borderId="53" xfId="0" applyNumberFormat="1" applyFont="1" applyFill="1" applyBorder="1"/>
    <xf numFmtId="37" fontId="10" fillId="2" borderId="54" xfId="0" applyNumberFormat="1" applyFont="1" applyFill="1" applyBorder="1"/>
    <xf numFmtId="37" fontId="10" fillId="2" borderId="55" xfId="0" applyNumberFormat="1" applyFont="1" applyFill="1" applyBorder="1"/>
    <xf numFmtId="0" fontId="9" fillId="2" borderId="32" xfId="0" applyFont="1" applyFill="1" applyBorder="1"/>
    <xf numFmtId="0" fontId="12" fillId="0" borderId="56" xfId="0" applyFont="1" applyBorder="1"/>
    <xf numFmtId="0" fontId="14" fillId="0" borderId="11" xfId="0" applyFont="1" applyBorder="1"/>
    <xf numFmtId="0" fontId="9" fillId="0" borderId="42" xfId="0" applyFont="1" applyBorder="1" applyAlignment="1">
      <alignment horizontal="center"/>
    </xf>
    <xf numFmtId="0" fontId="9" fillId="0" borderId="43" xfId="0" applyFont="1" applyBorder="1" applyAlignment="1">
      <alignment horizontal="center"/>
    </xf>
    <xf numFmtId="0" fontId="9" fillId="0" borderId="44" xfId="0" applyFont="1" applyBorder="1" applyAlignment="1">
      <alignment horizontal="center"/>
    </xf>
    <xf numFmtId="37" fontId="9" fillId="4" borderId="0" xfId="0" applyNumberFormat="1" applyFont="1" applyFill="1"/>
    <xf numFmtId="167" fontId="10" fillId="2" borderId="0" xfId="0" applyNumberFormat="1" applyFont="1" applyFill="1"/>
    <xf numFmtId="37" fontId="9" fillId="4" borderId="5" xfId="0" applyNumberFormat="1" applyFont="1" applyFill="1" applyBorder="1"/>
    <xf numFmtId="3" fontId="9" fillId="4" borderId="1" xfId="0" applyNumberFormat="1" applyFont="1" applyFill="1" applyBorder="1"/>
    <xf numFmtId="3" fontId="9" fillId="4" borderId="3" xfId="0" applyNumberFormat="1" applyFont="1" applyFill="1" applyBorder="1"/>
    <xf numFmtId="0" fontId="19" fillId="0" borderId="0" xfId="0" applyFont="1"/>
    <xf numFmtId="37" fontId="18" fillId="0" borderId="0" xfId="0" applyNumberFormat="1" applyFont="1"/>
    <xf numFmtId="167" fontId="9" fillId="0" borderId="0" xfId="1" applyNumberFormat="1" applyFont="1" applyFill="1" applyBorder="1"/>
    <xf numFmtId="167" fontId="10" fillId="0" borderId="26" xfId="0" applyNumberFormat="1" applyFont="1" applyBorder="1"/>
    <xf numFmtId="0" fontId="12" fillId="0" borderId="0" xfId="0" applyFont="1"/>
    <xf numFmtId="167" fontId="9" fillId="0" borderId="8" xfId="1" applyNumberFormat="1" applyFont="1" applyFill="1" applyBorder="1"/>
    <xf numFmtId="0" fontId="10" fillId="0" borderId="10" xfId="0" applyFont="1" applyBorder="1"/>
    <xf numFmtId="0" fontId="20" fillId="0" borderId="0" xfId="0" applyFont="1"/>
    <xf numFmtId="0" fontId="10" fillId="2" borderId="37" xfId="0" applyFont="1" applyFill="1" applyBorder="1"/>
    <xf numFmtId="0" fontId="10" fillId="2" borderId="57" xfId="0" applyFont="1" applyFill="1" applyBorder="1"/>
    <xf numFmtId="0" fontId="10" fillId="2" borderId="58" xfId="0" applyFont="1" applyFill="1" applyBorder="1"/>
    <xf numFmtId="37" fontId="10" fillId="2" borderId="59" xfId="0" applyNumberFormat="1" applyFont="1" applyFill="1" applyBorder="1"/>
    <xf numFmtId="0" fontId="10" fillId="2" borderId="60" xfId="0" applyFont="1" applyFill="1" applyBorder="1"/>
    <xf numFmtId="0" fontId="9" fillId="2" borderId="60" xfId="0" applyFont="1" applyFill="1" applyBorder="1"/>
    <xf numFmtId="0" fontId="9" fillId="2" borderId="58" xfId="0" applyFont="1" applyFill="1" applyBorder="1"/>
    <xf numFmtId="37" fontId="10" fillId="2" borderId="61" xfId="0" applyNumberFormat="1" applyFont="1" applyFill="1" applyBorder="1"/>
    <xf numFmtId="0" fontId="5" fillId="0" borderId="0" xfId="0" applyFont="1" applyAlignment="1">
      <alignment horizontal="right" vertical="center"/>
    </xf>
    <xf numFmtId="0" fontId="21" fillId="0" borderId="0" xfId="0" applyFont="1" applyAlignment="1">
      <alignment horizontal="center" vertical="center"/>
    </xf>
    <xf numFmtId="0" fontId="9" fillId="0" borderId="62" xfId="0" applyFont="1" applyBorder="1" applyAlignment="1">
      <alignment horizontal="left"/>
    </xf>
    <xf numFmtId="0" fontId="10" fillId="0" borderId="63" xfId="0" applyFont="1" applyBorder="1" applyAlignment="1">
      <alignment horizontal="center" vertical="center"/>
    </xf>
    <xf numFmtId="0" fontId="9" fillId="0" borderId="12" xfId="0" applyFont="1" applyBorder="1" applyAlignment="1">
      <alignment horizontal="center"/>
    </xf>
    <xf numFmtId="0" fontId="9" fillId="0" borderId="67" xfId="0" applyFont="1" applyBorder="1" applyAlignment="1">
      <alignment horizontal="center"/>
    </xf>
    <xf numFmtId="0" fontId="9" fillId="0" borderId="68" xfId="0" applyFont="1" applyBorder="1" applyAlignment="1">
      <alignment horizontal="center"/>
    </xf>
    <xf numFmtId="0" fontId="9" fillId="0" borderId="69" xfId="0" applyFont="1" applyBorder="1" applyAlignment="1">
      <alignment horizontal="center"/>
    </xf>
    <xf numFmtId="0" fontId="14" fillId="0" borderId="12" xfId="0" applyFont="1" applyBorder="1"/>
    <xf numFmtId="37" fontId="14" fillId="0" borderId="67" xfId="0" applyNumberFormat="1" applyFont="1" applyBorder="1"/>
    <xf numFmtId="37" fontId="14" fillId="0" borderId="68" xfId="0" applyNumberFormat="1" applyFont="1" applyBorder="1"/>
    <xf numFmtId="37" fontId="14" fillId="0" borderId="12" xfId="0" applyNumberFormat="1" applyFont="1" applyBorder="1"/>
    <xf numFmtId="167" fontId="14" fillId="0" borderId="12" xfId="0" applyNumberFormat="1" applyFont="1" applyBorder="1"/>
    <xf numFmtId="37" fontId="14" fillId="0" borderId="69" xfId="0" applyNumberFormat="1" applyFont="1" applyBorder="1"/>
    <xf numFmtId="167" fontId="14" fillId="0" borderId="17" xfId="0" applyNumberFormat="1" applyFont="1" applyBorder="1"/>
    <xf numFmtId="0" fontId="21" fillId="2" borderId="22" xfId="0" applyFont="1" applyFill="1" applyBorder="1"/>
    <xf numFmtId="0" fontId="21" fillId="2" borderId="12" xfId="0" applyFont="1" applyFill="1" applyBorder="1"/>
    <xf numFmtId="37" fontId="21" fillId="2" borderId="67" xfId="0" applyNumberFormat="1" applyFont="1" applyFill="1" applyBorder="1"/>
    <xf numFmtId="37" fontId="21" fillId="2" borderId="68" xfId="0" applyNumberFormat="1" applyFont="1" applyFill="1" applyBorder="1"/>
    <xf numFmtId="37" fontId="21" fillId="2" borderId="12" xfId="0" applyNumberFormat="1" applyFont="1" applyFill="1" applyBorder="1"/>
    <xf numFmtId="167" fontId="21" fillId="2" borderId="12" xfId="0" applyNumberFormat="1" applyFont="1" applyFill="1" applyBorder="1"/>
    <xf numFmtId="37" fontId="21" fillId="2" borderId="69" xfId="0" applyNumberFormat="1" applyFont="1" applyFill="1" applyBorder="1"/>
    <xf numFmtId="167" fontId="21" fillId="2" borderId="17" xfId="0" applyNumberFormat="1" applyFont="1" applyFill="1" applyBorder="1"/>
    <xf numFmtId="0" fontId="21" fillId="0" borderId="18" xfId="0" applyFont="1" applyBorder="1"/>
    <xf numFmtId="0" fontId="14" fillId="0" borderId="0" xfId="0" applyFont="1"/>
    <xf numFmtId="37" fontId="14" fillId="0" borderId="70" xfId="0" applyNumberFormat="1" applyFont="1" applyBorder="1"/>
    <xf numFmtId="37" fontId="14" fillId="0" borderId="71" xfId="0" applyNumberFormat="1" applyFont="1" applyBorder="1"/>
    <xf numFmtId="37" fontId="14" fillId="0" borderId="0" xfId="0" applyNumberFormat="1" applyFont="1"/>
    <xf numFmtId="167" fontId="14" fillId="0" borderId="0" xfId="0" applyNumberFormat="1" applyFont="1"/>
    <xf numFmtId="37" fontId="14" fillId="0" borderId="72" xfId="0" applyNumberFormat="1" applyFont="1" applyBorder="1"/>
    <xf numFmtId="167" fontId="14" fillId="0" borderId="21" xfId="0" applyNumberFormat="1" applyFont="1" applyBorder="1"/>
    <xf numFmtId="0" fontId="14" fillId="0" borderId="0" xfId="0" applyFont="1" applyAlignment="1">
      <alignment horizontal="right"/>
    </xf>
    <xf numFmtId="168" fontId="14" fillId="0" borderId="0" xfId="0" applyNumberFormat="1" applyFont="1"/>
    <xf numFmtId="0" fontId="14" fillId="0" borderId="71" xfId="0" applyFont="1" applyBorder="1"/>
    <xf numFmtId="167" fontId="14" fillId="0" borderId="10" xfId="0" applyNumberFormat="1" applyFont="1" applyBorder="1"/>
    <xf numFmtId="0" fontId="14" fillId="0" borderId="12" xfId="0" applyFont="1" applyBorder="1" applyAlignment="1">
      <alignment horizontal="right"/>
    </xf>
    <xf numFmtId="168" fontId="14" fillId="0" borderId="12" xfId="0" applyNumberFormat="1" applyFont="1" applyBorder="1"/>
    <xf numFmtId="0" fontId="14" fillId="0" borderId="68" xfId="0" applyFont="1" applyBorder="1"/>
    <xf numFmtId="167" fontId="14" fillId="0" borderId="67" xfId="0" applyNumberFormat="1" applyFont="1" applyBorder="1"/>
    <xf numFmtId="167" fontId="14" fillId="0" borderId="73" xfId="0" applyNumberFormat="1" applyFont="1" applyBorder="1"/>
    <xf numFmtId="167" fontId="22" fillId="0" borderId="10" xfId="0" applyNumberFormat="1" applyFont="1" applyBorder="1"/>
    <xf numFmtId="0" fontId="21" fillId="2" borderId="34" xfId="0" applyFont="1" applyFill="1" applyBorder="1"/>
    <xf numFmtId="0" fontId="21" fillId="2" borderId="35" xfId="0" applyFont="1" applyFill="1" applyBorder="1"/>
    <xf numFmtId="167" fontId="21" fillId="2" borderId="35" xfId="0" applyNumberFormat="1" applyFont="1" applyFill="1" applyBorder="1"/>
    <xf numFmtId="37" fontId="21" fillId="2" borderId="74" xfId="0" applyNumberFormat="1" applyFont="1" applyFill="1" applyBorder="1"/>
    <xf numFmtId="167" fontId="21" fillId="2" borderId="38" xfId="0" applyNumberFormat="1" applyFont="1" applyFill="1" applyBorder="1"/>
    <xf numFmtId="0" fontId="21" fillId="2" borderId="38" xfId="0" applyFont="1" applyFill="1" applyBorder="1"/>
    <xf numFmtId="37" fontId="21" fillId="2" borderId="35" xfId="0" applyNumberFormat="1" applyFont="1" applyFill="1" applyBorder="1"/>
    <xf numFmtId="0" fontId="21" fillId="2" borderId="75" xfId="0" applyFont="1" applyFill="1" applyBorder="1"/>
    <xf numFmtId="165" fontId="7" fillId="0" borderId="0" xfId="0" applyNumberFormat="1" applyFont="1"/>
    <xf numFmtId="165" fontId="20" fillId="0" borderId="0" xfId="0" applyNumberFormat="1" applyFont="1"/>
    <xf numFmtId="167" fontId="14" fillId="0" borderId="70" xfId="0" applyNumberFormat="1" applyFont="1" applyBorder="1"/>
    <xf numFmtId="168" fontId="21" fillId="2" borderId="35" xfId="0" applyNumberFormat="1" applyFont="1" applyFill="1" applyBorder="1"/>
    <xf numFmtId="37" fontId="21" fillId="2" borderId="38" xfId="0" applyNumberFormat="1" applyFont="1" applyFill="1" applyBorder="1"/>
    <xf numFmtId="37" fontId="21" fillId="2" borderId="75" xfId="0" applyNumberFormat="1" applyFont="1" applyFill="1" applyBorder="1"/>
    <xf numFmtId="37" fontId="20" fillId="0" borderId="0" xfId="0" applyNumberFormat="1" applyFont="1"/>
    <xf numFmtId="0" fontId="14" fillId="0" borderId="7" xfId="0" applyFont="1" applyBorder="1" applyAlignment="1">
      <alignment horizontal="right"/>
    </xf>
    <xf numFmtId="0" fontId="14" fillId="0" borderId="7" xfId="0" applyFont="1" applyBorder="1"/>
    <xf numFmtId="37" fontId="14" fillId="0" borderId="76" xfId="0" applyNumberFormat="1" applyFont="1" applyBorder="1"/>
    <xf numFmtId="0" fontId="14" fillId="0" borderId="77" xfId="0" applyFont="1" applyBorder="1"/>
    <xf numFmtId="168" fontId="14" fillId="0" borderId="7" xfId="0" applyNumberFormat="1" applyFont="1" applyBorder="1"/>
    <xf numFmtId="37" fontId="14" fillId="0" borderId="7" xfId="0" applyNumberFormat="1" applyFont="1" applyBorder="1"/>
    <xf numFmtId="167" fontId="14" fillId="0" borderId="7" xfId="0" applyNumberFormat="1" applyFont="1" applyBorder="1"/>
    <xf numFmtId="37" fontId="14" fillId="0" borderId="78" xfId="0" applyNumberFormat="1" applyFont="1" applyBorder="1"/>
    <xf numFmtId="0" fontId="14" fillId="0" borderId="47" xfId="0" applyFont="1" applyBorder="1" applyAlignment="1">
      <alignment horizontal="right"/>
    </xf>
    <xf numFmtId="0" fontId="14" fillId="0" borderId="47" xfId="0" applyFont="1" applyBorder="1"/>
    <xf numFmtId="37" fontId="14" fillId="0" borderId="79" xfId="0" applyNumberFormat="1" applyFont="1" applyBorder="1"/>
    <xf numFmtId="0" fontId="14" fillId="0" borderId="80" xfId="0" applyFont="1" applyBorder="1"/>
    <xf numFmtId="168" fontId="14" fillId="0" borderId="47" xfId="0" applyNumberFormat="1" applyFont="1" applyBorder="1"/>
    <xf numFmtId="37" fontId="14" fillId="0" borderId="80" xfId="0" applyNumberFormat="1" applyFont="1" applyBorder="1"/>
    <xf numFmtId="37" fontId="14" fillId="0" borderId="47" xfId="0" applyNumberFormat="1" applyFont="1" applyBorder="1"/>
    <xf numFmtId="167" fontId="14" fillId="0" borderId="47" xfId="0" applyNumberFormat="1" applyFont="1" applyBorder="1"/>
    <xf numFmtId="37" fontId="14" fillId="0" borderId="81" xfId="0" applyNumberFormat="1" applyFont="1" applyBorder="1"/>
    <xf numFmtId="167" fontId="14" fillId="0" borderId="82" xfId="0" applyNumberFormat="1" applyFont="1" applyBorder="1"/>
    <xf numFmtId="169" fontId="20" fillId="0" borderId="0" xfId="0" applyNumberFormat="1" applyFont="1"/>
    <xf numFmtId="0" fontId="14" fillId="2" borderId="35" xfId="0" applyFont="1" applyFill="1" applyBorder="1"/>
    <xf numFmtId="167" fontId="21" fillId="2" borderId="39" xfId="0" applyNumberFormat="1" applyFont="1" applyFill="1" applyBorder="1"/>
    <xf numFmtId="167" fontId="21" fillId="0" borderId="0" xfId="0" applyNumberFormat="1" applyFont="1"/>
    <xf numFmtId="0" fontId="21" fillId="0" borderId="0" xfId="0" applyFont="1"/>
    <xf numFmtId="0" fontId="20" fillId="3" borderId="0" xfId="0" applyFont="1" applyFill="1"/>
    <xf numFmtId="167" fontId="14" fillId="0" borderId="76" xfId="0" applyNumberFormat="1" applyFont="1" applyBorder="1"/>
    <xf numFmtId="0" fontId="14" fillId="0" borderId="70" xfId="0" applyFont="1" applyBorder="1"/>
    <xf numFmtId="0" fontId="14" fillId="0" borderId="72" xfId="0" applyFont="1" applyBorder="1"/>
    <xf numFmtId="167" fontId="14" fillId="0" borderId="83" xfId="0" applyNumberFormat="1" applyFont="1" applyBorder="1"/>
    <xf numFmtId="167" fontId="21" fillId="0" borderId="7" xfId="0" applyNumberFormat="1" applyFont="1" applyBorder="1"/>
    <xf numFmtId="0" fontId="21" fillId="0" borderId="7" xfId="0" applyFont="1" applyBorder="1"/>
    <xf numFmtId="167" fontId="21" fillId="0" borderId="77" xfId="0" applyNumberFormat="1" applyFont="1" applyBorder="1"/>
    <xf numFmtId="37" fontId="21" fillId="0" borderId="77" xfId="0" applyNumberFormat="1" applyFont="1" applyBorder="1"/>
    <xf numFmtId="37" fontId="14" fillId="0" borderId="84" xfId="0" applyNumberFormat="1" applyFont="1" applyBorder="1"/>
    <xf numFmtId="37" fontId="21" fillId="0" borderId="7" xfId="0" applyNumberFormat="1" applyFont="1" applyBorder="1"/>
    <xf numFmtId="167" fontId="21" fillId="0" borderId="71" xfId="0" applyNumberFormat="1" applyFont="1" applyBorder="1"/>
    <xf numFmtId="37" fontId="21" fillId="0" borderId="71" xfId="0" applyNumberFormat="1" applyFont="1" applyBorder="1"/>
    <xf numFmtId="37" fontId="14" fillId="0" borderId="85" xfId="0" applyNumberFormat="1" applyFont="1" applyBorder="1"/>
    <xf numFmtId="37" fontId="21" fillId="0" borderId="0" xfId="0" applyNumberFormat="1" applyFont="1"/>
    <xf numFmtId="167" fontId="14" fillId="2" borderId="38" xfId="0" applyNumberFormat="1" applyFont="1" applyFill="1" applyBorder="1"/>
    <xf numFmtId="167" fontId="14" fillId="2" borderId="35" xfId="0" applyNumberFormat="1" applyFont="1" applyFill="1" applyBorder="1"/>
    <xf numFmtId="37" fontId="14" fillId="2" borderId="75" xfId="0" applyNumberFormat="1" applyFont="1" applyFill="1" applyBorder="1"/>
    <xf numFmtId="0" fontId="21" fillId="3" borderId="6" xfId="0" applyFont="1" applyFill="1" applyBorder="1"/>
    <xf numFmtId="0" fontId="21" fillId="3" borderId="7" xfId="0" applyFont="1" applyFill="1" applyBorder="1"/>
    <xf numFmtId="37" fontId="21" fillId="3" borderId="7" xfId="0" applyNumberFormat="1" applyFont="1" applyFill="1" applyBorder="1"/>
    <xf numFmtId="37" fontId="14" fillId="3" borderId="76" xfId="0" applyNumberFormat="1" applyFont="1" applyFill="1" applyBorder="1"/>
    <xf numFmtId="0" fontId="14" fillId="3" borderId="7" xfId="0" applyFont="1" applyFill="1" applyBorder="1"/>
    <xf numFmtId="37" fontId="14" fillId="3" borderId="7" xfId="0" applyNumberFormat="1" applyFont="1" applyFill="1" applyBorder="1"/>
    <xf numFmtId="37" fontId="14" fillId="3" borderId="77" xfId="0" applyNumberFormat="1" applyFont="1" applyFill="1" applyBorder="1"/>
    <xf numFmtId="37" fontId="14" fillId="3" borderId="0" xfId="0" applyNumberFormat="1" applyFont="1" applyFill="1"/>
    <xf numFmtId="167" fontId="14" fillId="3" borderId="0" xfId="0" applyNumberFormat="1" applyFont="1" applyFill="1"/>
    <xf numFmtId="167" fontId="14" fillId="3" borderId="77" xfId="0" applyNumberFormat="1" applyFont="1" applyFill="1" applyBorder="1"/>
    <xf numFmtId="167" fontId="14" fillId="3" borderId="7" xfId="0" applyNumberFormat="1" applyFont="1" applyFill="1" applyBorder="1"/>
    <xf numFmtId="37" fontId="14" fillId="3" borderId="78" xfId="0" applyNumberFormat="1" applyFont="1" applyFill="1" applyBorder="1"/>
    <xf numFmtId="167" fontId="14" fillId="0" borderId="45" xfId="0" applyNumberFormat="1" applyFont="1" applyBorder="1"/>
    <xf numFmtId="0" fontId="21" fillId="2" borderId="57" xfId="0" applyFont="1" applyFill="1" applyBorder="1"/>
    <xf numFmtId="0" fontId="21" fillId="2" borderId="58" xfId="0" applyFont="1" applyFill="1" applyBorder="1"/>
    <xf numFmtId="0" fontId="21" fillId="2" borderId="58" xfId="0" applyFont="1" applyFill="1" applyBorder="1" applyAlignment="1">
      <alignment horizontal="center"/>
    </xf>
    <xf numFmtId="167" fontId="21" fillId="2" borderId="58" xfId="0" applyNumberFormat="1" applyFont="1" applyFill="1" applyBorder="1"/>
    <xf numFmtId="37" fontId="21" fillId="2" borderId="86" xfId="0" applyNumberFormat="1" applyFont="1" applyFill="1" applyBorder="1"/>
    <xf numFmtId="37" fontId="21" fillId="2" borderId="58" xfId="0" applyNumberFormat="1" applyFont="1" applyFill="1" applyBorder="1"/>
    <xf numFmtId="37" fontId="21" fillId="2" borderId="87" xfId="0" applyNumberFormat="1" applyFont="1" applyFill="1" applyBorder="1"/>
    <xf numFmtId="167" fontId="21" fillId="2" borderId="88" xfId="0" applyNumberFormat="1" applyFont="1" applyFill="1" applyBorder="1"/>
    <xf numFmtId="0" fontId="21" fillId="2" borderId="87" xfId="0" applyFont="1" applyFill="1" applyBorder="1" applyAlignment="1">
      <alignment horizontal="center"/>
    </xf>
    <xf numFmtId="37" fontId="21" fillId="2" borderId="89" xfId="0" applyNumberFormat="1" applyFont="1" applyFill="1" applyBorder="1"/>
    <xf numFmtId="167" fontId="21" fillId="2" borderId="46" xfId="0" applyNumberFormat="1" applyFont="1" applyFill="1" applyBorder="1"/>
    <xf numFmtId="39" fontId="14" fillId="0" borderId="0" xfId="0" applyNumberFormat="1" applyFont="1"/>
    <xf numFmtId="0" fontId="21" fillId="2" borderId="90" xfId="0" applyFont="1" applyFill="1" applyBorder="1"/>
    <xf numFmtId="0" fontId="21" fillId="2" borderId="91" xfId="0" applyFont="1" applyFill="1" applyBorder="1"/>
    <xf numFmtId="0" fontId="21" fillId="2" borderId="91" xfId="0" applyFont="1" applyFill="1" applyBorder="1" applyAlignment="1">
      <alignment horizontal="center"/>
    </xf>
    <xf numFmtId="167" fontId="21" fillId="2" borderId="91" xfId="0" applyNumberFormat="1" applyFont="1" applyFill="1" applyBorder="1"/>
    <xf numFmtId="37" fontId="21" fillId="2" borderId="92" xfId="0" applyNumberFormat="1" applyFont="1" applyFill="1" applyBorder="1"/>
    <xf numFmtId="37" fontId="21" fillId="2" borderId="91" xfId="0" applyNumberFormat="1" applyFont="1" applyFill="1" applyBorder="1"/>
    <xf numFmtId="37" fontId="21" fillId="2" borderId="93" xfId="0" applyNumberFormat="1" applyFont="1" applyFill="1" applyBorder="1"/>
    <xf numFmtId="37" fontId="21" fillId="2" borderId="94" xfId="0" applyNumberFormat="1" applyFont="1" applyFill="1" applyBorder="1"/>
    <xf numFmtId="37" fontId="21" fillId="2" borderId="63" xfId="0" applyNumberFormat="1" applyFont="1" applyFill="1" applyBorder="1"/>
    <xf numFmtId="167" fontId="21" fillId="2" borderId="66" xfId="0" applyNumberFormat="1" applyFont="1" applyFill="1" applyBorder="1"/>
    <xf numFmtId="0" fontId="20" fillId="0" borderId="18" xfId="0" applyFont="1" applyBorder="1"/>
    <xf numFmtId="37" fontId="20" fillId="0" borderId="70" xfId="0" applyNumberFormat="1" applyFont="1" applyBorder="1"/>
    <xf numFmtId="0" fontId="20" fillId="0" borderId="70" xfId="0" applyFont="1" applyBorder="1"/>
    <xf numFmtId="0" fontId="20" fillId="0" borderId="85" xfId="0" applyFont="1" applyBorder="1"/>
    <xf numFmtId="0" fontId="20" fillId="0" borderId="72" xfId="0" applyFont="1" applyBorder="1"/>
    <xf numFmtId="0" fontId="20" fillId="0" borderId="10" xfId="0" applyFont="1" applyBorder="1"/>
    <xf numFmtId="0" fontId="7" fillId="0" borderId="72" xfId="0" applyFont="1" applyBorder="1"/>
    <xf numFmtId="167" fontId="21" fillId="2" borderId="61" xfId="0" applyNumberFormat="1" applyFont="1" applyFill="1" applyBorder="1"/>
    <xf numFmtId="0" fontId="23" fillId="0" borderId="0" xfId="0" applyFont="1"/>
    <xf numFmtId="37" fontId="23" fillId="0" borderId="0" xfId="0" applyNumberFormat="1" applyFont="1"/>
    <xf numFmtId="37" fontId="24" fillId="0" borderId="0" xfId="0" applyNumberFormat="1" applyFont="1"/>
    <xf numFmtId="0" fontId="23" fillId="3" borderId="0" xfId="0" applyFont="1" applyFill="1"/>
    <xf numFmtId="37" fontId="20" fillId="3" borderId="0" xfId="0" applyNumberFormat="1" applyFont="1" applyFill="1"/>
    <xf numFmtId="0" fontId="25" fillId="3" borderId="0" xfId="0" applyFont="1" applyFill="1"/>
    <xf numFmtId="37" fontId="23" fillId="3" borderId="0" xfId="0" applyNumberFormat="1" applyFont="1" applyFill="1"/>
    <xf numFmtId="0" fontId="26" fillId="3" borderId="0" xfId="0" applyFont="1" applyFill="1" applyAlignment="1">
      <alignment horizontal="center" vertical="center"/>
    </xf>
    <xf numFmtId="0" fontId="20" fillId="3" borderId="0" xfId="0" applyFont="1" applyFill="1" applyAlignment="1">
      <alignment horizontal="center" vertical="center"/>
    </xf>
    <xf numFmtId="166" fontId="27" fillId="3" borderId="0" xfId="0" applyNumberFormat="1" applyFont="1" applyFill="1" applyAlignment="1">
      <alignment horizontal="right"/>
    </xf>
    <xf numFmtId="0" fontId="23" fillId="3" borderId="0" xfId="0" applyFont="1" applyFill="1" applyAlignment="1">
      <alignment horizontal="center"/>
    </xf>
    <xf numFmtId="0" fontId="20" fillId="3" borderId="0" xfId="0" applyFont="1" applyFill="1" applyAlignment="1">
      <alignment horizontal="center"/>
    </xf>
    <xf numFmtId="0" fontId="27" fillId="3" borderId="0" xfId="0" applyFont="1" applyFill="1" applyAlignment="1">
      <alignment horizontal="center"/>
    </xf>
    <xf numFmtId="0" fontId="27" fillId="3" borderId="0" xfId="0" applyFont="1" applyFill="1"/>
    <xf numFmtId="167" fontId="20" fillId="3" borderId="0" xfId="0" applyNumberFormat="1" applyFont="1" applyFill="1"/>
    <xf numFmtId="9" fontId="20" fillId="3" borderId="0" xfId="0" applyNumberFormat="1" applyFont="1" applyFill="1"/>
    <xf numFmtId="167" fontId="23" fillId="3" borderId="0" xfId="0" applyNumberFormat="1" applyFont="1" applyFill="1"/>
    <xf numFmtId="0" fontId="28" fillId="3" borderId="0" xfId="0" applyFont="1" applyFill="1"/>
    <xf numFmtId="0" fontId="26" fillId="3" borderId="0" xfId="0" applyFont="1" applyFill="1" applyAlignment="1">
      <alignment horizontal="center"/>
    </xf>
    <xf numFmtId="166" fontId="20" fillId="3" borderId="0" xfId="0" applyNumberFormat="1" applyFont="1" applyFill="1" applyAlignment="1">
      <alignment horizontal="center"/>
    </xf>
    <xf numFmtId="0" fontId="29" fillId="3" borderId="0" xfId="0" applyFont="1" applyFill="1" applyAlignment="1">
      <alignment horizontal="center"/>
    </xf>
    <xf numFmtId="0" fontId="27" fillId="3" borderId="0" xfId="0" applyFont="1" applyFill="1" applyAlignment="1">
      <alignment horizontal="left"/>
    </xf>
    <xf numFmtId="0" fontId="30" fillId="3" borderId="0" xfId="0" applyFont="1" applyFill="1"/>
    <xf numFmtId="0" fontId="32" fillId="0" borderId="96" xfId="0" applyFont="1" applyBorder="1" applyAlignment="1">
      <alignment vertical="center"/>
    </xf>
    <xf numFmtId="0" fontId="0" fillId="0" borderId="0" xfId="0" applyAlignment="1">
      <alignment vertical="center"/>
    </xf>
    <xf numFmtId="0" fontId="33" fillId="0" borderId="96" xfId="0" applyFont="1" applyBorder="1" applyAlignment="1">
      <alignment vertical="center"/>
    </xf>
    <xf numFmtId="0" fontId="33" fillId="0" borderId="97" xfId="0" applyFont="1" applyBorder="1" applyAlignment="1">
      <alignment vertical="center"/>
    </xf>
    <xf numFmtId="37" fontId="33" fillId="0" borderId="98" xfId="0" applyNumberFormat="1" applyFont="1" applyBorder="1" applyAlignment="1">
      <alignment horizontal="center" vertical="center"/>
    </xf>
    <xf numFmtId="3" fontId="0" fillId="0" borderId="98" xfId="0" applyNumberFormat="1" applyBorder="1" applyAlignment="1">
      <alignment horizontal="center" vertical="center"/>
    </xf>
    <xf numFmtId="3" fontId="0" fillId="0" borderId="99" xfId="0" applyNumberFormat="1" applyBorder="1" applyAlignment="1">
      <alignment horizontal="center" vertical="center"/>
    </xf>
    <xf numFmtId="3" fontId="0" fillId="0" borderId="100" xfId="0" applyNumberFormat="1" applyBorder="1" applyAlignment="1">
      <alignment horizontal="center" vertical="center"/>
    </xf>
    <xf numFmtId="0" fontId="33" fillId="7" borderId="95" xfId="0" applyFont="1" applyFill="1" applyBorder="1" applyAlignment="1">
      <alignment horizontal="center"/>
    </xf>
    <xf numFmtId="0" fontId="33" fillId="8" borderId="95" xfId="0" applyFont="1" applyFill="1" applyBorder="1" applyAlignment="1">
      <alignment horizontal="center"/>
    </xf>
    <xf numFmtId="0" fontId="33" fillId="5" borderId="95" xfId="0" applyFont="1" applyFill="1" applyBorder="1" applyAlignment="1">
      <alignment horizontal="center"/>
    </xf>
    <xf numFmtId="3" fontId="32" fillId="0" borderId="98" xfId="0" applyNumberFormat="1" applyFont="1" applyBorder="1" applyAlignment="1">
      <alignment horizontal="center" vertical="center"/>
    </xf>
    <xf numFmtId="0" fontId="0" fillId="0" borderId="98" xfId="0" applyBorder="1" applyAlignment="1">
      <alignment vertical="center"/>
    </xf>
    <xf numFmtId="0" fontId="0" fillId="0" borderId="99" xfId="0" applyBorder="1" applyAlignment="1">
      <alignment vertical="center"/>
    </xf>
    <xf numFmtId="0" fontId="0" fillId="0" borderId="100" xfId="0" applyBorder="1" applyAlignment="1">
      <alignment vertical="center"/>
    </xf>
    <xf numFmtId="37" fontId="33" fillId="0" borderId="100" xfId="0" applyNumberFormat="1" applyFont="1" applyBorder="1" applyAlignment="1">
      <alignment horizontal="center" vertical="center"/>
    </xf>
    <xf numFmtId="3" fontId="32" fillId="6" borderId="98" xfId="0" applyNumberFormat="1" applyFont="1" applyFill="1" applyBorder="1" applyAlignment="1">
      <alignment horizontal="center" vertical="center"/>
    </xf>
    <xf numFmtId="3" fontId="0" fillId="6" borderId="98" xfId="0" applyNumberFormat="1" applyFill="1" applyBorder="1" applyAlignment="1">
      <alignment horizontal="center" vertical="center"/>
    </xf>
    <xf numFmtId="3" fontId="0" fillId="6" borderId="99" xfId="0" applyNumberFormat="1" applyFill="1" applyBorder="1" applyAlignment="1">
      <alignment horizontal="center" vertical="center"/>
    </xf>
    <xf numFmtId="3" fontId="0" fillId="6" borderId="100" xfId="0" applyNumberFormat="1" applyFill="1" applyBorder="1" applyAlignment="1">
      <alignment horizontal="center" vertical="center"/>
    </xf>
    <xf numFmtId="0" fontId="33" fillId="6" borderId="95" xfId="0" applyFont="1" applyFill="1" applyBorder="1" applyAlignment="1">
      <alignment horizontal="center"/>
    </xf>
    <xf numFmtId="3" fontId="7" fillId="0" borderId="0" xfId="0" applyNumberFormat="1" applyFont="1"/>
    <xf numFmtId="0" fontId="13" fillId="0" borderId="0" xfId="0" applyFont="1"/>
    <xf numFmtId="0" fontId="37" fillId="0" borderId="0" xfId="0" applyFont="1" applyAlignment="1">
      <alignment horizontal="center"/>
    </xf>
    <xf numFmtId="3" fontId="37" fillId="0" borderId="0" xfId="0" applyNumberFormat="1" applyFont="1" applyAlignment="1">
      <alignment horizontal="center"/>
    </xf>
    <xf numFmtId="39" fontId="10" fillId="3" borderId="12" xfId="0" applyNumberFormat="1" applyFont="1" applyFill="1" applyBorder="1"/>
    <xf numFmtId="0" fontId="21" fillId="2" borderId="101" xfId="0" applyFont="1" applyFill="1" applyBorder="1"/>
    <xf numFmtId="0" fontId="21" fillId="2" borderId="102" xfId="0" applyFont="1" applyFill="1" applyBorder="1"/>
    <xf numFmtId="0" fontId="21" fillId="2" borderId="102" xfId="0" applyFont="1" applyFill="1" applyBorder="1" applyAlignment="1">
      <alignment horizontal="center"/>
    </xf>
    <xf numFmtId="167" fontId="21" fillId="2" borderId="102" xfId="0" applyNumberFormat="1" applyFont="1" applyFill="1" applyBorder="1"/>
    <xf numFmtId="37" fontId="21" fillId="2" borderId="103" xfId="0" applyNumberFormat="1" applyFont="1" applyFill="1" applyBorder="1"/>
    <xf numFmtId="37" fontId="21" fillId="2" borderId="102" xfId="0" applyNumberFormat="1" applyFont="1" applyFill="1" applyBorder="1"/>
    <xf numFmtId="37" fontId="21" fillId="2" borderId="104" xfId="0" applyNumberFormat="1" applyFont="1" applyFill="1" applyBorder="1"/>
    <xf numFmtId="167" fontId="21" fillId="2" borderId="105" xfId="0" applyNumberFormat="1" applyFont="1" applyFill="1" applyBorder="1"/>
    <xf numFmtId="37" fontId="21" fillId="2" borderId="106" xfId="0" applyNumberFormat="1" applyFont="1" applyFill="1" applyBorder="1"/>
    <xf numFmtId="167" fontId="21" fillId="2" borderId="107" xfId="0" applyNumberFormat="1" applyFont="1" applyFill="1" applyBorder="1"/>
    <xf numFmtId="10" fontId="9" fillId="0" borderId="0" xfId="0" applyNumberFormat="1" applyFont="1"/>
    <xf numFmtId="172" fontId="9" fillId="0" borderId="0" xfId="0" applyNumberFormat="1" applyFont="1"/>
    <xf numFmtId="0" fontId="39" fillId="0" borderId="0" xfId="0" applyFont="1" applyAlignment="1">
      <alignment horizontal="center"/>
    </xf>
    <xf numFmtId="0" fontId="39" fillId="0" borderId="0" xfId="0" applyFont="1"/>
    <xf numFmtId="0" fontId="8" fillId="0" borderId="0" xfId="0" quotePrefix="1" applyFont="1"/>
    <xf numFmtId="3" fontId="9" fillId="0" borderId="108" xfId="0" applyNumberFormat="1" applyFont="1" applyBorder="1"/>
    <xf numFmtId="3" fontId="9" fillId="0" borderId="109" xfId="0" applyNumberFormat="1" applyFont="1" applyBorder="1"/>
    <xf numFmtId="3" fontId="9" fillId="0" borderId="110" xfId="0" applyNumberFormat="1" applyFont="1" applyBorder="1"/>
    <xf numFmtId="0" fontId="9" fillId="0" borderId="0" xfId="0" quotePrefix="1" applyFont="1"/>
    <xf numFmtId="0" fontId="9" fillId="2" borderId="111" xfId="0" applyFont="1" applyFill="1" applyBorder="1"/>
    <xf numFmtId="37" fontId="10" fillId="2" borderId="112" xfId="0" applyNumberFormat="1" applyFont="1" applyFill="1" applyBorder="1"/>
    <xf numFmtId="39" fontId="12" fillId="0" borderId="113" xfId="0" applyNumberFormat="1" applyFont="1" applyBorder="1"/>
    <xf numFmtId="2" fontId="10" fillId="0" borderId="8" xfId="0" applyNumberFormat="1" applyFont="1" applyBorder="1"/>
    <xf numFmtId="0" fontId="9" fillId="0" borderId="23" xfId="0" applyFont="1" applyBorder="1"/>
    <xf numFmtId="0" fontId="9" fillId="0" borderId="15" xfId="0" applyFont="1" applyBorder="1"/>
    <xf numFmtId="37" fontId="9" fillId="0" borderId="73" xfId="0" applyNumberFormat="1" applyFont="1" applyBorder="1"/>
    <xf numFmtId="10" fontId="9" fillId="0" borderId="8" xfId="0" applyNumberFormat="1" applyFont="1" applyBorder="1"/>
    <xf numFmtId="0" fontId="9" fillId="0" borderId="13" xfId="0" applyFont="1" applyBorder="1" applyAlignment="1">
      <alignment horizontal="center"/>
    </xf>
    <xf numFmtId="1" fontId="0" fillId="0" borderId="0" xfId="0" applyNumberFormat="1"/>
    <xf numFmtId="173" fontId="0" fillId="0" borderId="0" xfId="0" applyNumberFormat="1"/>
    <xf numFmtId="10" fontId="20" fillId="0" borderId="0" xfId="0" applyNumberFormat="1" applyFont="1"/>
    <xf numFmtId="1" fontId="20" fillId="0" borderId="0" xfId="0" applyNumberFormat="1" applyFont="1"/>
    <xf numFmtId="10" fontId="20" fillId="0" borderId="0" xfId="0" applyNumberFormat="1" applyFont="1" applyAlignment="1">
      <alignment horizontal="center"/>
    </xf>
    <xf numFmtId="173" fontId="20" fillId="0" borderId="0" xfId="0" applyNumberFormat="1" applyFont="1"/>
    <xf numFmtId="1" fontId="23" fillId="0" borderId="0" xfId="0" applyNumberFormat="1" applyFont="1"/>
    <xf numFmtId="10" fontId="23" fillId="0" borderId="0" xfId="0" applyNumberFormat="1" applyFont="1"/>
    <xf numFmtId="173" fontId="23" fillId="0" borderId="0" xfId="0" applyNumberFormat="1" applyFont="1"/>
    <xf numFmtId="3" fontId="40" fillId="0" borderId="0" xfId="0" applyNumberFormat="1" applyFont="1"/>
    <xf numFmtId="3" fontId="20" fillId="0" borderId="0" xfId="0" applyNumberFormat="1" applyFont="1"/>
    <xf numFmtId="10" fontId="20" fillId="0" borderId="0" xfId="0" quotePrefix="1" applyNumberFormat="1" applyFont="1"/>
    <xf numFmtId="1" fontId="20" fillId="0" borderId="0" xfId="0" quotePrefix="1" applyNumberFormat="1" applyFont="1"/>
    <xf numFmtId="0" fontId="20" fillId="0" borderId="0" xfId="0" quotePrefix="1" applyFont="1"/>
    <xf numFmtId="0" fontId="20" fillId="9" borderId="0" xfId="0" applyFont="1" applyFill="1"/>
    <xf numFmtId="167" fontId="21" fillId="2" borderId="86" xfId="0" applyNumberFormat="1" applyFont="1" applyFill="1" applyBorder="1"/>
    <xf numFmtId="10" fontId="21" fillId="0" borderId="0" xfId="0" applyNumberFormat="1" applyFont="1"/>
    <xf numFmtId="10" fontId="8" fillId="0" borderId="0" xfId="0" applyNumberFormat="1" applyFont="1"/>
    <xf numFmtId="0" fontId="33" fillId="7" borderId="95" xfId="0" applyFont="1" applyFill="1" applyBorder="1" applyAlignment="1">
      <alignment horizontal="center" vertical="center"/>
    </xf>
    <xf numFmtId="0" fontId="33" fillId="8" borderId="95" xfId="0" applyFont="1" applyFill="1" applyBorder="1" applyAlignment="1">
      <alignment horizontal="center" vertical="center"/>
    </xf>
    <xf numFmtId="0" fontId="33" fillId="6" borderId="95" xfId="0" applyFont="1" applyFill="1" applyBorder="1" applyAlignment="1">
      <alignment horizontal="center" vertical="center"/>
    </xf>
    <xf numFmtId="0" fontId="33" fillId="5" borderId="95" xfId="0" applyFont="1" applyFill="1" applyBorder="1" applyAlignment="1">
      <alignment horizontal="center" vertical="center"/>
    </xf>
    <xf numFmtId="0" fontId="10" fillId="0" borderId="49" xfId="0" applyFont="1" applyBorder="1" applyAlignment="1">
      <alignment horizontal="center"/>
    </xf>
    <xf numFmtId="0" fontId="11" fillId="0" borderId="50" xfId="0" applyFont="1" applyBorder="1"/>
    <xf numFmtId="0" fontId="10" fillId="0" borderId="2" xfId="0" applyFont="1" applyBorder="1" applyAlignment="1">
      <alignment horizontal="center"/>
    </xf>
    <xf numFmtId="0" fontId="11" fillId="0" borderId="2" xfId="0" applyFont="1" applyBorder="1"/>
    <xf numFmtId="0" fontId="11" fillId="0" borderId="3" xfId="0" applyFont="1" applyBorder="1"/>
    <xf numFmtId="0" fontId="10" fillId="0" borderId="4" xfId="0" applyFont="1" applyBorder="1" applyAlignment="1">
      <alignment horizontal="center"/>
    </xf>
    <xf numFmtId="0" fontId="10" fillId="0" borderId="65" xfId="0" applyFont="1" applyBorder="1" applyAlignment="1">
      <alignment horizontal="center" vertical="center"/>
    </xf>
    <xf numFmtId="0" fontId="11" fillId="0" borderId="63" xfId="0" applyFont="1" applyBorder="1"/>
    <xf numFmtId="0" fontId="11" fillId="0" borderId="66" xfId="0" applyFont="1" applyBorder="1"/>
    <xf numFmtId="0" fontId="11" fillId="0" borderId="5" xfId="0" applyFont="1" applyBorder="1"/>
    <xf numFmtId="0" fontId="10" fillId="0" borderId="63" xfId="0" applyFont="1" applyBorder="1" applyAlignment="1">
      <alignment horizontal="center" vertical="center"/>
    </xf>
    <xf numFmtId="0" fontId="11" fillId="0" borderId="64" xfId="0" applyFont="1" applyBorder="1"/>
  </cellXfs>
  <cellStyles count="16">
    <cellStyle name="Milliers 2" xfId="6" xr:uid="{00000000-0005-0000-0000-000001000000}"/>
    <cellStyle name="Milliers 3" xfId="12" xr:uid="{2971D271-07C3-42EA-AF54-CA19A237EB8E}"/>
    <cellStyle name="Monétaire 2" xfId="3" xr:uid="{00000000-0005-0000-0000-000002000000}"/>
    <cellStyle name="Monétaire 3" xfId="8" xr:uid="{00000000-0005-0000-0000-000003000000}"/>
    <cellStyle name="Normal" xfId="0" builtinId="0"/>
    <cellStyle name="Normal 12" xfId="15" xr:uid="{38AAD80B-D2B1-4EDC-AF3A-6BEE5BDF1226}"/>
    <cellStyle name="Normal 2" xfId="2" xr:uid="{00000000-0005-0000-0000-000005000000}"/>
    <cellStyle name="Normal 3" xfId="4" xr:uid="{00000000-0005-0000-0000-000006000000}"/>
    <cellStyle name="Normal 4" xfId="5" xr:uid="{00000000-0005-0000-0000-000007000000}"/>
    <cellStyle name="Normal 5" xfId="10" xr:uid="{51C4BCB6-FF3C-47B5-9E50-8775982480A2}"/>
    <cellStyle name="Normal 6" xfId="11" xr:uid="{C658EC4B-DAA5-46C8-9908-7D394852AE7F}"/>
    <cellStyle name="Normal 7" xfId="9" xr:uid="{22EAD058-5ED6-4E84-8564-A06058AFEAAD}"/>
    <cellStyle name="Normal 8" xfId="13" xr:uid="{E59814D8-4C8E-4B6D-8DEB-9295B6A31C96}"/>
    <cellStyle name="Pourcentage" xfId="1" builtinId="5"/>
    <cellStyle name="Pourcentage 2" xfId="7" xr:uid="{00000000-0005-0000-0000-000009000000}"/>
    <cellStyle name="Pourcentage 3" xfId="14" xr:uid="{B09CCB1C-0232-46FA-AAFA-AA26EA7AA4F5}"/>
  </cellStyles>
  <dxfs count="565"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Feuil3"/>
  <dimension ref="A3:Q13"/>
  <sheetViews>
    <sheetView workbookViewId="0">
      <selection activeCell="C16" sqref="C16"/>
    </sheetView>
  </sheetViews>
  <sheetFormatPr baseColWidth="10" defaultRowHeight="14.25"/>
  <cols>
    <col min="1" max="1" width="14.875" customWidth="1"/>
    <col min="2" max="2" width="15.5" bestFit="1" customWidth="1"/>
    <col min="3" max="3" width="12.125" customWidth="1"/>
    <col min="4" max="5" width="11.125" customWidth="1"/>
    <col min="6" max="6" width="11.5" hidden="1" customWidth="1"/>
    <col min="7" max="7" width="12.625" hidden="1" customWidth="1"/>
    <col min="8" max="9" width="11" hidden="1" customWidth="1"/>
    <col min="10" max="10" width="11.5" bestFit="1" customWidth="1"/>
    <col min="11" max="11" width="11.75" customWidth="1"/>
    <col min="12" max="12" width="11" customWidth="1"/>
    <col min="14" max="14" width="11.5" bestFit="1" customWidth="1"/>
  </cols>
  <sheetData>
    <row r="3" spans="1:17" ht="15">
      <c r="B3" t="s">
        <v>206</v>
      </c>
      <c r="C3" s="440" t="s">
        <v>266</v>
      </c>
      <c r="P3" s="441"/>
      <c r="Q3" s="442"/>
    </row>
    <row r="5" spans="1:17" s="419" customFormat="1" ht="16.5" customHeight="1"/>
    <row r="6" spans="1:17" s="419" customFormat="1" ht="16.5" customHeight="1">
      <c r="B6" s="490" t="s">
        <v>198</v>
      </c>
      <c r="C6" s="490"/>
      <c r="D6" s="490"/>
      <c r="E6" s="490"/>
      <c r="F6" s="491" t="s">
        <v>199</v>
      </c>
      <c r="G6" s="491"/>
      <c r="H6" s="491"/>
      <c r="I6" s="491"/>
      <c r="J6" s="492" t="s">
        <v>200</v>
      </c>
      <c r="K6" s="492"/>
      <c r="L6" s="492"/>
      <c r="M6" s="492"/>
      <c r="N6" s="493" t="s">
        <v>201</v>
      </c>
      <c r="O6" s="493"/>
      <c r="P6" s="493"/>
      <c r="Q6" s="493"/>
    </row>
    <row r="7" spans="1:17" s="419" customFormat="1" ht="16.5" customHeight="1">
      <c r="A7"/>
      <c r="B7" s="426" t="s">
        <v>191</v>
      </c>
      <c r="C7" s="426" t="s">
        <v>192</v>
      </c>
      <c r="D7" s="426" t="s">
        <v>193</v>
      </c>
      <c r="E7" s="426" t="s">
        <v>194</v>
      </c>
      <c r="F7" s="427" t="s">
        <v>191</v>
      </c>
      <c r="G7" s="427" t="s">
        <v>192</v>
      </c>
      <c r="H7" s="427" t="s">
        <v>193</v>
      </c>
      <c r="I7" s="427" t="s">
        <v>194</v>
      </c>
      <c r="J7" s="438" t="s">
        <v>191</v>
      </c>
      <c r="K7" s="438" t="s">
        <v>192</v>
      </c>
      <c r="L7" s="438" t="s">
        <v>193</v>
      </c>
      <c r="M7" s="438" t="s">
        <v>194</v>
      </c>
      <c r="N7" s="428" t="s">
        <v>191</v>
      </c>
      <c r="O7" s="428" t="s">
        <v>192</v>
      </c>
      <c r="P7" s="428" t="s">
        <v>193</v>
      </c>
      <c r="Q7" s="428" t="s">
        <v>194</v>
      </c>
    </row>
    <row r="8" spans="1:17" s="419" customFormat="1" ht="16.5" customHeight="1">
      <c r="A8" s="418" t="s">
        <v>197</v>
      </c>
      <c r="B8" s="429">
        <f>+B9-B10</f>
        <v>0</v>
      </c>
      <c r="C8" s="429">
        <f t="shared" ref="C8:F8" si="0">+C9-C10</f>
        <v>0</v>
      </c>
      <c r="D8" s="429">
        <f t="shared" si="0"/>
        <v>0</v>
      </c>
      <c r="E8" s="429">
        <f t="shared" si="0"/>
        <v>0</v>
      </c>
      <c r="F8" s="429">
        <f t="shared" si="0"/>
        <v>0</v>
      </c>
      <c r="G8" s="429">
        <f t="shared" ref="G8" si="1">+G9-G10</f>
        <v>0</v>
      </c>
      <c r="H8" s="429">
        <f t="shared" ref="H8" si="2">+H9-H10</f>
        <v>0</v>
      </c>
      <c r="I8" s="429">
        <f t="shared" ref="I8:J8" si="3">+I9-I10</f>
        <v>0</v>
      </c>
      <c r="J8" s="434">
        <f t="shared" si="3"/>
        <v>0</v>
      </c>
      <c r="K8" s="434">
        <f t="shared" ref="K8" si="4">+K9-K10</f>
        <v>0</v>
      </c>
      <c r="L8" s="434">
        <f t="shared" ref="L8" si="5">+L9-L10</f>
        <v>0</v>
      </c>
      <c r="M8" s="434">
        <f t="shared" ref="M8:N8" si="6">+M9-M10</f>
        <v>0</v>
      </c>
      <c r="N8" s="429">
        <f t="shared" si="6"/>
        <v>0</v>
      </c>
      <c r="O8" s="429">
        <f t="shared" ref="O8" si="7">+O9-O10</f>
        <v>0</v>
      </c>
      <c r="P8" s="429">
        <f>+P9-P10</f>
        <v>0</v>
      </c>
      <c r="Q8" s="429">
        <f t="shared" ref="Q8" si="8">+Q9-Q10</f>
        <v>0</v>
      </c>
    </row>
    <row r="9" spans="1:17" s="419" customFormat="1" ht="16.5" customHeight="1">
      <c r="A9" s="420" t="s">
        <v>195</v>
      </c>
      <c r="B9" s="422">
        <f>+Conso!$Z$406</f>
        <v>12155960.311785012</v>
      </c>
      <c r="C9" s="422">
        <f>+Conso!$Z$407</f>
        <v>1288729.2249806141</v>
      </c>
      <c r="D9" s="422">
        <f>+Conso!$Z$483</f>
        <v>327567.41939984466</v>
      </c>
      <c r="E9" s="422">
        <f>+Conso!$Z$498</f>
        <v>291930.64344356052</v>
      </c>
      <c r="F9" s="422">
        <f>+Conso!$AC$406</f>
        <v>0</v>
      </c>
      <c r="G9" s="422">
        <f>+Conso!$AC$407</f>
        <v>0</v>
      </c>
      <c r="H9" s="422">
        <f>+Conso!$AC$483</f>
        <v>0</v>
      </c>
      <c r="I9" s="422">
        <f>+Conso!$AC$498</f>
        <v>0</v>
      </c>
      <c r="J9" s="422">
        <f>+Conso!$AF$406</f>
        <v>11542464.890000001</v>
      </c>
      <c r="K9" s="422">
        <f>+Conso!$AF$407</f>
        <v>1033231.2</v>
      </c>
      <c r="L9" s="422">
        <f>+Conso!$AF$483</f>
        <v>133216.0199999999</v>
      </c>
      <c r="M9" s="422">
        <f>+Conso!$AF$498</f>
        <v>82925.589999999909</v>
      </c>
      <c r="N9" s="422">
        <f>+Conso!$AL$406</f>
        <v>11701523.98999998</v>
      </c>
      <c r="O9" s="422">
        <f>+Conso!$AL$407</f>
        <v>1275951.9399999983</v>
      </c>
      <c r="P9" s="422">
        <f>+Conso!$AL$483</f>
        <v>507549.14999999851</v>
      </c>
      <c r="Q9" s="422">
        <f>+Conso!$AL$498</f>
        <v>448989.14999999851</v>
      </c>
    </row>
    <row r="10" spans="1:17" s="419" customFormat="1" ht="16.5" customHeight="1">
      <c r="A10" s="421" t="s">
        <v>196</v>
      </c>
      <c r="B10" s="433">
        <f>+SUM(B11:B13)</f>
        <v>12155960.311785011</v>
      </c>
      <c r="C10" s="433">
        <f t="shared" ref="C10:Q10" si="9">+SUM(C11:C13)</f>
        <v>1288729.2249806144</v>
      </c>
      <c r="D10" s="433">
        <f t="shared" si="9"/>
        <v>327567.41939984483</v>
      </c>
      <c r="E10" s="433">
        <f t="shared" si="9"/>
        <v>291930.64344356069</v>
      </c>
      <c r="F10" s="433">
        <f t="shared" si="9"/>
        <v>0</v>
      </c>
      <c r="G10" s="433">
        <f t="shared" si="9"/>
        <v>0</v>
      </c>
      <c r="H10" s="433">
        <f t="shared" si="9"/>
        <v>0</v>
      </c>
      <c r="I10" s="433">
        <f t="shared" si="9"/>
        <v>0</v>
      </c>
      <c r="J10" s="433">
        <f t="shared" si="9"/>
        <v>11542464.890000001</v>
      </c>
      <c r="K10" s="433">
        <f t="shared" si="9"/>
        <v>1033231.1999999997</v>
      </c>
      <c r="L10" s="433">
        <f t="shared" si="9"/>
        <v>133216.01999999981</v>
      </c>
      <c r="M10" s="433">
        <f t="shared" si="9"/>
        <v>82925.589999999822</v>
      </c>
      <c r="N10" s="433">
        <f t="shared" si="9"/>
        <v>11701523.989999978</v>
      </c>
      <c r="O10" s="433">
        <f t="shared" si="9"/>
        <v>1275951.9399999985</v>
      </c>
      <c r="P10" s="433">
        <f t="shared" si="9"/>
        <v>507549.14999999839</v>
      </c>
      <c r="Q10" s="433">
        <f t="shared" si="9"/>
        <v>448989.14999999839</v>
      </c>
    </row>
    <row r="11" spans="1:17" s="419" customFormat="1" ht="16.5" customHeight="1">
      <c r="A11" s="430" t="s">
        <v>203</v>
      </c>
      <c r="B11" s="423">
        <f>+'Mois 1'!$Z$406</f>
        <v>3622582.3242033771</v>
      </c>
      <c r="C11" s="423">
        <f>+'Mois 1'!$Z$407</f>
        <v>393848.46879570512</v>
      </c>
      <c r="D11" s="423">
        <f>+'Mois 1'!$Z$483</f>
        <v>63810.572331196658</v>
      </c>
      <c r="E11" s="423">
        <f>+'Mois 1'!$Z$498</f>
        <v>52030.463041579176</v>
      </c>
      <c r="F11" s="423">
        <f>+'Mois 1'!$AC$406</f>
        <v>0</v>
      </c>
      <c r="G11" s="423">
        <f>+'Mois 1'!$AC$407</f>
        <v>0</v>
      </c>
      <c r="H11" s="423">
        <f>+'Mois 1'!$AC$483</f>
        <v>0</v>
      </c>
      <c r="I11" s="423">
        <f>+'Mois 1'!$AC$498</f>
        <v>0</v>
      </c>
      <c r="J11" s="435">
        <f>+'Mois 1'!$AF$406</f>
        <v>3269704.2099999995</v>
      </c>
      <c r="K11" s="435">
        <f>+'Mois 1'!$AF$407</f>
        <v>353927.73999999987</v>
      </c>
      <c r="L11" s="435">
        <f>+'Mois 1'!$AF$483</f>
        <v>11377.819999999861</v>
      </c>
      <c r="M11" s="435">
        <f>+'Mois 1'!$AF$498</f>
        <v>-3637.5300000001389</v>
      </c>
      <c r="N11" s="423">
        <f>+'Mois 1'!$AL$406</f>
        <v>2555648.6199999894</v>
      </c>
      <c r="O11" s="423">
        <f>+'Mois 1'!$AL$407</f>
        <v>366371.92999999935</v>
      </c>
      <c r="P11" s="423">
        <f>+'Mois 1'!$AL$483</f>
        <v>90263.189999999318</v>
      </c>
      <c r="Q11" s="423">
        <f>+'Mois 1'!$AL$498</f>
        <v>70743.189999999318</v>
      </c>
    </row>
    <row r="12" spans="1:17" s="419" customFormat="1" ht="16.5" customHeight="1">
      <c r="A12" s="431" t="s">
        <v>204</v>
      </c>
      <c r="B12" s="424">
        <f>+'Mois 2'!$Z$406</f>
        <v>4096315.5103841941</v>
      </c>
      <c r="C12" s="424">
        <f>+'Mois 2'!$Z$407</f>
        <v>432177.56363649108</v>
      </c>
      <c r="D12" s="424">
        <f>+'Mois 2'!$Z$483</f>
        <v>109735.83568112287</v>
      </c>
      <c r="E12" s="424">
        <f>+'Mois 2'!$Z$498</f>
        <v>97955.726391505392</v>
      </c>
      <c r="F12" s="424">
        <f>+'Mois 2'!$AC$406</f>
        <v>0</v>
      </c>
      <c r="G12" s="424">
        <f>+'Mois 2'!$AC$407</f>
        <v>0</v>
      </c>
      <c r="H12" s="424">
        <f>+'Mois 2'!$AC$483</f>
        <v>0</v>
      </c>
      <c r="I12" s="424">
        <f>+'Mois 2'!$AC$498</f>
        <v>0</v>
      </c>
      <c r="J12" s="436">
        <f>+'Mois 2'!$AF$406</f>
        <v>2910188.5</v>
      </c>
      <c r="K12" s="436">
        <f>+'Mois 2'!$AF$407</f>
        <v>280020.36000000004</v>
      </c>
      <c r="L12" s="436">
        <f>+'Mois 2'!$AF$483</f>
        <v>-7104.3700000000244</v>
      </c>
      <c r="M12" s="436">
        <f>+'Mois 2'!$AF$498</f>
        <v>-24325.840000000026</v>
      </c>
      <c r="N12" s="424">
        <f>+'Mois 2'!$AL$406</f>
        <v>5191041.2399999993</v>
      </c>
      <c r="O12" s="424">
        <f>+'Mois 2'!$AL$407</f>
        <v>498187.64999999927</v>
      </c>
      <c r="P12" s="424">
        <f>+'Mois 2'!$AL$483</f>
        <v>217255.63999999937</v>
      </c>
      <c r="Q12" s="424">
        <f>+'Mois 2'!$AL$498</f>
        <v>197735.63999999937</v>
      </c>
    </row>
    <row r="13" spans="1:17">
      <c r="A13" s="432" t="s">
        <v>205</v>
      </c>
      <c r="B13" s="425">
        <f>+'Mois 3'!$Z$406</f>
        <v>4437062.4771974394</v>
      </c>
      <c r="C13" s="425">
        <f>+'Mois 3'!$Z$407</f>
        <v>462703.19254841818</v>
      </c>
      <c r="D13" s="425">
        <f>+'Mois 3'!$Z$483</f>
        <v>154021.0113875253</v>
      </c>
      <c r="E13" s="425">
        <f>+'Mois 3'!$Z$498</f>
        <v>141944.45401047613</v>
      </c>
      <c r="F13" s="425">
        <f>+'Mois 3'!$AC$406</f>
        <v>0</v>
      </c>
      <c r="G13" s="425">
        <f>+'Mois 3'!$AC$407</f>
        <v>0</v>
      </c>
      <c r="H13" s="425">
        <f>+'Mois 3'!$AC$483</f>
        <v>0</v>
      </c>
      <c r="I13" s="425">
        <f>+'Mois 3'!$AC$498</f>
        <v>0</v>
      </c>
      <c r="J13" s="437">
        <f>+'Mois 3'!$AF$406</f>
        <v>5362572.1800000016</v>
      </c>
      <c r="K13" s="437">
        <f>+'Mois 3'!$AF$407</f>
        <v>399283.09999999986</v>
      </c>
      <c r="L13" s="437">
        <f>+'Mois 3'!$AF$483</f>
        <v>128942.56999999998</v>
      </c>
      <c r="M13" s="437">
        <f>+'Mois 3'!$AF$498</f>
        <v>110888.95999999998</v>
      </c>
      <c r="N13" s="425">
        <f>+'Mois 3'!$AL$406</f>
        <v>3954834.1299999896</v>
      </c>
      <c r="O13" s="425">
        <f>+'Mois 3'!$AL$407</f>
        <v>411392.35999999975</v>
      </c>
      <c r="P13" s="425">
        <f>+'Mois 3'!$AL$483</f>
        <v>200030.31999999975</v>
      </c>
      <c r="Q13" s="425">
        <f>+'Mois 3'!$AL$498</f>
        <v>180510.31999999975</v>
      </c>
    </row>
  </sheetData>
  <mergeCells count="4">
    <mergeCell ref="B6:E6"/>
    <mergeCell ref="F6:I6"/>
    <mergeCell ref="J6:M6"/>
    <mergeCell ref="N6:Q6"/>
  </mergeCells>
  <phoneticPr fontId="3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Feuil7"/>
  <dimension ref="A1:BJ702"/>
  <sheetViews>
    <sheetView tabSelected="1" view="pageBreakPreview" topLeftCell="S455" zoomScale="60" zoomScaleNormal="70" workbookViewId="0">
      <selection activeCell="K295" sqref="K295"/>
    </sheetView>
  </sheetViews>
  <sheetFormatPr baseColWidth="10" defaultColWidth="12.625" defaultRowHeight="15" customHeight="1" outlineLevelRow="1"/>
  <cols>
    <col min="1" max="1" width="24.125" customWidth="1"/>
    <col min="2" max="2" width="23.25" customWidth="1"/>
    <col min="3" max="3" width="34.625" customWidth="1"/>
    <col min="4" max="4" width="16.375" customWidth="1"/>
    <col min="5" max="5" width="15.625" customWidth="1"/>
    <col min="6" max="6" width="16.875" customWidth="1"/>
    <col min="7" max="7" width="17.75" hidden="1" customWidth="1"/>
    <col min="8" max="8" width="15.625" hidden="1" customWidth="1"/>
    <col min="9" max="9" width="15.875" hidden="1" customWidth="1"/>
    <col min="10" max="10" width="16.75" customWidth="1"/>
    <col min="11" max="11" width="14.5" customWidth="1"/>
    <col min="12" max="12" width="15.875" customWidth="1"/>
    <col min="13" max="13" width="12" customWidth="1"/>
    <col min="14" max="14" width="18.625" customWidth="1"/>
    <col min="15" max="15" width="16.375" customWidth="1"/>
    <col min="16" max="16" width="15.625" customWidth="1"/>
    <col min="17" max="17" width="16.375" customWidth="1"/>
    <col min="18" max="18" width="13.875" customWidth="1"/>
    <col min="19" max="19" width="18.625" customWidth="1"/>
    <col min="20" max="20" width="3" customWidth="1"/>
    <col min="21" max="21" width="4" customWidth="1"/>
    <col min="22" max="22" width="28.75" customWidth="1"/>
    <col min="23" max="23" width="12.25" customWidth="1"/>
    <col min="24" max="24" width="10.875" customWidth="1"/>
    <col min="25" max="25" width="10" customWidth="1"/>
    <col min="26" max="26" width="17.375" customWidth="1"/>
    <col min="27" max="27" width="10.875" hidden="1" customWidth="1"/>
    <col min="28" max="28" width="10" hidden="1" customWidth="1"/>
    <col min="29" max="29" width="17.5" hidden="1" customWidth="1"/>
    <col min="30" max="30" width="10.875" customWidth="1"/>
    <col min="31" max="31" width="12" customWidth="1"/>
    <col min="32" max="32" width="18.875" customWidth="1"/>
    <col min="33" max="33" width="10.875" customWidth="1"/>
    <col min="34" max="34" width="16.25" customWidth="1"/>
    <col min="35" max="35" width="12.375" customWidth="1"/>
    <col min="36" max="36" width="10.875" customWidth="1"/>
    <col min="37" max="37" width="10" customWidth="1"/>
    <col min="38" max="38" width="17.5" customWidth="1"/>
    <col min="39" max="39" width="10.875" customWidth="1"/>
    <col min="40" max="40" width="16" customWidth="1"/>
    <col min="41" max="41" width="12.375" customWidth="1"/>
    <col min="42" max="42" width="11.625" bestFit="1" customWidth="1"/>
    <col min="43" max="62" width="11" customWidth="1"/>
  </cols>
  <sheetData>
    <row r="1" spans="1:40" ht="35.25">
      <c r="B1" s="1"/>
      <c r="C1" s="1" t="s">
        <v>210</v>
      </c>
      <c r="D1" s="2"/>
      <c r="E1" s="2"/>
      <c r="F1" s="2"/>
      <c r="G1" s="2"/>
      <c r="H1" s="1"/>
      <c r="I1" s="2"/>
      <c r="J1" s="1"/>
      <c r="K1" s="3" t="s">
        <v>0</v>
      </c>
      <c r="L1" s="2"/>
      <c r="M1" s="2"/>
      <c r="N1" s="4"/>
      <c r="O1" s="1"/>
      <c r="P1" s="2"/>
      <c r="Q1" s="1"/>
      <c r="R1" s="2"/>
      <c r="S1" s="5" t="str">
        <f>CONCATENATE("Réalisé"," ",Paramètre!$C$2," ",Paramètre!$C$3)</f>
        <v>Réalisé  Q3 2024</v>
      </c>
      <c r="T1" s="2" t="s">
        <v>1</v>
      </c>
      <c r="U1" s="6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</row>
    <row r="2" spans="1:40" ht="16.5" thickBot="1">
      <c r="B2" s="7"/>
      <c r="C2" s="8"/>
      <c r="D2" s="456" t="s">
        <v>2</v>
      </c>
      <c r="E2" s="456" t="s">
        <v>3</v>
      </c>
      <c r="F2" s="456" t="s">
        <v>4</v>
      </c>
      <c r="G2" s="456" t="s">
        <v>2</v>
      </c>
      <c r="H2" s="456" t="s">
        <v>3</v>
      </c>
      <c r="I2" s="456" t="s">
        <v>4</v>
      </c>
      <c r="J2" s="456"/>
      <c r="K2" s="456"/>
      <c r="L2" s="456"/>
      <c r="M2" s="457"/>
      <c r="N2" s="457"/>
      <c r="O2" s="456"/>
      <c r="P2" s="456"/>
      <c r="Q2" s="456"/>
      <c r="R2" s="10"/>
      <c r="S2" s="10"/>
      <c r="T2" s="10"/>
      <c r="U2" s="10"/>
    </row>
    <row r="3" spans="1:40" ht="21" thickTop="1">
      <c r="B3" s="11"/>
      <c r="C3" s="12"/>
      <c r="D3" s="496" t="s">
        <v>5</v>
      </c>
      <c r="E3" s="497"/>
      <c r="F3" s="498"/>
      <c r="G3" s="499" t="s">
        <v>6</v>
      </c>
      <c r="H3" s="497"/>
      <c r="I3" s="498"/>
      <c r="J3" s="499" t="s">
        <v>7</v>
      </c>
      <c r="K3" s="497"/>
      <c r="L3" s="498"/>
      <c r="M3" s="499" t="s">
        <v>213</v>
      </c>
      <c r="N3" s="498"/>
      <c r="O3" s="496" t="s">
        <v>8</v>
      </c>
      <c r="P3" s="497"/>
      <c r="Q3" s="498"/>
      <c r="R3" s="494" t="s">
        <v>214</v>
      </c>
      <c r="S3" s="495"/>
      <c r="T3" s="13"/>
      <c r="U3" s="13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</row>
    <row r="4" spans="1:40" ht="20.25">
      <c r="B4" s="11"/>
      <c r="C4" s="14"/>
      <c r="D4" s="15" t="s">
        <v>10</v>
      </c>
      <c r="E4" s="16" t="s">
        <v>11</v>
      </c>
      <c r="F4" s="17" t="s">
        <v>12</v>
      </c>
      <c r="G4" s="18" t="s">
        <v>10</v>
      </c>
      <c r="H4" s="16" t="s">
        <v>11</v>
      </c>
      <c r="I4" s="17" t="s">
        <v>12</v>
      </c>
      <c r="J4" s="18" t="s">
        <v>10</v>
      </c>
      <c r="K4" s="16" t="s">
        <v>13</v>
      </c>
      <c r="L4" s="17" t="s">
        <v>12</v>
      </c>
      <c r="M4" s="18" t="s">
        <v>215</v>
      </c>
      <c r="N4" s="17" t="s">
        <v>12</v>
      </c>
      <c r="O4" s="16" t="s">
        <v>10</v>
      </c>
      <c r="P4" s="16" t="s">
        <v>13</v>
      </c>
      <c r="Q4" s="17" t="s">
        <v>12</v>
      </c>
      <c r="R4" s="18" t="s">
        <v>10</v>
      </c>
      <c r="S4" s="19" t="s">
        <v>12</v>
      </c>
      <c r="T4" s="13"/>
      <c r="U4" s="13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</row>
    <row r="5" spans="1:40" ht="20.25">
      <c r="A5" t="str">
        <f>+B5&amp;C5</f>
        <v>Véhicules neufsVentes nettes</v>
      </c>
      <c r="B5" s="11" t="str">
        <f t="shared" ref="B5:B85" si="0">+$K$1</f>
        <v>Véhicules neufs</v>
      </c>
      <c r="C5" s="20" t="s">
        <v>14</v>
      </c>
      <c r="D5" s="21"/>
      <c r="E5" s="21"/>
      <c r="F5" s="22">
        <f>+SUM(START:END!F5)</f>
        <v>6018334.8454984259</v>
      </c>
      <c r="G5" s="23"/>
      <c r="H5" s="21"/>
      <c r="I5" s="24">
        <f>+SUM(START:END!I5)</f>
        <v>0</v>
      </c>
      <c r="J5" s="23"/>
      <c r="K5" s="25"/>
      <c r="L5" s="22">
        <f>+SUM(START:END!L5)</f>
        <v>5965380.6500000004</v>
      </c>
      <c r="M5" s="26"/>
      <c r="N5" s="27"/>
      <c r="O5" s="23"/>
      <c r="P5" s="25"/>
      <c r="Q5" s="22">
        <f>+SUM(START:END!Q5)</f>
        <v>6109617.7599999905</v>
      </c>
      <c r="R5" s="26"/>
      <c r="S5" s="28"/>
      <c r="T5" s="13"/>
      <c r="U5" s="13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</row>
    <row r="6" spans="1:40" ht="20.25">
      <c r="A6" t="str">
        <f t="shared" ref="A6:A85" si="1">+B6&amp;C6</f>
        <v>Véhicules neufsAutos détail</v>
      </c>
      <c r="B6" s="11" t="str">
        <f t="shared" si="0"/>
        <v>Véhicules neufs</v>
      </c>
      <c r="C6" s="29" t="s">
        <v>15</v>
      </c>
      <c r="D6" s="30">
        <f>+SUM(START:END!D6)</f>
        <v>22</v>
      </c>
      <c r="E6" s="30">
        <f>IF(D6=0,0,F6/D6)</f>
        <v>5144.9382716049386</v>
      </c>
      <c r="F6" s="30">
        <f>+SUM(START:END!F6)</f>
        <v>113188.64197530865</v>
      </c>
      <c r="G6" s="31">
        <f>+SUM(START:END!G6)</f>
        <v>0</v>
      </c>
      <c r="H6" s="30">
        <f>IF(G6=0,0,I6/G6)</f>
        <v>0</v>
      </c>
      <c r="I6" s="30">
        <f>+SUM(START:END!I6)</f>
        <v>0</v>
      </c>
      <c r="J6" s="31">
        <f>+SUM(START:END!J6)</f>
        <v>13</v>
      </c>
      <c r="K6" s="30">
        <f>IF(J6=0,0,L6/J6)</f>
        <v>3520.2846153846208</v>
      </c>
      <c r="L6" s="32">
        <f>+SUM(START:END!L6)</f>
        <v>45763.70000000007</v>
      </c>
      <c r="M6" s="31">
        <f t="shared" ref="M6:M12" si="2">J6-D6</f>
        <v>-9</v>
      </c>
      <c r="N6" s="33">
        <f t="shared" ref="N6:N12" si="3">L6-F6</f>
        <v>-67424.941975308582</v>
      </c>
      <c r="O6" s="31">
        <f>+SUM(START:END!O6)</f>
        <v>18</v>
      </c>
      <c r="P6" s="30">
        <f>IF(O6=0,0,Q6/O6)</f>
        <v>5522.1644444444382</v>
      </c>
      <c r="Q6" s="32">
        <f>+SUM(START:END!Q6)</f>
        <v>99398.95999999989</v>
      </c>
      <c r="R6" s="31">
        <f>J6-O6</f>
        <v>-5</v>
      </c>
      <c r="S6" s="34">
        <f>L6-Q6</f>
        <v>-53635.25999999982</v>
      </c>
      <c r="T6" s="13"/>
      <c r="U6" s="13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</row>
    <row r="7" spans="1:40" ht="20.25">
      <c r="A7" t="str">
        <f t="shared" si="1"/>
        <v>Véhicules neufsCamions détail</v>
      </c>
      <c r="B7" s="11" t="str">
        <f t="shared" si="0"/>
        <v>Véhicules neufs</v>
      </c>
      <c r="C7" s="29" t="s">
        <v>16</v>
      </c>
      <c r="D7" s="30">
        <f>+SUM(START:END!D7)</f>
        <v>38</v>
      </c>
      <c r="E7" s="30">
        <f t="shared" ref="E7:E12" si="4">IF(D7=0,0,F7/D7)</f>
        <v>5386.4238410596035</v>
      </c>
      <c r="F7" s="30">
        <f>+SUM(START:END!F7)</f>
        <v>204684.10596026492</v>
      </c>
      <c r="G7" s="31">
        <f>+SUM(START:END!G7)</f>
        <v>0</v>
      </c>
      <c r="H7" s="30">
        <f t="shared" ref="H7:H12" si="5">IF(G7=0,0,I7/G7)</f>
        <v>0</v>
      </c>
      <c r="I7" s="30">
        <f>+SUM(START:END!I7)</f>
        <v>0</v>
      </c>
      <c r="J7" s="31">
        <f>+SUM(START:END!J7)</f>
        <v>34</v>
      </c>
      <c r="K7" s="30">
        <f t="shared" ref="K7:K12" si="6">IF(J7=0,0,L7/J7)</f>
        <v>4796.7911764705805</v>
      </c>
      <c r="L7" s="32">
        <f>+SUM(START:END!L7)</f>
        <v>163090.89999999973</v>
      </c>
      <c r="M7" s="31">
        <f t="shared" si="2"/>
        <v>-4</v>
      </c>
      <c r="N7" s="33">
        <f t="shared" si="3"/>
        <v>-41593.205960265186</v>
      </c>
      <c r="O7" s="31">
        <f>+SUM(START:END!O7)</f>
        <v>40</v>
      </c>
      <c r="P7" s="30">
        <f t="shared" ref="P7:P12" si="7">IF(O7=0,0,Q7/O7)</f>
        <v>6556.5149999999994</v>
      </c>
      <c r="Q7" s="32">
        <f>+SUM(START:END!Q7)</f>
        <v>262260.59999999998</v>
      </c>
      <c r="R7" s="31">
        <f t="shared" ref="R7:R12" si="8">J7-O7</f>
        <v>-6</v>
      </c>
      <c r="S7" s="34">
        <f t="shared" ref="S7:S12" si="9">L7-Q7</f>
        <v>-99169.700000000244</v>
      </c>
      <c r="T7" s="13"/>
      <c r="U7" s="13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</row>
    <row r="8" spans="1:40" ht="20.25" hidden="1">
      <c r="A8" t="str">
        <f t="shared" si="1"/>
        <v>Véhicules neufsSprinter</v>
      </c>
      <c r="B8" s="11" t="str">
        <f t="shared" si="0"/>
        <v>Véhicules neufs</v>
      </c>
      <c r="C8" s="29" t="s">
        <v>17</v>
      </c>
      <c r="D8" s="30">
        <f>+SUM(START:END!D8)</f>
        <v>0</v>
      </c>
      <c r="E8" s="30">
        <f t="shared" si="4"/>
        <v>0</v>
      </c>
      <c r="F8" s="30">
        <f>+SUM(START:END!F8)</f>
        <v>0</v>
      </c>
      <c r="G8" s="31">
        <f>+SUM(START:END!G8)</f>
        <v>0</v>
      </c>
      <c r="H8" s="30">
        <f t="shared" si="5"/>
        <v>0</v>
      </c>
      <c r="I8" s="30">
        <f>+SUM(START:END!I8)</f>
        <v>0</v>
      </c>
      <c r="J8" s="31">
        <f>+SUM(START:END!J8)</f>
        <v>0</v>
      </c>
      <c r="K8" s="30">
        <f t="shared" si="6"/>
        <v>0</v>
      </c>
      <c r="L8" s="32">
        <f>+SUM(START:END!L8)</f>
        <v>0</v>
      </c>
      <c r="M8" s="31">
        <f t="shared" si="2"/>
        <v>0</v>
      </c>
      <c r="N8" s="33">
        <f t="shared" si="3"/>
        <v>0</v>
      </c>
      <c r="O8" s="31">
        <f>+SUM(START:END!O8)</f>
        <v>0</v>
      </c>
      <c r="P8" s="30">
        <f t="shared" si="7"/>
        <v>0</v>
      </c>
      <c r="Q8" s="32">
        <f>+SUM(START:END!Q8)</f>
        <v>0</v>
      </c>
      <c r="R8" s="31">
        <f t="shared" si="8"/>
        <v>0</v>
      </c>
      <c r="S8" s="34">
        <f t="shared" si="9"/>
        <v>0</v>
      </c>
      <c r="T8" s="13"/>
      <c r="U8" s="13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11"/>
    </row>
    <row r="9" spans="1:40" ht="20.25" hidden="1">
      <c r="A9" t="str">
        <f t="shared" si="1"/>
        <v>Véhicules neufsMoto détail</v>
      </c>
      <c r="B9" s="11" t="str">
        <f t="shared" si="0"/>
        <v>Véhicules neufs</v>
      </c>
      <c r="C9" s="29" t="s">
        <v>18</v>
      </c>
      <c r="D9" s="30">
        <f>+SUM(START:END!D9)</f>
        <v>0</v>
      </c>
      <c r="E9" s="30">
        <f t="shared" si="4"/>
        <v>0</v>
      </c>
      <c r="F9" s="30">
        <f>+SUM(START:END!F9)</f>
        <v>0</v>
      </c>
      <c r="G9" s="31">
        <f>+SUM(START:END!G9)</f>
        <v>0</v>
      </c>
      <c r="H9" s="30">
        <f t="shared" si="5"/>
        <v>0</v>
      </c>
      <c r="I9" s="30">
        <f>+SUM(START:END!I9)</f>
        <v>0</v>
      </c>
      <c r="J9" s="31">
        <f>+SUM(START:END!J9)</f>
        <v>0</v>
      </c>
      <c r="K9" s="30">
        <f t="shared" si="6"/>
        <v>0</v>
      </c>
      <c r="L9" s="32">
        <f>+SUM(START:END!L9)</f>
        <v>0</v>
      </c>
      <c r="M9" s="31">
        <f t="shared" si="2"/>
        <v>0</v>
      </c>
      <c r="N9" s="33">
        <f t="shared" si="3"/>
        <v>0</v>
      </c>
      <c r="O9" s="31">
        <f>+SUM(START:END!O9)</f>
        <v>0</v>
      </c>
      <c r="P9" s="30">
        <f t="shared" si="7"/>
        <v>0</v>
      </c>
      <c r="Q9" s="32">
        <f>+SUM(START:END!Q9)</f>
        <v>0</v>
      </c>
      <c r="R9" s="31">
        <f t="shared" si="8"/>
        <v>0</v>
      </c>
      <c r="S9" s="34">
        <f t="shared" si="9"/>
        <v>0</v>
      </c>
      <c r="T9" s="13"/>
      <c r="U9" s="13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11"/>
    </row>
    <row r="10" spans="1:40" ht="20.25" hidden="1">
      <c r="A10" t="str">
        <f t="shared" si="1"/>
        <v>Véhicules neufs[...]</v>
      </c>
      <c r="B10" s="11" t="str">
        <f t="shared" si="0"/>
        <v>Véhicules neufs</v>
      </c>
      <c r="C10" s="29" t="s">
        <v>19</v>
      </c>
      <c r="D10" s="30">
        <f>+SUM(START:END!D10)</f>
        <v>0</v>
      </c>
      <c r="E10" s="30">
        <f t="shared" si="4"/>
        <v>0</v>
      </c>
      <c r="F10" s="30">
        <f>+SUM(START:END!F10)</f>
        <v>0</v>
      </c>
      <c r="G10" s="31">
        <f>+SUM(START:END!G10)</f>
        <v>0</v>
      </c>
      <c r="H10" s="30">
        <f t="shared" si="5"/>
        <v>0</v>
      </c>
      <c r="I10" s="30">
        <f>+SUM(START:END!I10)</f>
        <v>0</v>
      </c>
      <c r="J10" s="31">
        <f>+SUM(START:END!J10)</f>
        <v>0</v>
      </c>
      <c r="K10" s="30">
        <f t="shared" si="6"/>
        <v>0</v>
      </c>
      <c r="L10" s="32">
        <f>+SUM(START:END!L10)</f>
        <v>0</v>
      </c>
      <c r="M10" s="31">
        <f t="shared" si="2"/>
        <v>0</v>
      </c>
      <c r="N10" s="33">
        <f t="shared" si="3"/>
        <v>0</v>
      </c>
      <c r="O10" s="31">
        <f>+SUM(START:END!O10)</f>
        <v>0</v>
      </c>
      <c r="P10" s="30">
        <f t="shared" si="7"/>
        <v>0</v>
      </c>
      <c r="Q10" s="32">
        <f>+SUM(START:END!Q10)</f>
        <v>0</v>
      </c>
      <c r="R10" s="31">
        <f t="shared" si="8"/>
        <v>0</v>
      </c>
      <c r="S10" s="34">
        <f t="shared" si="9"/>
        <v>0</v>
      </c>
      <c r="T10" s="13"/>
      <c r="U10" s="13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1"/>
    </row>
    <row r="11" spans="1:40" ht="20.25" hidden="1">
      <c r="A11" t="str">
        <f t="shared" si="1"/>
        <v>Véhicules neufs[...]</v>
      </c>
      <c r="B11" s="11" t="str">
        <f t="shared" si="0"/>
        <v>Véhicules neufs</v>
      </c>
      <c r="C11" s="29" t="s">
        <v>19</v>
      </c>
      <c r="D11" s="30">
        <f>+SUM(START:END!D11)</f>
        <v>0</v>
      </c>
      <c r="E11" s="30">
        <f t="shared" si="4"/>
        <v>0</v>
      </c>
      <c r="F11" s="30">
        <f>+SUM(START:END!F11)</f>
        <v>0</v>
      </c>
      <c r="G11" s="31">
        <f>+SUM(START:END!G11)</f>
        <v>0</v>
      </c>
      <c r="H11" s="30">
        <f t="shared" si="5"/>
        <v>0</v>
      </c>
      <c r="I11" s="30">
        <f>+SUM(START:END!I11)</f>
        <v>0</v>
      </c>
      <c r="J11" s="31">
        <f>+SUM(START:END!J11)</f>
        <v>0</v>
      </c>
      <c r="K11" s="30">
        <f t="shared" si="6"/>
        <v>0</v>
      </c>
      <c r="L11" s="32">
        <f>+SUM(START:END!L11)</f>
        <v>0</v>
      </c>
      <c r="M11" s="31">
        <f t="shared" si="2"/>
        <v>0</v>
      </c>
      <c r="N11" s="33">
        <f t="shared" si="3"/>
        <v>0</v>
      </c>
      <c r="O11" s="31">
        <f>+SUM(START:END!O11)</f>
        <v>0</v>
      </c>
      <c r="P11" s="30">
        <f t="shared" si="7"/>
        <v>0</v>
      </c>
      <c r="Q11" s="32">
        <f>+SUM(START:END!Q11)</f>
        <v>0</v>
      </c>
      <c r="R11" s="31">
        <f t="shared" si="8"/>
        <v>0</v>
      </c>
      <c r="S11" s="34">
        <f t="shared" si="9"/>
        <v>0</v>
      </c>
      <c r="T11" s="13"/>
      <c r="U11" s="13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/>
    </row>
    <row r="12" spans="1:40" ht="20.25" hidden="1">
      <c r="A12" t="str">
        <f t="shared" si="1"/>
        <v>Véhicules neufs[...]</v>
      </c>
      <c r="B12" s="11" t="str">
        <f t="shared" si="0"/>
        <v>Véhicules neufs</v>
      </c>
      <c r="C12" s="29" t="s">
        <v>19</v>
      </c>
      <c r="D12" s="30">
        <f>+SUM(START:END!D12)</f>
        <v>0</v>
      </c>
      <c r="E12" s="30">
        <f t="shared" si="4"/>
        <v>0</v>
      </c>
      <c r="F12" s="30">
        <f>+SUM(START:END!F12)</f>
        <v>0</v>
      </c>
      <c r="G12" s="31">
        <f>+SUM(START:END!G12)</f>
        <v>0</v>
      </c>
      <c r="H12" s="30">
        <f t="shared" si="5"/>
        <v>0</v>
      </c>
      <c r="I12" s="30">
        <f>+SUM(START:END!I12)</f>
        <v>0</v>
      </c>
      <c r="J12" s="31">
        <f>+SUM(START:END!J12)</f>
        <v>0</v>
      </c>
      <c r="K12" s="30">
        <f t="shared" si="6"/>
        <v>0</v>
      </c>
      <c r="L12" s="32">
        <f>+SUM(START:END!L12)</f>
        <v>0</v>
      </c>
      <c r="M12" s="31">
        <f t="shared" si="2"/>
        <v>0</v>
      </c>
      <c r="N12" s="33">
        <f t="shared" si="3"/>
        <v>0</v>
      </c>
      <c r="O12" s="31">
        <f>+SUM(START:END!O12)</f>
        <v>0</v>
      </c>
      <c r="P12" s="30">
        <f t="shared" si="7"/>
        <v>0</v>
      </c>
      <c r="Q12" s="32">
        <f>+SUM(START:END!Q12)</f>
        <v>0</v>
      </c>
      <c r="R12" s="31">
        <f t="shared" si="8"/>
        <v>0</v>
      </c>
      <c r="S12" s="34">
        <f t="shared" si="9"/>
        <v>0</v>
      </c>
      <c r="T12" s="13"/>
      <c r="U12" s="13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1"/>
      <c r="AM12" s="11"/>
      <c r="AN12" s="11"/>
    </row>
    <row r="13" spans="1:40" ht="20.25">
      <c r="A13" t="str">
        <f t="shared" si="1"/>
        <v>Véhicules neufsTotal Neufs</v>
      </c>
      <c r="B13" s="11" t="str">
        <f t="shared" si="0"/>
        <v>Véhicules neufs</v>
      </c>
      <c r="C13" s="35" t="s">
        <v>20</v>
      </c>
      <c r="D13" s="36">
        <f>+SUM(D6:D12)</f>
        <v>60</v>
      </c>
      <c r="E13" s="36">
        <f>IF(D13&lt;=0,0,F13/D13)</f>
        <v>5297.8791322595598</v>
      </c>
      <c r="F13" s="37">
        <f>+SUM(F6:F12)</f>
        <v>317872.74793557357</v>
      </c>
      <c r="G13" s="38">
        <f>+SUM(G6:G12)</f>
        <v>0</v>
      </c>
      <c r="H13" s="36">
        <f>IF(G13&lt;=0,0,I13/G13)</f>
        <v>0</v>
      </c>
      <c r="I13" s="37">
        <f>+SUM(I6:I12)</f>
        <v>0</v>
      </c>
      <c r="J13" s="38">
        <f>+SUM(J6:J12)</f>
        <v>47</v>
      </c>
      <c r="K13" s="36">
        <f>IF(J13&lt;=0,0,L13/J13)</f>
        <v>4443.714893617017</v>
      </c>
      <c r="L13" s="37">
        <f>+SUM(L6:L12)</f>
        <v>208854.5999999998</v>
      </c>
      <c r="M13" s="38">
        <f>+SUM(M6:M12)</f>
        <v>-13</v>
      </c>
      <c r="N13" s="37">
        <f t="shared" ref="N13" si="10">+SUM(N6:N12)</f>
        <v>-109018.14793557377</v>
      </c>
      <c r="O13" s="38">
        <f>+SUM(O6:O12)</f>
        <v>58</v>
      </c>
      <c r="P13" s="36">
        <f>IF(O13&lt;=0,0,Q13/O13)</f>
        <v>6235.5096551724118</v>
      </c>
      <c r="Q13" s="37">
        <f>+SUM(Q6:Q12)</f>
        <v>361659.55999999988</v>
      </c>
      <c r="R13" s="38">
        <f>+SUM(R6:R12)</f>
        <v>-11</v>
      </c>
      <c r="S13" s="39">
        <f>+SUM(S6:S12)</f>
        <v>-152804.96000000008</v>
      </c>
      <c r="T13" s="13"/>
      <c r="U13" s="13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</row>
    <row r="14" spans="1:40" ht="20.25">
      <c r="A14" t="str">
        <f t="shared" si="1"/>
        <v>Véhicules neufs</v>
      </c>
      <c r="B14" s="11" t="str">
        <f t="shared" si="0"/>
        <v>Véhicules neufs</v>
      </c>
      <c r="C14" s="29"/>
      <c r="D14" s="13"/>
      <c r="E14" s="30"/>
      <c r="F14" s="40"/>
      <c r="G14" s="41"/>
      <c r="H14" s="30"/>
      <c r="I14" s="40"/>
      <c r="J14" s="41"/>
      <c r="K14" s="30"/>
      <c r="L14" s="40"/>
      <c r="M14" s="42">
        <f>IF(D13=0,0,M13/D13)</f>
        <v>-0.21666666666666667</v>
      </c>
      <c r="N14" s="43">
        <f>IF(F13=0,0,N13/F13)</f>
        <v>-0.34296160537067982</v>
      </c>
      <c r="O14" s="41"/>
      <c r="P14" s="30"/>
      <c r="Q14" s="40"/>
      <c r="R14" s="42">
        <f>R13/O13</f>
        <v>-0.18965517241379309</v>
      </c>
      <c r="S14" s="44">
        <f>IF(Q13=0,0,(S13/Q13))</f>
        <v>-0.42251049578227695</v>
      </c>
      <c r="T14" s="13"/>
      <c r="U14" s="13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</row>
    <row r="15" spans="1:40" ht="20.25">
      <c r="A15" t="str">
        <f t="shared" si="1"/>
        <v>Véhicules neufsEx-Démos et courtoisies</v>
      </c>
      <c r="B15" s="11" t="str">
        <f t="shared" si="0"/>
        <v>Véhicules neufs</v>
      </c>
      <c r="C15" s="45" t="s">
        <v>21</v>
      </c>
      <c r="D15" s="25">
        <f>+SUM(START:END!D15)</f>
        <v>6</v>
      </c>
      <c r="E15" s="25">
        <f t="shared" ref="E15" si="11">IF(D15=0,0,F15/D15)</f>
        <v>2500</v>
      </c>
      <c r="F15" s="22">
        <f>+SUM(START:END!F15)</f>
        <v>15000</v>
      </c>
      <c r="G15" s="46">
        <f>+SUM(START:END!G15)</f>
        <v>0</v>
      </c>
      <c r="H15" s="47">
        <f t="shared" ref="H15" si="12">IF(G15=0,0,I15/G15)</f>
        <v>0</v>
      </c>
      <c r="I15" s="48">
        <f>+SUM(START:END!I15)</f>
        <v>0</v>
      </c>
      <c r="J15" s="49">
        <f>+SUM(START:END!J15)</f>
        <v>10</v>
      </c>
      <c r="K15" s="50">
        <f>IF(J15=0,0,L15/J15)</f>
        <v>1657.5529999999969</v>
      </c>
      <c r="L15" s="50">
        <f>+SUM(START:END!L15)</f>
        <v>16575.52999999997</v>
      </c>
      <c r="M15" s="51">
        <f>J15-D15</f>
        <v>4</v>
      </c>
      <c r="N15" s="48">
        <f>L15-F15</f>
        <v>1575.5299999999697</v>
      </c>
      <c r="O15" s="49">
        <f>+SUM(START:END!O15)</f>
        <v>5</v>
      </c>
      <c r="P15" s="50">
        <f>IF(O15=0,0,Q15/O15)</f>
        <v>4391.1499999999796</v>
      </c>
      <c r="Q15" s="50">
        <f>+SUM(START:END!Q15)</f>
        <v>21955.749999999898</v>
      </c>
      <c r="R15" s="51">
        <f>J15-O15</f>
        <v>5</v>
      </c>
      <c r="S15" s="52">
        <f>L15-Q15</f>
        <v>-5380.2199999999284</v>
      </c>
      <c r="T15" s="13"/>
      <c r="U15" s="13"/>
      <c r="V15" s="11"/>
      <c r="W15" s="458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1"/>
    </row>
    <row r="16" spans="1:40" ht="20.25">
      <c r="A16" t="str">
        <f t="shared" si="1"/>
        <v>Véhicules neufs</v>
      </c>
      <c r="B16" s="11" t="str">
        <f t="shared" si="0"/>
        <v>Véhicules neufs</v>
      </c>
      <c r="C16" s="29"/>
      <c r="D16" s="13"/>
      <c r="E16" s="30"/>
      <c r="F16" s="40"/>
      <c r="G16" s="41"/>
      <c r="H16" s="30"/>
      <c r="I16" s="40"/>
      <c r="J16" s="41"/>
      <c r="K16" s="30"/>
      <c r="L16" s="33"/>
      <c r="M16" s="42"/>
      <c r="N16" s="43"/>
      <c r="O16" s="41"/>
      <c r="P16" s="30"/>
      <c r="Q16" s="33"/>
      <c r="R16" s="42"/>
      <c r="S16" s="44"/>
      <c r="T16" s="13"/>
      <c r="U16" s="13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</row>
    <row r="17" spans="1:40" ht="20.25">
      <c r="A17" t="str">
        <f t="shared" si="1"/>
        <v>Véhicules neufsFlottes</v>
      </c>
      <c r="B17" s="11" t="str">
        <f t="shared" si="0"/>
        <v>Véhicules neufs</v>
      </c>
      <c r="C17" s="53" t="s">
        <v>22</v>
      </c>
      <c r="D17" s="30">
        <f>+SUM(START:END!D17)</f>
        <v>1</v>
      </c>
      <c r="E17" s="30">
        <f t="shared" ref="E17" si="13">IF(D17=0,0,F17/D17)</f>
        <v>2500</v>
      </c>
      <c r="F17" s="30">
        <f>+SUM(START:END!F17)</f>
        <v>2500</v>
      </c>
      <c r="G17" s="31">
        <f>+SUM(START:END!G17)</f>
        <v>0</v>
      </c>
      <c r="H17" s="30">
        <f t="shared" ref="H17" si="14">IF(G17=0,0,I17/G17)</f>
        <v>0</v>
      </c>
      <c r="I17" s="30">
        <f>+SUM(START:END!I17)</f>
        <v>0</v>
      </c>
      <c r="J17" s="51">
        <f>+SUM(START:END!J17)</f>
        <v>1</v>
      </c>
      <c r="K17" s="30">
        <f>IF(J17=0,0,L17/J17)</f>
        <v>12964.170000000013</v>
      </c>
      <c r="L17" s="33">
        <f>+SUM(START:END!L17)</f>
        <v>12964.170000000013</v>
      </c>
      <c r="M17" s="51">
        <f>J17-D17</f>
        <v>0</v>
      </c>
      <c r="N17" s="33">
        <f>L17-F17</f>
        <v>10464.170000000013</v>
      </c>
      <c r="O17" s="51">
        <f>+SUM(START:END!O17)</f>
        <v>0</v>
      </c>
      <c r="P17" s="30">
        <f>IF(O17=0,0,Q17/O17)</f>
        <v>0</v>
      </c>
      <c r="Q17" s="33">
        <f>+SUM(START:END!Q17)</f>
        <v>0</v>
      </c>
      <c r="R17" s="31">
        <f>J17-O17</f>
        <v>1</v>
      </c>
      <c r="S17" s="34">
        <f>L17-Q17</f>
        <v>12964.170000000013</v>
      </c>
      <c r="T17" s="13"/>
      <c r="U17" s="13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</row>
    <row r="18" spans="1:40" ht="20.25">
      <c r="A18" t="str">
        <f t="shared" si="1"/>
        <v>Véhicules neufs</v>
      </c>
      <c r="B18" s="11" t="str">
        <f t="shared" si="0"/>
        <v>Véhicules neufs</v>
      </c>
      <c r="C18" s="35"/>
      <c r="D18" s="54"/>
      <c r="E18" s="54"/>
      <c r="F18" s="55"/>
      <c r="G18" s="56"/>
      <c r="H18" s="54"/>
      <c r="I18" s="55"/>
      <c r="J18" s="31"/>
      <c r="K18" s="54"/>
      <c r="L18" s="55"/>
      <c r="M18" s="31"/>
      <c r="N18" s="55"/>
      <c r="O18" s="31"/>
      <c r="P18" s="54"/>
      <c r="Q18" s="55"/>
      <c r="R18" s="56"/>
      <c r="S18" s="57"/>
      <c r="T18" s="13"/>
      <c r="U18" s="13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</row>
    <row r="19" spans="1:40" ht="20.25">
      <c r="A19" t="str">
        <f t="shared" si="1"/>
        <v>Véhicules neufsRachat bail</v>
      </c>
      <c r="B19" s="11" t="str">
        <f t="shared" si="0"/>
        <v>Véhicules neufs</v>
      </c>
      <c r="C19" s="45" t="s">
        <v>23</v>
      </c>
      <c r="D19" s="30"/>
      <c r="E19" s="30"/>
      <c r="F19" s="30">
        <f>+SUM(START:END!F19)</f>
        <v>6977.6472233444629</v>
      </c>
      <c r="G19" s="31"/>
      <c r="H19" s="30"/>
      <c r="I19" s="30">
        <f>+SUM(START:END!I19)</f>
        <v>0</v>
      </c>
      <c r="J19" s="46"/>
      <c r="K19" s="30"/>
      <c r="L19" s="33">
        <f>+SUM(START:END!L19)</f>
        <v>13539.400000000001</v>
      </c>
      <c r="M19" s="31"/>
      <c r="N19" s="33">
        <f>L19-F19</f>
        <v>6561.7527766555386</v>
      </c>
      <c r="O19" s="46"/>
      <c r="P19" s="30"/>
      <c r="Q19" s="33">
        <f>+SUM(START:END!Q19)</f>
        <v>17472</v>
      </c>
      <c r="R19" s="31">
        <f>O19-K19</f>
        <v>0</v>
      </c>
      <c r="S19" s="34">
        <f>L19-Q19</f>
        <v>-3932.5999999999985</v>
      </c>
      <c r="T19" s="13"/>
      <c r="U19" s="13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</row>
    <row r="20" spans="1:40" ht="20.25">
      <c r="A20" t="str">
        <f t="shared" si="1"/>
        <v>Véhicules neufs</v>
      </c>
      <c r="B20" s="11" t="str">
        <f t="shared" si="0"/>
        <v>Véhicules neufs</v>
      </c>
      <c r="C20" s="35"/>
      <c r="D20" s="54"/>
      <c r="E20" s="54"/>
      <c r="F20" s="55"/>
      <c r="G20" s="56"/>
      <c r="H20" s="54"/>
      <c r="I20" s="55"/>
      <c r="J20" s="31"/>
      <c r="K20" s="54"/>
      <c r="L20" s="55"/>
      <c r="M20" s="56"/>
      <c r="N20" s="55"/>
      <c r="O20" s="31"/>
      <c r="P20" s="54"/>
      <c r="Q20" s="55"/>
      <c r="R20" s="56"/>
      <c r="S20" s="57"/>
      <c r="T20" s="13"/>
      <c r="U20" s="13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</row>
    <row r="21" spans="1:40" ht="20.25">
      <c r="A21" t="str">
        <f t="shared" si="1"/>
        <v>Véhicules neufsRev. Finances</v>
      </c>
      <c r="B21" s="11" t="str">
        <f t="shared" si="0"/>
        <v>Véhicules neufs</v>
      </c>
      <c r="C21" s="29" t="s">
        <v>24</v>
      </c>
      <c r="D21" s="30">
        <v>0</v>
      </c>
      <c r="E21" s="30">
        <f t="shared" ref="E21:E23" si="15">IF(D21=0,0,F21/D21)</f>
        <v>0</v>
      </c>
      <c r="F21" s="30">
        <f>+SUM(START:END!F21)</f>
        <v>5610</v>
      </c>
      <c r="G21" s="41">
        <v>0</v>
      </c>
      <c r="H21" s="30">
        <f t="shared" ref="H21:H23" si="16">IF(G21=0,0,I21/G21)</f>
        <v>0</v>
      </c>
      <c r="I21" s="30">
        <f>+SUM(START:END!I21)</f>
        <v>0</v>
      </c>
      <c r="J21" s="31"/>
      <c r="K21" s="30">
        <f>IF(J13=0,0,L21/(J13+J15))</f>
        <v>2.6315789473684212</v>
      </c>
      <c r="L21" s="33">
        <f>+SUM(START:END!L21)</f>
        <v>150</v>
      </c>
      <c r="M21" s="31"/>
      <c r="N21" s="33">
        <f>L21-F21</f>
        <v>-5460</v>
      </c>
      <c r="O21" s="31"/>
      <c r="P21" s="30">
        <f>IF(O13=0,0,Q21/(O13+O15))</f>
        <v>71.75968253968253</v>
      </c>
      <c r="Q21" s="33">
        <f>+SUM(START:END!Q21)</f>
        <v>4520.8599999999997</v>
      </c>
      <c r="R21" s="31">
        <f>O21-K21</f>
        <v>-2.6315789473684212</v>
      </c>
      <c r="S21" s="34">
        <f>L21-Q21</f>
        <v>-4370.8599999999997</v>
      </c>
      <c r="T21" s="13"/>
      <c r="U21" s="13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1"/>
      <c r="AL21" s="11"/>
      <c r="AM21" s="11"/>
      <c r="AN21" s="11"/>
    </row>
    <row r="22" spans="1:40" ht="20.25">
      <c r="A22" t="str">
        <f t="shared" si="1"/>
        <v>Véhicules neufsRev. Protections</v>
      </c>
      <c r="B22" s="11" t="str">
        <f t="shared" si="0"/>
        <v>Véhicules neufs</v>
      </c>
      <c r="C22" s="29" t="s">
        <v>25</v>
      </c>
      <c r="D22" s="30">
        <v>0</v>
      </c>
      <c r="E22" s="30">
        <f t="shared" si="15"/>
        <v>0</v>
      </c>
      <c r="F22" s="30">
        <f>+SUM(START:END!F22)</f>
        <v>67320</v>
      </c>
      <c r="G22" s="41">
        <v>0</v>
      </c>
      <c r="H22" s="30">
        <f t="shared" si="16"/>
        <v>0</v>
      </c>
      <c r="I22" s="30">
        <f>+SUM(START:END!I22)</f>
        <v>0</v>
      </c>
      <c r="J22" s="31"/>
      <c r="K22" s="30">
        <f>IF(J13=0,0,L22/(J13+J15))</f>
        <v>1076.4000000000001</v>
      </c>
      <c r="L22" s="33">
        <f>+SUM(START:END!L22)</f>
        <v>61354.8</v>
      </c>
      <c r="M22" s="31"/>
      <c r="N22" s="33">
        <f>L22-F22</f>
        <v>-5965.1999999999971</v>
      </c>
      <c r="O22" s="31"/>
      <c r="P22" s="30">
        <f>IF(O13=0,0,Q22/(O13+O15))</f>
        <v>819.73015873015709</v>
      </c>
      <c r="Q22" s="33">
        <f>+SUM(START:END!Q22)</f>
        <v>51642.999999999898</v>
      </c>
      <c r="R22" s="31">
        <f>O22-K22</f>
        <v>-1076.4000000000001</v>
      </c>
      <c r="S22" s="34">
        <f>L22-Q22</f>
        <v>9711.8000000001048</v>
      </c>
      <c r="T22" s="13"/>
      <c r="U22" s="13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  <c r="AI22" s="11"/>
      <c r="AJ22" s="11"/>
      <c r="AK22" s="11"/>
      <c r="AL22" s="11"/>
      <c r="AM22" s="11"/>
      <c r="AN22" s="11"/>
    </row>
    <row r="23" spans="1:40" ht="20.25">
      <c r="A23" t="str">
        <f t="shared" si="1"/>
        <v>Véhicules neufsRev. Autres</v>
      </c>
      <c r="B23" s="11" t="str">
        <f t="shared" si="0"/>
        <v>Véhicules neufs</v>
      </c>
      <c r="C23" s="29" t="s">
        <v>26</v>
      </c>
      <c r="D23" s="30">
        <v>0</v>
      </c>
      <c r="E23" s="30">
        <f t="shared" si="15"/>
        <v>0</v>
      </c>
      <c r="F23" s="30">
        <f>+SUM(START:END!F23)</f>
        <v>32670</v>
      </c>
      <c r="G23" s="41">
        <v>0</v>
      </c>
      <c r="H23" s="30">
        <f t="shared" si="16"/>
        <v>0</v>
      </c>
      <c r="I23" s="30">
        <f>+SUM(START:END!I23)</f>
        <v>0</v>
      </c>
      <c r="J23" s="31"/>
      <c r="K23" s="30">
        <f>IF(J13=0,0,L23/(J13+J15))</f>
        <v>499.19105263157894</v>
      </c>
      <c r="L23" s="33">
        <f>+SUM(START:END!L23)</f>
        <v>28453.89</v>
      </c>
      <c r="M23" s="51"/>
      <c r="N23" s="33">
        <f>L23-F23</f>
        <v>-4216.1100000000006</v>
      </c>
      <c r="O23" s="31"/>
      <c r="P23" s="30">
        <f>IF(O13=0,0,Q23/(O13+O15))</f>
        <v>490.41952380952381</v>
      </c>
      <c r="Q23" s="33">
        <f>+SUM(START:END!Q23)</f>
        <v>30896.43</v>
      </c>
      <c r="R23" s="31">
        <f>O23-K23</f>
        <v>-499.19105263157894</v>
      </c>
      <c r="S23" s="34">
        <f>L23-Q23</f>
        <v>-2442.5400000000009</v>
      </c>
      <c r="T23" s="13"/>
      <c r="U23" s="13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11"/>
      <c r="AL23" s="11"/>
      <c r="AM23" s="11"/>
      <c r="AN23" s="11"/>
    </row>
    <row r="24" spans="1:40" ht="20.25">
      <c r="A24" t="str">
        <f t="shared" si="1"/>
        <v>Véhicules neufsTotal F&amp;I</v>
      </c>
      <c r="B24" s="11" t="str">
        <f t="shared" si="0"/>
        <v>Véhicules neufs</v>
      </c>
      <c r="C24" s="35" t="s">
        <v>27</v>
      </c>
      <c r="D24" s="36">
        <f>+D15+D13</f>
        <v>66</v>
      </c>
      <c r="E24" s="36">
        <f>IF(D24&lt;=0,0,F24/D24)</f>
        <v>1600</v>
      </c>
      <c r="F24" s="37">
        <f>F21+F22+F23</f>
        <v>105600</v>
      </c>
      <c r="G24" s="38">
        <f>+G15+G13</f>
        <v>0</v>
      </c>
      <c r="H24" s="36">
        <f>IF(G24&lt;=0,0,I24/G24)</f>
        <v>0</v>
      </c>
      <c r="I24" s="37">
        <f>I21+I22+I23</f>
        <v>0</v>
      </c>
      <c r="J24" s="38">
        <f>+J15+J13</f>
        <v>57</v>
      </c>
      <c r="K24" s="36">
        <f>IF(J24&lt;=0,0,L24/J24)</f>
        <v>1578.2226315789474</v>
      </c>
      <c r="L24" s="37">
        <f>L21+L22+L23</f>
        <v>89958.69</v>
      </c>
      <c r="M24" s="58">
        <f>J24-D24</f>
        <v>-9</v>
      </c>
      <c r="N24" s="37">
        <f>L24-F24</f>
        <v>-15641.309999999998</v>
      </c>
      <c r="O24" s="38">
        <f>+O15+O13</f>
        <v>63</v>
      </c>
      <c r="P24" s="36">
        <f>IF(O24&lt;=0,0,Q24/O24)</f>
        <v>1381.9093650793634</v>
      </c>
      <c r="Q24" s="37">
        <f>Q21+Q22+Q23</f>
        <v>87060.289999999892</v>
      </c>
      <c r="R24" s="56"/>
      <c r="S24" s="39">
        <f>L24-Q24</f>
        <v>2898.4000000001106</v>
      </c>
      <c r="T24" s="13"/>
      <c r="U24" s="13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11"/>
      <c r="AL24" s="11"/>
      <c r="AM24" s="11"/>
      <c r="AN24" s="11"/>
    </row>
    <row r="25" spans="1:40" ht="20.25">
      <c r="A25" t="str">
        <f t="shared" si="1"/>
        <v>Véhicules neufs</v>
      </c>
      <c r="B25" s="11" t="str">
        <f t="shared" si="0"/>
        <v>Véhicules neufs</v>
      </c>
      <c r="C25" s="29"/>
      <c r="D25" s="13"/>
      <c r="E25" s="13"/>
      <c r="F25" s="59"/>
      <c r="G25" s="41"/>
      <c r="H25" s="13"/>
      <c r="I25" s="59"/>
      <c r="J25" s="41"/>
      <c r="K25" s="13"/>
      <c r="L25" s="59"/>
      <c r="M25" s="42"/>
      <c r="N25" s="43">
        <f>IF(N24=0,0,N24/F24)</f>
        <v>-0.14811846590909089</v>
      </c>
      <c r="O25" s="41"/>
      <c r="P25" s="13"/>
      <c r="Q25" s="59"/>
      <c r="R25" s="60"/>
      <c r="S25" s="44">
        <f>IF(Q24=0,0,(S24/Q24))</f>
        <v>3.32918716443526E-2</v>
      </c>
      <c r="T25" s="13"/>
      <c r="U25" s="13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11"/>
      <c r="AL25" s="11"/>
      <c r="AM25" s="11"/>
      <c r="AN25" s="11"/>
    </row>
    <row r="26" spans="1:40" ht="21" thickBot="1">
      <c r="A26" t="str">
        <f t="shared" si="1"/>
        <v>Véhicules neufs</v>
      </c>
      <c r="B26" s="11" t="str">
        <f t="shared" si="0"/>
        <v>Véhicules neufs</v>
      </c>
      <c r="C26" s="29"/>
      <c r="D26" s="13"/>
      <c r="E26" s="13"/>
      <c r="F26" s="40"/>
      <c r="G26" s="41"/>
      <c r="H26" s="13"/>
      <c r="I26" s="40"/>
      <c r="J26" s="41"/>
      <c r="K26" s="13"/>
      <c r="L26" s="40"/>
      <c r="M26" s="41"/>
      <c r="N26" s="40"/>
      <c r="O26" s="41"/>
      <c r="P26" s="13"/>
      <c r="Q26" s="40"/>
      <c r="R26" s="41"/>
      <c r="S26" s="61"/>
      <c r="T26" s="13"/>
      <c r="U26" s="13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11"/>
      <c r="AL26" s="11"/>
      <c r="AM26" s="11"/>
      <c r="AN26" s="11"/>
    </row>
    <row r="27" spans="1:40" ht="21" thickTop="1">
      <c r="A27" t="str">
        <f t="shared" si="1"/>
        <v>Véhicules neufsTotal Dépt. Neufs</v>
      </c>
      <c r="B27" s="11" t="str">
        <f t="shared" si="0"/>
        <v>Véhicules neufs</v>
      </c>
      <c r="C27" s="62" t="s">
        <v>28</v>
      </c>
      <c r="D27" s="63">
        <f>+D13+D15+D17</f>
        <v>67</v>
      </c>
      <c r="E27" s="64">
        <f>IF(D27&lt;=0,0,F27/D27)</f>
        <v>6685.826793416687</v>
      </c>
      <c r="F27" s="65">
        <f>F13+F17+F24+F19+F15</f>
        <v>447950.39515891805</v>
      </c>
      <c r="G27" s="66">
        <f>+G13+G15+G17</f>
        <v>0</v>
      </c>
      <c r="H27" s="67">
        <f>IF(G27&lt;=0,0,I27/G27)</f>
        <v>0</v>
      </c>
      <c r="I27" s="65">
        <f>I13+I17+I24+I19+I15</f>
        <v>0</v>
      </c>
      <c r="J27" s="66">
        <f>+J13+J15+J17</f>
        <v>58</v>
      </c>
      <c r="K27" s="67">
        <f>IF(J27&lt;=0,0,L27/J27)</f>
        <v>5894.6963793103423</v>
      </c>
      <c r="L27" s="65">
        <f>L13+L17+L24+L19+L15</f>
        <v>341892.38999999984</v>
      </c>
      <c r="M27" s="66">
        <f>J27-D27</f>
        <v>-9</v>
      </c>
      <c r="N27" s="65">
        <f>L27-F27</f>
        <v>-106058.00515891821</v>
      </c>
      <c r="O27" s="66">
        <f>+O13+O15+O17</f>
        <v>63</v>
      </c>
      <c r="P27" s="67">
        <f>IF(O27&lt;=0,0,Q27/O27)</f>
        <v>7748.3746031745968</v>
      </c>
      <c r="Q27" s="65">
        <f>Q13+Q17+Q24+Q19+Q15</f>
        <v>488147.59999999963</v>
      </c>
      <c r="R27" s="66">
        <f>J27-O27</f>
        <v>-5</v>
      </c>
      <c r="S27" s="68">
        <f>L27-Q27</f>
        <v>-146255.20999999979</v>
      </c>
      <c r="T27" s="13"/>
      <c r="U27" s="13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11"/>
      <c r="AL27" s="11"/>
      <c r="AM27" s="11"/>
      <c r="AN27" s="11"/>
    </row>
    <row r="28" spans="1:40" ht="21" thickBot="1">
      <c r="A28" t="str">
        <f t="shared" si="1"/>
        <v>Véhicules neufs</v>
      </c>
      <c r="B28" s="11" t="str">
        <f t="shared" si="0"/>
        <v>Véhicules neufs</v>
      </c>
      <c r="C28" s="69"/>
      <c r="D28" s="70"/>
      <c r="E28" s="70"/>
      <c r="F28" s="71"/>
      <c r="G28" s="72"/>
      <c r="H28" s="70"/>
      <c r="I28" s="71"/>
      <c r="J28" s="72"/>
      <c r="K28" s="70"/>
      <c r="L28" s="71"/>
      <c r="M28" s="73">
        <f>M27/D27</f>
        <v>-0.13432835820895522</v>
      </c>
      <c r="N28" s="74">
        <f>N27/F27</f>
        <v>-0.23676283424483269</v>
      </c>
      <c r="O28" s="72"/>
      <c r="P28" s="70"/>
      <c r="Q28" s="71"/>
      <c r="R28" s="73">
        <f>R27/O27</f>
        <v>-7.9365079365079361E-2</v>
      </c>
      <c r="S28" s="75">
        <f>IF(Q27=0,0,S27/Q27)</f>
        <v>-0.29961267862425195</v>
      </c>
      <c r="T28" s="13"/>
      <c r="U28" s="13"/>
      <c r="V28" s="11"/>
      <c r="W28" s="11"/>
      <c r="X28" s="11"/>
      <c r="Y28" s="11"/>
      <c r="Z28" s="11"/>
      <c r="AA28" s="11"/>
      <c r="AB28" s="11"/>
      <c r="AC28" s="11"/>
      <c r="AD28" s="11"/>
      <c r="AE28" s="11"/>
      <c r="AF28" s="11"/>
      <c r="AG28" s="11"/>
      <c r="AH28" s="11"/>
      <c r="AI28" s="11"/>
      <c r="AJ28" s="11"/>
      <c r="AK28" s="11"/>
      <c r="AL28" s="11"/>
      <c r="AM28" s="11"/>
      <c r="AN28" s="11"/>
    </row>
    <row r="29" spans="1:40" ht="21" thickTop="1">
      <c r="A29" t="str">
        <f t="shared" si="1"/>
        <v>Véhicules neufs</v>
      </c>
      <c r="B29" s="11" t="str">
        <f t="shared" si="0"/>
        <v>Véhicules neufs</v>
      </c>
      <c r="C29" s="53"/>
      <c r="D29" s="76"/>
      <c r="E29" s="76"/>
      <c r="F29" s="77"/>
      <c r="G29" s="78"/>
      <c r="H29" s="76"/>
      <c r="I29" s="77"/>
      <c r="J29" s="78"/>
      <c r="K29" s="76"/>
      <c r="L29" s="77"/>
      <c r="M29" s="42"/>
      <c r="N29" s="43"/>
      <c r="O29" s="78"/>
      <c r="P29" s="76"/>
      <c r="Q29" s="77"/>
      <c r="R29" s="42"/>
      <c r="S29" s="44"/>
      <c r="T29" s="13"/>
      <c r="U29" s="13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  <c r="AI29" s="11"/>
      <c r="AJ29" s="11"/>
      <c r="AK29" s="11"/>
      <c r="AL29" s="11"/>
      <c r="AM29" s="11"/>
      <c r="AN29" s="11"/>
    </row>
    <row r="30" spans="1:40" ht="20.25">
      <c r="A30" t="str">
        <f t="shared" si="1"/>
        <v>Véhicules neufsDEPENSES</v>
      </c>
      <c r="B30" s="11" t="str">
        <f t="shared" si="0"/>
        <v>Véhicules neufs</v>
      </c>
      <c r="C30" s="79" t="s">
        <v>29</v>
      </c>
      <c r="D30" s="13"/>
      <c r="E30" s="80"/>
      <c r="F30" s="59"/>
      <c r="G30" s="41"/>
      <c r="H30" s="80"/>
      <c r="I30" s="59"/>
      <c r="J30" s="41"/>
      <c r="K30" s="80"/>
      <c r="L30" s="40"/>
      <c r="M30" s="41"/>
      <c r="N30" s="40"/>
      <c r="O30" s="41"/>
      <c r="P30" s="80"/>
      <c r="Q30" s="40"/>
      <c r="R30" s="41"/>
      <c r="S30" s="61"/>
      <c r="T30" s="13"/>
      <c r="U30" s="13"/>
      <c r="V30" s="11"/>
      <c r="W30" s="11"/>
      <c r="X30" s="11"/>
      <c r="Y30" s="11"/>
      <c r="Z30" s="11"/>
      <c r="AA30" s="11"/>
      <c r="AB30" s="11"/>
      <c r="AC30" s="11"/>
      <c r="AD30" s="11"/>
      <c r="AE30" s="11"/>
      <c r="AF30" s="11"/>
      <c r="AG30" s="11"/>
      <c r="AH30" s="11"/>
      <c r="AI30" s="11"/>
      <c r="AJ30" s="11"/>
      <c r="AK30" s="11"/>
      <c r="AL30" s="11"/>
      <c r="AM30" s="11"/>
      <c r="AN30" s="11"/>
    </row>
    <row r="31" spans="1:40" ht="20.25">
      <c r="A31" t="str">
        <f t="shared" si="1"/>
        <v>Véhicules neufsComm. vendeurs</v>
      </c>
      <c r="B31" s="11" t="str">
        <f t="shared" si="0"/>
        <v>Véhicules neufs</v>
      </c>
      <c r="C31" s="29" t="s">
        <v>30</v>
      </c>
      <c r="D31" s="148">
        <f>F31/(F13+F15)</f>
        <v>0.29277202982306438</v>
      </c>
      <c r="E31" s="82">
        <f t="shared" ref="E31:E40" si="17">F31/D$24</f>
        <v>1476.6034861496839</v>
      </c>
      <c r="F31" s="30">
        <f>+SUM(START:END!F31)</f>
        <v>97455.830085879134</v>
      </c>
      <c r="G31" s="157"/>
      <c r="H31" s="82" t="e">
        <f t="shared" ref="H31:H40" si="18">I31/G$24</f>
        <v>#DIV/0!</v>
      </c>
      <c r="I31" s="30">
        <f>+SUM(START:END!I31)</f>
        <v>0</v>
      </c>
      <c r="J31" s="157">
        <f>L31/(L13+L15)</f>
        <v>0.29710722342217549</v>
      </c>
      <c r="K31" s="82">
        <f t="shared" ref="K31:K40" si="19">IF(L31=0,0,L31/J$24)</f>
        <v>1175.0336842105262</v>
      </c>
      <c r="L31" s="30">
        <f>+SUM(START:END!L31)</f>
        <v>66976.92</v>
      </c>
      <c r="M31" s="41"/>
      <c r="N31" s="59">
        <f t="shared" ref="N31:N53" si="20">L31-F31</f>
        <v>-30478.910085879135</v>
      </c>
      <c r="O31" s="157">
        <f>Q31/(Q13+Q15+Q17)</f>
        <v>0.25991856268718805</v>
      </c>
      <c r="P31" s="82">
        <f t="shared" ref="P31:P40" si="21">IF(Q31=0,0,Q31/O$24)</f>
        <v>1582.6784126984128</v>
      </c>
      <c r="Q31" s="33">
        <f>+SUM(START:END!Q31)</f>
        <v>99708.74</v>
      </c>
      <c r="R31" s="41"/>
      <c r="S31" s="85">
        <f t="shared" ref="S31:S53" si="22">L31-Q31</f>
        <v>-32731.820000000007</v>
      </c>
      <c r="T31" s="13"/>
      <c r="U31" s="13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11"/>
      <c r="AI31" s="11"/>
      <c r="AJ31" s="11"/>
      <c r="AK31" s="11"/>
      <c r="AL31" s="11"/>
      <c r="AM31" s="11"/>
      <c r="AN31" s="11"/>
    </row>
    <row r="32" spans="1:40" ht="20.25">
      <c r="A32" t="str">
        <f t="shared" si="1"/>
        <v>Véhicules neufsComm. F&amp;I</v>
      </c>
      <c r="B32" s="11" t="str">
        <f t="shared" si="0"/>
        <v>Véhicules neufs</v>
      </c>
      <c r="C32" s="86" t="s">
        <v>31</v>
      </c>
      <c r="D32" s="218">
        <f>F32/F24</f>
        <v>0.25</v>
      </c>
      <c r="E32" s="88">
        <f t="shared" si="17"/>
        <v>400</v>
      </c>
      <c r="F32" s="22">
        <f>+SUM(START:END!F32)</f>
        <v>26400</v>
      </c>
      <c r="G32" s="162"/>
      <c r="H32" s="90" t="e">
        <f t="shared" si="18"/>
        <v>#DIV/0!</v>
      </c>
      <c r="I32" s="22">
        <f>+SUM(START:END!I32)</f>
        <v>0</v>
      </c>
      <c r="J32" s="162">
        <f>L32/L24</f>
        <v>0.36050158133694477</v>
      </c>
      <c r="K32" s="88">
        <f t="shared" si="19"/>
        <v>568.95175438596493</v>
      </c>
      <c r="L32" s="22">
        <f>+SUM(START:END!L32)</f>
        <v>32430.25</v>
      </c>
      <c r="M32" s="23"/>
      <c r="N32" s="91">
        <f t="shared" si="20"/>
        <v>6030.25</v>
      </c>
      <c r="O32" s="162">
        <f>Q32/Q24</f>
        <v>0.25028724347231129</v>
      </c>
      <c r="P32" s="88">
        <f t="shared" si="21"/>
        <v>345.87428571428575</v>
      </c>
      <c r="Q32" s="22">
        <f>+SUM(START:END!Q32)</f>
        <v>21790.080000000002</v>
      </c>
      <c r="R32" s="23"/>
      <c r="S32" s="92">
        <f t="shared" si="22"/>
        <v>10640.169999999998</v>
      </c>
      <c r="T32" s="13"/>
      <c r="U32" s="13"/>
      <c r="V32" s="11"/>
      <c r="W32" s="11"/>
      <c r="X32" s="11"/>
      <c r="Y32" s="11"/>
      <c r="Z32" s="11"/>
      <c r="AA32" s="11"/>
      <c r="AB32" s="11"/>
      <c r="AC32" s="11"/>
      <c r="AD32" s="11"/>
      <c r="AE32" s="11"/>
      <c r="AF32" s="11"/>
      <c r="AG32" s="11"/>
      <c r="AH32" s="11"/>
      <c r="AI32" s="11"/>
      <c r="AJ32" s="11"/>
      <c r="AK32" s="11"/>
      <c r="AL32" s="11"/>
      <c r="AM32" s="11"/>
      <c r="AN32" s="11"/>
    </row>
    <row r="33" spans="1:40" ht="20.25">
      <c r="A33" t="str">
        <f t="shared" si="1"/>
        <v>Véhicules neufsFrais de livraison</v>
      </c>
      <c r="B33" s="11" t="str">
        <f t="shared" si="0"/>
        <v>Véhicules neufs</v>
      </c>
      <c r="C33" s="29" t="s">
        <v>32</v>
      </c>
      <c r="D33" s="81"/>
      <c r="E33" s="82">
        <f t="shared" si="17"/>
        <v>100</v>
      </c>
      <c r="F33" s="30">
        <f>+SUM(START:END!F33)</f>
        <v>6600</v>
      </c>
      <c r="G33" s="83"/>
      <c r="H33" s="82" t="e">
        <f t="shared" si="18"/>
        <v>#DIV/0!</v>
      </c>
      <c r="I33" s="30">
        <f>+SUM(START:END!I33)</f>
        <v>0</v>
      </c>
      <c r="J33" s="41"/>
      <c r="K33" s="82">
        <f t="shared" si="19"/>
        <v>196.59280701754386</v>
      </c>
      <c r="L33" s="30">
        <f>+SUM(START:END!L33)</f>
        <v>11205.79</v>
      </c>
      <c r="M33" s="41"/>
      <c r="N33" s="59">
        <f t="shared" si="20"/>
        <v>4605.7900000000009</v>
      </c>
      <c r="O33" s="41"/>
      <c r="P33" s="82">
        <f t="shared" si="21"/>
        <v>129.00095238095238</v>
      </c>
      <c r="Q33" s="33">
        <f>+SUM(START:END!Q33)</f>
        <v>8127.06</v>
      </c>
      <c r="R33" s="41"/>
      <c r="S33" s="85">
        <f t="shared" si="22"/>
        <v>3078.7300000000005</v>
      </c>
      <c r="T33" s="13"/>
      <c r="U33" s="13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11"/>
      <c r="AI33" s="11"/>
      <c r="AJ33" s="11"/>
      <c r="AK33" s="11"/>
      <c r="AL33" s="11"/>
      <c r="AM33" s="11"/>
      <c r="AN33" s="11"/>
    </row>
    <row r="34" spans="1:40" ht="20.25">
      <c r="A34" t="str">
        <f t="shared" si="1"/>
        <v>Véhicules neufsService gratuit 1</v>
      </c>
      <c r="B34" s="11" t="str">
        <f t="shared" si="0"/>
        <v>Véhicules neufs</v>
      </c>
      <c r="C34" s="29" t="s">
        <v>33</v>
      </c>
      <c r="D34" s="81"/>
      <c r="E34" s="82">
        <f t="shared" si="17"/>
        <v>45</v>
      </c>
      <c r="F34" s="30">
        <f>+SUM(START:END!F34)</f>
        <v>2970</v>
      </c>
      <c r="G34" s="83"/>
      <c r="H34" s="82" t="e">
        <f t="shared" si="18"/>
        <v>#DIV/0!</v>
      </c>
      <c r="I34" s="30">
        <f>+SUM(START:END!I34)</f>
        <v>0</v>
      </c>
      <c r="J34" s="41"/>
      <c r="K34" s="82">
        <f t="shared" si="19"/>
        <v>48.875263157894736</v>
      </c>
      <c r="L34" s="30">
        <f>+SUM(START:END!L34)</f>
        <v>2785.89</v>
      </c>
      <c r="M34" s="41"/>
      <c r="N34" s="59">
        <f t="shared" si="20"/>
        <v>-184.11000000000013</v>
      </c>
      <c r="O34" s="41"/>
      <c r="P34" s="82">
        <f t="shared" si="21"/>
        <v>53.558095238095234</v>
      </c>
      <c r="Q34" s="33">
        <f>+SUM(START:END!Q34)</f>
        <v>3374.16</v>
      </c>
      <c r="R34" s="41"/>
      <c r="S34" s="85">
        <f t="shared" si="22"/>
        <v>-588.27</v>
      </c>
      <c r="T34" s="13"/>
      <c r="U34" s="13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1"/>
      <c r="AM34" s="11"/>
      <c r="AN34" s="11"/>
    </row>
    <row r="35" spans="1:40" ht="20.25">
      <c r="A35" t="str">
        <f t="shared" si="1"/>
        <v>Véhicules neufsEntretien stock</v>
      </c>
      <c r="B35" s="11" t="str">
        <f t="shared" si="0"/>
        <v>Véhicules neufs</v>
      </c>
      <c r="C35" s="86" t="s">
        <v>34</v>
      </c>
      <c r="D35" s="87"/>
      <c r="E35" s="88">
        <f t="shared" si="17"/>
        <v>46.81818181818182</v>
      </c>
      <c r="F35" s="22">
        <f>+SUM(START:END!F35)</f>
        <v>3090</v>
      </c>
      <c r="G35" s="89"/>
      <c r="H35" s="90" t="e">
        <f t="shared" si="18"/>
        <v>#DIV/0!</v>
      </c>
      <c r="I35" s="22">
        <f>+SUM(START:END!I35)</f>
        <v>0</v>
      </c>
      <c r="J35" s="23"/>
      <c r="K35" s="88">
        <f t="shared" si="19"/>
        <v>72.180877192982464</v>
      </c>
      <c r="L35" s="22">
        <f>+SUM(START:END!L35)</f>
        <v>4114.3100000000004</v>
      </c>
      <c r="M35" s="23"/>
      <c r="N35" s="91">
        <f t="shared" si="20"/>
        <v>1024.3100000000004</v>
      </c>
      <c r="O35" s="23"/>
      <c r="P35" s="88">
        <f t="shared" si="21"/>
        <v>41.205555555555556</v>
      </c>
      <c r="Q35" s="33">
        <f>+SUM(START:END!Q35)</f>
        <v>2595.9499999999998</v>
      </c>
      <c r="R35" s="23"/>
      <c r="S35" s="92">
        <f t="shared" si="22"/>
        <v>1518.3600000000006</v>
      </c>
      <c r="T35" s="13"/>
      <c r="U35" s="13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11"/>
    </row>
    <row r="36" spans="1:40" ht="20.25">
      <c r="A36" t="str">
        <f t="shared" si="1"/>
        <v>Véhicules neufsPublicité 1</v>
      </c>
      <c r="B36" s="11" t="str">
        <f t="shared" si="0"/>
        <v>Véhicules neufs</v>
      </c>
      <c r="C36" s="29" t="s">
        <v>35</v>
      </c>
      <c r="D36" s="81"/>
      <c r="E36" s="82">
        <f t="shared" si="17"/>
        <v>496.609375</v>
      </c>
      <c r="F36" s="30">
        <f>+SUM(START:END!F36)</f>
        <v>32776.21875</v>
      </c>
      <c r="G36" s="83"/>
      <c r="H36" s="82" t="e">
        <f t="shared" si="18"/>
        <v>#DIV/0!</v>
      </c>
      <c r="I36" s="30">
        <f>+SUM(START:END!I36)</f>
        <v>0</v>
      </c>
      <c r="J36" s="41"/>
      <c r="K36" s="82">
        <f t="shared" si="19"/>
        <v>755.88210526315788</v>
      </c>
      <c r="L36" s="459">
        <f>+SUM(START:END!L36)</f>
        <v>43085.279999999999</v>
      </c>
      <c r="M36" s="13"/>
      <c r="N36" s="59">
        <f t="shared" si="20"/>
        <v>10309.061249999999</v>
      </c>
      <c r="O36" s="41"/>
      <c r="P36" s="82">
        <f t="shared" si="21"/>
        <v>465.7650793650792</v>
      </c>
      <c r="Q36" s="55">
        <f>+SUM(START:END!Q36)</f>
        <v>29343.19999999999</v>
      </c>
      <c r="R36" s="41"/>
      <c r="S36" s="85">
        <f t="shared" si="22"/>
        <v>13742.080000000009</v>
      </c>
      <c r="T36" s="13"/>
      <c r="U36" s="13"/>
      <c r="V36" s="11"/>
      <c r="W36" s="11"/>
      <c r="X36" s="458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1"/>
    </row>
    <row r="37" spans="1:40" ht="20.25">
      <c r="A37" t="str">
        <f t="shared" si="1"/>
        <v>Véhicules neufsIntérêt de gros</v>
      </c>
      <c r="B37" s="11" t="str">
        <f t="shared" si="0"/>
        <v>Véhicules neufs</v>
      </c>
      <c r="C37" s="29" t="s">
        <v>36</v>
      </c>
      <c r="D37" s="81"/>
      <c r="E37" s="82">
        <f t="shared" si="17"/>
        <v>1240.3863668319391</v>
      </c>
      <c r="F37" s="30">
        <f>+SUM(START:END!F37)</f>
        <v>81865.50021090798</v>
      </c>
      <c r="G37" s="83"/>
      <c r="H37" s="82" t="e">
        <f t="shared" si="18"/>
        <v>#DIV/0!</v>
      </c>
      <c r="I37" s="30">
        <f>+SUM(START:END!I37)</f>
        <v>0</v>
      </c>
      <c r="J37" s="41"/>
      <c r="K37" s="82">
        <f t="shared" si="19"/>
        <v>1587.4475438596487</v>
      </c>
      <c r="L37" s="460">
        <f>+SUM(START:END!L37)</f>
        <v>90484.50999999998</v>
      </c>
      <c r="M37" s="13"/>
      <c r="N37" s="59">
        <f t="shared" si="20"/>
        <v>8619.0097890920006</v>
      </c>
      <c r="O37" s="41"/>
      <c r="P37" s="82">
        <f t="shared" si="21"/>
        <v>613.70190476190476</v>
      </c>
      <c r="Q37" s="33">
        <f>+SUM(START:END!Q37)</f>
        <v>38663.22</v>
      </c>
      <c r="R37" s="41"/>
      <c r="S37" s="85">
        <f>L37-Q37</f>
        <v>51821.289999999979</v>
      </c>
      <c r="T37" s="13"/>
      <c r="U37" s="13"/>
      <c r="V37" s="458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1"/>
    </row>
    <row r="38" spans="1:40" ht="20.25" hidden="1">
      <c r="A38" t="str">
        <f t="shared" si="1"/>
        <v>Véhicules neufs[...]</v>
      </c>
      <c r="B38" s="11" t="str">
        <f t="shared" si="0"/>
        <v>Véhicules neufs</v>
      </c>
      <c r="C38" s="29" t="s">
        <v>19</v>
      </c>
      <c r="D38" s="81"/>
      <c r="E38" s="82">
        <f t="shared" si="17"/>
        <v>0</v>
      </c>
      <c r="F38" s="30">
        <f>+SUM(START:END!F38)</f>
        <v>0</v>
      </c>
      <c r="G38" s="83"/>
      <c r="H38" s="82" t="e">
        <f t="shared" si="18"/>
        <v>#DIV/0!</v>
      </c>
      <c r="I38" s="30">
        <f>+SUM(START:END!I38)</f>
        <v>0</v>
      </c>
      <c r="J38" s="41"/>
      <c r="K38" s="82">
        <f t="shared" si="19"/>
        <v>0</v>
      </c>
      <c r="L38" s="460">
        <f>+SUM(START:END!L38)</f>
        <v>0</v>
      </c>
      <c r="M38" s="13"/>
      <c r="N38" s="59">
        <f t="shared" si="20"/>
        <v>0</v>
      </c>
      <c r="O38" s="41"/>
      <c r="P38" s="82">
        <f t="shared" si="21"/>
        <v>0</v>
      </c>
      <c r="Q38" s="33">
        <f>+SUM(START:END!Q38)</f>
        <v>0</v>
      </c>
      <c r="R38" s="41"/>
      <c r="S38" s="85">
        <f>L38-Q38</f>
        <v>0</v>
      </c>
      <c r="T38" s="13"/>
      <c r="U38" s="13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AL38" s="11"/>
      <c r="AM38" s="11"/>
      <c r="AN38" s="11"/>
    </row>
    <row r="39" spans="1:40" ht="20.25" hidden="1">
      <c r="A39" t="str">
        <f t="shared" si="1"/>
        <v>Véhicules neufs[...]</v>
      </c>
      <c r="B39" s="11" t="str">
        <f t="shared" si="0"/>
        <v>Véhicules neufs</v>
      </c>
      <c r="C39" s="29" t="s">
        <v>19</v>
      </c>
      <c r="D39" s="81"/>
      <c r="E39" s="82">
        <f t="shared" si="17"/>
        <v>0</v>
      </c>
      <c r="F39" s="30">
        <f>+SUM(START:END!F39)</f>
        <v>0</v>
      </c>
      <c r="G39" s="83"/>
      <c r="H39" s="82" t="e">
        <f t="shared" si="18"/>
        <v>#DIV/0!</v>
      </c>
      <c r="I39" s="30">
        <f>+SUM(START:END!I39)</f>
        <v>0</v>
      </c>
      <c r="J39" s="41"/>
      <c r="K39" s="82">
        <f t="shared" si="19"/>
        <v>0</v>
      </c>
      <c r="L39" s="460">
        <f>+SUM(START:END!L39)</f>
        <v>0</v>
      </c>
      <c r="M39" s="13"/>
      <c r="N39" s="59">
        <f t="shared" si="20"/>
        <v>0</v>
      </c>
      <c r="O39" s="41"/>
      <c r="P39" s="82">
        <f t="shared" si="21"/>
        <v>0</v>
      </c>
      <c r="Q39" s="33">
        <f>+SUM(START:END!Q39)</f>
        <v>0</v>
      </c>
      <c r="R39" s="41"/>
      <c r="S39" s="85">
        <f>L39-Q39</f>
        <v>0</v>
      </c>
      <c r="T39" s="13"/>
      <c r="U39" s="13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11"/>
    </row>
    <row r="40" spans="1:40" ht="20.25" hidden="1">
      <c r="A40" t="str">
        <f t="shared" si="1"/>
        <v>Véhicules neufs[...]</v>
      </c>
      <c r="B40" s="11" t="str">
        <f t="shared" si="0"/>
        <v>Véhicules neufs</v>
      </c>
      <c r="C40" s="29" t="s">
        <v>19</v>
      </c>
      <c r="D40" s="81"/>
      <c r="E40" s="82">
        <f t="shared" si="17"/>
        <v>0</v>
      </c>
      <c r="F40" s="30">
        <f>+SUM(START:END!F40)</f>
        <v>0</v>
      </c>
      <c r="G40" s="83"/>
      <c r="H40" s="82" t="e">
        <f t="shared" si="18"/>
        <v>#DIV/0!</v>
      </c>
      <c r="I40" s="30">
        <f>+SUM(START:END!I40)</f>
        <v>0</v>
      </c>
      <c r="J40" s="41"/>
      <c r="K40" s="82">
        <f t="shared" si="19"/>
        <v>0</v>
      </c>
      <c r="L40" s="461">
        <f>+SUM(START:END!L40)</f>
        <v>0</v>
      </c>
      <c r="M40" s="13"/>
      <c r="N40" s="59">
        <f t="shared" si="20"/>
        <v>0</v>
      </c>
      <c r="O40" s="41"/>
      <c r="P40" s="82">
        <f t="shared" si="21"/>
        <v>0</v>
      </c>
      <c r="Q40" s="33">
        <f>+SUM(START:END!Q40)</f>
        <v>0</v>
      </c>
      <c r="R40" s="41"/>
      <c r="S40" s="85">
        <f>L40-Q40</f>
        <v>0</v>
      </c>
      <c r="T40" s="13"/>
      <c r="U40" s="13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11"/>
      <c r="AJ40" s="11"/>
      <c r="AK40" s="11"/>
      <c r="AL40" s="11"/>
      <c r="AM40" s="11"/>
      <c r="AN40" s="11"/>
    </row>
    <row r="41" spans="1:40" ht="20.25">
      <c r="A41" t="str">
        <f t="shared" si="1"/>
        <v>Véhicules neufsTOTAL VARIABLES</v>
      </c>
      <c r="B41" s="11" t="str">
        <f t="shared" si="0"/>
        <v>Véhicules neufs</v>
      </c>
      <c r="C41" s="93" t="s">
        <v>37</v>
      </c>
      <c r="D41" s="94" t="s">
        <v>38</v>
      </c>
      <c r="E41" s="95">
        <f>F41/F$27</f>
        <v>0.56068161064504629</v>
      </c>
      <c r="F41" s="96">
        <f>SUM(F31:F40)</f>
        <v>251157.54904678711</v>
      </c>
      <c r="G41" s="97" t="s">
        <v>38</v>
      </c>
      <c r="H41" s="95" t="e">
        <f>I41/I$27</f>
        <v>#DIV/0!</v>
      </c>
      <c r="I41" s="96">
        <f>SUM(I31:I40)</f>
        <v>0</v>
      </c>
      <c r="J41" s="97" t="s">
        <v>38</v>
      </c>
      <c r="K41" s="95">
        <f>L41/L$27</f>
        <v>0.73439174823399866</v>
      </c>
      <c r="L41" s="96">
        <f>SUM(L31:L40)</f>
        <v>251082.94999999998</v>
      </c>
      <c r="M41" s="98"/>
      <c r="N41" s="96">
        <f t="shared" si="20"/>
        <v>-74.599046787130646</v>
      </c>
      <c r="O41" s="97" t="s">
        <v>38</v>
      </c>
      <c r="P41" s="95">
        <f>Q41/Q$27</f>
        <v>0.41709190007284713</v>
      </c>
      <c r="Q41" s="99">
        <f>SUM(Q31:Q40)</f>
        <v>203602.41</v>
      </c>
      <c r="R41" s="100"/>
      <c r="S41" s="101">
        <f t="shared" si="22"/>
        <v>47480.539999999979</v>
      </c>
      <c r="T41" s="13"/>
      <c r="U41" s="13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AL41" s="11"/>
      <c r="AM41" s="11"/>
      <c r="AN41" s="11"/>
    </row>
    <row r="42" spans="1:40" ht="20.25">
      <c r="A42" t="str">
        <f t="shared" si="1"/>
        <v>Véhicules neufsSalaires cadres</v>
      </c>
      <c r="B42" s="11" t="str">
        <f t="shared" si="0"/>
        <v>Véhicules neufs</v>
      </c>
      <c r="C42" s="102" t="s">
        <v>40</v>
      </c>
      <c r="D42" s="13"/>
      <c r="E42" s="13"/>
      <c r="F42" s="30">
        <f>+SUM(START:END!F42)</f>
        <v>37655.08664122138</v>
      </c>
      <c r="G42" s="41"/>
      <c r="H42" s="13"/>
      <c r="I42" s="30">
        <f>+SUM(START:END!I42)</f>
        <v>0</v>
      </c>
      <c r="J42" s="41"/>
      <c r="K42" s="13"/>
      <c r="L42" s="33">
        <f>+SUM(START:END!L42)</f>
        <v>36441.350000000006</v>
      </c>
      <c r="M42" s="41"/>
      <c r="N42" s="59">
        <f t="shared" si="20"/>
        <v>-1213.7366412213742</v>
      </c>
      <c r="O42" s="41"/>
      <c r="P42" s="13"/>
      <c r="Q42" s="33">
        <f>+SUM(START:END!Q42)</f>
        <v>47328.07</v>
      </c>
      <c r="R42" s="41"/>
      <c r="S42" s="85">
        <f t="shared" si="22"/>
        <v>-10886.719999999994</v>
      </c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3"/>
      <c r="AG42" s="13"/>
      <c r="AH42" s="13"/>
      <c r="AI42" s="13"/>
      <c r="AJ42" s="13"/>
      <c r="AK42" s="13"/>
      <c r="AL42" s="13"/>
      <c r="AM42" s="13"/>
      <c r="AN42" s="13"/>
    </row>
    <row r="43" spans="1:40" ht="20.25">
      <c r="A43" t="str">
        <f t="shared" si="1"/>
        <v>Véhicules neufsSalaires commis</v>
      </c>
      <c r="B43" s="11" t="str">
        <f t="shared" si="0"/>
        <v>Véhicules neufs</v>
      </c>
      <c r="C43" s="103" t="s">
        <v>41</v>
      </c>
      <c r="D43" s="81"/>
      <c r="E43" s="13"/>
      <c r="F43" s="22">
        <f>+SUM(START:END!F43)</f>
        <v>26177.051908396945</v>
      </c>
      <c r="G43" s="83"/>
      <c r="H43" s="13"/>
      <c r="I43" s="22">
        <f>+SUM(START:END!I43)</f>
        <v>0</v>
      </c>
      <c r="J43" s="41"/>
      <c r="K43" s="13"/>
      <c r="L43" s="33">
        <f>+SUM(START:END!L43)</f>
        <v>26246.670000000002</v>
      </c>
      <c r="M43" s="41"/>
      <c r="N43" s="59">
        <f t="shared" si="20"/>
        <v>69.61809160305711</v>
      </c>
      <c r="O43" s="41"/>
      <c r="P43" s="13"/>
      <c r="Q43" s="33">
        <f>+SUM(START:END!Q43)</f>
        <v>19454.07</v>
      </c>
      <c r="R43" s="41"/>
      <c r="S43" s="85">
        <f t="shared" si="22"/>
        <v>6792.6000000000022</v>
      </c>
      <c r="T43" s="13"/>
      <c r="U43" s="13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11"/>
      <c r="AJ43" s="11"/>
      <c r="AK43" s="11"/>
      <c r="AL43" s="11"/>
      <c r="AM43" s="11"/>
      <c r="AN43" s="11"/>
    </row>
    <row r="44" spans="1:40" ht="20.25">
      <c r="A44" t="str">
        <f t="shared" si="1"/>
        <v>Véhicules neufsSalaires autres</v>
      </c>
      <c r="B44" s="11" t="str">
        <f t="shared" si="0"/>
        <v>Véhicules neufs</v>
      </c>
      <c r="C44" s="102" t="s">
        <v>42</v>
      </c>
      <c r="D44" s="104"/>
      <c r="E44" s="105"/>
      <c r="F44" s="30">
        <f>+SUM(START:END!F44)</f>
        <v>1026</v>
      </c>
      <c r="G44" s="106"/>
      <c r="H44" s="105"/>
      <c r="I44" s="30">
        <f>+SUM(START:END!I44)</f>
        <v>0</v>
      </c>
      <c r="J44" s="107"/>
      <c r="K44" s="105"/>
      <c r="L44" s="108">
        <f>+SUM(START:END!L44)</f>
        <v>1026</v>
      </c>
      <c r="M44" s="107"/>
      <c r="N44" s="109">
        <f t="shared" si="20"/>
        <v>0</v>
      </c>
      <c r="O44" s="107"/>
      <c r="P44" s="105"/>
      <c r="Q44" s="108">
        <f>+SUM(START:END!Q44)</f>
        <v>1026</v>
      </c>
      <c r="R44" s="107"/>
      <c r="S44" s="110">
        <f t="shared" si="22"/>
        <v>0</v>
      </c>
      <c r="T44" s="13"/>
      <c r="U44" s="13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11"/>
      <c r="AJ44" s="11"/>
      <c r="AK44" s="11"/>
      <c r="AL44" s="11"/>
      <c r="AM44" s="11"/>
      <c r="AN44" s="11"/>
    </row>
    <row r="45" spans="1:40" ht="20.25">
      <c r="A45" t="str">
        <f t="shared" si="1"/>
        <v>Véhicules neufsSalaires spécialistes</v>
      </c>
      <c r="B45" s="11" t="str">
        <f t="shared" si="0"/>
        <v>Véhicules neufs</v>
      </c>
      <c r="C45" s="102" t="s">
        <v>43</v>
      </c>
      <c r="D45" s="81"/>
      <c r="E45" s="13"/>
      <c r="F45" s="30">
        <f>+SUM(START:END!F45)</f>
        <v>0</v>
      </c>
      <c r="G45" s="83"/>
      <c r="H45" s="13"/>
      <c r="I45" s="30">
        <f>+SUM(START:END!I45)</f>
        <v>0</v>
      </c>
      <c r="J45" s="41"/>
      <c r="K45" s="13"/>
      <c r="L45" s="33">
        <f>+SUM(START:END!L45)</f>
        <v>0</v>
      </c>
      <c r="M45" s="41"/>
      <c r="N45" s="59">
        <f t="shared" si="20"/>
        <v>0</v>
      </c>
      <c r="O45" s="41"/>
      <c r="P45" s="13"/>
      <c r="Q45" s="33">
        <f>+SUM(START:END!Q45)</f>
        <v>0</v>
      </c>
      <c r="R45" s="41"/>
      <c r="S45" s="85">
        <f t="shared" si="22"/>
        <v>0</v>
      </c>
      <c r="T45" s="13"/>
      <c r="U45" s="13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11"/>
      <c r="AJ45" s="11"/>
      <c r="AK45" s="11"/>
      <c r="AL45" s="11"/>
      <c r="AM45" s="11"/>
      <c r="AN45" s="11"/>
    </row>
    <row r="46" spans="1:40" ht="20.25" hidden="1">
      <c r="A46" t="str">
        <f t="shared" si="1"/>
        <v>Véhicules neufs[...]</v>
      </c>
      <c r="B46" s="11" t="str">
        <f t="shared" si="0"/>
        <v>Véhicules neufs</v>
      </c>
      <c r="C46" s="102" t="s">
        <v>19</v>
      </c>
      <c r="D46" s="81"/>
      <c r="E46" s="13"/>
      <c r="F46" s="30">
        <f>+SUM(START:END!F46)</f>
        <v>0</v>
      </c>
      <c r="G46" s="83"/>
      <c r="H46" s="13"/>
      <c r="I46" s="30">
        <f>+SUM(START:END!I46)</f>
        <v>0</v>
      </c>
      <c r="J46" s="41"/>
      <c r="K46" s="13"/>
      <c r="L46" s="33">
        <f>+SUM(START:END!L46)</f>
        <v>0</v>
      </c>
      <c r="M46" s="41"/>
      <c r="N46" s="59">
        <f t="shared" si="20"/>
        <v>0</v>
      </c>
      <c r="O46" s="41"/>
      <c r="P46" s="13"/>
      <c r="Q46" s="33">
        <f>+SUM(START:END!Q46)</f>
        <v>0</v>
      </c>
      <c r="R46" s="41"/>
      <c r="S46" s="85">
        <f>L46-Q46</f>
        <v>0</v>
      </c>
      <c r="T46" s="13"/>
      <c r="U46" s="13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11"/>
      <c r="AJ46" s="11"/>
      <c r="AK46" s="11"/>
      <c r="AL46" s="11"/>
      <c r="AM46" s="11"/>
      <c r="AN46" s="11"/>
    </row>
    <row r="47" spans="1:40" ht="20.25" hidden="1">
      <c r="A47" t="str">
        <f t="shared" si="1"/>
        <v>Véhicules neufs[...]</v>
      </c>
      <c r="B47" s="11" t="str">
        <f t="shared" si="0"/>
        <v>Véhicules neufs</v>
      </c>
      <c r="C47" s="102" t="s">
        <v>19</v>
      </c>
      <c r="D47" s="81"/>
      <c r="E47" s="13"/>
      <c r="F47" s="30">
        <f>+SUM(START:END!F47)</f>
        <v>0</v>
      </c>
      <c r="G47" s="83"/>
      <c r="H47" s="13"/>
      <c r="I47" s="30">
        <f>+SUM(START:END!I47)</f>
        <v>0</v>
      </c>
      <c r="J47" s="41"/>
      <c r="K47" s="13"/>
      <c r="L47" s="33">
        <f>+SUM(START:END!L47)</f>
        <v>0</v>
      </c>
      <c r="M47" s="41"/>
      <c r="N47" s="59">
        <f t="shared" si="20"/>
        <v>0</v>
      </c>
      <c r="O47" s="41"/>
      <c r="P47" s="13"/>
      <c r="Q47" s="33">
        <f>+SUM(START:END!Q47)</f>
        <v>0</v>
      </c>
      <c r="R47" s="41"/>
      <c r="S47" s="85">
        <f>L47-Q47</f>
        <v>0</v>
      </c>
      <c r="T47" s="13"/>
      <c r="U47" s="13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11"/>
      <c r="AJ47" s="11"/>
      <c r="AK47" s="11"/>
      <c r="AL47" s="11"/>
      <c r="AM47" s="11"/>
      <c r="AN47" s="11"/>
    </row>
    <row r="48" spans="1:40" ht="20.25" hidden="1">
      <c r="A48" t="str">
        <f t="shared" si="1"/>
        <v>Véhicules neufs[...]</v>
      </c>
      <c r="B48" s="11" t="str">
        <f t="shared" si="0"/>
        <v>Véhicules neufs</v>
      </c>
      <c r="C48" s="102" t="s">
        <v>19</v>
      </c>
      <c r="D48" s="81"/>
      <c r="E48" s="13"/>
      <c r="F48" s="30">
        <f>+SUM(START:END!F48)</f>
        <v>0</v>
      </c>
      <c r="G48" s="83"/>
      <c r="H48" s="13"/>
      <c r="I48" s="30">
        <f>+SUM(START:END!I48)</f>
        <v>0</v>
      </c>
      <c r="J48" s="41"/>
      <c r="K48" s="13"/>
      <c r="L48" s="33">
        <f>+SUM(START:END!L48)</f>
        <v>0</v>
      </c>
      <c r="M48" s="41"/>
      <c r="N48" s="59">
        <f t="shared" si="20"/>
        <v>0</v>
      </c>
      <c r="O48" s="41"/>
      <c r="P48" s="13"/>
      <c r="Q48" s="33">
        <f>+SUM(START:END!Q48)</f>
        <v>0</v>
      </c>
      <c r="R48" s="41"/>
      <c r="S48" s="85">
        <f>L48-Q48</f>
        <v>0</v>
      </c>
      <c r="T48" s="13"/>
      <c r="U48" s="13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11"/>
      <c r="AJ48" s="11"/>
      <c r="AK48" s="11"/>
      <c r="AL48" s="11"/>
      <c r="AM48" s="11"/>
      <c r="AN48" s="11"/>
    </row>
    <row r="49" spans="1:40" ht="20.25">
      <c r="A49" t="str">
        <f t="shared" si="1"/>
        <v>Véhicules neufsSalaires en absences</v>
      </c>
      <c r="B49" s="11" t="str">
        <f t="shared" si="0"/>
        <v>Véhicules neufs</v>
      </c>
      <c r="C49" s="103" t="s">
        <v>44</v>
      </c>
      <c r="D49" s="81"/>
      <c r="E49" s="13"/>
      <c r="F49" s="22">
        <f>+SUM(START:END!F49)</f>
        <v>20956.32586825169</v>
      </c>
      <c r="G49" s="83"/>
      <c r="H49" s="13"/>
      <c r="I49" s="22">
        <f>+SUM(START:END!I49)</f>
        <v>0</v>
      </c>
      <c r="J49" s="41"/>
      <c r="K49" s="13"/>
      <c r="L49" s="22">
        <f>+SUM(START:END!L49)</f>
        <v>20599.63</v>
      </c>
      <c r="M49" s="41"/>
      <c r="N49" s="59">
        <f t="shared" si="20"/>
        <v>-356.69586825168881</v>
      </c>
      <c r="O49" s="41"/>
      <c r="P49" s="13"/>
      <c r="Q49" s="22">
        <f>+SUM(START:END!Q49)</f>
        <v>16976.78</v>
      </c>
      <c r="R49" s="41"/>
      <c r="S49" s="85">
        <f t="shared" si="22"/>
        <v>3622.8500000000022</v>
      </c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  <c r="AH49" s="13"/>
      <c r="AI49" s="13"/>
      <c r="AJ49" s="13"/>
      <c r="AK49" s="13"/>
      <c r="AL49" s="13"/>
      <c r="AM49" s="13"/>
      <c r="AN49" s="13"/>
    </row>
    <row r="50" spans="1:40" ht="20.25">
      <c r="A50" t="str">
        <f t="shared" si="1"/>
        <v>Véhicules neufsDéduction à la source</v>
      </c>
      <c r="B50" s="11" t="str">
        <f t="shared" si="0"/>
        <v>Véhicules neufs</v>
      </c>
      <c r="C50" s="102" t="s">
        <v>45</v>
      </c>
      <c r="D50" s="104"/>
      <c r="E50" s="105"/>
      <c r="F50" s="30">
        <f>+SUM(START:END!F50)</f>
        <v>27940.502809908077</v>
      </c>
      <c r="G50" s="106"/>
      <c r="H50" s="105"/>
      <c r="I50" s="30">
        <f>+SUM(START:END!I50)</f>
        <v>0</v>
      </c>
      <c r="J50" s="107"/>
      <c r="K50" s="105"/>
      <c r="L50" s="33">
        <f>+SUM(START:END!L50)</f>
        <v>19314.43</v>
      </c>
      <c r="M50" s="107"/>
      <c r="N50" s="109">
        <f t="shared" si="20"/>
        <v>-8626.072809908077</v>
      </c>
      <c r="O50" s="107"/>
      <c r="P50" s="105"/>
      <c r="Q50" s="33">
        <f>+SUM(START:END!Q50)</f>
        <v>19175.240000000002</v>
      </c>
      <c r="R50" s="107"/>
      <c r="S50" s="110">
        <f t="shared" si="22"/>
        <v>139.18999999999869</v>
      </c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3"/>
      <c r="AF50" s="13"/>
      <c r="AG50" s="13"/>
      <c r="AH50" s="13"/>
      <c r="AI50" s="13"/>
      <c r="AJ50" s="13"/>
      <c r="AK50" s="13"/>
      <c r="AL50" s="13"/>
      <c r="AM50" s="13"/>
      <c r="AN50" s="13"/>
    </row>
    <row r="51" spans="1:40" ht="20.25">
      <c r="A51" t="str">
        <f t="shared" si="1"/>
        <v>Véhicules neufsBénéfices marginaux</v>
      </c>
      <c r="B51" s="11" t="str">
        <f t="shared" si="0"/>
        <v>Véhicules neufs</v>
      </c>
      <c r="C51" s="102" t="s">
        <v>46</v>
      </c>
      <c r="D51" s="81"/>
      <c r="E51" s="13"/>
      <c r="F51" s="30">
        <f>+SUM(START:END!F51)</f>
        <v>12963.011483072598</v>
      </c>
      <c r="G51" s="83"/>
      <c r="H51" s="13"/>
      <c r="I51" s="30">
        <f>+SUM(START:END!I51)</f>
        <v>0</v>
      </c>
      <c r="J51" s="41"/>
      <c r="K51" s="13"/>
      <c r="L51" s="33">
        <f>+SUM(START:END!L51)</f>
        <v>13525.830000000002</v>
      </c>
      <c r="M51" s="41"/>
      <c r="N51" s="59">
        <f t="shared" si="20"/>
        <v>562.81851692740383</v>
      </c>
      <c r="O51" s="41"/>
      <c r="P51" s="13"/>
      <c r="Q51" s="33">
        <f>+SUM(START:END!Q51)</f>
        <v>10445.470000000001</v>
      </c>
      <c r="R51" s="41"/>
      <c r="S51" s="85">
        <f t="shared" si="22"/>
        <v>3080.3600000000006</v>
      </c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13"/>
      <c r="AG51" s="13"/>
      <c r="AH51" s="13"/>
      <c r="AI51" s="13"/>
      <c r="AJ51" s="13"/>
      <c r="AK51" s="13"/>
      <c r="AL51" s="13"/>
      <c r="AM51" s="13"/>
      <c r="AN51" s="13"/>
    </row>
    <row r="52" spans="1:40" ht="20.25">
      <c r="A52" t="str">
        <f t="shared" si="1"/>
        <v>Véhicules neufsCsst</v>
      </c>
      <c r="B52" s="11" t="str">
        <f t="shared" si="0"/>
        <v>Véhicules neufs</v>
      </c>
      <c r="C52" s="102" t="s">
        <v>47</v>
      </c>
      <c r="D52" s="81"/>
      <c r="E52" s="13"/>
      <c r="F52" s="30">
        <f>+SUM(START:END!F52)</f>
        <v>2927.1316252099414</v>
      </c>
      <c r="G52" s="83"/>
      <c r="H52" s="13"/>
      <c r="I52" s="30">
        <f>+SUM(START:END!I52)</f>
        <v>0</v>
      </c>
      <c r="J52" s="41"/>
      <c r="K52" s="13"/>
      <c r="L52" s="33">
        <f>+SUM(START:END!L52)</f>
        <v>226.83</v>
      </c>
      <c r="M52" s="41"/>
      <c r="N52" s="59">
        <f t="shared" si="20"/>
        <v>-2700.3016252099414</v>
      </c>
      <c r="O52" s="41"/>
      <c r="P52" s="13"/>
      <c r="Q52" s="33">
        <f>+SUM(START:END!Q52)</f>
        <v>1112.25</v>
      </c>
      <c r="R52" s="41"/>
      <c r="S52" s="85">
        <f t="shared" si="22"/>
        <v>-885.42</v>
      </c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13"/>
      <c r="AF52" s="13"/>
      <c r="AG52" s="13"/>
      <c r="AH52" s="13"/>
      <c r="AI52" s="13"/>
      <c r="AJ52" s="13"/>
      <c r="AK52" s="13"/>
      <c r="AL52" s="13"/>
      <c r="AM52" s="13"/>
      <c r="AN52" s="13"/>
    </row>
    <row r="53" spans="1:40" ht="20.25" hidden="1">
      <c r="A53" t="str">
        <f t="shared" si="1"/>
        <v>Véhicules neufs[...]</v>
      </c>
      <c r="B53" s="11" t="str">
        <f t="shared" si="0"/>
        <v>Véhicules neufs</v>
      </c>
      <c r="C53" s="29" t="s">
        <v>19</v>
      </c>
      <c r="D53" s="87"/>
      <c r="E53" s="111"/>
      <c r="F53" s="30">
        <f>+SUM(START:END!F53)</f>
        <v>0</v>
      </c>
      <c r="G53" s="89"/>
      <c r="H53" s="111"/>
      <c r="I53" s="30">
        <f>+SUM(START:END!I53)</f>
        <v>0</v>
      </c>
      <c r="J53" s="23"/>
      <c r="K53" s="111"/>
      <c r="L53" s="33">
        <f>+SUM(START:END!L53)</f>
        <v>0</v>
      </c>
      <c r="M53" s="23"/>
      <c r="N53" s="91">
        <f t="shared" si="20"/>
        <v>0</v>
      </c>
      <c r="O53" s="23"/>
      <c r="P53" s="111"/>
      <c r="Q53" s="33">
        <f>+SUM(START:END!Q53)</f>
        <v>0</v>
      </c>
      <c r="R53" s="23"/>
      <c r="S53" s="92">
        <f t="shared" si="22"/>
        <v>0</v>
      </c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  <c r="AE53" s="13"/>
      <c r="AF53" s="13"/>
      <c r="AG53" s="13"/>
      <c r="AH53" s="13"/>
      <c r="AI53" s="13"/>
      <c r="AJ53" s="13"/>
      <c r="AK53" s="13"/>
      <c r="AL53" s="13"/>
      <c r="AM53" s="13"/>
      <c r="AN53" s="13"/>
    </row>
    <row r="54" spans="1:40" ht="20.25">
      <c r="A54" t="str">
        <f t="shared" si="1"/>
        <v>Véhicules neufsTOTAL PERSONNEL</v>
      </c>
      <c r="B54" s="11" t="str">
        <f t="shared" si="0"/>
        <v>Véhicules neufs</v>
      </c>
      <c r="C54" s="93" t="s">
        <v>48</v>
      </c>
      <c r="D54" s="94" t="s">
        <v>38</v>
      </c>
      <c r="E54" s="95">
        <f>F54/F$27</f>
        <v>0.28941845288487089</v>
      </c>
      <c r="F54" s="96">
        <f>+SUM(F42:F53)</f>
        <v>129645.11033606062</v>
      </c>
      <c r="G54" s="97" t="s">
        <v>38</v>
      </c>
      <c r="H54" s="95" t="e">
        <f>I54/I$27</f>
        <v>#DIV/0!</v>
      </c>
      <c r="I54" s="96">
        <f>+SUM(I42:I53)</f>
        <v>0</v>
      </c>
      <c r="J54" s="97" t="s">
        <v>38</v>
      </c>
      <c r="K54" s="95">
        <f>L54/L$27</f>
        <v>0.34332656541434009</v>
      </c>
      <c r="L54" s="96">
        <f>+SUM(L42:L53)</f>
        <v>117380.74000000002</v>
      </c>
      <c r="M54" s="100"/>
      <c r="N54" s="96">
        <f>+SUM(N42:N53)</f>
        <v>-12264.37033606062</v>
      </c>
      <c r="O54" s="97" t="s">
        <v>38</v>
      </c>
      <c r="P54" s="95">
        <f>Q54/Q$27</f>
        <v>0.23664539168071316</v>
      </c>
      <c r="Q54" s="96">
        <f>+SUM(Q42:Q53)</f>
        <v>115517.88</v>
      </c>
      <c r="R54" s="100"/>
      <c r="S54" s="101">
        <f>+SUM(S42:S53)</f>
        <v>1862.8600000000097</v>
      </c>
      <c r="T54" s="82"/>
      <c r="U54" s="13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11"/>
      <c r="AJ54" s="11"/>
      <c r="AK54" s="11"/>
      <c r="AL54" s="11"/>
      <c r="AM54" s="11"/>
      <c r="AN54" s="11"/>
    </row>
    <row r="55" spans="1:40" ht="20.25">
      <c r="A55" t="str">
        <f t="shared" si="1"/>
        <v>Véhicules neufsPublicité 2</v>
      </c>
      <c r="B55" s="11" t="str">
        <f t="shared" si="0"/>
        <v>Véhicules neufs</v>
      </c>
      <c r="C55" s="29" t="s">
        <v>49</v>
      </c>
      <c r="D55" s="81"/>
      <c r="E55" s="13"/>
      <c r="F55" s="30">
        <f>+SUM(START:END!F55)</f>
        <v>0</v>
      </c>
      <c r="G55" s="83"/>
      <c r="H55" s="13"/>
      <c r="I55" s="30">
        <f>+SUM(START:END!I55)</f>
        <v>0</v>
      </c>
      <c r="J55" s="41"/>
      <c r="K55" s="13"/>
      <c r="L55" s="33">
        <f>+SUM(START:END!L55)</f>
        <v>0</v>
      </c>
      <c r="M55" s="41"/>
      <c r="N55" s="59">
        <f t="shared" ref="N55:N71" si="23">L55-F55</f>
        <v>0</v>
      </c>
      <c r="O55" s="41"/>
      <c r="P55" s="13"/>
      <c r="Q55" s="33">
        <f>+SUM(START:END!Q55)</f>
        <v>0</v>
      </c>
      <c r="R55" s="41"/>
      <c r="S55" s="85">
        <f t="shared" ref="S55:S71" si="24">L55-Q55</f>
        <v>0</v>
      </c>
      <c r="T55" s="82"/>
      <c r="U55" s="13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11"/>
      <c r="AJ55" s="11"/>
      <c r="AK55" s="11"/>
      <c r="AL55" s="11"/>
      <c r="AM55" s="11"/>
      <c r="AN55" s="11"/>
    </row>
    <row r="56" spans="1:40" ht="20.25">
      <c r="A56" t="str">
        <f t="shared" si="1"/>
        <v>Véhicules neufsService gratuit 2</v>
      </c>
      <c r="B56" s="11" t="str">
        <f t="shared" si="0"/>
        <v>Véhicules neufs</v>
      </c>
      <c r="C56" s="29" t="s">
        <v>50</v>
      </c>
      <c r="D56" s="81"/>
      <c r="E56" s="13"/>
      <c r="F56" s="30">
        <f>+SUM(START:END!F56)</f>
        <v>0</v>
      </c>
      <c r="G56" s="83"/>
      <c r="H56" s="13"/>
      <c r="I56" s="30">
        <f>+SUM(START:END!I56)</f>
        <v>0</v>
      </c>
      <c r="J56" s="41"/>
      <c r="K56" s="13"/>
      <c r="L56" s="33">
        <f>+SUM(START:END!L56)</f>
        <v>0</v>
      </c>
      <c r="M56" s="41"/>
      <c r="N56" s="59">
        <f t="shared" si="23"/>
        <v>0</v>
      </c>
      <c r="O56" s="41"/>
      <c r="P56" s="13"/>
      <c r="Q56" s="33">
        <f>+SUM(START:END!Q56)</f>
        <v>0</v>
      </c>
      <c r="R56" s="41"/>
      <c r="S56" s="85">
        <f t="shared" si="24"/>
        <v>0</v>
      </c>
      <c r="T56" s="82"/>
      <c r="U56" s="13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11"/>
      <c r="AJ56" s="11"/>
      <c r="AK56" s="11"/>
      <c r="AL56" s="11"/>
      <c r="AM56" s="11"/>
      <c r="AN56" s="11"/>
    </row>
    <row r="57" spans="1:40" ht="20.25">
      <c r="A57" t="str">
        <f t="shared" si="1"/>
        <v>Véhicules neufsFrais véhicules de cie</v>
      </c>
      <c r="B57" s="11" t="str">
        <f t="shared" si="0"/>
        <v>Véhicules neufs</v>
      </c>
      <c r="C57" s="86" t="s">
        <v>51</v>
      </c>
      <c r="D57" s="87"/>
      <c r="E57" s="111"/>
      <c r="F57" s="22">
        <f>+SUM(START:END!F57)</f>
        <v>15240.250000000002</v>
      </c>
      <c r="G57" s="89"/>
      <c r="H57" s="111"/>
      <c r="I57" s="22">
        <f>+SUM(START:END!I57)</f>
        <v>0</v>
      </c>
      <c r="J57" s="23"/>
      <c r="K57" s="111"/>
      <c r="L57" s="22">
        <f>+SUM(START:END!L57)</f>
        <v>23543.73</v>
      </c>
      <c r="M57" s="23"/>
      <c r="N57" s="91">
        <f t="shared" si="23"/>
        <v>8303.4799999999977</v>
      </c>
      <c r="O57" s="23"/>
      <c r="P57" s="111"/>
      <c r="Q57" s="22">
        <f>+SUM(START:END!Q57)</f>
        <v>14749.33</v>
      </c>
      <c r="R57" s="23"/>
      <c r="S57" s="92">
        <f t="shared" si="24"/>
        <v>8794.4</v>
      </c>
      <c r="T57" s="112"/>
      <c r="U57" s="13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11"/>
      <c r="AJ57" s="11"/>
      <c r="AK57" s="11"/>
      <c r="AL57" s="11"/>
      <c r="AM57" s="11"/>
      <c r="AN57" s="11"/>
    </row>
    <row r="58" spans="1:40" ht="20.25">
      <c r="A58" t="str">
        <f t="shared" si="1"/>
        <v>Véhicules neufsInformatique</v>
      </c>
      <c r="B58" s="11" t="str">
        <f t="shared" si="0"/>
        <v>Véhicules neufs</v>
      </c>
      <c r="C58" s="29" t="s">
        <v>52</v>
      </c>
      <c r="D58" s="81"/>
      <c r="E58" s="13"/>
      <c r="F58" s="30">
        <f>+SUM(START:END!F58)</f>
        <v>14979.150000000001</v>
      </c>
      <c r="G58" s="83"/>
      <c r="H58" s="13"/>
      <c r="I58" s="30">
        <f>+SUM(START:END!I58)</f>
        <v>0</v>
      </c>
      <c r="J58" s="41"/>
      <c r="K58" s="13"/>
      <c r="L58" s="33">
        <f>+SUM(START:END!L58)</f>
        <v>13298.619999999999</v>
      </c>
      <c r="M58" s="41"/>
      <c r="N58" s="59">
        <f t="shared" si="23"/>
        <v>-1680.5300000000025</v>
      </c>
      <c r="O58" s="41"/>
      <c r="P58" s="13"/>
      <c r="Q58" s="33">
        <f>+SUM(START:END!Q58)</f>
        <v>14278.130000000001</v>
      </c>
      <c r="R58" s="41"/>
      <c r="S58" s="85">
        <f t="shared" si="24"/>
        <v>-979.51000000000204</v>
      </c>
      <c r="T58" s="82"/>
      <c r="U58" s="13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11"/>
      <c r="AJ58" s="11"/>
      <c r="AK58" s="11"/>
      <c r="AL58" s="11"/>
      <c r="AM58" s="11"/>
      <c r="AN58" s="11"/>
    </row>
    <row r="59" spans="1:40" ht="20.25">
      <c r="A59" t="str">
        <f t="shared" si="1"/>
        <v>Véhicules neufsFrais de déplacement</v>
      </c>
      <c r="B59" s="11" t="str">
        <f t="shared" si="0"/>
        <v>Véhicules neufs</v>
      </c>
      <c r="C59" s="29" t="s">
        <v>53</v>
      </c>
      <c r="D59" s="81"/>
      <c r="E59" s="13"/>
      <c r="F59" s="30">
        <f>+SUM(START:END!F59)</f>
        <v>2467.8000000000002</v>
      </c>
      <c r="G59" s="83"/>
      <c r="H59" s="13"/>
      <c r="I59" s="30">
        <f>+SUM(START:END!I59)</f>
        <v>0</v>
      </c>
      <c r="J59" s="41"/>
      <c r="K59" s="13"/>
      <c r="L59" s="33">
        <f>+SUM(START:END!L59)</f>
        <v>5324.3600000000006</v>
      </c>
      <c r="M59" s="41"/>
      <c r="N59" s="59">
        <f t="shared" si="23"/>
        <v>2856.5600000000004</v>
      </c>
      <c r="O59" s="41"/>
      <c r="P59" s="13"/>
      <c r="Q59" s="33">
        <f>+SUM(START:END!Q59)</f>
        <v>1452.6200000000001</v>
      </c>
      <c r="R59" s="41"/>
      <c r="S59" s="85">
        <f t="shared" si="24"/>
        <v>3871.7400000000007</v>
      </c>
      <c r="T59" s="13"/>
      <c r="U59" s="13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11"/>
      <c r="AJ59" s="11"/>
      <c r="AK59" s="11"/>
      <c r="AL59" s="11"/>
      <c r="AM59" s="11"/>
      <c r="AN59" s="11"/>
    </row>
    <row r="60" spans="1:40" ht="20.25">
      <c r="A60" t="str">
        <f t="shared" si="1"/>
        <v>Véhicules neufsServices extérieurs</v>
      </c>
      <c r="B60" s="11" t="str">
        <f t="shared" si="0"/>
        <v>Véhicules neufs</v>
      </c>
      <c r="C60" s="86" t="s">
        <v>54</v>
      </c>
      <c r="D60" s="87"/>
      <c r="E60" s="111"/>
      <c r="F60" s="22">
        <f>+SUM(START:END!F60)</f>
        <v>8263.35</v>
      </c>
      <c r="G60" s="89"/>
      <c r="H60" s="111"/>
      <c r="I60" s="22">
        <f>+SUM(START:END!I60)</f>
        <v>0</v>
      </c>
      <c r="J60" s="23"/>
      <c r="K60" s="111"/>
      <c r="L60" s="22">
        <f>+SUM(START:END!L60)</f>
        <v>10382.83</v>
      </c>
      <c r="M60" s="23"/>
      <c r="N60" s="91">
        <f t="shared" si="23"/>
        <v>2119.4799999999996</v>
      </c>
      <c r="O60" s="23"/>
      <c r="P60" s="111"/>
      <c r="Q60" s="22">
        <f>+SUM(START:END!Q60)</f>
        <v>8200.42</v>
      </c>
      <c r="R60" s="23"/>
      <c r="S60" s="92">
        <f t="shared" si="24"/>
        <v>2182.41</v>
      </c>
      <c r="T60" s="13"/>
      <c r="U60" s="13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/>
      <c r="AG60" s="11"/>
      <c r="AH60" s="11"/>
      <c r="AI60" s="11"/>
      <c r="AJ60" s="11"/>
      <c r="AK60" s="11"/>
      <c r="AL60" s="11"/>
      <c r="AM60" s="11"/>
      <c r="AN60" s="11"/>
    </row>
    <row r="61" spans="1:40" ht="20.25">
      <c r="A61" t="str">
        <f t="shared" si="1"/>
        <v>Véhicules neufsFournitures autres</v>
      </c>
      <c r="B61" s="11" t="str">
        <f t="shared" si="0"/>
        <v>Véhicules neufs</v>
      </c>
      <c r="C61" s="29" t="s">
        <v>55</v>
      </c>
      <c r="D61" s="81"/>
      <c r="E61" s="13"/>
      <c r="F61" s="30">
        <f>+SUM(START:END!F61)</f>
        <v>206.25</v>
      </c>
      <c r="G61" s="83"/>
      <c r="H61" s="13"/>
      <c r="I61" s="30">
        <f>+SUM(START:END!I61)</f>
        <v>0</v>
      </c>
      <c r="J61" s="41"/>
      <c r="K61" s="13"/>
      <c r="L61" s="33">
        <f>+SUM(START:END!L61)</f>
        <v>86.78</v>
      </c>
      <c r="M61" s="41"/>
      <c r="N61" s="59">
        <f t="shared" si="23"/>
        <v>-119.47</v>
      </c>
      <c r="O61" s="41"/>
      <c r="P61" s="13"/>
      <c r="Q61" s="33">
        <f>+SUM(START:END!Q61)</f>
        <v>119.55</v>
      </c>
      <c r="R61" s="41"/>
      <c r="S61" s="85">
        <f t="shared" si="24"/>
        <v>-32.769999999999996</v>
      </c>
      <c r="T61" s="13"/>
      <c r="U61" s="13"/>
      <c r="V61" s="13"/>
      <c r="W61" s="13"/>
      <c r="X61" s="13"/>
      <c r="Y61" s="13"/>
      <c r="Z61" s="13"/>
      <c r="AA61" s="13"/>
      <c r="AB61" s="13"/>
      <c r="AC61" s="13"/>
      <c r="AD61" s="13"/>
      <c r="AE61" s="13"/>
      <c r="AF61" s="13"/>
      <c r="AG61" s="13"/>
      <c r="AH61" s="13"/>
      <c r="AI61" s="13"/>
      <c r="AJ61" s="13"/>
      <c r="AK61" s="13"/>
      <c r="AL61" s="13"/>
      <c r="AM61" s="13"/>
      <c r="AN61" s="13"/>
    </row>
    <row r="62" spans="1:40" ht="20.25">
      <c r="A62" t="str">
        <f t="shared" si="1"/>
        <v>Véhicules neufsUniformes</v>
      </c>
      <c r="B62" s="11" t="str">
        <f t="shared" si="0"/>
        <v>Véhicules neufs</v>
      </c>
      <c r="C62" s="29" t="s">
        <v>56</v>
      </c>
      <c r="D62" s="81"/>
      <c r="E62" s="13"/>
      <c r="F62" s="30">
        <f>+SUM(START:END!F62)</f>
        <v>45</v>
      </c>
      <c r="G62" s="83"/>
      <c r="H62" s="13"/>
      <c r="I62" s="30">
        <f>+SUM(START:END!I62)</f>
        <v>0</v>
      </c>
      <c r="J62" s="41"/>
      <c r="K62" s="13"/>
      <c r="L62" s="33">
        <f>+SUM(START:END!L62)</f>
        <v>476.58000000000004</v>
      </c>
      <c r="M62" s="41"/>
      <c r="N62" s="59">
        <f t="shared" si="23"/>
        <v>431.58000000000004</v>
      </c>
      <c r="O62" s="41"/>
      <c r="P62" s="13"/>
      <c r="Q62" s="33">
        <f>+SUM(START:END!Q62)</f>
        <v>0</v>
      </c>
      <c r="R62" s="41"/>
      <c r="S62" s="85">
        <f t="shared" si="24"/>
        <v>476.58000000000004</v>
      </c>
      <c r="T62" s="13"/>
      <c r="U62" s="13"/>
      <c r="V62" s="13"/>
      <c r="W62" s="13"/>
      <c r="X62" s="13"/>
      <c r="Y62" s="13"/>
      <c r="Z62" s="13"/>
      <c r="AA62" s="13"/>
      <c r="AB62" s="13"/>
      <c r="AC62" s="13"/>
      <c r="AD62" s="13"/>
      <c r="AE62" s="13"/>
      <c r="AF62" s="13"/>
      <c r="AG62" s="13"/>
      <c r="AH62" s="13"/>
      <c r="AI62" s="13"/>
      <c r="AJ62" s="13"/>
      <c r="AK62" s="13"/>
      <c r="AL62" s="13"/>
      <c r="AM62" s="13"/>
      <c r="AN62" s="13"/>
    </row>
    <row r="63" spans="1:40" ht="20.25">
      <c r="A63" t="str">
        <f t="shared" si="1"/>
        <v>Véhicules neufsPapeterie</v>
      </c>
      <c r="B63" s="11" t="str">
        <f t="shared" si="0"/>
        <v>Véhicules neufs</v>
      </c>
      <c r="C63" s="29" t="s">
        <v>57</v>
      </c>
      <c r="D63" s="81"/>
      <c r="E63" s="13"/>
      <c r="F63" s="30">
        <f>+SUM(START:END!F63)</f>
        <v>2362.5</v>
      </c>
      <c r="G63" s="83"/>
      <c r="H63" s="13"/>
      <c r="I63" s="30">
        <f>+SUM(START:END!I63)</f>
        <v>0</v>
      </c>
      <c r="J63" s="41"/>
      <c r="K63" s="13"/>
      <c r="L63" s="32">
        <f>+SUM(START:END!L63)</f>
        <v>1972.3799999999999</v>
      </c>
      <c r="M63" s="41"/>
      <c r="N63" s="59">
        <f t="shared" si="23"/>
        <v>-390.12000000000012</v>
      </c>
      <c r="O63" s="41"/>
      <c r="P63" s="13"/>
      <c r="Q63" s="32">
        <f>+SUM(START:END!Q63)</f>
        <v>1921.59</v>
      </c>
      <c r="R63" s="41"/>
      <c r="S63" s="85">
        <f t="shared" si="24"/>
        <v>50.789999999999964</v>
      </c>
      <c r="T63" s="13"/>
      <c r="U63" s="13"/>
      <c r="V63" s="13"/>
      <c r="W63" s="13"/>
      <c r="X63" s="13"/>
      <c r="Y63" s="13"/>
      <c r="Z63" s="13"/>
      <c r="AA63" s="13"/>
      <c r="AB63" s="13"/>
      <c r="AC63" s="13"/>
      <c r="AD63" s="13"/>
      <c r="AE63" s="13"/>
      <c r="AF63" s="13"/>
      <c r="AG63" s="13"/>
      <c r="AH63" s="13"/>
      <c r="AI63" s="13"/>
      <c r="AJ63" s="13"/>
      <c r="AK63" s="13"/>
      <c r="AL63" s="13"/>
      <c r="AM63" s="13"/>
      <c r="AN63" s="13"/>
    </row>
    <row r="64" spans="1:40" ht="20.25">
      <c r="A64" t="str">
        <f t="shared" si="1"/>
        <v>Véhicules neufsTéléphone</v>
      </c>
      <c r="B64" s="11" t="str">
        <f t="shared" si="0"/>
        <v>Véhicules neufs</v>
      </c>
      <c r="C64" s="29" t="s">
        <v>58</v>
      </c>
      <c r="D64" s="81"/>
      <c r="E64" s="13"/>
      <c r="F64" s="30">
        <f>+SUM(START:END!F64)</f>
        <v>631.20000000000005</v>
      </c>
      <c r="G64" s="83"/>
      <c r="H64" s="13"/>
      <c r="I64" s="30">
        <f>+SUM(START:END!I64)</f>
        <v>0</v>
      </c>
      <c r="J64" s="41"/>
      <c r="K64" s="13"/>
      <c r="L64" s="33">
        <f>+SUM(START:END!L64)</f>
        <v>614.98</v>
      </c>
      <c r="M64" s="41"/>
      <c r="N64" s="59">
        <f t="shared" si="23"/>
        <v>-16.220000000000027</v>
      </c>
      <c r="O64" s="41"/>
      <c r="P64" s="13"/>
      <c r="Q64" s="33">
        <f>+SUM(START:END!Q64)</f>
        <v>631.79000000000008</v>
      </c>
      <c r="R64" s="41"/>
      <c r="S64" s="85">
        <f t="shared" si="24"/>
        <v>-16.810000000000059</v>
      </c>
      <c r="T64" s="13"/>
      <c r="U64" s="13"/>
      <c r="V64" s="13"/>
      <c r="W64" s="13"/>
      <c r="X64" s="13"/>
      <c r="Y64" s="13"/>
      <c r="Z64" s="13"/>
      <c r="AA64" s="13"/>
      <c r="AB64" s="13"/>
      <c r="AC64" s="13"/>
      <c r="AD64" s="13"/>
      <c r="AE64" s="13"/>
      <c r="AF64" s="13"/>
      <c r="AG64" s="13"/>
      <c r="AH64" s="13"/>
      <c r="AI64" s="13"/>
      <c r="AJ64" s="13"/>
      <c r="AK64" s="13"/>
      <c r="AL64" s="13"/>
      <c r="AM64" s="13"/>
      <c r="AN64" s="13"/>
    </row>
    <row r="65" spans="1:40" ht="20.25">
      <c r="A65" t="str">
        <f t="shared" si="1"/>
        <v>Véhicules neufsFrais postaux</v>
      </c>
      <c r="B65" s="11" t="str">
        <f t="shared" si="0"/>
        <v>Véhicules neufs</v>
      </c>
      <c r="C65" s="29" t="s">
        <v>59</v>
      </c>
      <c r="D65" s="81"/>
      <c r="E65" s="13"/>
      <c r="F65" s="30">
        <f>+SUM(START:END!F65)</f>
        <v>675</v>
      </c>
      <c r="G65" s="83"/>
      <c r="H65" s="13"/>
      <c r="I65" s="30">
        <f>+SUM(START:END!I65)</f>
        <v>0</v>
      </c>
      <c r="J65" s="41"/>
      <c r="K65" s="13"/>
      <c r="L65" s="33">
        <f>+SUM(START:END!L65)</f>
        <v>442.44</v>
      </c>
      <c r="M65" s="41"/>
      <c r="N65" s="59">
        <f t="shared" si="23"/>
        <v>-232.56</v>
      </c>
      <c r="O65" s="41"/>
      <c r="P65" s="13"/>
      <c r="Q65" s="33">
        <f>+SUM(START:END!Q65)</f>
        <v>832.12000000000012</v>
      </c>
      <c r="R65" s="41"/>
      <c r="S65" s="85">
        <f t="shared" si="24"/>
        <v>-389.68000000000012</v>
      </c>
      <c r="T65" s="13"/>
      <c r="U65" s="13"/>
      <c r="V65" s="13"/>
      <c r="W65" s="13"/>
      <c r="X65" s="13"/>
      <c r="Y65" s="13"/>
      <c r="Z65" s="13"/>
      <c r="AA65" s="13"/>
      <c r="AB65" s="13"/>
      <c r="AC65" s="13"/>
      <c r="AD65" s="13"/>
      <c r="AE65" s="13"/>
      <c r="AF65" s="13"/>
      <c r="AG65" s="13"/>
      <c r="AH65" s="13"/>
      <c r="AI65" s="13"/>
      <c r="AJ65" s="13"/>
      <c r="AK65" s="13"/>
      <c r="AL65" s="13"/>
      <c r="AM65" s="13"/>
      <c r="AN65" s="13"/>
    </row>
    <row r="66" spans="1:40" ht="20.25">
      <c r="A66" t="str">
        <f t="shared" si="1"/>
        <v>Véhicules neufsDivers</v>
      </c>
      <c r="B66" s="11" t="str">
        <f t="shared" si="0"/>
        <v>Véhicules neufs</v>
      </c>
      <c r="C66" s="29" t="s">
        <v>60</v>
      </c>
      <c r="D66" s="81"/>
      <c r="E66" s="13"/>
      <c r="F66" s="30">
        <f>+SUM(START:END!F66)</f>
        <v>2508.3000000000002</v>
      </c>
      <c r="G66" s="83"/>
      <c r="H66" s="13"/>
      <c r="I66" s="30">
        <f>+SUM(START:END!I66)</f>
        <v>0</v>
      </c>
      <c r="J66" s="41"/>
      <c r="K66" s="13"/>
      <c r="L66" s="33">
        <f>+SUM(START:END!L66)</f>
        <v>2134.3500000000004</v>
      </c>
      <c r="M66" s="41"/>
      <c r="N66" s="59">
        <f t="shared" si="23"/>
        <v>-373.94999999999982</v>
      </c>
      <c r="O66" s="41"/>
      <c r="P66" s="13"/>
      <c r="Q66" s="33">
        <f>+SUM(START:END!Q66)</f>
        <v>2421.2800000000002</v>
      </c>
      <c r="R66" s="41"/>
      <c r="S66" s="85">
        <f t="shared" si="24"/>
        <v>-286.92999999999984</v>
      </c>
      <c r="T66" s="13"/>
      <c r="U66" s="13"/>
      <c r="V66" s="13"/>
      <c r="W66" s="13"/>
      <c r="X66" s="13"/>
      <c r="Y66" s="13"/>
      <c r="Z66" s="13"/>
      <c r="AA66" s="13"/>
      <c r="AB66" s="13"/>
      <c r="AC66" s="13"/>
      <c r="AD66" s="13"/>
      <c r="AE66" s="13"/>
      <c r="AF66" s="13"/>
      <c r="AG66" s="13"/>
      <c r="AH66" s="13"/>
      <c r="AI66" s="13"/>
      <c r="AJ66" s="13"/>
      <c r="AK66" s="13"/>
      <c r="AL66" s="13"/>
      <c r="AM66" s="13"/>
      <c r="AN66" s="13"/>
    </row>
    <row r="67" spans="1:40" ht="20.25">
      <c r="A67" t="str">
        <f t="shared" si="1"/>
        <v>Véhicules neufsFormation</v>
      </c>
      <c r="B67" s="11" t="str">
        <f t="shared" si="0"/>
        <v>Véhicules neufs</v>
      </c>
      <c r="C67" s="29" t="s">
        <v>61</v>
      </c>
      <c r="D67" s="81"/>
      <c r="E67" s="13"/>
      <c r="F67" s="30">
        <f>+SUM(START:END!F67)</f>
        <v>1446.4914399999996</v>
      </c>
      <c r="G67" s="83"/>
      <c r="H67" s="13"/>
      <c r="I67" s="30">
        <f>+SUM(START:END!I67)</f>
        <v>0</v>
      </c>
      <c r="J67" s="41"/>
      <c r="K67" s="13"/>
      <c r="L67" s="59">
        <f>+SUM(START:END!L67)</f>
        <v>2239.9</v>
      </c>
      <c r="M67" s="41"/>
      <c r="N67" s="59">
        <f t="shared" si="23"/>
        <v>793.40856000000053</v>
      </c>
      <c r="O67" s="41"/>
      <c r="P67" s="13"/>
      <c r="Q67" s="33">
        <f>+SUM(START:END!Q67)</f>
        <v>1123.8499999999999</v>
      </c>
      <c r="R67" s="41"/>
      <c r="S67" s="85">
        <f>L67-Q67</f>
        <v>1116.0500000000002</v>
      </c>
      <c r="T67" s="13"/>
      <c r="U67" s="13"/>
      <c r="V67" s="13"/>
      <c r="W67" s="13"/>
      <c r="X67" s="13"/>
      <c r="Y67" s="13"/>
      <c r="Z67" s="13"/>
      <c r="AA67" s="13"/>
      <c r="AB67" s="13"/>
      <c r="AC67" s="13"/>
      <c r="AD67" s="13"/>
      <c r="AE67" s="13"/>
      <c r="AF67" s="13"/>
      <c r="AG67" s="13"/>
      <c r="AH67" s="13"/>
      <c r="AI67" s="13"/>
      <c r="AJ67" s="13"/>
      <c r="AK67" s="13"/>
      <c r="AL67" s="13"/>
      <c r="AM67" s="13"/>
      <c r="AN67" s="13"/>
    </row>
    <row r="68" spans="1:40" ht="20.25">
      <c r="A68" t="str">
        <f t="shared" si="1"/>
        <v>Véhicules neufsFrais bancaires</v>
      </c>
      <c r="B68" s="11" t="str">
        <f t="shared" si="0"/>
        <v>Véhicules neufs</v>
      </c>
      <c r="C68" s="29" t="s">
        <v>62</v>
      </c>
      <c r="D68" s="81"/>
      <c r="E68" s="13"/>
      <c r="F68" s="30">
        <f>+SUM(START:END!F68)</f>
        <v>8259.9750318579154</v>
      </c>
      <c r="G68" s="83"/>
      <c r="H68" s="13"/>
      <c r="I68" s="30">
        <f>+SUM(START:END!I68)</f>
        <v>0</v>
      </c>
      <c r="J68" s="41"/>
      <c r="K68" s="13"/>
      <c r="L68" s="32">
        <f>+SUM(START:END!L68)</f>
        <v>7656.22</v>
      </c>
      <c r="M68" s="41"/>
      <c r="N68" s="59">
        <f t="shared" si="23"/>
        <v>-603.75503185791513</v>
      </c>
      <c r="O68" s="41"/>
      <c r="P68" s="13"/>
      <c r="Q68" s="33">
        <f>+SUM(START:END!Q68)</f>
        <v>7635.17</v>
      </c>
      <c r="R68" s="41"/>
      <c r="S68" s="85">
        <f>L68-Q68</f>
        <v>21.050000000000182</v>
      </c>
      <c r="T68" s="13"/>
      <c r="U68" s="13"/>
      <c r="V68" s="13"/>
      <c r="W68" s="13"/>
      <c r="X68" s="13"/>
      <c r="Y68" s="13"/>
      <c r="Z68" s="13"/>
      <c r="AA68" s="13"/>
      <c r="AB68" s="13"/>
      <c r="AC68" s="13"/>
      <c r="AD68" s="13"/>
      <c r="AE68" s="13"/>
      <c r="AF68" s="13"/>
      <c r="AG68" s="13"/>
      <c r="AH68" s="13"/>
      <c r="AI68" s="13"/>
      <c r="AJ68" s="13"/>
      <c r="AK68" s="13"/>
      <c r="AL68" s="13"/>
      <c r="AM68" s="13"/>
      <c r="AN68" s="13"/>
    </row>
    <row r="69" spans="1:40" ht="20.25" hidden="1">
      <c r="A69" t="str">
        <f t="shared" si="1"/>
        <v>Véhicules neufs[...]</v>
      </c>
      <c r="B69" s="11" t="str">
        <f t="shared" si="0"/>
        <v>Véhicules neufs</v>
      </c>
      <c r="C69" s="29" t="s">
        <v>19</v>
      </c>
      <c r="D69" s="81"/>
      <c r="E69" s="13"/>
      <c r="F69" s="30">
        <f>+SUM(START:END!F69)</f>
        <v>0</v>
      </c>
      <c r="G69" s="83"/>
      <c r="H69" s="13"/>
      <c r="I69" s="30">
        <f>+SUM(START:END!I69)</f>
        <v>0</v>
      </c>
      <c r="J69" s="41"/>
      <c r="K69" s="13"/>
      <c r="L69" s="33">
        <f>+SUM(START:END!L69)</f>
        <v>0</v>
      </c>
      <c r="M69" s="41"/>
      <c r="N69" s="59">
        <f t="shared" si="23"/>
        <v>0</v>
      </c>
      <c r="O69" s="41"/>
      <c r="P69" s="13"/>
      <c r="Q69" s="33">
        <f>+SUM(START:END!Q69)</f>
        <v>0</v>
      </c>
      <c r="R69" s="41"/>
      <c r="S69" s="85">
        <f>L69-Q69</f>
        <v>0</v>
      </c>
      <c r="T69" s="13"/>
      <c r="U69" s="13"/>
      <c r="V69" s="13"/>
      <c r="W69" s="13"/>
      <c r="X69" s="13"/>
      <c r="Y69" s="13"/>
      <c r="Z69" s="13"/>
      <c r="AA69" s="13"/>
      <c r="AB69" s="13"/>
      <c r="AC69" s="13"/>
      <c r="AD69" s="13"/>
      <c r="AE69" s="13"/>
      <c r="AF69" s="13"/>
      <c r="AG69" s="13"/>
      <c r="AH69" s="13"/>
      <c r="AI69" s="13"/>
      <c r="AJ69" s="13"/>
      <c r="AK69" s="13"/>
      <c r="AL69" s="13"/>
      <c r="AM69" s="13"/>
      <c r="AN69" s="13"/>
    </row>
    <row r="70" spans="1:40" ht="20.25" hidden="1">
      <c r="A70" t="str">
        <f t="shared" si="1"/>
        <v>Véhicules neufs[...]</v>
      </c>
      <c r="B70" s="11" t="str">
        <f t="shared" si="0"/>
        <v>Véhicules neufs</v>
      </c>
      <c r="C70" s="29" t="s">
        <v>19</v>
      </c>
      <c r="D70" s="81"/>
      <c r="E70" s="13"/>
      <c r="F70" s="30">
        <f>+SUM(START:END!F70)</f>
        <v>0</v>
      </c>
      <c r="G70" s="83"/>
      <c r="H70" s="13"/>
      <c r="I70" s="30">
        <f>+SUM(START:END!I70)</f>
        <v>0</v>
      </c>
      <c r="J70" s="41"/>
      <c r="K70" s="13"/>
      <c r="L70" s="33">
        <f>+SUM(START:END!L70)</f>
        <v>0</v>
      </c>
      <c r="M70" s="41"/>
      <c r="N70" s="59">
        <f t="shared" si="23"/>
        <v>0</v>
      </c>
      <c r="O70" s="41"/>
      <c r="P70" s="13"/>
      <c r="Q70" s="33">
        <f>+SUM(START:END!Q70)</f>
        <v>0</v>
      </c>
      <c r="R70" s="41"/>
      <c r="S70" s="85">
        <f t="shared" si="24"/>
        <v>0</v>
      </c>
      <c r="T70" s="13"/>
      <c r="U70" s="13"/>
      <c r="V70" s="13"/>
      <c r="W70" s="13"/>
      <c r="X70" s="13"/>
      <c r="Y70" s="13"/>
      <c r="Z70" s="13"/>
      <c r="AA70" s="13"/>
      <c r="AB70" s="13"/>
      <c r="AC70" s="13"/>
      <c r="AD70" s="13"/>
      <c r="AE70" s="13"/>
      <c r="AF70" s="13"/>
      <c r="AG70" s="13"/>
      <c r="AH70" s="13"/>
      <c r="AI70" s="13"/>
      <c r="AJ70" s="13"/>
      <c r="AK70" s="13"/>
      <c r="AL70" s="13"/>
      <c r="AM70" s="13"/>
      <c r="AN70" s="13"/>
    </row>
    <row r="71" spans="1:40" ht="20.25" hidden="1">
      <c r="A71" t="str">
        <f t="shared" si="1"/>
        <v>Véhicules neufs[...]</v>
      </c>
      <c r="B71" s="11" t="str">
        <f t="shared" si="0"/>
        <v>Véhicules neufs</v>
      </c>
      <c r="C71" s="29" t="s">
        <v>19</v>
      </c>
      <c r="D71" s="81"/>
      <c r="E71" s="13"/>
      <c r="F71" s="30">
        <f>+SUM(START:END!F71)</f>
        <v>0</v>
      </c>
      <c r="G71" s="83"/>
      <c r="H71" s="13"/>
      <c r="I71" s="30">
        <f>+SUM(START:END!I71)</f>
        <v>0</v>
      </c>
      <c r="J71" s="41"/>
      <c r="K71" s="13"/>
      <c r="L71" s="33">
        <f>+SUM(START:END!L71)</f>
        <v>0</v>
      </c>
      <c r="M71" s="41"/>
      <c r="N71" s="59">
        <f t="shared" si="23"/>
        <v>0</v>
      </c>
      <c r="O71" s="41"/>
      <c r="P71" s="13"/>
      <c r="Q71" s="33">
        <f>+SUM(START:END!Q71)</f>
        <v>0</v>
      </c>
      <c r="R71" s="41"/>
      <c r="S71" s="85">
        <f t="shared" si="24"/>
        <v>0</v>
      </c>
      <c r="T71" s="13"/>
      <c r="U71" s="13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11"/>
      <c r="AH71" s="11"/>
      <c r="AI71" s="11"/>
      <c r="AJ71" s="11"/>
      <c r="AK71" s="11"/>
      <c r="AL71" s="11"/>
      <c r="AM71" s="11"/>
      <c r="AN71" s="11"/>
    </row>
    <row r="72" spans="1:40" ht="20.25">
      <c r="A72" t="str">
        <f t="shared" si="1"/>
        <v>Véhicules neufsTOTAL SEMI-FIXES</v>
      </c>
      <c r="B72" s="11" t="str">
        <f t="shared" si="0"/>
        <v>Véhicules neufs</v>
      </c>
      <c r="C72" s="93" t="s">
        <v>63</v>
      </c>
      <c r="D72" s="94" t="s">
        <v>38</v>
      </c>
      <c r="E72" s="95">
        <f>F72/F$27</f>
        <v>0.12743658023028631</v>
      </c>
      <c r="F72" s="96">
        <f>+SUM(F55:F71)</f>
        <v>57085.266471857918</v>
      </c>
      <c r="G72" s="97" t="s">
        <v>38</v>
      </c>
      <c r="H72" s="95" t="e">
        <f>I72/I$27</f>
        <v>#DIV/0!</v>
      </c>
      <c r="I72" s="96">
        <f>+SUM(I55:I71)</f>
        <v>0</v>
      </c>
      <c r="J72" s="97" t="s">
        <v>38</v>
      </c>
      <c r="K72" s="95">
        <f>L72/L$27</f>
        <v>0.19939949526223744</v>
      </c>
      <c r="L72" s="96">
        <f>+SUM(L55:L71)</f>
        <v>68173.17</v>
      </c>
      <c r="M72" s="100"/>
      <c r="N72" s="96">
        <f>+SUM(N55:N71)</f>
        <v>11087.90352814208</v>
      </c>
      <c r="O72" s="97" t="s">
        <v>38</v>
      </c>
      <c r="P72" s="95">
        <f>Q72/Q$27</f>
        <v>0.10932318421723274</v>
      </c>
      <c r="Q72" s="96">
        <f>+SUM(Q55:Q71)</f>
        <v>53365.85</v>
      </c>
      <c r="R72" s="100"/>
      <c r="S72" s="101">
        <f>+SUM(S55:S71)</f>
        <v>14807.319999999996</v>
      </c>
      <c r="T72" s="13"/>
      <c r="U72" s="13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1"/>
      <c r="AI72" s="11"/>
      <c r="AJ72" s="11"/>
      <c r="AK72" s="11"/>
      <c r="AL72" s="11"/>
      <c r="AM72" s="11"/>
      <c r="AN72" s="11"/>
    </row>
    <row r="73" spans="1:40" ht="20.25">
      <c r="A73" t="str">
        <f t="shared" si="1"/>
        <v>Véhicules neufs</v>
      </c>
      <c r="B73" s="11" t="str">
        <f t="shared" si="0"/>
        <v>Véhicules neufs</v>
      </c>
      <c r="C73" s="86"/>
      <c r="D73" s="87"/>
      <c r="E73" s="111"/>
      <c r="F73" s="59"/>
      <c r="G73" s="89"/>
      <c r="H73" s="111"/>
      <c r="I73" s="59"/>
      <c r="J73" s="23"/>
      <c r="K73" s="111"/>
      <c r="L73" s="91"/>
      <c r="M73" s="23"/>
      <c r="N73" s="91"/>
      <c r="O73" s="23"/>
      <c r="P73" s="111"/>
      <c r="Q73" s="91"/>
      <c r="R73" s="23"/>
      <c r="S73" s="92"/>
      <c r="T73" s="13"/>
      <c r="U73" s="13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  <c r="AG73" s="11"/>
      <c r="AH73" s="11"/>
      <c r="AI73" s="11"/>
      <c r="AJ73" s="11"/>
      <c r="AK73" s="11"/>
      <c r="AL73" s="11"/>
      <c r="AM73" s="11"/>
      <c r="AN73" s="11"/>
    </row>
    <row r="74" spans="1:40" ht="20.25">
      <c r="A74" t="str">
        <f t="shared" si="1"/>
        <v>Véhicules neufsTOTAL DES DÉPENSES</v>
      </c>
      <c r="B74" s="11" t="str">
        <f t="shared" si="0"/>
        <v>Véhicules neufs</v>
      </c>
      <c r="C74" s="93" t="s">
        <v>64</v>
      </c>
      <c r="D74" s="94" t="s">
        <v>38</v>
      </c>
      <c r="E74" s="95">
        <f>F74/F$27</f>
        <v>0.97753664376020344</v>
      </c>
      <c r="F74" s="96">
        <f>F41+F54+F72</f>
        <v>437887.92585470562</v>
      </c>
      <c r="G74" s="97" t="s">
        <v>38</v>
      </c>
      <c r="H74" s="95" t="e">
        <f>I74/I$27</f>
        <v>#DIV/0!</v>
      </c>
      <c r="I74" s="96">
        <f>I41+I54+I72</f>
        <v>0</v>
      </c>
      <c r="J74" s="97" t="s">
        <v>38</v>
      </c>
      <c r="K74" s="95">
        <f>L74/L$27</f>
        <v>1.2771178089105761</v>
      </c>
      <c r="L74" s="96">
        <f>L41+L54+L72</f>
        <v>436636.86</v>
      </c>
      <c r="M74" s="100"/>
      <c r="N74" s="113">
        <f t="shared" ref="N74:N82" si="25">L74-F74</f>
        <v>-1251.0658547056373</v>
      </c>
      <c r="O74" s="97" t="s">
        <v>38</v>
      </c>
      <c r="P74" s="95">
        <f>Q74/Q$27</f>
        <v>0.76306047597079307</v>
      </c>
      <c r="Q74" s="96">
        <f>Q41+Q54+Q72</f>
        <v>372486.14</v>
      </c>
      <c r="R74" s="100"/>
      <c r="S74" s="114">
        <f>L74-Q74</f>
        <v>64150.719999999972</v>
      </c>
      <c r="T74" s="13"/>
      <c r="U74" s="13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1"/>
      <c r="AG74" s="11"/>
      <c r="AH74" s="11"/>
      <c r="AI74" s="11"/>
      <c r="AJ74" s="11"/>
      <c r="AK74" s="11"/>
      <c r="AL74" s="11"/>
      <c r="AM74" s="11"/>
      <c r="AN74" s="11"/>
    </row>
    <row r="75" spans="1:40" ht="20.25">
      <c r="A75" t="str">
        <f t="shared" si="1"/>
        <v>Véhicules neufsRBSC neuf</v>
      </c>
      <c r="B75" s="11" t="str">
        <f t="shared" si="0"/>
        <v>Véhicules neufs</v>
      </c>
      <c r="C75" s="29" t="s">
        <v>216</v>
      </c>
      <c r="D75" s="81"/>
      <c r="E75" s="13"/>
      <c r="F75" s="30">
        <f>+SUM(START:END!F75)</f>
        <v>97554.958307692345</v>
      </c>
      <c r="G75" s="83"/>
      <c r="H75" s="13"/>
      <c r="I75" s="30">
        <f>+SUM(START:END!I75)</f>
        <v>0</v>
      </c>
      <c r="J75" s="41"/>
      <c r="K75" s="13"/>
      <c r="L75" s="32">
        <f>+SUM(START:END!L75)</f>
        <v>85982.59</v>
      </c>
      <c r="M75" s="41"/>
      <c r="N75" s="59">
        <f t="shared" si="25"/>
        <v>-11572.368307692348</v>
      </c>
      <c r="O75" s="41"/>
      <c r="P75" s="13"/>
      <c r="Q75" s="32">
        <f>+SUM(START:END!Q75)</f>
        <v>152843.78</v>
      </c>
      <c r="R75" s="41"/>
      <c r="S75" s="85">
        <f>L75-Q75</f>
        <v>-66861.19</v>
      </c>
      <c r="T75" s="13"/>
      <c r="U75" s="13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11"/>
      <c r="AH75" s="11"/>
      <c r="AI75" s="11"/>
      <c r="AJ75" s="11"/>
      <c r="AK75" s="11"/>
      <c r="AL75" s="11"/>
      <c r="AM75" s="11"/>
      <c r="AN75" s="11"/>
    </row>
    <row r="76" spans="1:40" ht="20.25" hidden="1">
      <c r="A76" t="str">
        <f t="shared" si="1"/>
        <v>Véhicules neufsProgramme neuf 2</v>
      </c>
      <c r="B76" s="11" t="str">
        <f t="shared" si="0"/>
        <v>Véhicules neufs</v>
      </c>
      <c r="C76" s="29" t="s">
        <v>188</v>
      </c>
      <c r="D76" s="81"/>
      <c r="E76" s="13"/>
      <c r="F76" s="30">
        <f>+SUM(START:END!F76)</f>
        <v>0</v>
      </c>
      <c r="G76" s="83"/>
      <c r="H76" s="13"/>
      <c r="I76" s="30">
        <f>+SUM(START:END!I76)</f>
        <v>0</v>
      </c>
      <c r="J76" s="41"/>
      <c r="K76" s="13"/>
      <c r="L76" s="32">
        <f>+SUM(START:END!L76)</f>
        <v>0</v>
      </c>
      <c r="M76" s="41"/>
      <c r="N76" s="59">
        <f t="shared" si="25"/>
        <v>0</v>
      </c>
      <c r="O76" s="41"/>
      <c r="P76" s="13"/>
      <c r="Q76" s="32">
        <f>+SUM(START:END!Q76)</f>
        <v>0</v>
      </c>
      <c r="R76" s="41"/>
      <c r="S76" s="85">
        <f>L76-Q76</f>
        <v>0</v>
      </c>
      <c r="T76" s="13"/>
      <c r="U76" s="13"/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11"/>
      <c r="AG76" s="11"/>
      <c r="AH76" s="11"/>
      <c r="AI76" s="11"/>
      <c r="AJ76" s="11"/>
      <c r="AK76" s="11"/>
      <c r="AL76" s="11"/>
      <c r="AM76" s="11"/>
      <c r="AN76" s="11"/>
    </row>
    <row r="77" spans="1:40" ht="20.25" hidden="1">
      <c r="A77" t="str">
        <f t="shared" si="1"/>
        <v>Véhicules neufsProgramme neuf 3</v>
      </c>
      <c r="B77" s="11" t="str">
        <f t="shared" si="0"/>
        <v>Véhicules neufs</v>
      </c>
      <c r="C77" s="29" t="s">
        <v>65</v>
      </c>
      <c r="D77" s="81"/>
      <c r="E77" s="13"/>
      <c r="F77" s="30">
        <f>+SUM(START:END!F77)</f>
        <v>0</v>
      </c>
      <c r="G77" s="83"/>
      <c r="H77" s="13"/>
      <c r="I77" s="30">
        <f>+SUM(START:END!I77)</f>
        <v>0</v>
      </c>
      <c r="J77" s="41"/>
      <c r="K77" s="13"/>
      <c r="L77" s="32">
        <f>+SUM(START:END!L77)</f>
        <v>0</v>
      </c>
      <c r="M77" s="41"/>
      <c r="N77" s="59">
        <f t="shared" si="25"/>
        <v>0</v>
      </c>
      <c r="O77" s="41"/>
      <c r="P77" s="13"/>
      <c r="Q77" s="32">
        <f>+SUM(START:END!Q77)</f>
        <v>0</v>
      </c>
      <c r="R77" s="41"/>
      <c r="S77" s="85">
        <f t="shared" ref="S77:S82" si="26">L77-Q77</f>
        <v>0</v>
      </c>
      <c r="T77" s="13"/>
      <c r="U77" s="13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11"/>
      <c r="AH77" s="11"/>
      <c r="AI77" s="11"/>
      <c r="AJ77" s="11"/>
      <c r="AK77" s="11"/>
      <c r="AL77" s="11"/>
      <c r="AM77" s="11"/>
      <c r="AN77" s="11"/>
    </row>
    <row r="78" spans="1:40" ht="20.25">
      <c r="A78" t="str">
        <f t="shared" si="1"/>
        <v>Véhicules neufsHoldbacks</v>
      </c>
      <c r="B78" s="11" t="str">
        <f t="shared" si="0"/>
        <v>Véhicules neufs</v>
      </c>
      <c r="C78" s="29" t="s">
        <v>66</v>
      </c>
      <c r="D78" s="81"/>
      <c r="E78" s="13"/>
      <c r="F78" s="30">
        <f>+SUM(START:END!F78)</f>
        <v>111491.38092307695</v>
      </c>
      <c r="G78" s="83"/>
      <c r="H78" s="13"/>
      <c r="I78" s="30">
        <f>+SUM(START:END!I78)</f>
        <v>0</v>
      </c>
      <c r="J78" s="41"/>
      <c r="K78" s="13"/>
      <c r="L78" s="33">
        <f>+SUM(START:END!L78)</f>
        <v>107698.5</v>
      </c>
      <c r="M78" s="41"/>
      <c r="N78" s="59">
        <f t="shared" si="25"/>
        <v>-3792.8809230769548</v>
      </c>
      <c r="O78" s="41"/>
      <c r="P78" s="13"/>
      <c r="Q78" s="32">
        <f>+SUM(START:END!Q78)</f>
        <v>118202.6</v>
      </c>
      <c r="R78" s="41"/>
      <c r="S78" s="85">
        <f t="shared" si="26"/>
        <v>-10504.100000000006</v>
      </c>
      <c r="T78" s="13"/>
      <c r="U78" s="13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/>
      <c r="AI78" s="11"/>
      <c r="AJ78" s="11"/>
      <c r="AK78" s="11"/>
      <c r="AL78" s="11"/>
      <c r="AM78" s="11"/>
      <c r="AN78" s="11"/>
    </row>
    <row r="79" spans="1:40" ht="20.25" hidden="1">
      <c r="A79" t="str">
        <f t="shared" si="1"/>
        <v>Véhicules neufs[...]</v>
      </c>
      <c r="B79" s="11" t="str">
        <f t="shared" si="0"/>
        <v>Véhicules neufs</v>
      </c>
      <c r="C79" s="29" t="s">
        <v>19</v>
      </c>
      <c r="D79" s="81"/>
      <c r="E79" s="13"/>
      <c r="F79" s="30">
        <f>+SUM(START:END!F79)</f>
        <v>0</v>
      </c>
      <c r="G79" s="83"/>
      <c r="H79" s="13"/>
      <c r="I79" s="30">
        <f>+SUM(START:END!I79)</f>
        <v>0</v>
      </c>
      <c r="J79" s="41"/>
      <c r="K79" s="13"/>
      <c r="L79" s="33">
        <f>+SUM(START:END!L79)</f>
        <v>0</v>
      </c>
      <c r="M79" s="41"/>
      <c r="N79" s="59">
        <f t="shared" si="25"/>
        <v>0</v>
      </c>
      <c r="O79" s="41"/>
      <c r="P79" s="13"/>
      <c r="Q79" s="32">
        <f>+SUM(START:END!Q79)</f>
        <v>0</v>
      </c>
      <c r="R79" s="41"/>
      <c r="S79" s="85">
        <f>L79-Q79</f>
        <v>0</v>
      </c>
      <c r="T79" s="13"/>
      <c r="U79" s="13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11"/>
      <c r="AJ79" s="11"/>
      <c r="AK79" s="11"/>
      <c r="AL79" s="11"/>
      <c r="AM79" s="11"/>
      <c r="AN79" s="11"/>
    </row>
    <row r="80" spans="1:40" ht="20.25" hidden="1">
      <c r="A80" t="str">
        <f t="shared" si="1"/>
        <v>Véhicules neufs[...]</v>
      </c>
      <c r="B80" s="11" t="str">
        <f t="shared" si="0"/>
        <v>Véhicules neufs</v>
      </c>
      <c r="C80" s="29" t="s">
        <v>19</v>
      </c>
      <c r="D80" s="81"/>
      <c r="E80" s="13"/>
      <c r="F80" s="30">
        <f>+SUM(START:END!F80)</f>
        <v>0</v>
      </c>
      <c r="G80" s="83"/>
      <c r="H80" s="13"/>
      <c r="I80" s="30">
        <f>+SUM(START:END!I80)</f>
        <v>0</v>
      </c>
      <c r="J80" s="41"/>
      <c r="K80" s="13"/>
      <c r="L80" s="33">
        <f>+SUM(START:END!L80)</f>
        <v>0</v>
      </c>
      <c r="M80" s="41"/>
      <c r="N80" s="59">
        <f t="shared" si="25"/>
        <v>0</v>
      </c>
      <c r="O80" s="41"/>
      <c r="P80" s="13"/>
      <c r="Q80" s="32">
        <f>+SUM(START:END!Q80)</f>
        <v>0</v>
      </c>
      <c r="R80" s="41"/>
      <c r="S80" s="85">
        <f>L80-Q80</f>
        <v>0</v>
      </c>
      <c r="T80" s="13"/>
      <c r="U80" s="13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/>
      <c r="AH80" s="11"/>
      <c r="AI80" s="11"/>
      <c r="AJ80" s="11"/>
      <c r="AK80" s="11"/>
      <c r="AL80" s="11"/>
      <c r="AM80" s="11"/>
      <c r="AN80" s="11"/>
    </row>
    <row r="81" spans="1:40" ht="20.25" hidden="1">
      <c r="A81" t="str">
        <f t="shared" si="1"/>
        <v>Véhicules neufs[...]</v>
      </c>
      <c r="B81" s="11" t="str">
        <f t="shared" si="0"/>
        <v>Véhicules neufs</v>
      </c>
      <c r="C81" s="29" t="s">
        <v>19</v>
      </c>
      <c r="D81" s="81"/>
      <c r="E81" s="13"/>
      <c r="F81" s="30">
        <f>+SUM(START:END!F81)</f>
        <v>0</v>
      </c>
      <c r="G81" s="83"/>
      <c r="H81" s="13"/>
      <c r="I81" s="30">
        <f>+SUM(START:END!I81)</f>
        <v>0</v>
      </c>
      <c r="J81" s="41"/>
      <c r="K81" s="13"/>
      <c r="L81" s="33">
        <f>+SUM(START:END!L81)</f>
        <v>0</v>
      </c>
      <c r="M81" s="41"/>
      <c r="N81" s="59">
        <f t="shared" si="25"/>
        <v>0</v>
      </c>
      <c r="O81" s="41"/>
      <c r="P81" s="13"/>
      <c r="Q81" s="32">
        <f>+SUM(START:END!Q81)</f>
        <v>0</v>
      </c>
      <c r="R81" s="41"/>
      <c r="S81" s="85">
        <f>L81-Q81</f>
        <v>0</v>
      </c>
      <c r="T81" s="13"/>
      <c r="U81" s="13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  <c r="AI81" s="11"/>
      <c r="AJ81" s="11"/>
      <c r="AK81" s="11"/>
      <c r="AL81" s="11"/>
      <c r="AM81" s="11"/>
      <c r="AN81" s="11"/>
    </row>
    <row r="82" spans="1:40" ht="20.25">
      <c r="A82" t="str">
        <f t="shared" si="1"/>
        <v>Véhicules neufsFrais administration</v>
      </c>
      <c r="B82" s="11" t="str">
        <f t="shared" si="0"/>
        <v>Véhicules neufs</v>
      </c>
      <c r="C82" s="29" t="s">
        <v>67</v>
      </c>
      <c r="D82" s="81"/>
      <c r="E82" s="13"/>
      <c r="F82" s="30">
        <f>+SUM(START:END!F82)</f>
        <v>38877.300000000003</v>
      </c>
      <c r="G82" s="83"/>
      <c r="H82" s="13"/>
      <c r="I82" s="30">
        <f>+SUM(START:END!I82)</f>
        <v>0</v>
      </c>
      <c r="J82" s="41"/>
      <c r="K82" s="13"/>
      <c r="L82" s="32">
        <f>+SUM(START:END!L82)</f>
        <v>34510</v>
      </c>
      <c r="M82" s="41"/>
      <c r="N82" s="59">
        <f t="shared" si="25"/>
        <v>-4367.3000000000029</v>
      </c>
      <c r="O82" s="41"/>
      <c r="P82" s="13"/>
      <c r="Q82" s="32">
        <f>+SUM(START:END!Q82)</f>
        <v>37485</v>
      </c>
      <c r="R82" s="41"/>
      <c r="S82" s="85">
        <f t="shared" si="26"/>
        <v>-2975</v>
      </c>
      <c r="T82" s="13"/>
      <c r="U82" s="13"/>
      <c r="V82" s="11"/>
      <c r="W82" s="489"/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/>
      <c r="AI82" s="11"/>
      <c r="AJ82" s="11"/>
      <c r="AK82" s="11"/>
      <c r="AL82" s="11"/>
      <c r="AM82" s="11"/>
      <c r="AN82" s="11"/>
    </row>
    <row r="83" spans="1:40" ht="20.25">
      <c r="A83" t="str">
        <f t="shared" si="1"/>
        <v>Véhicules neufsAUTRES REVENUS</v>
      </c>
      <c r="B83" s="11" t="str">
        <f t="shared" si="0"/>
        <v>Véhicules neufs</v>
      </c>
      <c r="C83" s="93" t="s">
        <v>68</v>
      </c>
      <c r="D83" s="94"/>
      <c r="E83" s="95"/>
      <c r="F83" s="96">
        <f>+SUM(F75:F82)</f>
        <v>247923.6392307693</v>
      </c>
      <c r="G83" s="97"/>
      <c r="H83" s="95"/>
      <c r="I83" s="96">
        <f>+SUM(I75:I82)</f>
        <v>0</v>
      </c>
      <c r="J83" s="97"/>
      <c r="K83" s="95"/>
      <c r="L83" s="96">
        <f>+SUM(L75:L82)</f>
        <v>228191.09</v>
      </c>
      <c r="M83" s="100"/>
      <c r="N83" s="96">
        <f>+SUM(N75:N82)</f>
        <v>-19732.549230769306</v>
      </c>
      <c r="O83" s="97"/>
      <c r="P83" s="95"/>
      <c r="Q83" s="96">
        <f>+SUM(Q75:Q82)</f>
        <v>308531.38</v>
      </c>
      <c r="R83" s="100"/>
      <c r="S83" s="101">
        <f>+SUM(S75:S82)</f>
        <v>-80340.290000000008</v>
      </c>
      <c r="T83" s="13"/>
      <c r="U83" s="13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  <c r="AI83" s="11"/>
      <c r="AJ83" s="11"/>
      <c r="AK83" s="11"/>
      <c r="AL83" s="11"/>
      <c r="AM83" s="11"/>
      <c r="AN83" s="11"/>
    </row>
    <row r="84" spans="1:40" ht="20.25">
      <c r="A84" t="str">
        <f t="shared" si="1"/>
        <v>Véhicules neufs</v>
      </c>
      <c r="B84" s="11" t="str">
        <f t="shared" si="0"/>
        <v>Véhicules neufs</v>
      </c>
      <c r="C84" s="115"/>
      <c r="D84" s="116"/>
      <c r="E84" s="117"/>
      <c r="F84" s="118"/>
      <c r="G84" s="119"/>
      <c r="H84" s="117"/>
      <c r="I84" s="118"/>
      <c r="J84" s="120"/>
      <c r="K84" s="121"/>
      <c r="L84" s="118"/>
      <c r="M84" s="120"/>
      <c r="N84" s="122"/>
      <c r="O84" s="120"/>
      <c r="P84" s="121"/>
      <c r="Q84" s="118"/>
      <c r="R84" s="120"/>
      <c r="S84" s="123"/>
      <c r="T84" s="13"/>
      <c r="U84" s="13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/>
      <c r="AI84" s="11"/>
      <c r="AJ84" s="11"/>
      <c r="AK84" s="11"/>
      <c r="AL84" s="11"/>
      <c r="AM84" s="11"/>
      <c r="AN84" s="11"/>
    </row>
    <row r="85" spans="1:40" ht="21" thickBot="1">
      <c r="A85" t="str">
        <f t="shared" si="1"/>
        <v>Véhicules neufsPROFIT DÉPARTEMENTAL</v>
      </c>
      <c r="B85" s="11" t="str">
        <f t="shared" si="0"/>
        <v>Véhicules neufs</v>
      </c>
      <c r="C85" s="124" t="s">
        <v>69</v>
      </c>
      <c r="D85" s="125"/>
      <c r="E85" s="126"/>
      <c r="F85" s="127">
        <f>F27-F74+F83</f>
        <v>257986.10853498173</v>
      </c>
      <c r="G85" s="128"/>
      <c r="H85" s="126"/>
      <c r="I85" s="127">
        <f>I27-I74+I83</f>
        <v>0</v>
      </c>
      <c r="J85" s="128"/>
      <c r="K85" s="125"/>
      <c r="L85" s="127">
        <f>L27-L74+L83</f>
        <v>133446.61999999985</v>
      </c>
      <c r="M85" s="128"/>
      <c r="N85" s="127">
        <f>N27-N41-N54-N72+N83</f>
        <v>-124539.48853498185</v>
      </c>
      <c r="O85" s="128"/>
      <c r="P85" s="125"/>
      <c r="Q85" s="127">
        <f>Q27-Q74+Q83</f>
        <v>424192.83999999962</v>
      </c>
      <c r="R85" s="128"/>
      <c r="S85" s="129">
        <f>S27-S41-S54-S72+S83</f>
        <v>-290746.2199999998</v>
      </c>
      <c r="T85" s="13"/>
      <c r="U85" s="13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11"/>
      <c r="AH85" s="11"/>
      <c r="AI85" s="11"/>
      <c r="AJ85" s="11"/>
      <c r="AK85" s="11"/>
      <c r="AL85" s="11"/>
      <c r="AM85" s="11"/>
      <c r="AN85" s="11"/>
    </row>
    <row r="86" spans="1:40" ht="24" thickTop="1">
      <c r="B86" s="130"/>
      <c r="C86" s="131"/>
      <c r="D86" s="131"/>
      <c r="E86" s="131"/>
      <c r="F86" s="131"/>
      <c r="G86" s="131"/>
      <c r="H86" s="131"/>
      <c r="I86" s="131"/>
      <c r="J86" s="131"/>
      <c r="K86" s="131"/>
      <c r="L86" s="132"/>
      <c r="M86" s="131"/>
      <c r="N86" s="131"/>
      <c r="O86" s="131"/>
      <c r="P86" s="131"/>
      <c r="Q86" s="131"/>
      <c r="R86" s="131"/>
      <c r="S86" s="131"/>
      <c r="T86" s="131"/>
      <c r="U86" s="131"/>
      <c r="V86" s="130"/>
      <c r="W86" s="130"/>
      <c r="X86" s="130"/>
      <c r="Y86" s="130"/>
      <c r="Z86" s="130"/>
      <c r="AA86" s="130"/>
      <c r="AB86" s="130"/>
      <c r="AC86" s="130"/>
      <c r="AD86" s="130"/>
      <c r="AE86" s="130"/>
      <c r="AF86" s="130"/>
      <c r="AG86" s="130"/>
      <c r="AH86" s="130"/>
      <c r="AI86" s="130"/>
      <c r="AJ86" s="130"/>
      <c r="AK86" s="130"/>
      <c r="AL86" s="130"/>
      <c r="AM86" s="130"/>
      <c r="AN86" s="130"/>
    </row>
    <row r="87" spans="1:40" ht="23.25">
      <c r="B87" s="130"/>
      <c r="C87" s="131"/>
      <c r="D87" s="131"/>
      <c r="E87" s="131"/>
      <c r="F87" s="131"/>
      <c r="G87" s="131"/>
      <c r="H87" s="131"/>
      <c r="I87" s="131"/>
      <c r="J87" s="131"/>
      <c r="K87" s="131"/>
      <c r="L87" s="131"/>
      <c r="M87" s="131"/>
      <c r="N87" s="131"/>
      <c r="O87" s="131"/>
      <c r="P87" s="131"/>
      <c r="Q87" s="131"/>
      <c r="R87" s="131"/>
      <c r="S87" s="131"/>
      <c r="T87" s="131"/>
      <c r="U87" s="131"/>
      <c r="V87" s="130"/>
      <c r="W87" s="130"/>
      <c r="X87" s="130"/>
      <c r="Y87" s="130"/>
      <c r="Z87" s="130"/>
      <c r="AA87" s="130"/>
      <c r="AB87" s="130"/>
      <c r="AC87" s="130"/>
      <c r="AD87" s="130"/>
      <c r="AE87" s="130"/>
      <c r="AF87" s="130"/>
      <c r="AG87" s="130"/>
      <c r="AH87" s="130"/>
      <c r="AI87" s="130"/>
      <c r="AJ87" s="130"/>
      <c r="AK87" s="130"/>
      <c r="AL87" s="130"/>
      <c r="AM87" s="130"/>
      <c r="AN87" s="130"/>
    </row>
    <row r="88" spans="1:40" ht="15.75">
      <c r="B88" s="7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</row>
    <row r="89" spans="1:40" ht="35.25">
      <c r="B89" s="1"/>
      <c r="C89" s="6" t="str">
        <f>C1</f>
        <v>BMW Sherbrooke</v>
      </c>
      <c r="D89" s="2"/>
      <c r="E89" s="2"/>
      <c r="F89" s="2"/>
      <c r="G89" s="2"/>
      <c r="H89" s="1"/>
      <c r="I89" s="1"/>
      <c r="J89" s="1"/>
      <c r="K89" s="3" t="s">
        <v>70</v>
      </c>
      <c r="L89" s="2"/>
      <c r="M89" s="2"/>
      <c r="N89" s="1"/>
      <c r="O89" s="1"/>
      <c r="P89" s="2"/>
      <c r="Q89" s="1"/>
      <c r="R89" s="2"/>
      <c r="S89" s="5" t="str">
        <f>$S$1</f>
        <v>Réalisé  Q3 2024</v>
      </c>
      <c r="T89" s="6"/>
      <c r="U89" s="6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</row>
    <row r="90" spans="1:40" ht="16.5" thickBot="1">
      <c r="B90" s="7"/>
      <c r="C90" s="8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</row>
    <row r="91" spans="1:40" ht="21" thickTop="1">
      <c r="B91" s="11"/>
      <c r="C91" s="12"/>
      <c r="D91" s="496" t="s">
        <v>5</v>
      </c>
      <c r="E91" s="497"/>
      <c r="F91" s="498"/>
      <c r="G91" s="499" t="s">
        <v>71</v>
      </c>
      <c r="H91" s="497"/>
      <c r="I91" s="498"/>
      <c r="J91" s="499" t="s">
        <v>7</v>
      </c>
      <c r="K91" s="497"/>
      <c r="L91" s="498"/>
      <c r="M91" s="499" t="s">
        <v>213</v>
      </c>
      <c r="N91" s="498"/>
      <c r="O91" s="496" t="s">
        <v>8</v>
      </c>
      <c r="P91" s="497"/>
      <c r="Q91" s="498"/>
      <c r="R91" s="494" t="s">
        <v>214</v>
      </c>
      <c r="S91" s="495"/>
      <c r="T91" s="13"/>
      <c r="U91" s="13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11"/>
      <c r="AJ91" s="11"/>
      <c r="AK91" s="11"/>
      <c r="AL91" s="11"/>
      <c r="AM91" s="11"/>
      <c r="AN91" s="11"/>
    </row>
    <row r="92" spans="1:40" ht="20.25">
      <c r="B92" s="11"/>
      <c r="C92" s="29"/>
      <c r="D92" s="133" t="s">
        <v>10</v>
      </c>
      <c r="E92" s="80" t="s">
        <v>11</v>
      </c>
      <c r="F92" s="134" t="s">
        <v>12</v>
      </c>
      <c r="G92" s="135" t="s">
        <v>10</v>
      </c>
      <c r="H92" s="80" t="s">
        <v>11</v>
      </c>
      <c r="I92" s="134" t="s">
        <v>12</v>
      </c>
      <c r="J92" s="135" t="s">
        <v>10</v>
      </c>
      <c r="K92" s="80" t="s">
        <v>13</v>
      </c>
      <c r="L92" s="134" t="s">
        <v>12</v>
      </c>
      <c r="M92" s="135" t="s">
        <v>215</v>
      </c>
      <c r="N92" s="134" t="s">
        <v>217</v>
      </c>
      <c r="O92" s="80" t="s">
        <v>10</v>
      </c>
      <c r="P92" s="80" t="s">
        <v>13</v>
      </c>
      <c r="Q92" s="134" t="s">
        <v>12</v>
      </c>
      <c r="R92" s="135" t="s">
        <v>10</v>
      </c>
      <c r="S92" s="136" t="s">
        <v>12</v>
      </c>
      <c r="T92" s="13"/>
      <c r="U92" s="13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11"/>
      <c r="AJ92" s="11"/>
      <c r="AK92" s="11"/>
      <c r="AL92" s="11"/>
      <c r="AM92" s="11"/>
      <c r="AN92" s="11"/>
    </row>
    <row r="93" spans="1:40" ht="20.25">
      <c r="A93" t="str">
        <f t="shared" ref="A93:A158" si="27">+B93&amp;C93</f>
        <v>Véhicules usagésVentes nettes</v>
      </c>
      <c r="B93" s="11" t="s">
        <v>70</v>
      </c>
      <c r="C93" s="86" t="s">
        <v>14</v>
      </c>
      <c r="D93" s="25"/>
      <c r="E93" s="25"/>
      <c r="F93" s="22">
        <f>+SUM(START:END!F93)</f>
        <v>4816534.4827586208</v>
      </c>
      <c r="G93" s="46"/>
      <c r="H93" s="25"/>
      <c r="I93" s="22">
        <f>+SUM(START:END!I93)</f>
        <v>0</v>
      </c>
      <c r="J93" s="23"/>
      <c r="K93" s="25"/>
      <c r="L93" s="22">
        <f>+SUM(START:END!L93)</f>
        <v>4370901.34</v>
      </c>
      <c r="M93" s="137"/>
      <c r="N93" s="138"/>
      <c r="O93" s="23"/>
      <c r="P93" s="25"/>
      <c r="Q93" s="22">
        <f>+SUM(START:END!Q93)</f>
        <v>4375497.7099999897</v>
      </c>
      <c r="R93" s="137"/>
      <c r="S93" s="139"/>
      <c r="T93" s="13"/>
      <c r="U93" s="13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11"/>
      <c r="AH93" s="11"/>
      <c r="AI93" s="11"/>
      <c r="AJ93" s="11"/>
      <c r="AK93" s="11"/>
      <c r="AL93" s="11"/>
      <c r="AM93" s="11"/>
      <c r="AN93" s="11"/>
    </row>
    <row r="94" spans="1:40" ht="20.25">
      <c r="A94" t="str">
        <f t="shared" si="27"/>
        <v>Véhicules usagésCertifié</v>
      </c>
      <c r="B94" s="11" t="s">
        <v>70</v>
      </c>
      <c r="C94" s="29" t="s">
        <v>72</v>
      </c>
      <c r="D94" s="30">
        <f>+SUM(START:END!D94)</f>
        <v>21</v>
      </c>
      <c r="E94" s="30">
        <f>IF(D94=0,0,F94/D94)</f>
        <v>3000</v>
      </c>
      <c r="F94" s="30">
        <f>+SUM(START:END!F94)</f>
        <v>63000</v>
      </c>
      <c r="G94" s="31">
        <f>+SUM(START:END!G94)</f>
        <v>0</v>
      </c>
      <c r="H94" s="30">
        <f>IF(G94=0,0,I94/G94)</f>
        <v>0</v>
      </c>
      <c r="I94" s="30">
        <f>+SUM(START:END!I94)</f>
        <v>0</v>
      </c>
      <c r="J94" s="31">
        <f>+SUM(START:END!J94)</f>
        <v>11</v>
      </c>
      <c r="K94" s="30">
        <f>IF(J94=0,0,L94/J94)</f>
        <v>2335.0127272727327</v>
      </c>
      <c r="L94" s="33">
        <f>+SUM(START:END!L94)</f>
        <v>25685.140000000058</v>
      </c>
      <c r="M94" s="31">
        <f>J94-D94</f>
        <v>-10</v>
      </c>
      <c r="N94" s="33">
        <f>L94-F94</f>
        <v>-37314.859999999942</v>
      </c>
      <c r="O94" s="31">
        <f>+SUM(START:END!O94)</f>
        <v>22</v>
      </c>
      <c r="P94" s="30">
        <f>IF(O94=0,0,Q94/O94)</f>
        <v>3373.7818181818143</v>
      </c>
      <c r="Q94" s="33">
        <f>+SUM(START:END!Q94)</f>
        <v>74223.19999999991</v>
      </c>
      <c r="R94" s="31">
        <f>J94-O94</f>
        <v>-11</v>
      </c>
      <c r="S94" s="34">
        <f>L94-Q94</f>
        <v>-48538.059999999852</v>
      </c>
      <c r="T94" s="13"/>
      <c r="U94" s="13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11"/>
      <c r="AJ94" s="11"/>
      <c r="AK94" s="11"/>
      <c r="AL94" s="11"/>
      <c r="AM94" s="11"/>
      <c r="AN94" s="11"/>
    </row>
    <row r="95" spans="1:40" ht="25.5">
      <c r="A95" t="str">
        <f t="shared" si="27"/>
        <v>Véhicules usagésNon Certifié</v>
      </c>
      <c r="B95" s="11" t="s">
        <v>70</v>
      </c>
      <c r="C95" s="29" t="s">
        <v>73</v>
      </c>
      <c r="D95" s="30">
        <f>+SUM(START:END!D95)</f>
        <v>15</v>
      </c>
      <c r="E95" s="30">
        <f t="shared" ref="E95:E105" si="28">IF(D95=0,0,F95/D95)</f>
        <v>2200</v>
      </c>
      <c r="F95" s="30">
        <f>+SUM(START:END!F95)</f>
        <v>33000</v>
      </c>
      <c r="G95" s="31">
        <f>+SUM(START:END!G95)</f>
        <v>0</v>
      </c>
      <c r="H95" s="30">
        <f t="shared" ref="H95" si="29">IF(G95=0,0,I95/G95)</f>
        <v>0</v>
      </c>
      <c r="I95" s="30">
        <f>+SUM(START:END!I95)</f>
        <v>0</v>
      </c>
      <c r="J95" s="31">
        <f>+SUM(START:END!J95)</f>
        <v>19</v>
      </c>
      <c r="K95" s="30">
        <f t="shared" ref="K95" si="30">IF(J95=0,0,L95/J95)</f>
        <v>1730.9552631578961</v>
      </c>
      <c r="L95" s="32">
        <f>+SUM(START:END!L95)</f>
        <v>32888.150000000023</v>
      </c>
      <c r="M95" s="31">
        <f>J95-D95</f>
        <v>4</v>
      </c>
      <c r="N95" s="33">
        <f>L95-F95</f>
        <v>-111.84999999997672</v>
      </c>
      <c r="O95" s="31">
        <f>+SUM(START:END!O95)</f>
        <v>26</v>
      </c>
      <c r="P95" s="30">
        <f t="shared" ref="P95" si="31">IF(O95=0,0,Q95/O95)</f>
        <v>2448.8103846153772</v>
      </c>
      <c r="Q95" s="32">
        <f>+SUM(START:END!Q95)</f>
        <v>63669.069999999803</v>
      </c>
      <c r="R95" s="31">
        <f>J95-O95</f>
        <v>-7</v>
      </c>
      <c r="S95" s="34">
        <f>L95-Q95</f>
        <v>-30780.91999999978</v>
      </c>
      <c r="T95" s="13"/>
      <c r="U95" s="13"/>
      <c r="V95" s="140"/>
      <c r="W95" s="13"/>
      <c r="X95" s="13"/>
      <c r="Y95" s="13"/>
      <c r="Z95" s="13"/>
      <c r="AA95" s="13"/>
      <c r="AB95" s="13"/>
      <c r="AC95" s="13"/>
      <c r="AD95" s="13"/>
      <c r="AE95" s="13"/>
      <c r="AF95" s="13"/>
      <c r="AG95" s="13"/>
      <c r="AH95" s="13"/>
      <c r="AI95" s="13"/>
      <c r="AJ95" s="13"/>
      <c r="AK95" s="13"/>
      <c r="AL95" s="13"/>
      <c r="AM95" s="13"/>
      <c r="AN95" s="13"/>
    </row>
    <row r="96" spans="1:40" ht="25.5">
      <c r="A96" t="str">
        <f t="shared" ref="A96" si="32">+B96&amp;C96</f>
        <v>Véhicules usagésAutres marques</v>
      </c>
      <c r="B96" s="11" t="s">
        <v>70</v>
      </c>
      <c r="C96" s="29" t="s">
        <v>207</v>
      </c>
      <c r="D96" s="30">
        <f>+SUM(START:END!D96)</f>
        <v>25</v>
      </c>
      <c r="E96" s="25">
        <f t="shared" ref="E96" si="33">IF(D96=0,0,F96/D96)</f>
        <v>1850</v>
      </c>
      <c r="F96" s="30">
        <f>+SUM(START:END!F96)</f>
        <v>46250</v>
      </c>
      <c r="G96" s="31">
        <f>+SUM(START:END!G96)</f>
        <v>0</v>
      </c>
      <c r="H96" s="30">
        <f t="shared" ref="H96" si="34">IF(G96=0,0,I96/G96)</f>
        <v>0</v>
      </c>
      <c r="I96" s="30">
        <f>+SUM(START:END!I96)</f>
        <v>0</v>
      </c>
      <c r="J96" s="31">
        <f>+SUM(START:END!J96)</f>
        <v>24</v>
      </c>
      <c r="K96" s="30">
        <f t="shared" ref="K96" si="35">IF(J96=0,0,L96/J96)</f>
        <v>1336.5691666666655</v>
      </c>
      <c r="L96" s="32">
        <f>+SUM(START:END!L96)</f>
        <v>32077.659999999974</v>
      </c>
      <c r="M96" s="31">
        <f>J96-D96</f>
        <v>-1</v>
      </c>
      <c r="N96" s="33">
        <f>L96-F96</f>
        <v>-14172.340000000026</v>
      </c>
      <c r="O96" s="31">
        <f>+SUM(START:END!O96)</f>
        <v>0</v>
      </c>
      <c r="P96" s="30">
        <f t="shared" ref="P96" si="36">IF(O96=0,0,Q96/O96)</f>
        <v>0</v>
      </c>
      <c r="Q96" s="32">
        <f>+SUM(START:END!Q96)</f>
        <v>0</v>
      </c>
      <c r="R96" s="31">
        <f>J96-O96</f>
        <v>24</v>
      </c>
      <c r="S96" s="34">
        <f>L96-Q96</f>
        <v>32077.659999999974</v>
      </c>
      <c r="T96" s="13"/>
      <c r="U96" s="13"/>
      <c r="V96" s="140"/>
      <c r="W96" s="13"/>
      <c r="X96" s="13"/>
      <c r="Y96" s="13"/>
      <c r="Z96" s="13"/>
      <c r="AA96" s="13"/>
      <c r="AB96" s="13"/>
      <c r="AC96" s="13"/>
      <c r="AD96" s="13"/>
      <c r="AE96" s="13"/>
      <c r="AF96" s="13"/>
      <c r="AG96" s="13"/>
      <c r="AH96" s="13"/>
      <c r="AI96" s="13"/>
      <c r="AJ96" s="13"/>
      <c r="AK96" s="13"/>
      <c r="AL96" s="13"/>
      <c r="AM96" s="13"/>
      <c r="AN96" s="13"/>
    </row>
    <row r="97" spans="1:40" ht="20.25">
      <c r="A97" t="str">
        <f t="shared" si="27"/>
        <v>Véhicules usagésTotal Usagés</v>
      </c>
      <c r="B97" s="11" t="s">
        <v>70</v>
      </c>
      <c r="C97" s="35" t="s">
        <v>74</v>
      </c>
      <c r="D97" s="36">
        <f>+D95+D94+D96</f>
        <v>61</v>
      </c>
      <c r="E97" s="30">
        <f t="shared" si="28"/>
        <v>2331.967213114754</v>
      </c>
      <c r="F97" s="37">
        <f>+F94+F95+F96</f>
        <v>142250</v>
      </c>
      <c r="G97" s="38">
        <f>+G95+G94+G96</f>
        <v>0</v>
      </c>
      <c r="H97" s="36">
        <f t="shared" ref="H97" si="37">IF(G97=0,0,I97/G97)</f>
        <v>0</v>
      </c>
      <c r="I97" s="37">
        <f>+I94+I95+I96</f>
        <v>0</v>
      </c>
      <c r="J97" s="38">
        <f>+J95+J94+J96</f>
        <v>54</v>
      </c>
      <c r="K97" s="36">
        <f t="shared" ref="K97" si="38">IF(J97=0,0,L97/J97)</f>
        <v>1678.7212962962974</v>
      </c>
      <c r="L97" s="37">
        <f>+L94+L95+L96</f>
        <v>90650.950000000055</v>
      </c>
      <c r="M97" s="38">
        <f>J97-D97</f>
        <v>-7</v>
      </c>
      <c r="N97" s="37">
        <f>L97-F97</f>
        <v>-51599.049999999945</v>
      </c>
      <c r="O97" s="38">
        <f>+O95+O94+O96</f>
        <v>48</v>
      </c>
      <c r="P97" s="36">
        <f>IF(O97&lt;=0,0,Q97/O97)</f>
        <v>2872.7556249999943</v>
      </c>
      <c r="Q97" s="37">
        <f>+Q94+Q95+Q96</f>
        <v>137892.26999999973</v>
      </c>
      <c r="R97" s="38">
        <f>R94+R95</f>
        <v>-18</v>
      </c>
      <c r="S97" s="39">
        <f>S94+S95</f>
        <v>-79318.979999999632</v>
      </c>
      <c r="T97" s="13"/>
      <c r="U97" s="13"/>
      <c r="V97" s="13"/>
      <c r="W97" s="462"/>
      <c r="X97" s="13"/>
      <c r="Y97" s="13"/>
      <c r="Z97" s="13"/>
      <c r="AA97" s="13"/>
      <c r="AB97" s="13"/>
      <c r="AC97" s="82"/>
      <c r="AD97" s="13"/>
      <c r="AE97" s="13"/>
      <c r="AF97" s="82"/>
      <c r="AG97" s="13"/>
      <c r="AH97" s="13"/>
      <c r="AI97" s="13"/>
      <c r="AJ97" s="13"/>
      <c r="AK97" s="13"/>
      <c r="AL97" s="13"/>
      <c r="AM97" s="13"/>
      <c r="AN97" s="13"/>
    </row>
    <row r="98" spans="1:40" ht="20.25">
      <c r="A98" t="str">
        <f t="shared" si="27"/>
        <v>Véhicules usagés</v>
      </c>
      <c r="B98" s="11" t="s">
        <v>70</v>
      </c>
      <c r="C98" s="29"/>
      <c r="D98" s="13"/>
      <c r="E98" s="30"/>
      <c r="F98" s="40"/>
      <c r="G98" s="41"/>
      <c r="H98" s="13">
        <f t="shared" ref="H98:H99" si="39">IF(G98=0,0,I98/G98)</f>
        <v>0</v>
      </c>
      <c r="I98" s="40"/>
      <c r="J98" s="41"/>
      <c r="K98" s="13"/>
      <c r="L98" s="40"/>
      <c r="M98" s="42">
        <f>M97/D97</f>
        <v>-0.11475409836065574</v>
      </c>
      <c r="N98" s="43">
        <f>N97/F97</f>
        <v>-0.36273497363796092</v>
      </c>
      <c r="O98" s="41"/>
      <c r="P98" s="13"/>
      <c r="Q98" s="40"/>
      <c r="R98" s="42">
        <f>R97/O97</f>
        <v>-0.375</v>
      </c>
      <c r="S98" s="44">
        <f>IF(Q97=0,0,(S97/Q97))</f>
        <v>-0.57522426746618782</v>
      </c>
      <c r="T98" s="13"/>
      <c r="U98" s="13"/>
      <c r="V98" s="13"/>
      <c r="W98" s="13"/>
      <c r="X98" s="13"/>
      <c r="Y98" s="13"/>
      <c r="Z98" s="13"/>
      <c r="AA98" s="13"/>
      <c r="AB98" s="13"/>
      <c r="AC98" s="11"/>
      <c r="AD98" s="13"/>
      <c r="AE98" s="13"/>
      <c r="AF98" s="13"/>
      <c r="AG98" s="13"/>
      <c r="AH98" s="13"/>
      <c r="AI98" s="13"/>
      <c r="AJ98" s="13"/>
      <c r="AK98" s="13"/>
      <c r="AL98" s="13"/>
      <c r="AM98" s="13"/>
      <c r="AN98" s="13"/>
    </row>
    <row r="99" spans="1:40" ht="20.25">
      <c r="A99" t="str">
        <f t="shared" si="27"/>
        <v>Véhicules usagésUS</v>
      </c>
      <c r="B99" s="11" t="s">
        <v>70</v>
      </c>
      <c r="C99" s="29" t="s">
        <v>187</v>
      </c>
      <c r="D99" s="30">
        <f>+SUM(START:END!D99)</f>
        <v>0</v>
      </c>
      <c r="E99" s="30">
        <f t="shared" si="28"/>
        <v>0</v>
      </c>
      <c r="F99" s="30">
        <f>+SUM(START:END!F99)</f>
        <v>0</v>
      </c>
      <c r="G99" s="41">
        <f>+SUM(START:END!G99)</f>
        <v>0</v>
      </c>
      <c r="H99" s="30">
        <f t="shared" si="39"/>
        <v>0</v>
      </c>
      <c r="I99" s="30">
        <f>+SUM(START:END!I99)</f>
        <v>0</v>
      </c>
      <c r="J99" s="31">
        <f>+SUM(START:END!J99)</f>
        <v>0</v>
      </c>
      <c r="K99" s="30">
        <f t="shared" ref="K99" si="40">IF(J99=0,0,L99/J99)</f>
        <v>0</v>
      </c>
      <c r="L99" s="33">
        <f>+SUM(START:END!L99)</f>
        <v>0</v>
      </c>
      <c r="M99" s="31"/>
      <c r="N99" s="33"/>
      <c r="O99" s="31">
        <f>+SUM(START:END!O99)</f>
        <v>0</v>
      </c>
      <c r="P99" s="30">
        <f t="shared" ref="P99" si="41">IF(O99=0,0,Q99/O99)</f>
        <v>0</v>
      </c>
      <c r="Q99" s="33">
        <f>+SUM(START:END!Q99)</f>
        <v>0</v>
      </c>
      <c r="R99" s="31"/>
      <c r="S99" s="34"/>
      <c r="T99" s="13"/>
      <c r="U99" s="13"/>
      <c r="V99" s="13"/>
      <c r="W99" s="13"/>
      <c r="X99" s="13"/>
      <c r="Y99" s="13"/>
      <c r="Z99" s="13"/>
      <c r="AA99" s="13"/>
      <c r="AB99" s="13"/>
      <c r="AC99" s="11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</row>
    <row r="100" spans="1:40" ht="20.25">
      <c r="A100" t="str">
        <f t="shared" si="27"/>
        <v>Véhicules usagésVentes au Gros</v>
      </c>
      <c r="B100" s="11" t="s">
        <v>70</v>
      </c>
      <c r="C100" s="29" t="s">
        <v>75</v>
      </c>
      <c r="D100" s="30">
        <f>+SUM(START:END!D100)</f>
        <v>66</v>
      </c>
      <c r="E100" s="30">
        <f t="shared" ref="E100" si="42">IF(D100=0,0,F100/D100)</f>
        <v>375</v>
      </c>
      <c r="F100" s="30">
        <f>+SUM(START:END!F100)</f>
        <v>24750</v>
      </c>
      <c r="G100" s="31">
        <f>+SUM(START:END!G100)</f>
        <v>0</v>
      </c>
      <c r="H100" s="30">
        <f t="shared" ref="H100" si="43">IF(G100=0,0,I100/G100)</f>
        <v>0</v>
      </c>
      <c r="I100" s="30">
        <f>+SUM(START:END!I100)</f>
        <v>0</v>
      </c>
      <c r="J100" s="31">
        <f>+SUM(START:END!J100)</f>
        <v>66</v>
      </c>
      <c r="K100" s="30">
        <f t="shared" ref="K100" si="44">IF(J100=0,0,L100/J100)</f>
        <v>449.89030303030228</v>
      </c>
      <c r="L100" s="33">
        <f>+SUM(START:END!L100)</f>
        <v>29692.759999999951</v>
      </c>
      <c r="M100" s="31">
        <f>J100-D100</f>
        <v>0</v>
      </c>
      <c r="N100" s="33">
        <f>L100-F100</f>
        <v>4942.7599999999511</v>
      </c>
      <c r="O100" s="31">
        <f>+SUM(START:END!O100)</f>
        <v>58</v>
      </c>
      <c r="P100" s="30">
        <f t="shared" ref="P100" si="45">IF(O100=0,0,Q100/O100)</f>
        <v>476.05068965516932</v>
      </c>
      <c r="Q100" s="33">
        <f>+SUM(START:END!Q100)</f>
        <v>27610.93999999982</v>
      </c>
      <c r="R100" s="31">
        <f>J100-O100</f>
        <v>8</v>
      </c>
      <c r="S100" s="34">
        <f>L100-Q100</f>
        <v>2081.8200000001307</v>
      </c>
      <c r="T100" s="13"/>
      <c r="U100" s="13"/>
      <c r="V100" s="13"/>
      <c r="W100" s="462"/>
      <c r="X100" s="13"/>
      <c r="Y100" s="13"/>
      <c r="Z100" s="13"/>
      <c r="AA100" s="13"/>
      <c r="AB100" s="13"/>
      <c r="AC100" s="82"/>
      <c r="AD100" s="13"/>
      <c r="AE100" s="13"/>
      <c r="AF100" s="141"/>
      <c r="AG100" s="13"/>
      <c r="AH100" s="13"/>
      <c r="AI100" s="13"/>
      <c r="AJ100" s="13"/>
      <c r="AK100" s="13"/>
      <c r="AL100" s="13"/>
      <c r="AM100" s="13"/>
      <c r="AN100" s="13"/>
    </row>
    <row r="101" spans="1:40" ht="20.25">
      <c r="A101" t="str">
        <f t="shared" si="27"/>
        <v>Véhicules usagés</v>
      </c>
      <c r="B101" s="11" t="s">
        <v>70</v>
      </c>
      <c r="C101" s="86"/>
      <c r="D101" s="25"/>
      <c r="E101" s="25"/>
      <c r="F101" s="48"/>
      <c r="G101" s="51"/>
      <c r="H101" s="47"/>
      <c r="I101" s="48"/>
      <c r="J101" s="51"/>
      <c r="K101" s="47"/>
      <c r="L101" s="48"/>
      <c r="M101" s="49"/>
      <c r="N101" s="142"/>
      <c r="O101" s="51"/>
      <c r="P101" s="47"/>
      <c r="Q101" s="48"/>
      <c r="R101" s="49"/>
      <c r="S101" s="14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41"/>
      <c r="AG101" s="13"/>
      <c r="AH101" s="13"/>
      <c r="AI101" s="13"/>
      <c r="AJ101" s="13"/>
      <c r="AK101" s="13"/>
      <c r="AL101" s="13"/>
      <c r="AM101" s="13"/>
      <c r="AN101" s="13"/>
    </row>
    <row r="102" spans="1:40" ht="20.25">
      <c r="A102" t="str">
        <f t="shared" si="27"/>
        <v>Véhicules usagésRev. Finances</v>
      </c>
      <c r="B102" s="11" t="s">
        <v>70</v>
      </c>
      <c r="C102" s="29" t="s">
        <v>24</v>
      </c>
      <c r="D102" s="30">
        <f>+SUM(START:END!D102)</f>
        <v>0</v>
      </c>
      <c r="E102" s="30">
        <f t="shared" ref="E102:E104" si="46">IF(D102=0,0,F102/D102)</f>
        <v>0</v>
      </c>
      <c r="F102" s="33">
        <f>+SUM(START:END!F102)</f>
        <v>36600</v>
      </c>
      <c r="G102" s="31">
        <f>+SUM(START:END!G102)</f>
        <v>0</v>
      </c>
      <c r="H102" s="30">
        <f t="shared" ref="H102:H104" si="47">IF(G102=0,0,I102/G102)</f>
        <v>0</v>
      </c>
      <c r="I102" s="30">
        <f>+SUM(START:END!I102)</f>
        <v>0</v>
      </c>
      <c r="J102" s="31">
        <f>+SUM(START:END!J102)</f>
        <v>0</v>
      </c>
      <c r="K102" s="30">
        <f t="shared" ref="K102:K104" si="48">IF(J102=0,0,L102/J102)</f>
        <v>0</v>
      </c>
      <c r="L102" s="33">
        <f>+SUM(START:END!L102)</f>
        <v>17188.5</v>
      </c>
      <c r="M102" s="31"/>
      <c r="N102" s="33">
        <f>L102-F102</f>
        <v>-19411.5</v>
      </c>
      <c r="O102" s="31">
        <f>+SUM(START:END!O102)</f>
        <v>0</v>
      </c>
      <c r="P102" s="30">
        <f t="shared" ref="P102:P104" si="49">IF(O102=0,0,Q102/O102)</f>
        <v>0</v>
      </c>
      <c r="Q102" s="33">
        <f>+SUM(START:END!Q102)</f>
        <v>27866.149999999998</v>
      </c>
      <c r="R102" s="31">
        <f>O102-K102</f>
        <v>0</v>
      </c>
      <c r="S102" s="34">
        <f>L102-Q102</f>
        <v>-10677.649999999998</v>
      </c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</row>
    <row r="103" spans="1:40" ht="20.25">
      <c r="A103" t="str">
        <f t="shared" si="27"/>
        <v>Véhicules usagésRev. Protections</v>
      </c>
      <c r="B103" s="11" t="s">
        <v>70</v>
      </c>
      <c r="C103" s="29" t="s">
        <v>25</v>
      </c>
      <c r="D103" s="30">
        <f>+SUM(START:END!D103)</f>
        <v>0</v>
      </c>
      <c r="E103" s="30">
        <f t="shared" si="46"/>
        <v>0</v>
      </c>
      <c r="F103" s="33">
        <f>+SUM(START:END!F103)</f>
        <v>53680</v>
      </c>
      <c r="G103" s="31">
        <f>+SUM(START:END!G103)</f>
        <v>0</v>
      </c>
      <c r="H103" s="30">
        <f t="shared" si="47"/>
        <v>0</v>
      </c>
      <c r="I103" s="30">
        <f>+SUM(START:END!I103)</f>
        <v>0</v>
      </c>
      <c r="J103" s="31">
        <f>+SUM(START:END!J103)</f>
        <v>0</v>
      </c>
      <c r="K103" s="30">
        <f t="shared" si="48"/>
        <v>0</v>
      </c>
      <c r="L103" s="33">
        <f>+SUM(START:END!L103)</f>
        <v>37288.300000000003</v>
      </c>
      <c r="M103" s="31"/>
      <c r="N103" s="33">
        <f>L103-F103</f>
        <v>-16391.699999999997</v>
      </c>
      <c r="O103" s="31">
        <f>+SUM(START:END!O103)</f>
        <v>0</v>
      </c>
      <c r="P103" s="30">
        <f t="shared" si="49"/>
        <v>0</v>
      </c>
      <c r="Q103" s="33">
        <f>+SUM(START:END!Q103)</f>
        <v>49445.229999999996</v>
      </c>
      <c r="R103" s="31">
        <f>O103-K103</f>
        <v>0</v>
      </c>
      <c r="S103" s="34">
        <f>L103-Q103</f>
        <v>-12156.929999999993</v>
      </c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</row>
    <row r="104" spans="1:40" ht="20.25">
      <c r="A104" t="str">
        <f t="shared" si="27"/>
        <v>Véhicules usagésRev. Autres</v>
      </c>
      <c r="B104" s="11" t="s">
        <v>70</v>
      </c>
      <c r="C104" s="29" t="s">
        <v>26</v>
      </c>
      <c r="D104" s="30">
        <f>+SUM(START:END!D104)</f>
        <v>0</v>
      </c>
      <c r="E104" s="25">
        <f t="shared" si="46"/>
        <v>0</v>
      </c>
      <c r="F104" s="33">
        <f>+SUM(START:END!F104)</f>
        <v>10370</v>
      </c>
      <c r="G104" s="31">
        <f>+SUM(START:END!G104)</f>
        <v>0</v>
      </c>
      <c r="H104" s="47">
        <f t="shared" si="47"/>
        <v>0</v>
      </c>
      <c r="I104" s="30">
        <f>+SUM(START:END!I104)</f>
        <v>0</v>
      </c>
      <c r="J104" s="31">
        <f>+SUM(START:END!J104)</f>
        <v>0</v>
      </c>
      <c r="K104" s="47">
        <f t="shared" si="48"/>
        <v>0</v>
      </c>
      <c r="L104" s="33">
        <f>+SUM(START:END!L104)</f>
        <v>9212</v>
      </c>
      <c r="M104" s="51"/>
      <c r="N104" s="33">
        <f>L104-F104</f>
        <v>-1158</v>
      </c>
      <c r="O104" s="31">
        <f>+SUM(START:END!O104)</f>
        <v>0</v>
      </c>
      <c r="P104" s="47">
        <f t="shared" si="49"/>
        <v>0</v>
      </c>
      <c r="Q104" s="33">
        <f>+SUM(START:END!Q104)</f>
        <v>8175</v>
      </c>
      <c r="R104" s="31">
        <f>O104-K104</f>
        <v>0</v>
      </c>
      <c r="S104" s="34">
        <f>L104-Q104</f>
        <v>1037</v>
      </c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</row>
    <row r="105" spans="1:40" ht="20.25">
      <c r="A105" t="str">
        <f t="shared" si="27"/>
        <v>Véhicules usagésTotal F&amp;I</v>
      </c>
      <c r="B105" s="11" t="s">
        <v>70</v>
      </c>
      <c r="C105" s="35" t="s">
        <v>27</v>
      </c>
      <c r="D105" s="36">
        <f>D97</f>
        <v>61</v>
      </c>
      <c r="E105" s="30">
        <f t="shared" si="28"/>
        <v>1650</v>
      </c>
      <c r="F105" s="37">
        <f>F102+F103+F104</f>
        <v>100650</v>
      </c>
      <c r="G105" s="38">
        <f>G97</f>
        <v>0</v>
      </c>
      <c r="H105" s="36">
        <f t="shared" ref="H105" si="50">IF(G105=0,0,I105/G105)</f>
        <v>0</v>
      </c>
      <c r="I105" s="37">
        <f>I102+I103+I104</f>
        <v>0</v>
      </c>
      <c r="J105" s="38">
        <f>J97</f>
        <v>54</v>
      </c>
      <c r="K105" s="36">
        <f>IF(J105&lt;=0,0,L105/J105)</f>
        <v>1179.4222222222222</v>
      </c>
      <c r="L105" s="37">
        <f>L102+L103+L104</f>
        <v>63688.800000000003</v>
      </c>
      <c r="M105" s="31">
        <f>J105-D105</f>
        <v>-7</v>
      </c>
      <c r="N105" s="37">
        <f>L105-F105</f>
        <v>-36961.199999999997</v>
      </c>
      <c r="O105" s="38">
        <f>O97</f>
        <v>48</v>
      </c>
      <c r="P105" s="36">
        <f>IF(O105&lt;=0,0,Q105/O105)</f>
        <v>1780.9662499999997</v>
      </c>
      <c r="Q105" s="37">
        <f>Q102+Q103+Q104</f>
        <v>85486.37999999999</v>
      </c>
      <c r="R105" s="56"/>
      <c r="S105" s="39">
        <f>L105-Q105</f>
        <v>-21797.579999999987</v>
      </c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</row>
    <row r="106" spans="1:40" ht="20.25">
      <c r="A106" t="str">
        <f t="shared" si="27"/>
        <v>Véhicules usagés</v>
      </c>
      <c r="B106" s="11" t="s">
        <v>70</v>
      </c>
      <c r="C106" s="29"/>
      <c r="D106" s="13"/>
      <c r="E106" s="13"/>
      <c r="F106" s="59"/>
      <c r="G106" s="41"/>
      <c r="H106" s="144"/>
      <c r="I106" s="59"/>
      <c r="J106" s="41"/>
      <c r="K106" s="13"/>
      <c r="L106" s="59"/>
      <c r="M106" s="42"/>
      <c r="N106" s="43">
        <f>N105/F105</f>
        <v>-0.36722503725782413</v>
      </c>
      <c r="O106" s="41"/>
      <c r="P106" s="13"/>
      <c r="Q106" s="59"/>
      <c r="R106" s="60"/>
      <c r="S106" s="44">
        <f>IF(Q105=0,0,(S105/Q105))</f>
        <v>-0.25498307449677937</v>
      </c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</row>
    <row r="107" spans="1:40" ht="21" thickBot="1">
      <c r="A107" t="str">
        <f t="shared" si="27"/>
        <v>Véhicules usagés</v>
      </c>
      <c r="B107" s="11" t="s">
        <v>70</v>
      </c>
      <c r="C107" s="29"/>
      <c r="D107" s="13"/>
      <c r="E107" s="13"/>
      <c r="F107" s="59"/>
      <c r="G107" s="41"/>
      <c r="H107" s="144"/>
      <c r="I107" s="59"/>
      <c r="J107" s="41"/>
      <c r="K107" s="13"/>
      <c r="L107" s="59"/>
      <c r="M107" s="42"/>
      <c r="N107" s="43"/>
      <c r="O107" s="41"/>
      <c r="P107" s="13"/>
      <c r="Q107" s="59"/>
      <c r="R107" s="60"/>
      <c r="S107" s="44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</row>
    <row r="108" spans="1:40" ht="21" thickTop="1">
      <c r="A108" t="str">
        <f t="shared" si="27"/>
        <v>Véhicules usagésTotal Dépt. Usagés</v>
      </c>
      <c r="B108" s="11" t="s">
        <v>70</v>
      </c>
      <c r="C108" s="62" t="s">
        <v>76</v>
      </c>
      <c r="D108" s="63">
        <f>D97+D100</f>
        <v>127</v>
      </c>
      <c r="E108" s="67">
        <f>IF(D108&lt;=0,0,F108/D108)</f>
        <v>2107.48031496063</v>
      </c>
      <c r="F108" s="65">
        <f>F97+F105+F100</f>
        <v>267650</v>
      </c>
      <c r="G108" s="66">
        <f>G97+G100</f>
        <v>0</v>
      </c>
      <c r="H108" s="67">
        <f>IF(G108&lt;=0,0,I108/G108)</f>
        <v>0</v>
      </c>
      <c r="I108" s="65">
        <f>I97+I105+I100</f>
        <v>0</v>
      </c>
      <c r="J108" s="66">
        <f>J97+J100+J99</f>
        <v>120</v>
      </c>
      <c r="K108" s="67">
        <f>IF(J108&lt;=0,0,L108/J108)</f>
        <v>1533.6042500000001</v>
      </c>
      <c r="L108" s="65">
        <f>L97+L105+L100+L99</f>
        <v>184032.51</v>
      </c>
      <c r="M108" s="66">
        <f>J108-D108</f>
        <v>-7</v>
      </c>
      <c r="N108" s="65">
        <f>L108-F108</f>
        <v>-83617.489999999991</v>
      </c>
      <c r="O108" s="66">
        <f>O97+O100+O99</f>
        <v>106</v>
      </c>
      <c r="P108" s="67">
        <f>IF(O108&lt;=0,0,Q108/O108)</f>
        <v>2367.8263207547129</v>
      </c>
      <c r="Q108" s="65">
        <f>Q97+Q105+Q100+Q99</f>
        <v>250989.58999999956</v>
      </c>
      <c r="R108" s="66">
        <f>J108-O108</f>
        <v>14</v>
      </c>
      <c r="S108" s="68">
        <f>L108-Q108</f>
        <v>-66957.079999999551</v>
      </c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</row>
    <row r="109" spans="1:40" ht="21" thickBot="1">
      <c r="A109" t="str">
        <f t="shared" si="27"/>
        <v>Véhicules usagés</v>
      </c>
      <c r="B109" s="11" t="s">
        <v>70</v>
      </c>
      <c r="C109" s="69"/>
      <c r="D109" s="70"/>
      <c r="E109" s="70"/>
      <c r="F109" s="71"/>
      <c r="G109" s="72"/>
      <c r="H109" s="70"/>
      <c r="I109" s="71"/>
      <c r="J109" s="72"/>
      <c r="K109" s="70"/>
      <c r="L109" s="71"/>
      <c r="M109" s="73">
        <f>M108/D108</f>
        <v>-5.5118110236220472E-2</v>
      </c>
      <c r="N109" s="74">
        <f>N108/F108</f>
        <v>-0.31241356248832425</v>
      </c>
      <c r="O109" s="72"/>
      <c r="P109" s="70"/>
      <c r="Q109" s="71"/>
      <c r="R109" s="73">
        <f>O108/R108</f>
        <v>7.5714285714285712</v>
      </c>
      <c r="S109" s="145">
        <f>IF(Q108=0,0,(S108/Q108))</f>
        <v>-0.26677233904402037</v>
      </c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</row>
    <row r="110" spans="1:40" ht="21" thickTop="1">
      <c r="A110" t="str">
        <f t="shared" si="27"/>
        <v>Véhicules usagés</v>
      </c>
      <c r="B110" s="11" t="s">
        <v>70</v>
      </c>
      <c r="C110" s="53"/>
      <c r="D110" s="76"/>
      <c r="E110" s="76"/>
      <c r="F110" s="77"/>
      <c r="G110" s="78"/>
      <c r="H110" s="76"/>
      <c r="I110" s="77"/>
      <c r="J110" s="78"/>
      <c r="K110" s="76"/>
      <c r="L110" s="77"/>
      <c r="M110" s="42"/>
      <c r="N110" s="43"/>
      <c r="O110" s="78"/>
      <c r="P110" s="76"/>
      <c r="Q110" s="77"/>
      <c r="R110" s="42"/>
      <c r="S110" s="44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</row>
    <row r="111" spans="1:40" ht="20.25">
      <c r="A111" t="str">
        <f t="shared" si="27"/>
        <v>Véhicules usagésDEPENSES</v>
      </c>
      <c r="B111" s="11" t="s">
        <v>70</v>
      </c>
      <c r="C111" s="79" t="s">
        <v>29</v>
      </c>
      <c r="D111" s="13"/>
      <c r="E111" s="80"/>
      <c r="F111" s="59"/>
      <c r="G111" s="41"/>
      <c r="H111" s="80"/>
      <c r="I111" s="59"/>
      <c r="J111" s="41"/>
      <c r="K111" s="80"/>
      <c r="L111" s="40"/>
      <c r="M111" s="41"/>
      <c r="N111" s="40"/>
      <c r="O111" s="41"/>
      <c r="P111" s="80"/>
      <c r="Q111" s="40"/>
      <c r="R111" s="41"/>
      <c r="S111" s="61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</row>
    <row r="112" spans="1:40" ht="20.25">
      <c r="A112" t="str">
        <f t="shared" si="27"/>
        <v>Véhicules usagésComm. vendeurs</v>
      </c>
      <c r="B112" s="11" t="s">
        <v>70</v>
      </c>
      <c r="C112" s="29" t="s">
        <v>30</v>
      </c>
      <c r="D112" s="148">
        <f>F112/(F97+F105)</f>
        <v>0.19456456494206456</v>
      </c>
      <c r="E112" s="82">
        <f>F112/D$97</f>
        <v>774.74971843323738</v>
      </c>
      <c r="F112" s="30">
        <f>+SUM(START:END!F112)</f>
        <v>47259.732824427483</v>
      </c>
      <c r="G112" s="157" t="e">
        <f>I112/I97</f>
        <v>#DIV/0!</v>
      </c>
      <c r="H112" s="82" t="e">
        <f>I112/G$97</f>
        <v>#DIV/0!</v>
      </c>
      <c r="I112" s="30">
        <f>+SUM(START:END!I112)</f>
        <v>0</v>
      </c>
      <c r="J112" s="157">
        <f>L112/L97</f>
        <v>0.33507337760939054</v>
      </c>
      <c r="K112" s="82">
        <f>IF($J$97=0,0,L112/(J$94+J$95))</f>
        <v>1012.4906666666667</v>
      </c>
      <c r="L112" s="33">
        <f>+SUM(START:END!L112)</f>
        <v>30374.720000000001</v>
      </c>
      <c r="M112" s="41"/>
      <c r="N112" s="59">
        <f t="shared" ref="N112:N153" si="51">L112-F112</f>
        <v>-16885.012824427482</v>
      </c>
      <c r="O112" s="157">
        <f>Q112/Q97</f>
        <v>0.33415636714081287</v>
      </c>
      <c r="P112" s="82">
        <f>IF($J$97=0,0,Q112/(O$94+O$95))</f>
        <v>959.94958333333341</v>
      </c>
      <c r="Q112" s="33">
        <f>+SUM(START:END!Q112)</f>
        <v>46077.58</v>
      </c>
      <c r="R112" s="41"/>
      <c r="S112" s="85">
        <f t="shared" ref="S112:S148" si="52">L112-Q112</f>
        <v>-15702.86</v>
      </c>
      <c r="T112" s="13"/>
      <c r="U112" s="13"/>
      <c r="V112" s="11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</row>
    <row r="113" spans="1:40" ht="20.25">
      <c r="A113" t="str">
        <f t="shared" si="27"/>
        <v>Véhicules usagésComm. F&amp;I</v>
      </c>
      <c r="B113" s="11" t="s">
        <v>70</v>
      </c>
      <c r="C113" s="86" t="s">
        <v>31</v>
      </c>
      <c r="D113" s="218">
        <f>F113/(F105+F19)</f>
        <v>0.23379215888445296</v>
      </c>
      <c r="E113" s="88">
        <f>F113/D$97</f>
        <v>412.5</v>
      </c>
      <c r="F113" s="22">
        <f>+SUM(START:END!F113)</f>
        <v>25162.5</v>
      </c>
      <c r="G113" s="162" t="e">
        <f>I113/I98</f>
        <v>#DIV/0!</v>
      </c>
      <c r="H113" s="88" t="e">
        <f>I113/G$97</f>
        <v>#DIV/0!</v>
      </c>
      <c r="I113" s="22">
        <f>+SUM(START:END!I113)</f>
        <v>0</v>
      </c>
      <c r="J113" s="162">
        <f>L113/L105</f>
        <v>0.29987957066234566</v>
      </c>
      <c r="K113" s="88">
        <f>IF($J$97=0,0,L113/(J$94+J$95))</f>
        <v>636.63233333333335</v>
      </c>
      <c r="L113" s="33">
        <f>+SUM(START:END!L113)</f>
        <v>19098.97</v>
      </c>
      <c r="M113" s="23"/>
      <c r="N113" s="91">
        <f t="shared" si="51"/>
        <v>-6063.5299999999988</v>
      </c>
      <c r="O113" s="162">
        <f>Q113/(Q105+Q19)</f>
        <v>0.19572355353687582</v>
      </c>
      <c r="P113" s="88">
        <f>IF($J$97=0,0,Q113/(O$94+O$95))</f>
        <v>419.82041666666669</v>
      </c>
      <c r="Q113" s="33">
        <f>+SUM(START:END!Q113)</f>
        <v>20151.38</v>
      </c>
      <c r="R113" s="23"/>
      <c r="S113" s="92">
        <f t="shared" si="52"/>
        <v>-1052.4099999999999</v>
      </c>
      <c r="T113" s="13"/>
      <c r="U113" s="13"/>
      <c r="V113" s="11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</row>
    <row r="114" spans="1:40" ht="20.25">
      <c r="A114" t="str">
        <f t="shared" si="27"/>
        <v>Véhicules usagésFrais de livraison</v>
      </c>
      <c r="B114" s="11" t="s">
        <v>70</v>
      </c>
      <c r="C114" s="29" t="s">
        <v>32</v>
      </c>
      <c r="D114" s="81"/>
      <c r="E114" s="82">
        <f>F114/D$97</f>
        <v>110</v>
      </c>
      <c r="F114" s="30">
        <f>+SUM(START:END!F114)</f>
        <v>6710</v>
      </c>
      <c r="G114" s="83"/>
      <c r="H114" s="82" t="e">
        <f>I114/G$97</f>
        <v>#DIV/0!</v>
      </c>
      <c r="I114" s="30">
        <f>+SUM(START:END!I114)</f>
        <v>0</v>
      </c>
      <c r="J114" s="41"/>
      <c r="K114" s="82">
        <f>IF($J$97=0,0,L114/(J$94+J$95))</f>
        <v>148.15233333333333</v>
      </c>
      <c r="L114" s="108">
        <f>+SUM(START:END!L114)</f>
        <v>4444.57</v>
      </c>
      <c r="M114" s="41"/>
      <c r="N114" s="59">
        <f t="shared" si="51"/>
        <v>-2265.4300000000003</v>
      </c>
      <c r="O114" s="41"/>
      <c r="P114" s="82">
        <f>IF($J$97=0,0,Q114/(O$94+O$95))</f>
        <v>118.03854166666666</v>
      </c>
      <c r="Q114" s="108">
        <f>+SUM(START:END!Q114)</f>
        <v>5665.8499999999995</v>
      </c>
      <c r="R114" s="41"/>
      <c r="S114" s="85">
        <f t="shared" si="52"/>
        <v>-1221.2799999999997</v>
      </c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</row>
    <row r="115" spans="1:40" ht="20.25">
      <c r="A115" t="str">
        <f t="shared" si="27"/>
        <v>Véhicules usagésService gratuit 1</v>
      </c>
      <c r="B115" s="11" t="s">
        <v>70</v>
      </c>
      <c r="C115" s="29" t="s">
        <v>33</v>
      </c>
      <c r="D115" s="81"/>
      <c r="E115" s="82">
        <f t="shared" ref="E115:E121" si="53">F115/D$97</f>
        <v>90</v>
      </c>
      <c r="F115" s="30">
        <f>+SUM(START:END!F115)</f>
        <v>5490</v>
      </c>
      <c r="G115" s="83"/>
      <c r="H115" s="82" t="e">
        <f t="shared" ref="H115:H121" si="54">I115/G$97</f>
        <v>#DIV/0!</v>
      </c>
      <c r="I115" s="30">
        <f>+SUM(START:END!I115)</f>
        <v>0</v>
      </c>
      <c r="J115" s="41"/>
      <c r="K115" s="82">
        <f t="shared" ref="K115:K121" si="55">IF($J$97=0,0,L115/(J$94+J$95))</f>
        <v>184.11966666666666</v>
      </c>
      <c r="L115" s="33">
        <f>+SUM(START:END!L115)</f>
        <v>5523.59</v>
      </c>
      <c r="M115" s="41"/>
      <c r="N115" s="59">
        <f t="shared" si="51"/>
        <v>33.590000000000146</v>
      </c>
      <c r="O115" s="41"/>
      <c r="P115" s="82">
        <f t="shared" ref="P115:P121" si="56">IF($J$97=0,0,Q115/(O$94+O$95))</f>
        <v>122.67729166666668</v>
      </c>
      <c r="Q115" s="33">
        <f>+SUM(START:END!Q115)</f>
        <v>5888.51</v>
      </c>
      <c r="R115" s="41"/>
      <c r="S115" s="85">
        <f t="shared" si="52"/>
        <v>-364.92000000000007</v>
      </c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</row>
    <row r="116" spans="1:40" ht="20.25">
      <c r="A116" t="str">
        <f t="shared" si="27"/>
        <v>Véhicules usagésEntretien stock</v>
      </c>
      <c r="B116" s="11" t="s">
        <v>70</v>
      </c>
      <c r="C116" s="86" t="s">
        <v>34</v>
      </c>
      <c r="D116" s="87"/>
      <c r="E116" s="88">
        <f t="shared" si="53"/>
        <v>103.68852459016394</v>
      </c>
      <c r="F116" s="22">
        <f>+SUM(START:END!F116)</f>
        <v>6325</v>
      </c>
      <c r="G116" s="89"/>
      <c r="H116" s="88" t="e">
        <f t="shared" si="54"/>
        <v>#DIV/0!</v>
      </c>
      <c r="I116" s="22">
        <f>+SUM(START:END!I116)</f>
        <v>0</v>
      </c>
      <c r="J116" s="23"/>
      <c r="K116" s="88">
        <f t="shared" si="55"/>
        <v>182.05666666666667</v>
      </c>
      <c r="L116" s="48">
        <f>+SUM(START:END!L116)</f>
        <v>5461.7</v>
      </c>
      <c r="M116" s="23"/>
      <c r="N116" s="91">
        <f t="shared" si="51"/>
        <v>-863.30000000000018</v>
      </c>
      <c r="O116" s="23"/>
      <c r="P116" s="88">
        <f t="shared" si="56"/>
        <v>122.21625</v>
      </c>
      <c r="Q116" s="48">
        <f>+SUM(START:END!Q116)</f>
        <v>5866.38</v>
      </c>
      <c r="R116" s="23"/>
      <c r="S116" s="92">
        <f t="shared" si="52"/>
        <v>-404.68000000000029</v>
      </c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</row>
    <row r="117" spans="1:40" ht="20.25">
      <c r="A117" t="str">
        <f t="shared" si="27"/>
        <v>Véhicules usagésPublicité 1</v>
      </c>
      <c r="B117" s="11" t="s">
        <v>70</v>
      </c>
      <c r="C117" s="29" t="s">
        <v>35</v>
      </c>
      <c r="D117" s="81"/>
      <c r="E117" s="82">
        <f t="shared" si="53"/>
        <v>314.88934426229508</v>
      </c>
      <c r="F117" s="30">
        <f>+SUM(START:END!F117)</f>
        <v>19208.25</v>
      </c>
      <c r="G117" s="83"/>
      <c r="H117" s="82" t="e">
        <f t="shared" si="54"/>
        <v>#DIV/0!</v>
      </c>
      <c r="I117" s="30">
        <f>+SUM(START:END!I117)</f>
        <v>0</v>
      </c>
      <c r="J117" s="41"/>
      <c r="K117" s="82">
        <f t="shared" si="55"/>
        <v>635.70199999999988</v>
      </c>
      <c r="L117" s="33">
        <f>+SUM(START:END!L117)</f>
        <v>19071.059999999998</v>
      </c>
      <c r="M117" s="41"/>
      <c r="N117" s="59">
        <f t="shared" si="51"/>
        <v>-137.19000000000233</v>
      </c>
      <c r="O117" s="41"/>
      <c r="P117" s="82">
        <f t="shared" si="56"/>
        <v>431.36354166666661</v>
      </c>
      <c r="Q117" s="33">
        <f>+SUM(START:END!Q117)</f>
        <v>20705.449999999997</v>
      </c>
      <c r="R117" s="41"/>
      <c r="S117" s="85">
        <f t="shared" si="52"/>
        <v>-1634.3899999999994</v>
      </c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</row>
    <row r="118" spans="1:40" ht="20.25">
      <c r="A118" t="str">
        <f t="shared" si="27"/>
        <v>Véhicules usagésIntérêt de gros</v>
      </c>
      <c r="B118" s="11" t="s">
        <v>70</v>
      </c>
      <c r="C118" s="29" t="s">
        <v>36</v>
      </c>
      <c r="D118" s="81"/>
      <c r="E118" s="82">
        <f t="shared" si="53"/>
        <v>415.61344881901516</v>
      </c>
      <c r="F118" s="30">
        <f>+SUM(START:END!F118)</f>
        <v>25352.420377959927</v>
      </c>
      <c r="G118" s="83"/>
      <c r="H118" s="82" t="e">
        <f t="shared" si="54"/>
        <v>#DIV/0!</v>
      </c>
      <c r="I118" s="30">
        <f>+SUM(START:END!I118)</f>
        <v>0</v>
      </c>
      <c r="J118" s="41"/>
      <c r="K118" s="82">
        <f t="shared" si="55"/>
        <v>532.65</v>
      </c>
      <c r="L118" s="33">
        <f>+SUM(START:END!L118)</f>
        <v>15979.5</v>
      </c>
      <c r="M118" s="41"/>
      <c r="N118" s="59">
        <f t="shared" si="51"/>
        <v>-9372.9203779599266</v>
      </c>
      <c r="O118" s="41"/>
      <c r="P118" s="82">
        <f t="shared" si="56"/>
        <v>358.18458333333336</v>
      </c>
      <c r="Q118" s="33">
        <f>+SUM(START:END!Q118)</f>
        <v>17192.86</v>
      </c>
      <c r="R118" s="41"/>
      <c r="S118" s="85">
        <f>L118-Q118</f>
        <v>-1213.3600000000006</v>
      </c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</row>
    <row r="119" spans="1:40" ht="20.25" hidden="1">
      <c r="A119" t="str">
        <f t="shared" si="27"/>
        <v>Véhicules usagés[...]</v>
      </c>
      <c r="B119" s="11" t="s">
        <v>70</v>
      </c>
      <c r="C119" s="29" t="s">
        <v>19</v>
      </c>
      <c r="D119" s="81"/>
      <c r="E119" s="82">
        <f t="shared" si="53"/>
        <v>0</v>
      </c>
      <c r="F119" s="30">
        <f>+SUM(START:END!F119)</f>
        <v>0</v>
      </c>
      <c r="G119" s="83"/>
      <c r="H119" s="82" t="e">
        <f t="shared" si="54"/>
        <v>#DIV/0!</v>
      </c>
      <c r="I119" s="30">
        <f>+SUM(START:END!I119)</f>
        <v>0</v>
      </c>
      <c r="J119" s="41"/>
      <c r="K119" s="82">
        <f t="shared" si="55"/>
        <v>0</v>
      </c>
      <c r="L119" s="33">
        <f>+SUM(START:END!L119)</f>
        <v>0</v>
      </c>
      <c r="M119" s="41"/>
      <c r="N119" s="59">
        <f t="shared" si="51"/>
        <v>0</v>
      </c>
      <c r="O119" s="41"/>
      <c r="P119" s="82">
        <f t="shared" si="56"/>
        <v>0</v>
      </c>
      <c r="Q119" s="33">
        <f>+SUM(START:END!Q119)</f>
        <v>0</v>
      </c>
      <c r="R119" s="41"/>
      <c r="S119" s="85">
        <f>L119-Q119</f>
        <v>0</v>
      </c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</row>
    <row r="120" spans="1:40" ht="20.25" hidden="1">
      <c r="A120" t="str">
        <f t="shared" si="27"/>
        <v>Véhicules usagés[...]</v>
      </c>
      <c r="B120" s="11" t="s">
        <v>70</v>
      </c>
      <c r="C120" s="29" t="s">
        <v>19</v>
      </c>
      <c r="D120" s="81"/>
      <c r="E120" s="82">
        <f t="shared" si="53"/>
        <v>0</v>
      </c>
      <c r="F120" s="30">
        <f>+SUM(START:END!F120)</f>
        <v>0</v>
      </c>
      <c r="G120" s="83"/>
      <c r="H120" s="82" t="e">
        <f t="shared" si="54"/>
        <v>#DIV/0!</v>
      </c>
      <c r="I120" s="30">
        <f>+SUM(START:END!I120)</f>
        <v>0</v>
      </c>
      <c r="J120" s="41"/>
      <c r="K120" s="82">
        <f t="shared" si="55"/>
        <v>0</v>
      </c>
      <c r="L120" s="33">
        <f>+SUM(START:END!L120)</f>
        <v>0</v>
      </c>
      <c r="M120" s="41"/>
      <c r="N120" s="59">
        <f t="shared" si="51"/>
        <v>0</v>
      </c>
      <c r="O120" s="41"/>
      <c r="P120" s="82">
        <f t="shared" si="56"/>
        <v>0</v>
      </c>
      <c r="Q120" s="33">
        <f>+SUM(START:END!Q120)</f>
        <v>0</v>
      </c>
      <c r="R120" s="41"/>
      <c r="S120" s="85">
        <f>L120-Q120</f>
        <v>0</v>
      </c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</row>
    <row r="121" spans="1:40" ht="20.25" hidden="1">
      <c r="A121" t="str">
        <f t="shared" si="27"/>
        <v>Véhicules usagés[...]</v>
      </c>
      <c r="B121" s="11" t="s">
        <v>70</v>
      </c>
      <c r="C121" s="29" t="s">
        <v>19</v>
      </c>
      <c r="D121" s="81"/>
      <c r="E121" s="82">
        <f t="shared" si="53"/>
        <v>0</v>
      </c>
      <c r="F121" s="30">
        <f>+SUM(START:END!F121)</f>
        <v>0</v>
      </c>
      <c r="G121" s="83"/>
      <c r="H121" s="82" t="e">
        <f t="shared" si="54"/>
        <v>#DIV/0!</v>
      </c>
      <c r="I121" s="30">
        <f>+SUM(START:END!I121)</f>
        <v>0</v>
      </c>
      <c r="J121" s="41"/>
      <c r="K121" s="82">
        <f t="shared" si="55"/>
        <v>0</v>
      </c>
      <c r="L121" s="33">
        <f>+SUM(START:END!L121)</f>
        <v>0</v>
      </c>
      <c r="M121" s="41"/>
      <c r="N121" s="59">
        <f t="shared" si="51"/>
        <v>0</v>
      </c>
      <c r="O121" s="41"/>
      <c r="P121" s="82">
        <f t="shared" si="56"/>
        <v>0</v>
      </c>
      <c r="Q121" s="33">
        <f>+SUM(START:END!Q121)</f>
        <v>0</v>
      </c>
      <c r="R121" s="41"/>
      <c r="S121" s="85">
        <f t="shared" si="52"/>
        <v>0</v>
      </c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</row>
    <row r="122" spans="1:40" ht="20.25">
      <c r="A122" t="str">
        <f t="shared" si="27"/>
        <v>Véhicules usagésTOTAL VARIABLES</v>
      </c>
      <c r="B122" s="11" t="s">
        <v>70</v>
      </c>
      <c r="C122" s="93" t="s">
        <v>37</v>
      </c>
      <c r="D122" s="94" t="s">
        <v>38</v>
      </c>
      <c r="E122" s="95">
        <f>F122/F$108</f>
        <v>0.50628770111110566</v>
      </c>
      <c r="F122" s="96">
        <f>SUM(F112:F121)</f>
        <v>135507.90320238742</v>
      </c>
      <c r="G122" s="97" t="s">
        <v>38</v>
      </c>
      <c r="H122" s="95" t="e">
        <f>I122/I$108</f>
        <v>#DIV/0!</v>
      </c>
      <c r="I122" s="96">
        <f>SUM(I112:I121)</f>
        <v>0</v>
      </c>
      <c r="J122" s="97" t="s">
        <v>38</v>
      </c>
      <c r="K122" s="95">
        <f>L122/L$108</f>
        <v>0.54313289537810461</v>
      </c>
      <c r="L122" s="96">
        <f>SUM(L112:L121)</f>
        <v>99954.11</v>
      </c>
      <c r="M122" s="100"/>
      <c r="N122" s="96">
        <f t="shared" si="51"/>
        <v>-35553.793202387416</v>
      </c>
      <c r="O122" s="97" t="s">
        <v>38</v>
      </c>
      <c r="P122" s="95">
        <f>Q122/Q$108</f>
        <v>0.48427510479617986</v>
      </c>
      <c r="Q122" s="96">
        <f>SUM(Q112:Q121)</f>
        <v>121548.01000000001</v>
      </c>
      <c r="R122" s="100"/>
      <c r="S122" s="101">
        <f t="shared" si="52"/>
        <v>-21593.900000000009</v>
      </c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</row>
    <row r="123" spans="1:40" ht="20.25">
      <c r="A123" t="str">
        <f t="shared" si="27"/>
        <v>Véhicules usagésSalaires cadres</v>
      </c>
      <c r="B123" s="11" t="s">
        <v>70</v>
      </c>
      <c r="C123" s="102" t="s">
        <v>40</v>
      </c>
      <c r="D123" s="13"/>
      <c r="E123" s="13"/>
      <c r="F123" s="30">
        <f>+SUM(START:END!F123)</f>
        <v>15079.735114503817</v>
      </c>
      <c r="G123" s="41"/>
      <c r="H123" s="13"/>
      <c r="I123" s="30">
        <f>+SUM(START:END!I123)</f>
        <v>0</v>
      </c>
      <c r="J123" s="41"/>
      <c r="K123" s="13"/>
      <c r="L123" s="33">
        <f>+SUM(START:END!L123)</f>
        <v>12245.4</v>
      </c>
      <c r="M123" s="41"/>
      <c r="N123" s="59">
        <f t="shared" si="51"/>
        <v>-2834.3351145038177</v>
      </c>
      <c r="O123" s="41"/>
      <c r="P123" s="13"/>
      <c r="Q123" s="33">
        <f>+SUM(START:END!Q123)</f>
        <v>4751.2999999999993</v>
      </c>
      <c r="R123" s="41"/>
      <c r="S123" s="85">
        <f t="shared" si="52"/>
        <v>7494.1</v>
      </c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</row>
    <row r="124" spans="1:40" ht="20.25">
      <c r="A124" t="str">
        <f t="shared" si="27"/>
        <v>Véhicules usagésSalaires commis</v>
      </c>
      <c r="B124" s="11" t="s">
        <v>70</v>
      </c>
      <c r="C124" s="103" t="s">
        <v>41</v>
      </c>
      <c r="D124" s="81"/>
      <c r="E124" s="13"/>
      <c r="F124" s="22">
        <f>+SUM(START:END!F124)</f>
        <v>8175.4442748091606</v>
      </c>
      <c r="G124" s="83"/>
      <c r="H124" s="13"/>
      <c r="I124" s="22">
        <f>+SUM(START:END!I124)</f>
        <v>0</v>
      </c>
      <c r="J124" s="41"/>
      <c r="K124" s="13"/>
      <c r="L124" s="22">
        <f>+SUM(START:END!L124)</f>
        <v>8428.7200000000012</v>
      </c>
      <c r="M124" s="41"/>
      <c r="N124" s="59">
        <f t="shared" si="51"/>
        <v>253.2757251908406</v>
      </c>
      <c r="O124" s="41"/>
      <c r="P124" s="13"/>
      <c r="Q124" s="22">
        <f>+SUM(START:END!Q124)</f>
        <v>13299.18</v>
      </c>
      <c r="R124" s="41"/>
      <c r="S124" s="85">
        <f t="shared" si="52"/>
        <v>-4870.4599999999991</v>
      </c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</row>
    <row r="125" spans="1:40" ht="20.25">
      <c r="A125" t="str">
        <f t="shared" si="27"/>
        <v>Véhicules usagésSalaires autres</v>
      </c>
      <c r="B125" s="11" t="s">
        <v>70</v>
      </c>
      <c r="C125" s="102" t="s">
        <v>42</v>
      </c>
      <c r="D125" s="104"/>
      <c r="E125" s="105"/>
      <c r="F125" s="30">
        <f>+SUM(START:END!F125)</f>
        <v>8427</v>
      </c>
      <c r="G125" s="106"/>
      <c r="H125" s="105"/>
      <c r="I125" s="30">
        <f>+SUM(START:END!I125)</f>
        <v>0</v>
      </c>
      <c r="J125" s="107"/>
      <c r="K125" s="105"/>
      <c r="L125" s="33">
        <f>+SUM(START:END!L125)</f>
        <v>8427</v>
      </c>
      <c r="M125" s="107"/>
      <c r="N125" s="109">
        <f t="shared" si="51"/>
        <v>0</v>
      </c>
      <c r="O125" s="107"/>
      <c r="P125" s="105"/>
      <c r="Q125" s="33">
        <f>+SUM(START:END!Q125)</f>
        <v>8427</v>
      </c>
      <c r="R125" s="107"/>
      <c r="S125" s="110">
        <f t="shared" si="52"/>
        <v>0</v>
      </c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</row>
    <row r="126" spans="1:40" ht="20.25">
      <c r="A126" t="str">
        <f t="shared" si="27"/>
        <v>Véhicules usagésSalaires spécialistes</v>
      </c>
      <c r="B126" s="11" t="s">
        <v>70</v>
      </c>
      <c r="C126" s="102" t="s">
        <v>43</v>
      </c>
      <c r="D126" s="81"/>
      <c r="E126" s="13"/>
      <c r="F126" s="30">
        <f>+SUM(START:END!F126)</f>
        <v>0</v>
      </c>
      <c r="G126" s="83"/>
      <c r="H126" s="13"/>
      <c r="I126" s="30">
        <f>+SUM(START:END!I126)</f>
        <v>0</v>
      </c>
      <c r="J126" s="41"/>
      <c r="K126" s="13"/>
      <c r="L126" s="33">
        <f>+SUM(START:END!L126)</f>
        <v>0</v>
      </c>
      <c r="M126" s="41"/>
      <c r="N126" s="59">
        <f t="shared" si="51"/>
        <v>0</v>
      </c>
      <c r="O126" s="41"/>
      <c r="P126" s="13"/>
      <c r="Q126" s="33">
        <f>+SUM(START:END!Q126)</f>
        <v>0</v>
      </c>
      <c r="R126" s="41"/>
      <c r="S126" s="85">
        <f t="shared" si="52"/>
        <v>0</v>
      </c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</row>
    <row r="127" spans="1:40" ht="20.25" hidden="1">
      <c r="A127" t="str">
        <f t="shared" si="27"/>
        <v>Véhicules usagés[...]</v>
      </c>
      <c r="B127" s="11" t="s">
        <v>70</v>
      </c>
      <c r="C127" s="102" t="s">
        <v>19</v>
      </c>
      <c r="D127" s="81"/>
      <c r="E127" s="13"/>
      <c r="F127" s="30">
        <f>+SUM(START:END!F127)</f>
        <v>0</v>
      </c>
      <c r="G127" s="83"/>
      <c r="H127" s="13"/>
      <c r="I127" s="30">
        <f>+SUM(START:END!I127)</f>
        <v>0</v>
      </c>
      <c r="J127" s="41"/>
      <c r="K127" s="13"/>
      <c r="L127" s="33">
        <f>+SUM(START:END!L127)</f>
        <v>0</v>
      </c>
      <c r="M127" s="41"/>
      <c r="N127" s="59">
        <f t="shared" si="51"/>
        <v>0</v>
      </c>
      <c r="O127" s="41"/>
      <c r="P127" s="13"/>
      <c r="Q127" s="33">
        <f>+SUM(START:END!Q127)</f>
        <v>0</v>
      </c>
      <c r="R127" s="41"/>
      <c r="S127" s="85">
        <f>L127-Q127</f>
        <v>0</v>
      </c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</row>
    <row r="128" spans="1:40" ht="20.25" hidden="1">
      <c r="A128" t="str">
        <f t="shared" si="27"/>
        <v>Véhicules usagés[...]</v>
      </c>
      <c r="B128" s="11" t="s">
        <v>70</v>
      </c>
      <c r="C128" s="102" t="s">
        <v>19</v>
      </c>
      <c r="D128" s="81"/>
      <c r="E128" s="13"/>
      <c r="F128" s="30">
        <f>+SUM(START:END!F128)</f>
        <v>0</v>
      </c>
      <c r="G128" s="83"/>
      <c r="H128" s="13"/>
      <c r="I128" s="30">
        <f>+SUM(START:END!I128)</f>
        <v>0</v>
      </c>
      <c r="J128" s="41"/>
      <c r="K128" s="13"/>
      <c r="L128" s="33">
        <f>+SUM(START:END!L128)</f>
        <v>0</v>
      </c>
      <c r="M128" s="41"/>
      <c r="N128" s="59">
        <f t="shared" si="51"/>
        <v>0</v>
      </c>
      <c r="O128" s="41"/>
      <c r="P128" s="13"/>
      <c r="Q128" s="33">
        <f>+SUM(START:END!Q128)</f>
        <v>0</v>
      </c>
      <c r="R128" s="41"/>
      <c r="S128" s="85">
        <f>L128-Q128</f>
        <v>0</v>
      </c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</row>
    <row r="129" spans="1:40" ht="20.25" hidden="1">
      <c r="A129" t="str">
        <f t="shared" si="27"/>
        <v>Véhicules usagés[...]</v>
      </c>
      <c r="B129" s="11" t="s">
        <v>70</v>
      </c>
      <c r="C129" s="102" t="s">
        <v>19</v>
      </c>
      <c r="D129" s="81"/>
      <c r="E129" s="13"/>
      <c r="F129" s="30">
        <f>+SUM(START:END!F129)</f>
        <v>0</v>
      </c>
      <c r="G129" s="83"/>
      <c r="H129" s="13"/>
      <c r="I129" s="30">
        <f>+SUM(START:END!I129)</f>
        <v>0</v>
      </c>
      <c r="J129" s="41"/>
      <c r="K129" s="13"/>
      <c r="L129" s="33">
        <f>+SUM(START:END!L129)</f>
        <v>0</v>
      </c>
      <c r="M129" s="41"/>
      <c r="N129" s="59">
        <f t="shared" si="51"/>
        <v>0</v>
      </c>
      <c r="O129" s="41"/>
      <c r="P129" s="13"/>
      <c r="Q129" s="33">
        <f>+SUM(START:END!Q129)</f>
        <v>0</v>
      </c>
      <c r="R129" s="41"/>
      <c r="S129" s="85">
        <f>L129-Q129</f>
        <v>0</v>
      </c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</row>
    <row r="130" spans="1:40" ht="20.25">
      <c r="A130" t="str">
        <f t="shared" si="27"/>
        <v>Véhicules usagésSalaires en absences</v>
      </c>
      <c r="B130" s="11" t="s">
        <v>70</v>
      </c>
      <c r="C130" s="103" t="s">
        <v>44</v>
      </c>
      <c r="D130" s="81"/>
      <c r="E130" s="13"/>
      <c r="F130" s="30">
        <f>+SUM(START:END!F130)</f>
        <v>10882.462370644031</v>
      </c>
      <c r="G130" s="83"/>
      <c r="H130" s="13"/>
      <c r="I130" s="30">
        <f>+SUM(START:END!I130)</f>
        <v>0</v>
      </c>
      <c r="J130" s="41"/>
      <c r="K130" s="13"/>
      <c r="L130" s="33">
        <f>+SUM(START:END!L130)</f>
        <v>9286.35</v>
      </c>
      <c r="M130" s="41"/>
      <c r="N130" s="59">
        <f t="shared" si="51"/>
        <v>-1596.1123706440303</v>
      </c>
      <c r="O130" s="41"/>
      <c r="P130" s="13"/>
      <c r="Q130" s="33">
        <f>+SUM(START:END!Q130)</f>
        <v>12360.130000000001</v>
      </c>
      <c r="R130" s="41"/>
      <c r="S130" s="85">
        <f>L130-Q130</f>
        <v>-3073.7800000000007</v>
      </c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</row>
    <row r="131" spans="1:40" ht="20.25">
      <c r="A131" t="str">
        <f t="shared" si="27"/>
        <v>Véhicules usagésDéduction à la source</v>
      </c>
      <c r="B131" s="11" t="s">
        <v>70</v>
      </c>
      <c r="C131" s="102" t="s">
        <v>45</v>
      </c>
      <c r="D131" s="104"/>
      <c r="E131" s="105"/>
      <c r="F131" s="54">
        <f>+SUM(START:END!F131)</f>
        <v>14520.908905279899</v>
      </c>
      <c r="G131" s="106"/>
      <c r="H131" s="105"/>
      <c r="I131" s="54">
        <f>+SUM(START:END!I131)</f>
        <v>0</v>
      </c>
      <c r="J131" s="107"/>
      <c r="K131" s="105"/>
      <c r="L131" s="55">
        <f>+SUM(START:END!L131)</f>
        <v>6657.31</v>
      </c>
      <c r="M131" s="107"/>
      <c r="N131" s="109">
        <f t="shared" si="51"/>
        <v>-7863.5989052798986</v>
      </c>
      <c r="O131" s="107"/>
      <c r="P131" s="105"/>
      <c r="Q131" s="55">
        <f>+SUM(START:END!Q131)</f>
        <v>9494.19</v>
      </c>
      <c r="R131" s="107"/>
      <c r="S131" s="110">
        <f t="shared" si="52"/>
        <v>-2836.88</v>
      </c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</row>
    <row r="132" spans="1:40" ht="20.25">
      <c r="A132" t="str">
        <f t="shared" si="27"/>
        <v>Véhicules usagésBénéfices marginaux</v>
      </c>
      <c r="B132" s="11" t="s">
        <v>70</v>
      </c>
      <c r="C132" s="102" t="s">
        <v>46</v>
      </c>
      <c r="D132" s="81"/>
      <c r="E132" s="13"/>
      <c r="F132" s="30">
        <f>+SUM(START:END!F132)</f>
        <v>6735.0836522900772</v>
      </c>
      <c r="G132" s="83"/>
      <c r="H132" s="13"/>
      <c r="I132" s="30">
        <f>+SUM(START:END!I132)</f>
        <v>0</v>
      </c>
      <c r="J132" s="41"/>
      <c r="K132" s="13"/>
      <c r="L132" s="33">
        <f>+SUM(START:END!L132)</f>
        <v>6461.23</v>
      </c>
      <c r="M132" s="41"/>
      <c r="N132" s="59">
        <f t="shared" si="51"/>
        <v>-273.85365229007766</v>
      </c>
      <c r="O132" s="41"/>
      <c r="P132" s="13"/>
      <c r="Q132" s="33">
        <f>+SUM(START:END!Q132)</f>
        <v>5824.03</v>
      </c>
      <c r="R132" s="41"/>
      <c r="S132" s="85">
        <f t="shared" si="52"/>
        <v>637.19999999999982</v>
      </c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</row>
    <row r="133" spans="1:40" ht="20.25">
      <c r="A133" t="str">
        <f t="shared" si="27"/>
        <v>Véhicules usagésCsst</v>
      </c>
      <c r="B133" s="11" t="s">
        <v>70</v>
      </c>
      <c r="C133" s="102" t="s">
        <v>47</v>
      </c>
      <c r="D133" s="81"/>
      <c r="E133" s="13"/>
      <c r="F133" s="30">
        <f>+SUM(START:END!F133)</f>
        <v>1520.8253408396947</v>
      </c>
      <c r="G133" s="83"/>
      <c r="H133" s="13"/>
      <c r="I133" s="30">
        <f>+SUM(START:END!I133)</f>
        <v>0</v>
      </c>
      <c r="J133" s="41"/>
      <c r="K133" s="13"/>
      <c r="L133" s="33">
        <f>+SUM(START:END!L133)</f>
        <v>327.56</v>
      </c>
      <c r="M133" s="41"/>
      <c r="N133" s="59">
        <f t="shared" si="51"/>
        <v>-1193.2653408396948</v>
      </c>
      <c r="O133" s="41"/>
      <c r="P133" s="13"/>
      <c r="Q133" s="33">
        <f>+SUM(START:END!Q133)</f>
        <v>676.18</v>
      </c>
      <c r="R133" s="41"/>
      <c r="S133" s="85">
        <f t="shared" si="52"/>
        <v>-348.61999999999995</v>
      </c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</row>
    <row r="134" spans="1:40" ht="20.25" hidden="1">
      <c r="A134" t="str">
        <f t="shared" si="27"/>
        <v>Véhicules usagés[...]</v>
      </c>
      <c r="B134" s="11" t="s">
        <v>70</v>
      </c>
      <c r="C134" s="29" t="s">
        <v>19</v>
      </c>
      <c r="D134" s="87"/>
      <c r="E134" s="111"/>
      <c r="F134" s="30">
        <f>+SUM(START:END!F134)</f>
        <v>0</v>
      </c>
      <c r="G134" s="89"/>
      <c r="H134" s="111"/>
      <c r="I134" s="30">
        <f>+SUM(START:END!I134)</f>
        <v>0</v>
      </c>
      <c r="J134" s="23"/>
      <c r="K134" s="111"/>
      <c r="L134" s="33">
        <f>+SUM(START:END!L134)</f>
        <v>0</v>
      </c>
      <c r="M134" s="41"/>
      <c r="N134" s="59">
        <f t="shared" si="51"/>
        <v>0</v>
      </c>
      <c r="O134" s="23"/>
      <c r="P134" s="111"/>
      <c r="Q134" s="33">
        <f>+SUM(START:END!Q134)</f>
        <v>0</v>
      </c>
      <c r="R134" s="23"/>
      <c r="S134" s="92">
        <f t="shared" si="52"/>
        <v>0</v>
      </c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</row>
    <row r="135" spans="1:40" ht="20.25">
      <c r="A135" t="str">
        <f t="shared" si="27"/>
        <v>Véhicules usagésTOTAL PERSONNEL</v>
      </c>
      <c r="B135" s="11" t="s">
        <v>70</v>
      </c>
      <c r="C135" s="93" t="s">
        <v>48</v>
      </c>
      <c r="D135" s="94" t="s">
        <v>38</v>
      </c>
      <c r="E135" s="95">
        <f>F135/F$108</f>
        <v>0.24413024344616729</v>
      </c>
      <c r="F135" s="96">
        <f>+SUM(F123:F134)</f>
        <v>65341.459658366679</v>
      </c>
      <c r="G135" s="97" t="s">
        <v>38</v>
      </c>
      <c r="H135" s="95" t="e">
        <f>I135/I$108</f>
        <v>#DIV/0!</v>
      </c>
      <c r="I135" s="96">
        <f>+SUM(I123:I134)</f>
        <v>0</v>
      </c>
      <c r="J135" s="97" t="s">
        <v>38</v>
      </c>
      <c r="K135" s="95">
        <f>L135/L$108</f>
        <v>0.28165442073251074</v>
      </c>
      <c r="L135" s="96">
        <f>SUM(L123:L134)</f>
        <v>51833.569999999992</v>
      </c>
      <c r="M135" s="463"/>
      <c r="N135" s="464">
        <f t="shared" si="51"/>
        <v>-13507.889658366686</v>
      </c>
      <c r="O135" s="97" t="s">
        <v>38</v>
      </c>
      <c r="P135" s="95">
        <f>Q135/Q$108</f>
        <v>0.21846328367642698</v>
      </c>
      <c r="Q135" s="96">
        <f>SUM(Q123:Q134)</f>
        <v>54832.01</v>
      </c>
      <c r="R135" s="147"/>
      <c r="S135" s="114">
        <f t="shared" si="52"/>
        <v>-2998.4400000000096</v>
      </c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</row>
    <row r="136" spans="1:40" ht="20.25">
      <c r="A136" t="str">
        <f t="shared" si="27"/>
        <v>Véhicules usagésPublicité 2</v>
      </c>
      <c r="B136" s="11" t="s">
        <v>70</v>
      </c>
      <c r="C136" s="29" t="s">
        <v>49</v>
      </c>
      <c r="D136" s="81"/>
      <c r="E136" s="13"/>
      <c r="F136" s="30">
        <f>+SUM(START:END!F136)</f>
        <v>0</v>
      </c>
      <c r="G136" s="83"/>
      <c r="H136" s="13"/>
      <c r="I136" s="30">
        <f>+SUM(START:END!I136)</f>
        <v>0</v>
      </c>
      <c r="J136" s="41"/>
      <c r="K136" s="13"/>
      <c r="L136" s="33">
        <f>+SUM(START:END!L136)</f>
        <v>0</v>
      </c>
      <c r="M136" s="41"/>
      <c r="N136" s="59">
        <f t="shared" si="51"/>
        <v>0</v>
      </c>
      <c r="O136" s="41"/>
      <c r="P136" s="13"/>
      <c r="Q136" s="33">
        <f>+SUM(START:END!Q136)</f>
        <v>0</v>
      </c>
      <c r="R136" s="41"/>
      <c r="S136" s="85">
        <f t="shared" si="52"/>
        <v>0</v>
      </c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</row>
    <row r="137" spans="1:40" ht="20.25">
      <c r="A137" t="str">
        <f t="shared" si="27"/>
        <v>Véhicules usagésService gratuit 2</v>
      </c>
      <c r="B137" s="11" t="s">
        <v>70</v>
      </c>
      <c r="C137" s="29" t="s">
        <v>50</v>
      </c>
      <c r="D137" s="81"/>
      <c r="E137" s="13"/>
      <c r="F137" s="30">
        <f>+SUM(START:END!F137)</f>
        <v>0</v>
      </c>
      <c r="G137" s="83"/>
      <c r="H137" s="13"/>
      <c r="I137" s="30">
        <f>+SUM(START:END!I137)</f>
        <v>0</v>
      </c>
      <c r="J137" s="41"/>
      <c r="K137" s="13"/>
      <c r="L137" s="33">
        <f>+SUM(START:END!L137)</f>
        <v>0</v>
      </c>
      <c r="M137" s="41"/>
      <c r="N137" s="59">
        <f t="shared" si="51"/>
        <v>0</v>
      </c>
      <c r="O137" s="41"/>
      <c r="P137" s="13"/>
      <c r="Q137" s="33">
        <f>+SUM(START:END!Q137)</f>
        <v>0</v>
      </c>
      <c r="R137" s="41"/>
      <c r="S137" s="85">
        <f t="shared" si="52"/>
        <v>0</v>
      </c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</row>
    <row r="138" spans="1:40" ht="20.25">
      <c r="A138" t="str">
        <f t="shared" si="27"/>
        <v>Véhicules usagésFrais véhicules de cie</v>
      </c>
      <c r="B138" s="11" t="s">
        <v>70</v>
      </c>
      <c r="C138" s="86" t="s">
        <v>51</v>
      </c>
      <c r="D138" s="87"/>
      <c r="E138" s="111"/>
      <c r="F138" s="22">
        <f>+SUM(START:END!F138)</f>
        <v>2573.5</v>
      </c>
      <c r="G138" s="89"/>
      <c r="H138" s="111"/>
      <c r="I138" s="22">
        <f>+SUM(START:END!I138)</f>
        <v>0</v>
      </c>
      <c r="J138" s="23"/>
      <c r="K138" s="111"/>
      <c r="L138" s="22">
        <f>+SUM(START:END!L138)</f>
        <v>2968.23</v>
      </c>
      <c r="M138" s="23"/>
      <c r="N138" s="91">
        <f t="shared" si="51"/>
        <v>394.73</v>
      </c>
      <c r="O138" s="23"/>
      <c r="P138" s="111"/>
      <c r="Q138" s="22">
        <f>+SUM(START:END!Q138)</f>
        <v>2490.09</v>
      </c>
      <c r="R138" s="23"/>
      <c r="S138" s="92">
        <f t="shared" si="52"/>
        <v>478.13999999999987</v>
      </c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</row>
    <row r="139" spans="1:40" ht="20.25">
      <c r="A139" t="str">
        <f t="shared" si="27"/>
        <v>Véhicules usagésInformatique</v>
      </c>
      <c r="B139" s="11" t="s">
        <v>70</v>
      </c>
      <c r="C139" s="29" t="s">
        <v>52</v>
      </c>
      <c r="D139" s="81"/>
      <c r="E139" s="13"/>
      <c r="F139" s="30">
        <f>+SUM(START:END!F139)</f>
        <v>4259.7000000000007</v>
      </c>
      <c r="G139" s="83"/>
      <c r="H139" s="13"/>
      <c r="I139" s="30">
        <f>+SUM(START:END!I139)</f>
        <v>0</v>
      </c>
      <c r="J139" s="41"/>
      <c r="K139" s="13"/>
      <c r="L139" s="33">
        <f>+SUM(START:END!L139)</f>
        <v>4714.5600000000004</v>
      </c>
      <c r="M139" s="41"/>
      <c r="N139" s="59">
        <f t="shared" si="51"/>
        <v>454.85999999999967</v>
      </c>
      <c r="O139" s="41"/>
      <c r="P139" s="13"/>
      <c r="Q139" s="33">
        <f>+SUM(START:END!Q139)</f>
        <v>4160.9799999999996</v>
      </c>
      <c r="R139" s="41"/>
      <c r="S139" s="85">
        <f t="shared" si="52"/>
        <v>553.58000000000084</v>
      </c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</row>
    <row r="140" spans="1:40" ht="20.25">
      <c r="A140" t="str">
        <f t="shared" si="27"/>
        <v>Véhicules usagésFrais de déplacement</v>
      </c>
      <c r="B140" s="11" t="s">
        <v>70</v>
      </c>
      <c r="C140" s="29" t="s">
        <v>53</v>
      </c>
      <c r="D140" s="81"/>
      <c r="E140" s="13"/>
      <c r="F140" s="30">
        <f>+SUM(START:END!F140)</f>
        <v>548.40000000000009</v>
      </c>
      <c r="G140" s="83"/>
      <c r="H140" s="13"/>
      <c r="I140" s="30">
        <f>+SUM(START:END!I140)</f>
        <v>0</v>
      </c>
      <c r="J140" s="41"/>
      <c r="K140" s="13"/>
      <c r="L140" s="33">
        <f>+SUM(START:END!L140)</f>
        <v>175.11</v>
      </c>
      <c r="M140" s="41"/>
      <c r="N140" s="59">
        <f t="shared" si="51"/>
        <v>-373.29000000000008</v>
      </c>
      <c r="O140" s="41"/>
      <c r="P140" s="13"/>
      <c r="Q140" s="33">
        <f>+SUM(START:END!Q140)</f>
        <v>306.5</v>
      </c>
      <c r="R140" s="41"/>
      <c r="S140" s="85">
        <f t="shared" si="52"/>
        <v>-131.38999999999999</v>
      </c>
      <c r="T140" s="148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</row>
    <row r="141" spans="1:40" ht="20.25">
      <c r="A141" t="str">
        <f t="shared" si="27"/>
        <v>Véhicules usagésServices extérieurs</v>
      </c>
      <c r="B141" s="11" t="s">
        <v>70</v>
      </c>
      <c r="C141" s="86" t="s">
        <v>54</v>
      </c>
      <c r="D141" s="87"/>
      <c r="E141" s="111"/>
      <c r="F141" s="22">
        <f>+SUM(START:END!F141)</f>
        <v>1836.3000000000002</v>
      </c>
      <c r="G141" s="89"/>
      <c r="H141" s="111"/>
      <c r="I141" s="22">
        <f>+SUM(START:END!I141)</f>
        <v>0</v>
      </c>
      <c r="J141" s="23"/>
      <c r="K141" s="111"/>
      <c r="L141" s="22">
        <f>+SUM(START:END!L141)</f>
        <v>3020.92</v>
      </c>
      <c r="M141" s="23"/>
      <c r="N141" s="91">
        <f t="shared" si="51"/>
        <v>1184.6199999999999</v>
      </c>
      <c r="O141" s="23"/>
      <c r="P141" s="111"/>
      <c r="Q141" s="22">
        <f>+SUM(START:END!Q141)</f>
        <v>1999.6399999999999</v>
      </c>
      <c r="R141" s="23"/>
      <c r="S141" s="92">
        <f t="shared" si="52"/>
        <v>1021.2800000000002</v>
      </c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</row>
    <row r="142" spans="1:40" ht="20.25">
      <c r="A142" t="str">
        <f t="shared" si="27"/>
        <v>Véhicules usagésFournitures autres</v>
      </c>
      <c r="B142" s="11" t="s">
        <v>70</v>
      </c>
      <c r="C142" s="29" t="s">
        <v>55</v>
      </c>
      <c r="D142" s="81"/>
      <c r="E142" s="13"/>
      <c r="F142" s="30">
        <f>+SUM(START:END!F142)</f>
        <v>134.55882352941177</v>
      </c>
      <c r="G142" s="83"/>
      <c r="H142" s="13"/>
      <c r="I142" s="30">
        <f>+SUM(START:END!I142)</f>
        <v>0</v>
      </c>
      <c r="J142" s="41"/>
      <c r="K142" s="13"/>
      <c r="L142" s="33">
        <f>+SUM(START:END!L142)</f>
        <v>0</v>
      </c>
      <c r="M142" s="41"/>
      <c r="N142" s="59">
        <f t="shared" si="51"/>
        <v>-134.55882352941177</v>
      </c>
      <c r="O142" s="41"/>
      <c r="P142" s="13"/>
      <c r="Q142" s="33">
        <f>+SUM(START:END!Q142)</f>
        <v>26.57</v>
      </c>
      <c r="R142" s="41"/>
      <c r="S142" s="85">
        <f t="shared" si="52"/>
        <v>-26.57</v>
      </c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</row>
    <row r="143" spans="1:40" ht="20.25">
      <c r="A143" t="str">
        <f t="shared" si="27"/>
        <v>Véhicules usagésUniformes</v>
      </c>
      <c r="B143" s="11" t="s">
        <v>70</v>
      </c>
      <c r="C143" s="29" t="s">
        <v>56</v>
      </c>
      <c r="D143" s="81"/>
      <c r="E143" s="13"/>
      <c r="F143" s="30">
        <f>+SUM(START:END!F143)</f>
        <v>15</v>
      </c>
      <c r="G143" s="83"/>
      <c r="H143" s="13"/>
      <c r="I143" s="30">
        <f>+SUM(START:END!I143)</f>
        <v>0</v>
      </c>
      <c r="J143" s="41"/>
      <c r="K143" s="13"/>
      <c r="L143" s="33">
        <f>+SUM(START:END!L143)</f>
        <v>167.72</v>
      </c>
      <c r="M143" s="41"/>
      <c r="N143" s="59">
        <f t="shared" si="51"/>
        <v>152.72</v>
      </c>
      <c r="O143" s="41"/>
      <c r="P143" s="13"/>
      <c r="Q143" s="33">
        <f>+SUM(START:END!Q143)</f>
        <v>0</v>
      </c>
      <c r="R143" s="41"/>
      <c r="S143" s="85">
        <f t="shared" si="52"/>
        <v>167.72</v>
      </c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</row>
    <row r="144" spans="1:40" ht="20.25">
      <c r="A144" t="str">
        <f t="shared" si="27"/>
        <v>Véhicules usagésPapeterie</v>
      </c>
      <c r="B144" s="11" t="s">
        <v>70</v>
      </c>
      <c r="C144" s="29" t="s">
        <v>57</v>
      </c>
      <c r="D144" s="81"/>
      <c r="E144" s="13"/>
      <c r="F144" s="30">
        <f>+SUM(START:END!F144)</f>
        <v>525</v>
      </c>
      <c r="G144" s="83"/>
      <c r="H144" s="13"/>
      <c r="I144" s="30">
        <f>+SUM(START:END!I144)</f>
        <v>0</v>
      </c>
      <c r="J144" s="41"/>
      <c r="K144" s="13"/>
      <c r="L144" s="32">
        <f>+SUM(START:END!L144)</f>
        <v>438.30000000000007</v>
      </c>
      <c r="M144" s="41"/>
      <c r="N144" s="59">
        <f t="shared" si="51"/>
        <v>-86.699999999999932</v>
      </c>
      <c r="O144" s="41"/>
      <c r="P144" s="13"/>
      <c r="Q144" s="32">
        <f>+SUM(START:END!Q144)</f>
        <v>750.18000000000006</v>
      </c>
      <c r="R144" s="41"/>
      <c r="S144" s="85">
        <f t="shared" si="52"/>
        <v>-311.88</v>
      </c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</row>
    <row r="145" spans="1:40" ht="20.25">
      <c r="A145" t="str">
        <f t="shared" si="27"/>
        <v>Véhicules usagésTéléphone</v>
      </c>
      <c r="B145" s="11" t="s">
        <v>70</v>
      </c>
      <c r="C145" s="29" t="s">
        <v>58</v>
      </c>
      <c r="D145" s="81"/>
      <c r="E145" s="13"/>
      <c r="F145" s="30">
        <f>+SUM(START:END!F145)</f>
        <v>189.60000000000002</v>
      </c>
      <c r="G145" s="83"/>
      <c r="H145" s="13"/>
      <c r="I145" s="30">
        <f>+SUM(START:END!I145)</f>
        <v>0</v>
      </c>
      <c r="J145" s="41"/>
      <c r="K145" s="13"/>
      <c r="L145" s="33">
        <f>+SUM(START:END!L145)</f>
        <v>232.71</v>
      </c>
      <c r="M145" s="41"/>
      <c r="N145" s="59">
        <f t="shared" si="51"/>
        <v>43.109999999999985</v>
      </c>
      <c r="O145" s="41"/>
      <c r="P145" s="13"/>
      <c r="Q145" s="33">
        <f>+SUM(START:END!Q145)</f>
        <v>206.8</v>
      </c>
      <c r="R145" s="41"/>
      <c r="S145" s="85">
        <f t="shared" si="52"/>
        <v>25.909999999999997</v>
      </c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</row>
    <row r="146" spans="1:40" ht="20.25">
      <c r="A146" t="str">
        <f t="shared" si="27"/>
        <v>Véhicules usagésFrais postaux</v>
      </c>
      <c r="B146" s="11" t="s">
        <v>70</v>
      </c>
      <c r="C146" s="29" t="s">
        <v>59</v>
      </c>
      <c r="D146" s="81"/>
      <c r="E146" s="13"/>
      <c r="F146" s="30">
        <f>+SUM(START:END!F146)</f>
        <v>150</v>
      </c>
      <c r="G146" s="83"/>
      <c r="H146" s="13"/>
      <c r="I146" s="30">
        <f>+SUM(START:END!I146)</f>
        <v>0</v>
      </c>
      <c r="J146" s="41"/>
      <c r="K146" s="13"/>
      <c r="L146" s="33">
        <f>+SUM(START:END!L146)</f>
        <v>300.86</v>
      </c>
      <c r="M146" s="41"/>
      <c r="N146" s="59">
        <f t="shared" si="51"/>
        <v>150.86000000000001</v>
      </c>
      <c r="O146" s="41"/>
      <c r="P146" s="13"/>
      <c r="Q146" s="33">
        <f>+SUM(START:END!Q146)</f>
        <v>268.32</v>
      </c>
      <c r="R146" s="41"/>
      <c r="S146" s="85">
        <f t="shared" si="52"/>
        <v>32.54000000000002</v>
      </c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</row>
    <row r="147" spans="1:40" ht="20.25">
      <c r="A147" t="str">
        <f t="shared" si="27"/>
        <v>Véhicules usagésDivers</v>
      </c>
      <c r="B147" s="11" t="s">
        <v>70</v>
      </c>
      <c r="C147" s="29" t="s">
        <v>60</v>
      </c>
      <c r="D147" s="81"/>
      <c r="E147" s="13"/>
      <c r="F147" s="30">
        <f>+SUM(START:END!F147)</f>
        <v>557.40000000000009</v>
      </c>
      <c r="G147" s="83"/>
      <c r="H147" s="13"/>
      <c r="I147" s="30">
        <f>+SUM(START:END!I147)</f>
        <v>0</v>
      </c>
      <c r="J147" s="41"/>
      <c r="K147" s="13"/>
      <c r="L147" s="33">
        <f>+SUM(START:END!L147)</f>
        <v>474.29999999999995</v>
      </c>
      <c r="M147" s="41"/>
      <c r="N147" s="59">
        <f t="shared" si="51"/>
        <v>-83.100000000000136</v>
      </c>
      <c r="O147" s="41"/>
      <c r="P147" s="13"/>
      <c r="Q147" s="33">
        <f>+SUM(START:END!Q147)</f>
        <v>538.05999999999995</v>
      </c>
      <c r="R147" s="41"/>
      <c r="S147" s="85">
        <f t="shared" si="52"/>
        <v>-63.759999999999991</v>
      </c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</row>
    <row r="148" spans="1:40" ht="20.25">
      <c r="A148" t="str">
        <f t="shared" si="27"/>
        <v>Véhicules usagésFormation</v>
      </c>
      <c r="B148" s="11" t="s">
        <v>70</v>
      </c>
      <c r="C148" s="29" t="s">
        <v>61</v>
      </c>
      <c r="D148" s="81"/>
      <c r="E148" s="13"/>
      <c r="F148" s="30">
        <f>+SUM(START:END!F148)</f>
        <v>411.7203199999999</v>
      </c>
      <c r="G148" s="83"/>
      <c r="H148" s="13"/>
      <c r="I148" s="30">
        <f>+SUM(START:END!I148)</f>
        <v>0</v>
      </c>
      <c r="J148" s="41"/>
      <c r="K148" s="13"/>
      <c r="L148" s="59">
        <f>+SUM(START:END!L148)</f>
        <v>756.31000000000006</v>
      </c>
      <c r="M148" s="41"/>
      <c r="N148" s="59">
        <f t="shared" si="51"/>
        <v>344.58968000000016</v>
      </c>
      <c r="O148" s="41"/>
      <c r="P148" s="13"/>
      <c r="Q148" s="33">
        <f>+SUM(START:END!Q148)</f>
        <v>284.95</v>
      </c>
      <c r="R148" s="41"/>
      <c r="S148" s="85">
        <f t="shared" si="52"/>
        <v>471.36000000000007</v>
      </c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</row>
    <row r="149" spans="1:40" ht="20.25">
      <c r="A149" t="str">
        <f t="shared" si="27"/>
        <v>Véhicules usagésFrais bancaires</v>
      </c>
      <c r="B149" s="11" t="s">
        <v>70</v>
      </c>
      <c r="C149" s="29" t="s">
        <v>62</v>
      </c>
      <c r="D149" s="81"/>
      <c r="E149" s="13"/>
      <c r="F149" s="30">
        <f>+SUM(START:END!F149)</f>
        <v>1835.550007079537</v>
      </c>
      <c r="G149" s="83"/>
      <c r="H149" s="13"/>
      <c r="I149" s="30">
        <f>+SUM(START:END!I149)</f>
        <v>0</v>
      </c>
      <c r="J149" s="41"/>
      <c r="K149" s="13"/>
      <c r="L149" s="33">
        <f>+SUM(START:END!L149)</f>
        <v>1701.37</v>
      </c>
      <c r="M149" s="41"/>
      <c r="N149" s="59">
        <f t="shared" si="51"/>
        <v>-134.18000707953706</v>
      </c>
      <c r="O149" s="41"/>
      <c r="P149" s="13"/>
      <c r="Q149" s="33">
        <f>+SUM(START:END!Q149)</f>
        <v>1696.7099999999998</v>
      </c>
      <c r="R149" s="41"/>
      <c r="S149" s="85">
        <f>L149-Q149</f>
        <v>4.6600000000000819</v>
      </c>
      <c r="T149" s="82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</row>
    <row r="150" spans="1:40" ht="20.25" hidden="1">
      <c r="A150" t="str">
        <f t="shared" si="27"/>
        <v>Véhicules usagés[...]</v>
      </c>
      <c r="B150" s="11" t="s">
        <v>70</v>
      </c>
      <c r="C150" s="29" t="s">
        <v>19</v>
      </c>
      <c r="D150" s="81"/>
      <c r="E150" s="13"/>
      <c r="F150" s="30">
        <f>+SUM(START:END!F150)</f>
        <v>0</v>
      </c>
      <c r="G150" s="83"/>
      <c r="H150" s="13"/>
      <c r="I150" s="30">
        <f>+SUM(START:END!I150)</f>
        <v>0</v>
      </c>
      <c r="J150" s="41"/>
      <c r="K150" s="13"/>
      <c r="L150" s="33">
        <f>+SUM(START:END!L150)</f>
        <v>0</v>
      </c>
      <c r="M150" s="41"/>
      <c r="N150" s="59">
        <f t="shared" si="51"/>
        <v>0</v>
      </c>
      <c r="O150" s="41"/>
      <c r="P150" s="13"/>
      <c r="Q150" s="33">
        <f>+SUM(START:END!Q150)</f>
        <v>0</v>
      </c>
      <c r="R150" s="41"/>
      <c r="S150" s="85">
        <f>L150-Q150</f>
        <v>0</v>
      </c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</row>
    <row r="151" spans="1:40" ht="20.25" hidden="1">
      <c r="A151" t="str">
        <f t="shared" si="27"/>
        <v>Véhicules usagés[...]</v>
      </c>
      <c r="B151" s="11" t="s">
        <v>70</v>
      </c>
      <c r="C151" s="29" t="s">
        <v>19</v>
      </c>
      <c r="D151" s="81"/>
      <c r="E151" s="13"/>
      <c r="F151" s="30">
        <f>+SUM(START:END!F151)</f>
        <v>0</v>
      </c>
      <c r="G151" s="83"/>
      <c r="H151" s="13"/>
      <c r="I151" s="30">
        <f>+SUM(START:END!I151)</f>
        <v>0</v>
      </c>
      <c r="J151" s="41"/>
      <c r="K151" s="13"/>
      <c r="L151" s="33">
        <f>+SUM(START:END!L151)</f>
        <v>0</v>
      </c>
      <c r="M151" s="41"/>
      <c r="N151" s="59">
        <f t="shared" si="51"/>
        <v>0</v>
      </c>
      <c r="O151" s="41"/>
      <c r="P151" s="13"/>
      <c r="Q151" s="33">
        <f>+SUM(START:END!Q151)</f>
        <v>0</v>
      </c>
      <c r="R151" s="41"/>
      <c r="S151" s="85">
        <f>L151-Q151</f>
        <v>0</v>
      </c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</row>
    <row r="152" spans="1:40" ht="20.25" hidden="1">
      <c r="A152" t="str">
        <f t="shared" si="27"/>
        <v>Véhicules usagés[...]</v>
      </c>
      <c r="B152" s="11" t="s">
        <v>70</v>
      </c>
      <c r="C152" s="29" t="s">
        <v>19</v>
      </c>
      <c r="D152" s="81"/>
      <c r="E152" s="13"/>
      <c r="F152" s="30">
        <f>+SUM(START:END!F152)</f>
        <v>0</v>
      </c>
      <c r="G152" s="83"/>
      <c r="H152" s="13"/>
      <c r="I152" s="30">
        <f>+SUM(START:END!I152)</f>
        <v>0</v>
      </c>
      <c r="J152" s="41"/>
      <c r="K152" s="13"/>
      <c r="L152" s="33">
        <f>+SUM(START:END!L152)</f>
        <v>0</v>
      </c>
      <c r="M152" s="41"/>
      <c r="N152" s="59">
        <f t="shared" si="51"/>
        <v>0</v>
      </c>
      <c r="O152" s="41"/>
      <c r="P152" s="13"/>
      <c r="Q152" s="33">
        <f>+SUM(START:END!Q152)</f>
        <v>0</v>
      </c>
      <c r="R152" s="41"/>
      <c r="S152" s="85">
        <f>L152-Q152</f>
        <v>0</v>
      </c>
      <c r="T152" s="82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</row>
    <row r="153" spans="1:40" ht="20.25">
      <c r="A153" t="str">
        <f t="shared" si="27"/>
        <v>Véhicules usagésTOTAL SEMI-FIXES</v>
      </c>
      <c r="B153" s="11" t="s">
        <v>70</v>
      </c>
      <c r="C153" s="93" t="s">
        <v>63</v>
      </c>
      <c r="D153" s="94" t="s">
        <v>38</v>
      </c>
      <c r="E153" s="95">
        <f>F153/F$108</f>
        <v>4.8708123110812448E-2</v>
      </c>
      <c r="F153" s="96">
        <f>+SUM(F136:F152)</f>
        <v>13036.729150608951</v>
      </c>
      <c r="G153" s="97" t="s">
        <v>38</v>
      </c>
      <c r="H153" s="95" t="e">
        <f>I153/I$108</f>
        <v>#DIV/0!</v>
      </c>
      <c r="I153" s="96">
        <f>+SUM(I136:I152)</f>
        <v>0</v>
      </c>
      <c r="J153" s="97" t="s">
        <v>38</v>
      </c>
      <c r="K153" s="95">
        <f>L153/L$108</f>
        <v>8.1237766088176455E-2</v>
      </c>
      <c r="L153" s="96">
        <f>+SUM(L136:L152)</f>
        <v>14950.389999999996</v>
      </c>
      <c r="M153" s="100"/>
      <c r="N153" s="96">
        <f t="shared" si="51"/>
        <v>1913.6608493910444</v>
      </c>
      <c r="O153" s="97" t="s">
        <v>38</v>
      </c>
      <c r="P153" s="95">
        <f>Q153/Q$108</f>
        <v>5.0714453934125395E-2</v>
      </c>
      <c r="Q153" s="96">
        <f>+SUM(Q136:Q152)</f>
        <v>12728.799999999997</v>
      </c>
      <c r="R153" s="100"/>
      <c r="S153" s="101">
        <f>L153-Q153</f>
        <v>2221.5899999999983</v>
      </c>
      <c r="T153" s="112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</row>
    <row r="154" spans="1:40" ht="20.25">
      <c r="A154" t="str">
        <f t="shared" si="27"/>
        <v>Véhicules usagés</v>
      </c>
      <c r="B154" s="11" t="s">
        <v>70</v>
      </c>
      <c r="C154" s="86"/>
      <c r="D154" s="87"/>
      <c r="E154" s="111"/>
      <c r="F154" s="59"/>
      <c r="G154" s="89"/>
      <c r="H154" s="111"/>
      <c r="I154" s="59"/>
      <c r="J154" s="23"/>
      <c r="K154" s="111"/>
      <c r="L154" s="91"/>
      <c r="M154" s="23"/>
      <c r="N154" s="91"/>
      <c r="O154" s="23"/>
      <c r="P154" s="111"/>
      <c r="Q154" s="91"/>
      <c r="R154" s="23"/>
      <c r="S154" s="92"/>
      <c r="T154" s="112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</row>
    <row r="155" spans="1:40" ht="20.25">
      <c r="A155" t="str">
        <f t="shared" si="27"/>
        <v>Véhicules usagésTOTAL DES DÉPENSES</v>
      </c>
      <c r="B155" s="11" t="s">
        <v>70</v>
      </c>
      <c r="C155" s="93" t="s">
        <v>64</v>
      </c>
      <c r="D155" s="94" t="s">
        <v>38</v>
      </c>
      <c r="E155" s="95">
        <f>F155/F$108</f>
        <v>0.79912606766808536</v>
      </c>
      <c r="F155" s="96">
        <f>F122+F135+F153</f>
        <v>213886.09201136304</v>
      </c>
      <c r="G155" s="97" t="s">
        <v>38</v>
      </c>
      <c r="H155" s="95" t="e">
        <f>I155/I$108</f>
        <v>#DIV/0!</v>
      </c>
      <c r="I155" s="96">
        <f>I122+I135+I153</f>
        <v>0</v>
      </c>
      <c r="J155" s="97" t="s">
        <v>38</v>
      </c>
      <c r="K155" s="95">
        <f>L155/L$108</f>
        <v>0.90602508219879174</v>
      </c>
      <c r="L155" s="96">
        <f>L122+L135+L153</f>
        <v>166738.06999999998</v>
      </c>
      <c r="M155" s="100"/>
      <c r="N155" s="113">
        <f t="shared" ref="N155:N162" si="57">L155-F155</f>
        <v>-47148.022011363064</v>
      </c>
      <c r="O155" s="97" t="s">
        <v>38</v>
      </c>
      <c r="P155" s="95">
        <f>Q155/Q$108</f>
        <v>0.75345284240673227</v>
      </c>
      <c r="Q155" s="96">
        <f>Q122+Q135+Q153</f>
        <v>189108.82</v>
      </c>
      <c r="R155" s="100"/>
      <c r="S155" s="114">
        <f t="shared" ref="S155:S162" si="58">L155-Q155</f>
        <v>-22370.750000000029</v>
      </c>
      <c r="T155" s="112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</row>
    <row r="156" spans="1:40" ht="20.25">
      <c r="A156" t="str">
        <f t="shared" si="27"/>
        <v>Véhicules usagésRBSC used</v>
      </c>
      <c r="B156" s="11" t="s">
        <v>70</v>
      </c>
      <c r="C156" s="29" t="s">
        <v>218</v>
      </c>
      <c r="D156" s="149"/>
      <c r="E156" s="150"/>
      <c r="F156" s="30">
        <f>+SUM(START:END!F156)</f>
        <v>7875</v>
      </c>
      <c r="G156" s="151"/>
      <c r="H156" s="150"/>
      <c r="I156" s="30">
        <f>+SUM(START:END!I156)</f>
        <v>0</v>
      </c>
      <c r="J156" s="151"/>
      <c r="K156" s="150"/>
      <c r="L156" s="32">
        <f>+SUM(START:END!L156)</f>
        <v>0</v>
      </c>
      <c r="M156" s="41"/>
      <c r="N156" s="59">
        <f t="shared" si="57"/>
        <v>-7875</v>
      </c>
      <c r="O156" s="151"/>
      <c r="P156" s="150"/>
      <c r="Q156" s="33">
        <f>+SUM(START:END!Q156)</f>
        <v>10875</v>
      </c>
      <c r="R156" s="41"/>
      <c r="S156" s="85">
        <f t="shared" si="58"/>
        <v>-10875</v>
      </c>
      <c r="T156" s="112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</row>
    <row r="157" spans="1:40" ht="20.25">
      <c r="A157" t="str">
        <f t="shared" si="27"/>
        <v>Véhicules usagésProgramme 360</v>
      </c>
      <c r="B157" s="11" t="s">
        <v>70</v>
      </c>
      <c r="C157" s="29" t="s">
        <v>219</v>
      </c>
      <c r="D157" s="149"/>
      <c r="E157" s="150"/>
      <c r="F157" s="30">
        <f>+SUM(START:END!F157)</f>
        <v>5292.6470588235297</v>
      </c>
      <c r="G157" s="151"/>
      <c r="H157" s="150"/>
      <c r="I157" s="30">
        <f>+SUM(START:END!I157)</f>
        <v>0</v>
      </c>
      <c r="J157" s="151"/>
      <c r="K157" s="150"/>
      <c r="L157" s="33">
        <f>+SUM(START:END!L157)</f>
        <v>0</v>
      </c>
      <c r="M157" s="41"/>
      <c r="N157" s="59">
        <f t="shared" si="57"/>
        <v>-5292.6470588235297</v>
      </c>
      <c r="O157" s="151"/>
      <c r="P157" s="150"/>
      <c r="Q157" s="33">
        <f>+SUM(START:END!Q157)</f>
        <v>3875</v>
      </c>
      <c r="R157" s="41"/>
      <c r="S157" s="85">
        <f t="shared" si="58"/>
        <v>-3875</v>
      </c>
      <c r="T157" s="112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</row>
    <row r="158" spans="1:40" ht="20.25" hidden="1">
      <c r="A158" t="str">
        <f t="shared" si="27"/>
        <v>Véhicules usagésProgramme used 3</v>
      </c>
      <c r="B158" s="11" t="s">
        <v>70</v>
      </c>
      <c r="C158" s="29" t="s">
        <v>77</v>
      </c>
      <c r="D158" s="81"/>
      <c r="E158" s="13"/>
      <c r="F158" s="30">
        <f>+SUM(START:END!F158)</f>
        <v>0</v>
      </c>
      <c r="G158" s="83"/>
      <c r="H158" s="13"/>
      <c r="I158" s="30">
        <f>+SUM(START:END!I158)</f>
        <v>0</v>
      </c>
      <c r="J158" s="41"/>
      <c r="K158" s="13"/>
      <c r="L158" s="33">
        <f>+SUM(START:END!L158)</f>
        <v>0</v>
      </c>
      <c r="M158" s="41"/>
      <c r="N158" s="59">
        <f t="shared" si="57"/>
        <v>0</v>
      </c>
      <c r="O158" s="41"/>
      <c r="P158" s="13"/>
      <c r="Q158" s="33">
        <f>+SUM(START:END!Q158)</f>
        <v>0</v>
      </c>
      <c r="R158" s="41"/>
      <c r="S158" s="85">
        <f t="shared" si="58"/>
        <v>0</v>
      </c>
      <c r="T158" s="112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</row>
    <row r="159" spans="1:40" ht="20.25">
      <c r="A159" t="str">
        <f t="shared" ref="A159:A162" si="59">+B159&amp;C159</f>
        <v>Véhicules usagésFrais administration</v>
      </c>
      <c r="B159" s="11" t="s">
        <v>70</v>
      </c>
      <c r="C159" s="29" t="s">
        <v>67</v>
      </c>
      <c r="D159" s="81"/>
      <c r="E159" s="13"/>
      <c r="F159" s="30">
        <f>+SUM(START:END!F159)</f>
        <v>30850.75</v>
      </c>
      <c r="G159" s="83"/>
      <c r="H159" s="13"/>
      <c r="I159" s="30">
        <f>+SUM(START:END!I159)</f>
        <v>0</v>
      </c>
      <c r="J159" s="41"/>
      <c r="K159" s="13"/>
      <c r="L159" s="32">
        <f>+SUM(START:END!L159)</f>
        <v>28560</v>
      </c>
      <c r="M159" s="41"/>
      <c r="N159" s="59">
        <f t="shared" si="57"/>
        <v>-2290.75</v>
      </c>
      <c r="O159" s="41"/>
      <c r="P159" s="13"/>
      <c r="Q159" s="33">
        <f>+SUM(START:END!Q159)</f>
        <v>24395</v>
      </c>
      <c r="R159" s="41"/>
      <c r="S159" s="85">
        <f t="shared" si="58"/>
        <v>4165</v>
      </c>
      <c r="T159" s="112"/>
      <c r="U159" s="13"/>
      <c r="V159" s="13"/>
      <c r="W159" s="454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</row>
    <row r="160" spans="1:40" ht="20.25" hidden="1">
      <c r="A160" t="str">
        <f t="shared" si="59"/>
        <v>Véhicules usagés[...]</v>
      </c>
      <c r="B160" s="11" t="s">
        <v>70</v>
      </c>
      <c r="C160" s="29" t="s">
        <v>19</v>
      </c>
      <c r="D160" s="81"/>
      <c r="E160" s="13"/>
      <c r="F160" s="30">
        <f>+SUM(START:END!F160)</f>
        <v>0</v>
      </c>
      <c r="G160" s="83"/>
      <c r="H160" s="13"/>
      <c r="I160" s="30">
        <f>+SUM(START:END!I160)</f>
        <v>0</v>
      </c>
      <c r="J160" s="41"/>
      <c r="K160" s="13"/>
      <c r="L160" s="32">
        <f>+SUM(START:END!L160)</f>
        <v>0</v>
      </c>
      <c r="M160" s="41"/>
      <c r="N160" s="59">
        <f t="shared" si="57"/>
        <v>0</v>
      </c>
      <c r="O160" s="41"/>
      <c r="P160" s="13"/>
      <c r="Q160" s="33">
        <f>+SUM(START:END!Q160)</f>
        <v>0</v>
      </c>
      <c r="R160" s="41"/>
      <c r="S160" s="85">
        <f t="shared" si="58"/>
        <v>0</v>
      </c>
      <c r="T160" s="112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</row>
    <row r="161" spans="1:40" ht="20.25" hidden="1">
      <c r="A161" t="str">
        <f t="shared" si="59"/>
        <v>Véhicules usagés[...]</v>
      </c>
      <c r="B161" s="11" t="s">
        <v>70</v>
      </c>
      <c r="C161" s="29" t="s">
        <v>19</v>
      </c>
      <c r="D161" s="81"/>
      <c r="E161" s="13"/>
      <c r="F161" s="30">
        <f>+SUM(START:END!F161)</f>
        <v>0</v>
      </c>
      <c r="G161" s="83"/>
      <c r="H161" s="13"/>
      <c r="I161" s="30">
        <f>+SUM(START:END!I161)</f>
        <v>0</v>
      </c>
      <c r="J161" s="41"/>
      <c r="K161" s="13"/>
      <c r="L161" s="32">
        <f>+SUM(START:END!L161)</f>
        <v>0</v>
      </c>
      <c r="M161" s="41"/>
      <c r="N161" s="59">
        <f t="shared" si="57"/>
        <v>0</v>
      </c>
      <c r="O161" s="41"/>
      <c r="P161" s="13"/>
      <c r="Q161" s="33">
        <f>+SUM(START:END!Q161)</f>
        <v>0</v>
      </c>
      <c r="R161" s="41"/>
      <c r="S161" s="85">
        <f t="shared" si="58"/>
        <v>0</v>
      </c>
      <c r="T161" s="112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</row>
    <row r="162" spans="1:40" ht="20.25" hidden="1">
      <c r="A162" t="str">
        <f t="shared" si="59"/>
        <v>Véhicules usagés[...]</v>
      </c>
      <c r="B162" s="11" t="s">
        <v>70</v>
      </c>
      <c r="C162" s="86" t="s">
        <v>19</v>
      </c>
      <c r="D162" s="87"/>
      <c r="E162" s="111"/>
      <c r="F162" s="30">
        <f>+SUM(START:END!F162)</f>
        <v>0</v>
      </c>
      <c r="G162" s="83"/>
      <c r="H162" s="13"/>
      <c r="I162" s="30">
        <f>+SUM(START:END!I162)</f>
        <v>0</v>
      </c>
      <c r="J162" s="41"/>
      <c r="K162" s="13"/>
      <c r="L162" s="32">
        <f>+SUM(START:END!L162)</f>
        <v>0</v>
      </c>
      <c r="M162" s="41"/>
      <c r="N162" s="59">
        <f t="shared" si="57"/>
        <v>0</v>
      </c>
      <c r="O162" s="41"/>
      <c r="P162" s="13"/>
      <c r="Q162" s="33">
        <f>+SUM(START:END!Q162)</f>
        <v>0</v>
      </c>
      <c r="R162" s="41"/>
      <c r="S162" s="85">
        <f t="shared" si="58"/>
        <v>0</v>
      </c>
      <c r="T162" s="112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</row>
    <row r="163" spans="1:40" ht="20.25">
      <c r="B163" s="11"/>
      <c r="C163" s="93" t="s">
        <v>68</v>
      </c>
      <c r="D163" s="94"/>
      <c r="E163" s="95"/>
      <c r="F163" s="96">
        <f>+SUM(F156:F162)</f>
        <v>44018.397058823532</v>
      </c>
      <c r="G163" s="97"/>
      <c r="H163" s="95"/>
      <c r="I163" s="96">
        <f>+SUM(I156:I162)</f>
        <v>0</v>
      </c>
      <c r="J163" s="97"/>
      <c r="K163" s="95"/>
      <c r="L163" s="96">
        <f>+SUM(L156:L162)</f>
        <v>28560</v>
      </c>
      <c r="M163" s="100"/>
      <c r="N163" s="96">
        <f>SUM(N156:N159)</f>
        <v>-15458.39705882353</v>
      </c>
      <c r="O163" s="97"/>
      <c r="P163" s="95"/>
      <c r="Q163" s="96">
        <f>+SUM(Q156:Q162)</f>
        <v>39145</v>
      </c>
      <c r="R163" s="100"/>
      <c r="S163" s="101">
        <f>+SUM(S156:S162)</f>
        <v>-10585</v>
      </c>
      <c r="T163" s="112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</row>
    <row r="164" spans="1:40" ht="20.25">
      <c r="B164" s="11"/>
      <c r="C164" s="29"/>
      <c r="D164" s="81"/>
      <c r="E164" s="13"/>
      <c r="F164" s="59"/>
      <c r="G164" s="83"/>
      <c r="H164" s="13"/>
      <c r="I164" s="59"/>
      <c r="J164" s="41"/>
      <c r="K164" s="13"/>
      <c r="L164" s="59"/>
      <c r="M164" s="41"/>
      <c r="N164" s="59"/>
      <c r="O164" s="41"/>
      <c r="P164" s="13"/>
      <c r="Q164" s="59"/>
      <c r="R164" s="41"/>
      <c r="S164" s="85"/>
      <c r="T164" s="150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</row>
    <row r="165" spans="1:40" ht="21" thickBot="1">
      <c r="B165" s="11"/>
      <c r="C165" s="124" t="s">
        <v>69</v>
      </c>
      <c r="D165" s="152"/>
      <c r="E165" s="125"/>
      <c r="F165" s="127">
        <f>F108-F155+F163</f>
        <v>97782.305047460482</v>
      </c>
      <c r="G165" s="153"/>
      <c r="H165" s="125"/>
      <c r="I165" s="127">
        <f>I108-I155+I163</f>
        <v>0</v>
      </c>
      <c r="J165" s="154"/>
      <c r="K165" s="126"/>
      <c r="L165" s="127">
        <f>L108-L155+L163</f>
        <v>45854.440000000031</v>
      </c>
      <c r="M165" s="154"/>
      <c r="N165" s="127">
        <f>L165-F165</f>
        <v>-51927.865047460451</v>
      </c>
      <c r="O165" s="154"/>
      <c r="P165" s="126"/>
      <c r="Q165" s="127">
        <f>Q108-Q155+Q163</f>
        <v>101025.76999999955</v>
      </c>
      <c r="R165" s="154"/>
      <c r="S165" s="129">
        <f>L165-Q165</f>
        <v>-55171.329999999522</v>
      </c>
      <c r="T165" s="82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</row>
    <row r="166" spans="1:40" ht="21" thickTop="1">
      <c r="B166" s="11"/>
      <c r="C166" s="10"/>
      <c r="D166" s="10"/>
      <c r="E166" s="10"/>
      <c r="F166" s="10"/>
      <c r="G166" s="10"/>
      <c r="H166" s="10"/>
      <c r="I166" s="10"/>
      <c r="J166" s="10"/>
      <c r="K166" s="10"/>
      <c r="L166" s="155"/>
      <c r="M166" s="10"/>
      <c r="N166" s="10"/>
      <c r="O166" s="10"/>
      <c r="P166" s="10"/>
      <c r="Q166" s="10"/>
      <c r="R166" s="10"/>
      <c r="S166" s="10"/>
      <c r="T166" s="155"/>
      <c r="U166" s="10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</row>
    <row r="167" spans="1:40" ht="20.25">
      <c r="B167" s="11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55"/>
      <c r="U167" s="10"/>
      <c r="V167" s="10"/>
      <c r="W167" s="10"/>
      <c r="X167" s="10"/>
      <c r="Y167" s="10"/>
      <c r="Z167" s="10"/>
      <c r="AA167" s="10"/>
      <c r="AB167" s="10"/>
      <c r="AC167" s="10"/>
      <c r="AD167" s="10"/>
      <c r="AE167" s="10"/>
      <c r="AF167" s="10"/>
      <c r="AG167" s="10"/>
      <c r="AH167" s="10"/>
      <c r="AI167" s="10"/>
      <c r="AJ167" s="10"/>
      <c r="AK167" s="10"/>
      <c r="AL167" s="10"/>
      <c r="AM167" s="10"/>
      <c r="AN167" s="10"/>
    </row>
    <row r="168" spans="1:40" ht="35.25">
      <c r="B168" s="11"/>
      <c r="C168" s="6" t="str">
        <f>C1</f>
        <v>BMW Sherbrooke</v>
      </c>
      <c r="D168" s="2"/>
      <c r="E168" s="2"/>
      <c r="F168" s="2"/>
      <c r="G168" s="2"/>
      <c r="H168" s="1"/>
      <c r="I168" s="1"/>
      <c r="J168" s="1"/>
      <c r="K168" s="3" t="s">
        <v>78</v>
      </c>
      <c r="L168" s="2"/>
      <c r="M168" s="2"/>
      <c r="N168" s="1"/>
      <c r="O168" s="1"/>
      <c r="P168" s="2"/>
      <c r="Q168" s="1"/>
      <c r="R168" s="2"/>
      <c r="S168" s="5" t="str">
        <f>$S$1</f>
        <v>Réalisé  Q3 2024</v>
      </c>
      <c r="T168" s="2"/>
      <c r="U168" s="6"/>
      <c r="V168" s="10"/>
      <c r="W168" s="10"/>
      <c r="X168" s="10"/>
      <c r="Y168" s="10"/>
      <c r="Z168" s="10"/>
      <c r="AA168" s="10"/>
      <c r="AB168" s="10"/>
      <c r="AC168" s="10"/>
      <c r="AD168" s="10"/>
      <c r="AE168" s="10"/>
      <c r="AF168" s="10"/>
      <c r="AG168" s="10"/>
      <c r="AH168" s="10"/>
      <c r="AI168" s="10"/>
      <c r="AJ168" s="10"/>
      <c r="AK168" s="10"/>
      <c r="AL168" s="10"/>
      <c r="AM168" s="10"/>
      <c r="AN168" s="10"/>
    </row>
    <row r="169" spans="1:40" ht="36" thickBot="1">
      <c r="B169" s="11"/>
      <c r="C169" s="8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6"/>
      <c r="W169" s="6"/>
      <c r="X169" s="6"/>
      <c r="Y169" s="6"/>
      <c r="Z169" s="6"/>
      <c r="AA169" s="6"/>
      <c r="AB169" s="6"/>
      <c r="AC169" s="6"/>
      <c r="AD169" s="6"/>
      <c r="AE169" s="6"/>
      <c r="AF169" s="6"/>
      <c r="AG169" s="6"/>
      <c r="AH169" s="6"/>
      <c r="AI169" s="6"/>
      <c r="AJ169" s="6"/>
      <c r="AK169" s="6"/>
      <c r="AL169" s="6"/>
      <c r="AM169" s="6"/>
      <c r="AN169" s="6"/>
    </row>
    <row r="170" spans="1:40" ht="21" thickTop="1">
      <c r="B170" s="11"/>
      <c r="C170" s="12"/>
      <c r="D170" s="496" t="s">
        <v>5</v>
      </c>
      <c r="E170" s="497"/>
      <c r="F170" s="498"/>
      <c r="G170" s="499" t="s">
        <v>71</v>
      </c>
      <c r="H170" s="497"/>
      <c r="I170" s="498"/>
      <c r="J170" s="499" t="s">
        <v>7</v>
      </c>
      <c r="K170" s="497"/>
      <c r="L170" s="498"/>
      <c r="M170" s="499" t="s">
        <v>213</v>
      </c>
      <c r="N170" s="498"/>
      <c r="O170" s="496" t="s">
        <v>8</v>
      </c>
      <c r="P170" s="497"/>
      <c r="Q170" s="498"/>
      <c r="R170" s="494" t="s">
        <v>214</v>
      </c>
      <c r="S170" s="495"/>
      <c r="T170" s="149"/>
      <c r="U170" s="13"/>
      <c r="V170" s="10"/>
      <c r="W170" s="10"/>
      <c r="X170" s="10"/>
      <c r="Y170" s="10"/>
      <c r="Z170" s="10"/>
      <c r="AA170" s="10"/>
      <c r="AB170" s="10"/>
      <c r="AC170" s="10"/>
      <c r="AD170" s="10"/>
      <c r="AE170" s="10"/>
      <c r="AF170" s="10"/>
      <c r="AG170" s="10"/>
      <c r="AH170" s="10"/>
      <c r="AI170" s="10"/>
      <c r="AJ170" s="10"/>
      <c r="AK170" s="10"/>
      <c r="AL170" s="10"/>
      <c r="AM170" s="10"/>
      <c r="AN170" s="10"/>
    </row>
    <row r="171" spans="1:40" ht="20.25">
      <c r="A171" t="str">
        <f t="shared" ref="A171:A228" si="60">+B171&amp;C171</f>
        <v>Service</v>
      </c>
      <c r="B171" s="11" t="s">
        <v>78</v>
      </c>
      <c r="C171" s="29"/>
      <c r="D171" s="80" t="s">
        <v>39</v>
      </c>
      <c r="E171" s="80" t="s">
        <v>79</v>
      </c>
      <c r="F171" s="134" t="s">
        <v>12</v>
      </c>
      <c r="G171" s="135" t="s">
        <v>39</v>
      </c>
      <c r="H171" s="80" t="s">
        <v>79</v>
      </c>
      <c r="I171" s="134" t="s">
        <v>12</v>
      </c>
      <c r="J171" s="135" t="s">
        <v>39</v>
      </c>
      <c r="K171" s="80" t="s">
        <v>79</v>
      </c>
      <c r="L171" s="134" t="s">
        <v>12</v>
      </c>
      <c r="M171" s="135" t="s">
        <v>220</v>
      </c>
      <c r="N171" s="134" t="s">
        <v>217</v>
      </c>
      <c r="O171" s="80" t="s">
        <v>39</v>
      </c>
      <c r="P171" s="80" t="s">
        <v>79</v>
      </c>
      <c r="Q171" s="134" t="s">
        <v>12</v>
      </c>
      <c r="R171" s="135" t="s">
        <v>80</v>
      </c>
      <c r="S171" s="136" t="s">
        <v>12</v>
      </c>
      <c r="T171" s="80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</row>
    <row r="172" spans="1:40" ht="20.25">
      <c r="A172" t="str">
        <f t="shared" si="60"/>
        <v>ServiceM/O Client</v>
      </c>
      <c r="B172" s="11" t="s">
        <v>78</v>
      </c>
      <c r="C172" s="29" t="s">
        <v>81</v>
      </c>
      <c r="D172" s="13">
        <f>+SUM(START:END!D172)</f>
        <v>0</v>
      </c>
      <c r="E172" s="82">
        <f>+SUM(START:END!E172)</f>
        <v>160979.66197192925</v>
      </c>
      <c r="F172" s="82">
        <f>+SUM(START:END!F172)</f>
        <v>128139.81092965568</v>
      </c>
      <c r="G172" s="156">
        <f>+SUM(START:END!G172)</f>
        <v>0</v>
      </c>
      <c r="H172" s="82">
        <f>+SUM(START:END!H172)</f>
        <v>0</v>
      </c>
      <c r="I172" s="82">
        <f>+SUM(START:END!I172)</f>
        <v>0</v>
      </c>
      <c r="J172" s="60">
        <f>+SUM(START:END!J172)</f>
        <v>454</v>
      </c>
      <c r="K172" s="30">
        <f>+SUM(START:END!K172)</f>
        <v>156121.34</v>
      </c>
      <c r="L172" s="33">
        <f>+SUM(START:END!L172)</f>
        <v>124615.38000000002</v>
      </c>
      <c r="M172" s="157">
        <f>(K172-E172)/E172</f>
        <v>-3.0179725267260291E-2</v>
      </c>
      <c r="N172" s="59">
        <f>L172-F172</f>
        <v>-3524.4309296556603</v>
      </c>
      <c r="O172" s="60">
        <f>+SUM(START:END!O172)</f>
        <v>470</v>
      </c>
      <c r="P172" s="30">
        <f>+SUM(START:END!P172)</f>
        <v>158176.58000000002</v>
      </c>
      <c r="Q172" s="33">
        <f>+SUM(START:END!Q172)</f>
        <v>125316.02999999988</v>
      </c>
      <c r="R172" s="157">
        <f>IF(O172=0,0,J172/O172)</f>
        <v>0.96595744680851059</v>
      </c>
      <c r="S172" s="85">
        <f>L172-Q172</f>
        <v>-700.64999999986321</v>
      </c>
      <c r="T172" s="82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</row>
    <row r="173" spans="1:40" ht="20.25">
      <c r="A173" t="str">
        <f t="shared" si="60"/>
        <v>Service% profit / ventes</v>
      </c>
      <c r="B173" s="11" t="s">
        <v>78</v>
      </c>
      <c r="C173" s="29" t="s">
        <v>82</v>
      </c>
      <c r="D173" s="13"/>
      <c r="E173" s="144"/>
      <c r="F173" s="158">
        <f>F172/E172</f>
        <v>0.79599999999999993</v>
      </c>
      <c r="G173" s="41"/>
      <c r="H173" s="144"/>
      <c r="I173" s="158" t="e">
        <f>I172/H172</f>
        <v>#DIV/0!</v>
      </c>
      <c r="J173" s="60"/>
      <c r="K173" s="13"/>
      <c r="L173" s="158">
        <f>L172/K172</f>
        <v>0.79819568548412423</v>
      </c>
      <c r="M173" s="157"/>
      <c r="N173" s="59"/>
      <c r="O173" s="60"/>
      <c r="P173" s="13"/>
      <c r="Q173" s="158">
        <f>Q172/P172</f>
        <v>0.79225401130812079</v>
      </c>
      <c r="R173" s="60"/>
      <c r="S173" s="85"/>
      <c r="T173" s="82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</row>
    <row r="174" spans="1:40" ht="20.25">
      <c r="A174" t="str">
        <f t="shared" si="60"/>
        <v>Service</v>
      </c>
      <c r="B174" s="11" t="s">
        <v>78</v>
      </c>
      <c r="C174" s="86"/>
      <c r="D174" s="111"/>
      <c r="E174" s="159">
        <f t="shared" ref="E174" si="61">IFERROR(E172/D172,0)</f>
        <v>0</v>
      </c>
      <c r="F174" s="160"/>
      <c r="G174" s="23"/>
      <c r="H174" s="159">
        <f t="shared" ref="H174" si="62">IFERROR(H172/G172,0)</f>
        <v>0</v>
      </c>
      <c r="I174" s="160"/>
      <c r="J174" s="161"/>
      <c r="K174" s="465">
        <f t="shared" ref="K174" si="63">IFERROR(K172/J172,0)</f>
        <v>343.87960352422908</v>
      </c>
      <c r="L174" s="160"/>
      <c r="M174" s="162"/>
      <c r="N174" s="91"/>
      <c r="O174" s="161"/>
      <c r="P174" s="465">
        <f t="shared" ref="P174" si="64">IFERROR(P172/O172,0)</f>
        <v>336.54591489361707</v>
      </c>
      <c r="Q174" s="160"/>
      <c r="R174" s="161"/>
      <c r="S174" s="92"/>
      <c r="T174" s="82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</row>
    <row r="175" spans="1:40" ht="20.25">
      <c r="A175" t="str">
        <f t="shared" si="60"/>
        <v>ServiceM/O Garantie</v>
      </c>
      <c r="B175" s="11" t="s">
        <v>78</v>
      </c>
      <c r="C175" s="14" t="s">
        <v>83</v>
      </c>
      <c r="D175" s="163">
        <f>+SUM(START:END!D175)</f>
        <v>0</v>
      </c>
      <c r="E175" s="82">
        <f>+SUM(START:END!E175)</f>
        <v>101970.03303448114</v>
      </c>
      <c r="F175" s="82">
        <f>+SUM(START:END!F175)</f>
        <v>73520.393817860895</v>
      </c>
      <c r="G175" s="164">
        <f>+SUM(START:END!G175)</f>
        <v>0</v>
      </c>
      <c r="H175" s="82">
        <f>+SUM(START:END!H175)</f>
        <v>0</v>
      </c>
      <c r="I175" s="82">
        <f>+SUM(START:END!I175)</f>
        <v>0</v>
      </c>
      <c r="J175" s="164">
        <f>+SUM(START:END!J175)</f>
        <v>528</v>
      </c>
      <c r="K175" s="165">
        <f>+SUM(START:END!K175)</f>
        <v>90093.51</v>
      </c>
      <c r="L175" s="33">
        <f>+SUM(START:END!L175)</f>
        <v>63229.499999999993</v>
      </c>
      <c r="M175" s="157">
        <f>(K175-E175)/E175</f>
        <v>-0.11647071871071278</v>
      </c>
      <c r="N175" s="109">
        <f>L175-F175</f>
        <v>-10290.893817860902</v>
      </c>
      <c r="O175" s="164">
        <f>+SUM(START:END!O175)</f>
        <v>681</v>
      </c>
      <c r="P175" s="165">
        <f>+SUM(START:END!P175)</f>
        <v>102723.8299999998</v>
      </c>
      <c r="Q175" s="33">
        <f>+SUM(START:END!Q175)</f>
        <v>76026.609999999811</v>
      </c>
      <c r="R175" s="157">
        <f>IF(O175=0,0,J175/O175)</f>
        <v>0.77533039647577096</v>
      </c>
      <c r="S175" s="85">
        <f>L175-Q175</f>
        <v>-12797.109999999819</v>
      </c>
      <c r="T175" s="82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</row>
    <row r="176" spans="1:40" ht="20.25">
      <c r="A176" t="str">
        <f t="shared" si="60"/>
        <v>Service% profit / ventes</v>
      </c>
      <c r="B176" s="11" t="s">
        <v>78</v>
      </c>
      <c r="C176" s="29" t="s">
        <v>82</v>
      </c>
      <c r="D176" s="13"/>
      <c r="E176" s="13"/>
      <c r="F176" s="158">
        <f>F175/E175</f>
        <v>0.72099999999999997</v>
      </c>
      <c r="G176" s="41"/>
      <c r="H176" s="13"/>
      <c r="I176" s="158" t="e">
        <f>I175/H175</f>
        <v>#DIV/0!</v>
      </c>
      <c r="J176" s="41"/>
      <c r="K176" s="13"/>
      <c r="L176" s="158">
        <f>L175/K175</f>
        <v>0.70182080818030068</v>
      </c>
      <c r="M176" s="42"/>
      <c r="N176" s="43"/>
      <c r="O176" s="41"/>
      <c r="P176" s="13"/>
      <c r="Q176" s="158">
        <f>Q175/P175</f>
        <v>0.74010684765161072</v>
      </c>
      <c r="R176" s="42"/>
      <c r="S176" s="44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</row>
    <row r="177" spans="1:40" ht="20.25">
      <c r="A177" t="str">
        <f t="shared" si="60"/>
        <v>Service</v>
      </c>
      <c r="B177" s="11" t="s">
        <v>78</v>
      </c>
      <c r="C177" s="86"/>
      <c r="D177" s="111"/>
      <c r="E177" s="111"/>
      <c r="F177" s="160"/>
      <c r="G177" s="23"/>
      <c r="H177" s="111"/>
      <c r="I177" s="160"/>
      <c r="J177" s="23"/>
      <c r="K177" s="166"/>
      <c r="L177" s="160"/>
      <c r="M177" s="167"/>
      <c r="N177" s="168"/>
      <c r="O177" s="23"/>
      <c r="P177" s="166"/>
      <c r="Q177" s="160"/>
      <c r="R177" s="167"/>
      <c r="S177" s="169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</row>
    <row r="178" spans="1:40" ht="20.25">
      <c r="A178" t="str">
        <f t="shared" si="60"/>
        <v>ServiceM/O Interne</v>
      </c>
      <c r="B178" s="11" t="s">
        <v>78</v>
      </c>
      <c r="C178" s="29" t="s">
        <v>84</v>
      </c>
      <c r="D178" s="13">
        <f>+SUM(START:END!D178)</f>
        <v>0</v>
      </c>
      <c r="E178" s="82">
        <f>+SUM(START:END!E178)</f>
        <v>116911.07667805173</v>
      </c>
      <c r="F178" s="82">
        <f>+SUM(START:END!F178)</f>
        <v>72251.045387035963</v>
      </c>
      <c r="G178" s="41">
        <f>+SUM(START:END!G178)</f>
        <v>0</v>
      </c>
      <c r="H178" s="82">
        <f>+SUM(START:END!H178)</f>
        <v>0</v>
      </c>
      <c r="I178" s="82">
        <f>+SUM(START:END!I178)</f>
        <v>0</v>
      </c>
      <c r="J178" s="60">
        <f>+SUM(START:END!J178)</f>
        <v>517</v>
      </c>
      <c r="K178" s="165">
        <f>+SUM(START:END!K178)</f>
        <v>127979.12</v>
      </c>
      <c r="L178" s="33">
        <f>+SUM(START:END!L178)</f>
        <v>79544.179999999993</v>
      </c>
      <c r="M178" s="157">
        <f>(K178-E178)/E178</f>
        <v>9.4670613225360203E-2</v>
      </c>
      <c r="N178" s="59">
        <f>L178-F178</f>
        <v>7293.1346129640297</v>
      </c>
      <c r="O178" s="60">
        <f>+SUM(START:END!O178)</f>
        <v>573</v>
      </c>
      <c r="P178" s="165">
        <f>+SUM(START:END!P178)</f>
        <v>123511.33999999979</v>
      </c>
      <c r="Q178" s="33">
        <f>+SUM(START:END!Q178)</f>
        <v>80135.679999999906</v>
      </c>
      <c r="R178" s="157">
        <f>IF(O178=0,0,J178/O178)</f>
        <v>0.90226876090750441</v>
      </c>
      <c r="S178" s="85">
        <f>L178-Q178</f>
        <v>-591.49999999991269</v>
      </c>
      <c r="T178" s="82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</row>
    <row r="179" spans="1:40" ht="20.25">
      <c r="A179" t="str">
        <f t="shared" si="60"/>
        <v>Service% profit / ventes</v>
      </c>
      <c r="B179" s="11" t="s">
        <v>78</v>
      </c>
      <c r="C179" s="29" t="s">
        <v>82</v>
      </c>
      <c r="D179" s="13"/>
      <c r="E179" s="144"/>
      <c r="F179" s="158">
        <f>F178/E178</f>
        <v>0.61799999999999999</v>
      </c>
      <c r="G179" s="41"/>
      <c r="H179" s="144"/>
      <c r="I179" s="158" t="e">
        <f>I178/H178</f>
        <v>#DIV/0!</v>
      </c>
      <c r="J179" s="60"/>
      <c r="K179" s="144"/>
      <c r="L179" s="158">
        <f>L178/K178</f>
        <v>0.62154029501062358</v>
      </c>
      <c r="M179" s="157"/>
      <c r="N179" s="59">
        <f>L179-F179</f>
        <v>3.5402950106235842E-3</v>
      </c>
      <c r="O179" s="60"/>
      <c r="P179" s="144"/>
      <c r="Q179" s="158">
        <f>Q178/P178</f>
        <v>0.64881232767776664</v>
      </c>
      <c r="R179" s="60">
        <f>O179-K179</f>
        <v>0</v>
      </c>
      <c r="S179" s="85"/>
      <c r="T179" s="82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</row>
    <row r="180" spans="1:40" ht="20.25">
      <c r="A180" t="str">
        <f t="shared" si="60"/>
        <v>Service</v>
      </c>
      <c r="B180" s="11" t="s">
        <v>78</v>
      </c>
      <c r="C180" s="29"/>
      <c r="D180" s="13"/>
      <c r="E180" s="170"/>
      <c r="F180" s="171"/>
      <c r="G180" s="41"/>
      <c r="H180" s="170"/>
      <c r="I180" s="160"/>
      <c r="J180" s="60"/>
      <c r="K180" s="455"/>
      <c r="L180" s="158"/>
      <c r="M180" s="157"/>
      <c r="N180" s="59"/>
      <c r="O180" s="60"/>
      <c r="P180" s="455"/>
      <c r="Q180" s="158"/>
      <c r="R180" s="172"/>
      <c r="S180" s="85"/>
      <c r="T180" s="82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</row>
    <row r="181" spans="1:40" ht="20.25">
      <c r="A181" t="str">
        <f t="shared" si="60"/>
        <v>ServiceM/O Esthétique</v>
      </c>
      <c r="B181" s="11" t="s">
        <v>78</v>
      </c>
      <c r="C181" s="14" t="s">
        <v>85</v>
      </c>
      <c r="D181" s="105">
        <f>+SUM(START:END!D181)</f>
        <v>0</v>
      </c>
      <c r="E181" s="82">
        <f>+SUM(START:END!E181)</f>
        <v>24640.798748241745</v>
      </c>
      <c r="F181" s="82">
        <f>+SUM(START:END!F181)</f>
        <v>9856.3194992966983</v>
      </c>
      <c r="G181" s="107">
        <f>+SUM(START:END!G181)</f>
        <v>0</v>
      </c>
      <c r="H181" s="82">
        <f>+SUM(START:END!H181)</f>
        <v>0</v>
      </c>
      <c r="I181" s="82">
        <f>+SUM(START:END!I181)</f>
        <v>0</v>
      </c>
      <c r="J181" s="164">
        <f>+SUM(START:END!J181)</f>
        <v>114</v>
      </c>
      <c r="K181" s="165">
        <f>+SUM(START:END!K181)</f>
        <v>20192.669999999998</v>
      </c>
      <c r="L181" s="108">
        <f>+SUM(START:END!L181)</f>
        <v>6142.31</v>
      </c>
      <c r="M181" s="173">
        <f>IF(E181=0,0,(K181-E181)/E181)</f>
        <v>-0.18051885386057726</v>
      </c>
      <c r="N181" s="109">
        <f>L181-F181</f>
        <v>-3714.0094992966979</v>
      </c>
      <c r="O181" s="164">
        <f>+SUM(START:END!O181)</f>
        <v>144</v>
      </c>
      <c r="P181" s="165">
        <f>+SUM(START:END!P181)</f>
        <v>25221.41</v>
      </c>
      <c r="Q181" s="108">
        <f>+SUM(START:END!Q181)</f>
        <v>9284.49</v>
      </c>
      <c r="R181" s="157">
        <f>IF(O181=0,0,J181/O181)</f>
        <v>0.79166666666666663</v>
      </c>
      <c r="S181" s="110">
        <f>L181-Q181</f>
        <v>-3142.1799999999994</v>
      </c>
      <c r="T181" s="82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</row>
    <row r="182" spans="1:40" ht="20.25">
      <c r="A182" t="str">
        <f t="shared" si="60"/>
        <v>Service% profit / ventes</v>
      </c>
      <c r="B182" s="11" t="s">
        <v>78</v>
      </c>
      <c r="C182" s="29" t="s">
        <v>82</v>
      </c>
      <c r="D182" s="76"/>
      <c r="E182" s="174"/>
      <c r="F182" s="158">
        <f>IFERROR(F181/E181,0)</f>
        <v>0.4</v>
      </c>
      <c r="G182" s="78"/>
      <c r="H182" s="174"/>
      <c r="I182" s="158">
        <f>IFERROR(I181/H181,0)</f>
        <v>0</v>
      </c>
      <c r="J182" s="175"/>
      <c r="K182" s="174"/>
      <c r="L182" s="158">
        <f>IFERROR(L181/K181,0)</f>
        <v>0.30418513252581264</v>
      </c>
      <c r="M182" s="60">
        <f>J182-D182</f>
        <v>0</v>
      </c>
      <c r="N182" s="176"/>
      <c r="O182" s="175"/>
      <c r="P182" s="174"/>
      <c r="Q182" s="158">
        <f>IFERROR(Q181/P181,0)</f>
        <v>0.36811938745692646</v>
      </c>
      <c r="R182" s="41"/>
      <c r="S182" s="177"/>
      <c r="T182" s="112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</row>
    <row r="183" spans="1:40" ht="20.25">
      <c r="A183" t="str">
        <f t="shared" si="60"/>
        <v>Service</v>
      </c>
      <c r="B183" s="11" t="s">
        <v>78</v>
      </c>
      <c r="C183" s="86"/>
      <c r="D183" s="178"/>
      <c r="E183" s="179"/>
      <c r="F183" s="160"/>
      <c r="G183" s="180"/>
      <c r="H183" s="179"/>
      <c r="I183" s="160"/>
      <c r="J183" s="181"/>
      <c r="K183" s="25"/>
      <c r="L183" s="160"/>
      <c r="M183" s="161"/>
      <c r="N183" s="182"/>
      <c r="O183" s="181"/>
      <c r="P183" s="25"/>
      <c r="Q183" s="160"/>
      <c r="R183" s="23"/>
      <c r="S183" s="183"/>
      <c r="T183" s="112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</row>
    <row r="184" spans="1:40" ht="21" thickBot="1">
      <c r="A184" t="str">
        <f t="shared" si="60"/>
        <v>ServiceAjustement M/O</v>
      </c>
      <c r="B184" s="11" t="s">
        <v>78</v>
      </c>
      <c r="C184" s="29" t="s">
        <v>86</v>
      </c>
      <c r="D184" s="13"/>
      <c r="E184" s="13"/>
      <c r="F184" s="59">
        <f>+SUM(START:END!F184)</f>
        <v>-6036.7000399427279</v>
      </c>
      <c r="G184" s="41"/>
      <c r="H184" s="82"/>
      <c r="I184" s="82">
        <f>+SUM(START:END!I184)</f>
        <v>0</v>
      </c>
      <c r="J184" s="60"/>
      <c r="K184" s="82"/>
      <c r="L184" s="82">
        <f>+SUM(START:END!L184)</f>
        <v>-10362.11</v>
      </c>
      <c r="M184" s="175"/>
      <c r="N184" s="59">
        <f>L184-F184</f>
        <v>-4325.4099600572727</v>
      </c>
      <c r="O184" s="60"/>
      <c r="P184" s="82"/>
      <c r="Q184" s="82">
        <f>+SUM(START:END!Q184)</f>
        <v>-9358.35</v>
      </c>
      <c r="R184" s="184"/>
      <c r="S184" s="85">
        <f>L184-Q184</f>
        <v>-1003.7600000000002</v>
      </c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</row>
    <row r="185" spans="1:40" ht="21" thickTop="1">
      <c r="A185" t="str">
        <f t="shared" si="60"/>
        <v>ServiceSous-total M/O</v>
      </c>
      <c r="B185" s="11" t="s">
        <v>78</v>
      </c>
      <c r="C185" s="185" t="s">
        <v>87</v>
      </c>
      <c r="D185" s="186"/>
      <c r="E185" s="186">
        <f t="shared" ref="E185" si="65">E172+E175+E178+E181+E184</f>
        <v>404501.57043270383</v>
      </c>
      <c r="F185" s="187">
        <f>F172+F175+F178+F181+F184</f>
        <v>277730.86959390651</v>
      </c>
      <c r="G185" s="188"/>
      <c r="H185" s="186">
        <f t="shared" ref="H185:I185" si="66">H172+H175+H178+H181+H184</f>
        <v>0</v>
      </c>
      <c r="I185" s="187">
        <f t="shared" si="66"/>
        <v>0</v>
      </c>
      <c r="J185" s="188"/>
      <c r="K185" s="186">
        <f t="shared" ref="K185:L185" si="67">K172+K175+K178+K181+K184</f>
        <v>394386.63999999996</v>
      </c>
      <c r="L185" s="187">
        <f t="shared" si="67"/>
        <v>263169.26</v>
      </c>
      <c r="M185" s="189">
        <f>(K185-E185)/E185</f>
        <v>-2.5005911403220799E-2</v>
      </c>
      <c r="N185" s="187">
        <f>L185-F185</f>
        <v>-14561.609593906498</v>
      </c>
      <c r="O185" s="188"/>
      <c r="P185" s="186">
        <f t="shared" ref="P185:Q185" si="68">P172+P175+P178+P181+P184</f>
        <v>409633.15999999957</v>
      </c>
      <c r="Q185" s="187">
        <f t="shared" si="68"/>
        <v>281404.45999999961</v>
      </c>
      <c r="R185" s="42">
        <f>IF(O185=0,0,J185/O185)</f>
        <v>0</v>
      </c>
      <c r="S185" s="190">
        <f>L185-Q185</f>
        <v>-18235.199999999604</v>
      </c>
      <c r="T185" s="112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</row>
    <row r="186" spans="1:40" ht="20.25">
      <c r="A186" t="str">
        <f t="shared" si="60"/>
        <v>Service% protit / ventes</v>
      </c>
      <c r="B186" s="11" t="s">
        <v>78</v>
      </c>
      <c r="C186" s="191" t="s">
        <v>88</v>
      </c>
      <c r="D186" s="192"/>
      <c r="E186" s="192"/>
      <c r="F186" s="193">
        <f>F185/E185</f>
        <v>0.68660022579593938</v>
      </c>
      <c r="G186" s="194"/>
      <c r="H186" s="192"/>
      <c r="I186" s="43" t="e">
        <f>I185/H185</f>
        <v>#DIV/0!</v>
      </c>
      <c r="J186" s="194"/>
      <c r="K186" s="443"/>
      <c r="L186" s="43">
        <f>L185/K185</f>
        <v>0.66728746186736965</v>
      </c>
      <c r="M186" s="194"/>
      <c r="N186" s="193">
        <f>N185/F185</f>
        <v>-5.2430648473460094E-2</v>
      </c>
      <c r="O186" s="194"/>
      <c r="P186" s="443"/>
      <c r="Q186" s="43">
        <f>Q185/P185</f>
        <v>0.68696699261358607</v>
      </c>
      <c r="R186" s="194"/>
      <c r="S186" s="44">
        <f>IF(R185=0,0,S185/R185)</f>
        <v>0</v>
      </c>
      <c r="T186" s="112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</row>
    <row r="187" spans="1:40" ht="20.25">
      <c r="A187" t="str">
        <f t="shared" si="60"/>
        <v>Service</v>
      </c>
      <c r="B187" s="11" t="s">
        <v>78</v>
      </c>
      <c r="C187" s="35"/>
      <c r="D187" s="195"/>
      <c r="E187" s="196"/>
      <c r="F187" s="197"/>
      <c r="G187" s="198"/>
      <c r="H187" s="196"/>
      <c r="I187" s="197"/>
      <c r="J187" s="198"/>
      <c r="K187" s="196"/>
      <c r="L187" s="197"/>
      <c r="M187" s="198"/>
      <c r="N187" s="197"/>
      <c r="O187" s="198"/>
      <c r="P187" s="196"/>
      <c r="Q187" s="197"/>
      <c r="R187" s="198"/>
      <c r="S187" s="199"/>
      <c r="T187" s="112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</row>
    <row r="188" spans="1:40" ht="20.25">
      <c r="A188" t="str">
        <f t="shared" si="60"/>
        <v>ServiceSous-traitement</v>
      </c>
      <c r="B188" s="11" t="s">
        <v>78</v>
      </c>
      <c r="C188" s="29" t="s">
        <v>89</v>
      </c>
      <c r="D188" s="82"/>
      <c r="E188" s="82">
        <f>+SUM(START:END!E188)</f>
        <v>11880.921478268931</v>
      </c>
      <c r="F188" s="82">
        <f>+SUM(START:END!F188)</f>
        <v>2031.6375727839873</v>
      </c>
      <c r="G188" s="60"/>
      <c r="H188" s="82">
        <f>+SUM(START:END!H188)</f>
        <v>0</v>
      </c>
      <c r="I188" s="82">
        <f>+SUM(START:END!I188)</f>
        <v>0</v>
      </c>
      <c r="J188" s="60"/>
      <c r="K188" s="30">
        <f>+SUM(START:END!K188)</f>
        <v>4033.71</v>
      </c>
      <c r="L188" s="33">
        <f>+SUM(START:END!L188)</f>
        <v>225.40000000000009</v>
      </c>
      <c r="M188" s="84">
        <f>IF(E188=0,0,(K188-E188)/E188)</f>
        <v>-0.66048845559850311</v>
      </c>
      <c r="N188" s="59">
        <f>L188-F188</f>
        <v>-1806.2375727839872</v>
      </c>
      <c r="O188" s="60"/>
      <c r="P188" s="30">
        <f>+SUM(START:END!P188)</f>
        <v>10240.709999999988</v>
      </c>
      <c r="Q188" s="33">
        <f>+SUM(START:END!Q188)</f>
        <v>626.97999999999888</v>
      </c>
      <c r="R188" s="157">
        <f>IF(O188=0,0,J188/O188)</f>
        <v>0</v>
      </c>
      <c r="S188" s="85">
        <f>L188-Q188</f>
        <v>-401.57999999999879</v>
      </c>
      <c r="T188" s="112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</row>
    <row r="189" spans="1:40" ht="20.25">
      <c r="A189" t="str">
        <f t="shared" si="60"/>
        <v>Service% profit / ventes</v>
      </c>
      <c r="B189" s="11" t="s">
        <v>78</v>
      </c>
      <c r="C189" s="29" t="s">
        <v>82</v>
      </c>
      <c r="D189" s="13"/>
      <c r="E189" s="144"/>
      <c r="F189" s="158">
        <f>IFERROR(F188/E188,0)</f>
        <v>0.17100000000000001</v>
      </c>
      <c r="G189" s="41"/>
      <c r="H189" s="144"/>
      <c r="I189" s="158">
        <f>IFERROR(I188/H188,0)</f>
        <v>0</v>
      </c>
      <c r="J189" s="175"/>
      <c r="K189" s="174"/>
      <c r="L189" s="158">
        <f>IFERROR(L188/K188,0)</f>
        <v>5.5879079061211659E-2</v>
      </c>
      <c r="M189" s="175"/>
      <c r="N189" s="176"/>
      <c r="O189" s="175"/>
      <c r="P189" s="174"/>
      <c r="Q189" s="158">
        <f>IFERROR(Q188/P188,0)</f>
        <v>6.1224270582801346E-2</v>
      </c>
      <c r="R189" s="175"/>
      <c r="S189" s="177"/>
      <c r="T189" s="112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</row>
    <row r="190" spans="1:40" ht="20.25" hidden="1">
      <c r="A190" t="str">
        <f t="shared" si="60"/>
        <v>Service</v>
      </c>
      <c r="B190" s="11" t="s">
        <v>78</v>
      </c>
      <c r="C190" s="29"/>
      <c r="D190" s="13"/>
      <c r="E190" s="144"/>
      <c r="F190" s="158"/>
      <c r="G190" s="41"/>
      <c r="H190" s="144"/>
      <c r="I190" s="158"/>
      <c r="J190" s="175"/>
      <c r="K190" s="174"/>
      <c r="L190" s="158"/>
      <c r="M190" s="175"/>
      <c r="N190" s="176"/>
      <c r="O190" s="175"/>
      <c r="P190" s="174"/>
      <c r="Q190" s="158"/>
      <c r="R190" s="175"/>
      <c r="S190" s="177"/>
      <c r="T190" s="112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</row>
    <row r="191" spans="1:40" ht="20.25" hidden="1">
      <c r="A191" t="str">
        <f t="shared" si="60"/>
        <v>ServiceM.O. Recond. MCPA</v>
      </c>
      <c r="B191" s="11" t="s">
        <v>78</v>
      </c>
      <c r="C191" s="29" t="s">
        <v>90</v>
      </c>
      <c r="D191" s="13"/>
      <c r="E191" s="82">
        <f>+SUM(START:END!E191)</f>
        <v>0</v>
      </c>
      <c r="F191" s="82">
        <f>+SUM(START:END!F191)</f>
        <v>0</v>
      </c>
      <c r="G191" s="41"/>
      <c r="H191" s="82">
        <f>+SUM(START:END!H191)</f>
        <v>0</v>
      </c>
      <c r="I191" s="82">
        <f>+SUM(START:END!I191)</f>
        <v>0</v>
      </c>
      <c r="J191" s="175"/>
      <c r="K191" s="30">
        <f>+SUM(START:END!K191)</f>
        <v>0</v>
      </c>
      <c r="L191" s="158">
        <f>+SUM(START:END!L191)</f>
        <v>0</v>
      </c>
      <c r="M191" s="175"/>
      <c r="N191" s="176"/>
      <c r="O191" s="175"/>
      <c r="P191" s="30">
        <f>+SUM(START:END!P191)</f>
        <v>0</v>
      </c>
      <c r="Q191" s="158">
        <f>+SUM(START:END!Q191)</f>
        <v>0</v>
      </c>
      <c r="R191" s="175"/>
      <c r="S191" s="177"/>
      <c r="T191" s="112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</row>
    <row r="192" spans="1:40" ht="20.25" hidden="1">
      <c r="A192" t="str">
        <f t="shared" si="60"/>
        <v>Service% profit / ventes</v>
      </c>
      <c r="B192" s="11" t="s">
        <v>78</v>
      </c>
      <c r="C192" s="29" t="s">
        <v>82</v>
      </c>
      <c r="D192" s="13"/>
      <c r="E192" s="144"/>
      <c r="F192" s="158">
        <f>IF(F191=0,0,F191/E191)</f>
        <v>0</v>
      </c>
      <c r="G192" s="41"/>
      <c r="H192" s="144"/>
      <c r="I192" s="158">
        <f>IF(I191=0,0,I191/H191)</f>
        <v>0</v>
      </c>
      <c r="J192" s="175"/>
      <c r="K192" s="174"/>
      <c r="L192" s="158">
        <f>IF(L191=0,0,L191/K191)</f>
        <v>0</v>
      </c>
      <c r="M192" s="175"/>
      <c r="N192" s="176"/>
      <c r="O192" s="175"/>
      <c r="P192" s="174"/>
      <c r="Q192" s="158">
        <f>IF(Q191=0,0,Q191/P191)</f>
        <v>0</v>
      </c>
      <c r="R192" s="175"/>
      <c r="S192" s="177"/>
      <c r="T192" s="112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</row>
    <row r="193" spans="1:40" ht="21" thickBot="1">
      <c r="A193" t="str">
        <f t="shared" si="60"/>
        <v>Service</v>
      </c>
      <c r="B193" s="11" t="s">
        <v>78</v>
      </c>
      <c r="C193" s="200"/>
      <c r="D193" s="201"/>
      <c r="E193" s="202"/>
      <c r="F193" s="203"/>
      <c r="G193" s="204"/>
      <c r="H193" s="202"/>
      <c r="I193" s="203"/>
      <c r="J193" s="204"/>
      <c r="K193" s="202"/>
      <c r="L193" s="203"/>
      <c r="M193" s="204"/>
      <c r="N193" s="203"/>
      <c r="O193" s="204"/>
      <c r="P193" s="202"/>
      <c r="Q193" s="203"/>
      <c r="R193" s="204"/>
      <c r="S193" s="205"/>
      <c r="T193" s="112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</row>
    <row r="194" spans="1:40" ht="21" thickTop="1">
      <c r="A194" t="str">
        <f t="shared" si="60"/>
        <v>ServiceTotal Mécanique</v>
      </c>
      <c r="B194" s="11" t="s">
        <v>78</v>
      </c>
      <c r="C194" s="62" t="s">
        <v>91</v>
      </c>
      <c r="D194" s="63"/>
      <c r="E194" s="63">
        <f t="shared" ref="E194:F194" si="69">E185+E188+E191</f>
        <v>416382.49191097275</v>
      </c>
      <c r="F194" s="65">
        <f t="shared" si="69"/>
        <v>279762.50716669048</v>
      </c>
      <c r="G194" s="66"/>
      <c r="H194" s="63">
        <f t="shared" ref="H194:I194" si="70">H185+H188+H191</f>
        <v>0</v>
      </c>
      <c r="I194" s="65">
        <f t="shared" si="70"/>
        <v>0</v>
      </c>
      <c r="J194" s="66"/>
      <c r="K194" s="63">
        <f t="shared" ref="K194:L194" si="71">K185+K188+K191</f>
        <v>398420.35</v>
      </c>
      <c r="L194" s="65">
        <f t="shared" si="71"/>
        <v>263394.66000000003</v>
      </c>
      <c r="M194" s="206">
        <f>L195-F195</f>
        <v>-1.0790851741217966E-2</v>
      </c>
      <c r="N194" s="65">
        <f>L194-F194</f>
        <v>-16367.847166690452</v>
      </c>
      <c r="O194" s="66"/>
      <c r="P194" s="63">
        <f t="shared" ref="P194:Q194" si="72">P185+P188+P191</f>
        <v>419873.86999999953</v>
      </c>
      <c r="Q194" s="65">
        <f t="shared" si="72"/>
        <v>282031.43999999959</v>
      </c>
      <c r="R194" s="206">
        <f>L195-Q195</f>
        <v>-1.0607741729938613E-2</v>
      </c>
      <c r="S194" s="68">
        <f>L194-Q194</f>
        <v>-18636.779999999562</v>
      </c>
      <c r="T194" s="112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</row>
    <row r="195" spans="1:40" ht="21" thickBot="1">
      <c r="A195" t="str">
        <f t="shared" si="60"/>
        <v>Service</v>
      </c>
      <c r="B195" s="11" t="s">
        <v>78</v>
      </c>
      <c r="C195" s="69"/>
      <c r="D195" s="70"/>
      <c r="E195" s="70"/>
      <c r="F195" s="74">
        <f>F194/E194</f>
        <v>0.67188825803585139</v>
      </c>
      <c r="G195" s="72"/>
      <c r="H195" s="70"/>
      <c r="I195" s="74" t="e">
        <f>I194/H194</f>
        <v>#DIV/0!</v>
      </c>
      <c r="J195" s="72"/>
      <c r="K195" s="70"/>
      <c r="L195" s="74">
        <f>L194/K194</f>
        <v>0.66109740629463343</v>
      </c>
      <c r="M195" s="73"/>
      <c r="N195" s="74">
        <f>N194/F194</f>
        <v>-5.8506221339151857E-2</v>
      </c>
      <c r="O195" s="72"/>
      <c r="P195" s="70"/>
      <c r="Q195" s="74">
        <f>Q194/P194</f>
        <v>0.67170514802457204</v>
      </c>
      <c r="R195" s="73"/>
      <c r="S195" s="75">
        <f>L194/S194</f>
        <v>-14.133056246841258</v>
      </c>
      <c r="T195" s="76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</row>
    <row r="196" spans="1:40" ht="21" thickTop="1">
      <c r="A196" t="str">
        <f t="shared" si="60"/>
        <v>Service</v>
      </c>
      <c r="B196" s="11" t="s">
        <v>78</v>
      </c>
      <c r="C196" s="53"/>
      <c r="D196" s="76"/>
      <c r="E196" s="76"/>
      <c r="F196" s="43"/>
      <c r="G196" s="78"/>
      <c r="H196" s="76"/>
      <c r="I196" s="43"/>
      <c r="J196" s="78"/>
      <c r="K196" s="76"/>
      <c r="L196" s="466"/>
      <c r="M196" s="42"/>
      <c r="N196" s="43"/>
      <c r="O196" s="78"/>
      <c r="P196" s="76"/>
      <c r="Q196" s="43"/>
      <c r="R196" s="42"/>
      <c r="S196" s="44"/>
      <c r="T196" s="76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</row>
    <row r="197" spans="1:40" ht="20.25">
      <c r="A197" t="str">
        <f t="shared" si="60"/>
        <v>ServiceDEPENSES</v>
      </c>
      <c r="B197" s="11" t="s">
        <v>78</v>
      </c>
      <c r="C197" s="79" t="s">
        <v>29</v>
      </c>
      <c r="D197" s="13"/>
      <c r="E197" s="13"/>
      <c r="F197" s="59"/>
      <c r="G197" s="41"/>
      <c r="H197" s="13"/>
      <c r="I197" s="59"/>
      <c r="J197" s="41"/>
      <c r="K197" s="13"/>
      <c r="L197" s="40"/>
      <c r="M197" s="41"/>
      <c r="N197" s="40"/>
      <c r="O197" s="41"/>
      <c r="P197" s="13"/>
      <c r="Q197" s="40"/>
      <c r="R197" s="41"/>
      <c r="S197" s="61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</row>
    <row r="198" spans="1:40" ht="20.25">
      <c r="A198" t="str">
        <f t="shared" si="60"/>
        <v>ServiceSalaires cadres</v>
      </c>
      <c r="B198" s="11" t="s">
        <v>78</v>
      </c>
      <c r="C198" s="102" t="s">
        <v>40</v>
      </c>
      <c r="D198" s="13"/>
      <c r="E198" s="13"/>
      <c r="F198" s="30">
        <f>+SUM(START:END!F198)</f>
        <v>29110.69217557252</v>
      </c>
      <c r="G198" s="41"/>
      <c r="H198" s="13"/>
      <c r="I198" s="30">
        <f>+SUM(START:END!I198)</f>
        <v>0</v>
      </c>
      <c r="J198" s="41"/>
      <c r="K198" s="13"/>
      <c r="L198" s="33">
        <f>+SUM(START:END!L198)</f>
        <v>22277.85</v>
      </c>
      <c r="M198" s="41"/>
      <c r="N198" s="59">
        <f t="shared" ref="N198:N229" si="73">L198-F198</f>
        <v>-6832.8421755725212</v>
      </c>
      <c r="O198" s="41"/>
      <c r="P198" s="13"/>
      <c r="Q198" s="33">
        <f>+SUM(START:END!Q198)</f>
        <v>24746</v>
      </c>
      <c r="R198" s="41"/>
      <c r="S198" s="85">
        <f t="shared" ref="S198:S228" si="74">L198-Q198</f>
        <v>-2468.1500000000015</v>
      </c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</row>
    <row r="199" spans="1:40" ht="20.25">
      <c r="A199" t="str">
        <f t="shared" si="60"/>
        <v>ServiceSalaires commis</v>
      </c>
      <c r="B199" s="11" t="s">
        <v>78</v>
      </c>
      <c r="C199" s="103" t="s">
        <v>41</v>
      </c>
      <c r="D199" s="81"/>
      <c r="E199" s="13"/>
      <c r="F199" s="22">
        <f>+SUM(START:END!F199)</f>
        <v>15210.07824427481</v>
      </c>
      <c r="G199" s="83"/>
      <c r="H199" s="13"/>
      <c r="I199" s="22">
        <f>+SUM(START:END!I199)</f>
        <v>0</v>
      </c>
      <c r="J199" s="41"/>
      <c r="K199" s="13"/>
      <c r="L199" s="33">
        <f>+SUM(START:END!L199)</f>
        <v>13419.07</v>
      </c>
      <c r="M199" s="41"/>
      <c r="N199" s="59">
        <f t="shared" si="73"/>
        <v>-1791.0082442748098</v>
      </c>
      <c r="O199" s="41"/>
      <c r="P199" s="13"/>
      <c r="Q199" s="33">
        <f>+SUM(START:END!Q199)</f>
        <v>13329.36</v>
      </c>
      <c r="R199" s="41"/>
      <c r="S199" s="85">
        <f t="shared" si="74"/>
        <v>89.709999999999127</v>
      </c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</row>
    <row r="200" spans="1:40" ht="20.25">
      <c r="A200" t="str">
        <f t="shared" si="60"/>
        <v>ServiceSalaires autres</v>
      </c>
      <c r="B200" s="11" t="s">
        <v>78</v>
      </c>
      <c r="C200" s="102" t="s">
        <v>42</v>
      </c>
      <c r="D200" s="104"/>
      <c r="E200" s="105"/>
      <c r="F200" s="30">
        <f>+SUM(START:END!F200)</f>
        <v>13416.526717557254</v>
      </c>
      <c r="G200" s="106"/>
      <c r="H200" s="105"/>
      <c r="I200" s="30">
        <f>+SUM(START:END!I200)</f>
        <v>0</v>
      </c>
      <c r="J200" s="107"/>
      <c r="K200" s="105"/>
      <c r="L200" s="108">
        <f>+SUM(START:END!L200)</f>
        <v>10353.01</v>
      </c>
      <c r="M200" s="107"/>
      <c r="N200" s="109">
        <f t="shared" si="73"/>
        <v>-3063.5167175572533</v>
      </c>
      <c r="O200" s="107"/>
      <c r="P200" s="105"/>
      <c r="Q200" s="108">
        <f>+SUM(START:END!Q200)</f>
        <v>10817.630000000001</v>
      </c>
      <c r="R200" s="107"/>
      <c r="S200" s="110">
        <f t="shared" si="74"/>
        <v>-464.6200000000008</v>
      </c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</row>
    <row r="201" spans="1:40" ht="20.25">
      <c r="A201" t="str">
        <f t="shared" si="60"/>
        <v>ServiceSalaires spécialistes</v>
      </c>
      <c r="B201" s="11" t="s">
        <v>78</v>
      </c>
      <c r="C201" s="102" t="s">
        <v>43</v>
      </c>
      <c r="D201" s="81"/>
      <c r="E201" s="13"/>
      <c r="F201" s="30">
        <f>+SUM(START:END!F201)</f>
        <v>40691.235992106769</v>
      </c>
      <c r="G201" s="83"/>
      <c r="H201" s="13"/>
      <c r="I201" s="30">
        <f>+SUM(START:END!I201)</f>
        <v>0</v>
      </c>
      <c r="J201" s="41"/>
      <c r="K201" s="13"/>
      <c r="L201" s="33">
        <f>+SUM(START:END!L201)</f>
        <v>33095.020000000004</v>
      </c>
      <c r="M201" s="41"/>
      <c r="N201" s="59">
        <f t="shared" si="73"/>
        <v>-7596.215992106765</v>
      </c>
      <c r="O201" s="41"/>
      <c r="P201" s="13"/>
      <c r="Q201" s="33">
        <f>+SUM(START:END!Q201)</f>
        <v>32469.64</v>
      </c>
      <c r="R201" s="41"/>
      <c r="S201" s="85">
        <f t="shared" si="74"/>
        <v>625.38000000000466</v>
      </c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</row>
    <row r="202" spans="1:40" ht="20.25" hidden="1">
      <c r="A202" t="str">
        <f t="shared" si="60"/>
        <v>Service[...]</v>
      </c>
      <c r="B202" s="11" t="s">
        <v>78</v>
      </c>
      <c r="C202" s="29" t="s">
        <v>19</v>
      </c>
      <c r="D202" s="81"/>
      <c r="E202" s="13"/>
      <c r="F202" s="30">
        <f>+SUM(START:END!F202)</f>
        <v>0</v>
      </c>
      <c r="G202" s="83"/>
      <c r="H202" s="13"/>
      <c r="I202" s="30">
        <f>+SUM(START:END!I202)</f>
        <v>0</v>
      </c>
      <c r="J202" s="41"/>
      <c r="K202" s="13"/>
      <c r="L202" s="33">
        <f>+SUM(START:END!L202)</f>
        <v>0</v>
      </c>
      <c r="M202" s="41"/>
      <c r="N202" s="59">
        <f t="shared" si="73"/>
        <v>0</v>
      </c>
      <c r="O202" s="41"/>
      <c r="P202" s="13"/>
      <c r="Q202" s="33">
        <f>+SUM(START:END!Q202)</f>
        <v>0</v>
      </c>
      <c r="R202" s="41"/>
      <c r="S202" s="85">
        <f t="shared" si="74"/>
        <v>0</v>
      </c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</row>
    <row r="203" spans="1:40" ht="20.25" hidden="1">
      <c r="A203" t="str">
        <f t="shared" si="60"/>
        <v>Service[...]</v>
      </c>
      <c r="B203" s="11" t="s">
        <v>78</v>
      </c>
      <c r="C203" s="29" t="s">
        <v>19</v>
      </c>
      <c r="D203" s="81"/>
      <c r="E203" s="13"/>
      <c r="F203" s="30">
        <f>+SUM(START:END!F203)</f>
        <v>0</v>
      </c>
      <c r="G203" s="83"/>
      <c r="H203" s="13"/>
      <c r="I203" s="30">
        <f>+SUM(START:END!I203)</f>
        <v>0</v>
      </c>
      <c r="J203" s="41"/>
      <c r="K203" s="13"/>
      <c r="L203" s="33">
        <f>+SUM(START:END!L203)</f>
        <v>0</v>
      </c>
      <c r="M203" s="41"/>
      <c r="N203" s="59">
        <f t="shared" si="73"/>
        <v>0</v>
      </c>
      <c r="O203" s="41"/>
      <c r="P203" s="13"/>
      <c r="Q203" s="33">
        <f>+SUM(START:END!Q203)</f>
        <v>0</v>
      </c>
      <c r="R203" s="41"/>
      <c r="S203" s="85">
        <f t="shared" si="74"/>
        <v>0</v>
      </c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</row>
    <row r="204" spans="1:40" ht="20.25" hidden="1">
      <c r="A204" t="str">
        <f t="shared" si="60"/>
        <v>Service[...]</v>
      </c>
      <c r="B204" s="11" t="s">
        <v>78</v>
      </c>
      <c r="C204" s="29" t="s">
        <v>19</v>
      </c>
      <c r="D204" s="81"/>
      <c r="E204" s="13"/>
      <c r="F204" s="30">
        <f>+SUM(START:END!F204)</f>
        <v>0</v>
      </c>
      <c r="G204" s="83"/>
      <c r="H204" s="13"/>
      <c r="I204" s="30">
        <f>+SUM(START:END!I204)</f>
        <v>0</v>
      </c>
      <c r="J204" s="41"/>
      <c r="K204" s="13"/>
      <c r="L204" s="33">
        <f>+SUM(START:END!L204)</f>
        <v>0</v>
      </c>
      <c r="M204" s="41"/>
      <c r="N204" s="59">
        <f t="shared" si="73"/>
        <v>0</v>
      </c>
      <c r="O204" s="41"/>
      <c r="P204" s="13"/>
      <c r="Q204" s="33">
        <f>+SUM(START:END!Q204)</f>
        <v>0</v>
      </c>
      <c r="R204" s="41"/>
      <c r="S204" s="85">
        <f>L204-Q204</f>
        <v>0</v>
      </c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</row>
    <row r="205" spans="1:40" ht="20.25">
      <c r="A205" t="str">
        <f t="shared" si="60"/>
        <v>ServiceSalaires en absences</v>
      </c>
      <c r="B205" s="11" t="s">
        <v>78</v>
      </c>
      <c r="C205" s="103" t="s">
        <v>44</v>
      </c>
      <c r="D205" s="81"/>
      <c r="E205" s="13"/>
      <c r="F205" s="30">
        <f>+SUM(START:END!F205)</f>
        <v>22842.18565473755</v>
      </c>
      <c r="G205" s="83"/>
      <c r="H205" s="13"/>
      <c r="I205" s="30">
        <f>+SUM(START:END!I205)</f>
        <v>0</v>
      </c>
      <c r="J205" s="41"/>
      <c r="K205" s="13"/>
      <c r="L205" s="33">
        <f>+SUM(START:END!L205)</f>
        <v>18858.170000000002</v>
      </c>
      <c r="M205" s="41"/>
      <c r="N205" s="59">
        <f t="shared" si="73"/>
        <v>-3984.0156547375482</v>
      </c>
      <c r="O205" s="41"/>
      <c r="P205" s="13"/>
      <c r="Q205" s="33">
        <f>+SUM(START:END!Q205)</f>
        <v>18212.760000000002</v>
      </c>
      <c r="R205" s="41"/>
      <c r="S205" s="85">
        <f>L205-Q205</f>
        <v>645.40999999999985</v>
      </c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</row>
    <row r="206" spans="1:40" ht="20.25">
      <c r="A206" t="str">
        <f t="shared" si="60"/>
        <v>ServiceDéduction à la source</v>
      </c>
      <c r="B206" s="11" t="s">
        <v>78</v>
      </c>
      <c r="C206" s="102" t="s">
        <v>45</v>
      </c>
      <c r="D206" s="104"/>
      <c r="E206" s="105"/>
      <c r="F206" s="55">
        <f>+SUM(START:END!F206)</f>
        <v>30479.925236121268</v>
      </c>
      <c r="G206" s="106"/>
      <c r="H206" s="105"/>
      <c r="I206" s="55">
        <f>+SUM(START:END!I206)</f>
        <v>0</v>
      </c>
      <c r="J206" s="107"/>
      <c r="K206" s="105"/>
      <c r="L206" s="108">
        <f>+SUM(START:END!L206)</f>
        <v>29327.309999999998</v>
      </c>
      <c r="M206" s="107"/>
      <c r="N206" s="109">
        <f t="shared" si="73"/>
        <v>-1152.6152361212698</v>
      </c>
      <c r="O206" s="107"/>
      <c r="P206" s="105"/>
      <c r="Q206" s="108">
        <f>+SUM(START:END!Q206)</f>
        <v>30104.93</v>
      </c>
      <c r="R206" s="107"/>
      <c r="S206" s="110">
        <f t="shared" si="74"/>
        <v>-777.62000000000262</v>
      </c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</row>
    <row r="207" spans="1:40" ht="20.25">
      <c r="A207" t="str">
        <f t="shared" si="60"/>
        <v>ServiceBénéfices marginaux</v>
      </c>
      <c r="B207" s="11" t="s">
        <v>78</v>
      </c>
      <c r="C207" s="102" t="s">
        <v>46</v>
      </c>
      <c r="D207" s="81"/>
      <c r="E207" s="13"/>
      <c r="F207" s="30">
        <f>+SUM(START:END!F207)</f>
        <v>14136.287035065579</v>
      </c>
      <c r="G207" s="83"/>
      <c r="H207" s="13"/>
      <c r="I207" s="30">
        <f>+SUM(START:END!I207)</f>
        <v>0</v>
      </c>
      <c r="J207" s="41"/>
      <c r="K207" s="13"/>
      <c r="L207" s="33">
        <f>+SUM(START:END!L207)</f>
        <v>12670.059999999998</v>
      </c>
      <c r="M207" s="41"/>
      <c r="N207" s="59">
        <f t="shared" si="73"/>
        <v>-1466.2270350655817</v>
      </c>
      <c r="O207" s="41"/>
      <c r="P207" s="13"/>
      <c r="Q207" s="33">
        <f>+SUM(START:END!Q207)</f>
        <v>14475.14</v>
      </c>
      <c r="R207" s="41"/>
      <c r="S207" s="85">
        <f t="shared" si="74"/>
        <v>-1805.0800000000017</v>
      </c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</row>
    <row r="208" spans="1:40" ht="20.25">
      <c r="A208" t="str">
        <f t="shared" si="60"/>
        <v>ServiceCsst</v>
      </c>
      <c r="B208" s="11" t="s">
        <v>78</v>
      </c>
      <c r="C208" s="102" t="s">
        <v>47</v>
      </c>
      <c r="D208" s="81"/>
      <c r="E208" s="13"/>
      <c r="F208" s="30">
        <f>+SUM(START:END!F208)</f>
        <v>3192.0648143696471</v>
      </c>
      <c r="G208" s="83"/>
      <c r="H208" s="13"/>
      <c r="I208" s="30">
        <f>+SUM(START:END!I208)</f>
        <v>0</v>
      </c>
      <c r="J208" s="41"/>
      <c r="K208" s="13"/>
      <c r="L208" s="33">
        <f>+SUM(START:END!L208)</f>
        <v>3047.71</v>
      </c>
      <c r="M208" s="467"/>
      <c r="N208" s="146">
        <f t="shared" si="73"/>
        <v>-144.3548143696471</v>
      </c>
      <c r="O208" s="467"/>
      <c r="P208" s="468"/>
      <c r="Q208" s="22">
        <f>+SUM(START:END!Q208)</f>
        <v>3297.41</v>
      </c>
      <c r="R208" s="467"/>
      <c r="S208" s="469">
        <f t="shared" si="74"/>
        <v>-249.69999999999982</v>
      </c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</row>
    <row r="209" spans="1:40" ht="20.25" hidden="1">
      <c r="A209" t="str">
        <f t="shared" si="60"/>
        <v>Service[...]</v>
      </c>
      <c r="B209" s="11" t="s">
        <v>78</v>
      </c>
      <c r="C209" s="29" t="s">
        <v>19</v>
      </c>
      <c r="D209" s="87"/>
      <c r="E209" s="111"/>
      <c r="F209" s="30">
        <f>+SUM(START:END!F209)</f>
        <v>0</v>
      </c>
      <c r="G209" s="89"/>
      <c r="H209" s="111"/>
      <c r="I209" s="30">
        <f>+SUM(START:END!I209)</f>
        <v>0</v>
      </c>
      <c r="J209" s="23"/>
      <c r="K209" s="111"/>
      <c r="L209" s="33">
        <f>+SUM(START:END!L209)</f>
        <v>0</v>
      </c>
      <c r="M209" s="23"/>
      <c r="N209" s="91">
        <f t="shared" si="73"/>
        <v>0</v>
      </c>
      <c r="O209" s="23"/>
      <c r="P209" s="111"/>
      <c r="Q209" s="33">
        <f>+SUM(START:END!Q209)</f>
        <v>0</v>
      </c>
      <c r="R209" s="23"/>
      <c r="S209" s="92">
        <f t="shared" si="74"/>
        <v>0</v>
      </c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</row>
    <row r="210" spans="1:40" ht="20.25">
      <c r="A210" t="str">
        <f t="shared" si="60"/>
        <v>ServiceTOTAL PERSONNEL</v>
      </c>
      <c r="B210" s="11" t="s">
        <v>78</v>
      </c>
      <c r="C210" s="93" t="s">
        <v>48</v>
      </c>
      <c r="D210" s="94" t="s">
        <v>92</v>
      </c>
      <c r="E210" s="95">
        <f>F210/F$194</f>
        <v>0.60436617323086583</v>
      </c>
      <c r="F210" s="96">
        <f>+SUM(F198:F209)</f>
        <v>169078.9958698054</v>
      </c>
      <c r="G210" s="97" t="s">
        <v>92</v>
      </c>
      <c r="H210" s="95" t="e">
        <f>I210/I$194</f>
        <v>#DIV/0!</v>
      </c>
      <c r="I210" s="96">
        <f>+SUM(I198:I209)</f>
        <v>0</v>
      </c>
      <c r="J210" s="97" t="s">
        <v>92</v>
      </c>
      <c r="K210" s="95">
        <f>L210/L$194</f>
        <v>0.54309453350345049</v>
      </c>
      <c r="L210" s="96">
        <f>+SUM(L198:L209)</f>
        <v>143048.19999999998</v>
      </c>
      <c r="M210" s="147"/>
      <c r="N210" s="113">
        <f t="shared" si="73"/>
        <v>-26030.795869805414</v>
      </c>
      <c r="O210" s="97" t="s">
        <v>92</v>
      </c>
      <c r="P210" s="95">
        <f>Q210/Q$194</f>
        <v>0.52282422839099152</v>
      </c>
      <c r="Q210" s="96">
        <f>+SUM(Q198:Q209)</f>
        <v>147452.87000000002</v>
      </c>
      <c r="R210" s="147"/>
      <c r="S210" s="114">
        <f t="shared" si="74"/>
        <v>-4404.6700000000419</v>
      </c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</row>
    <row r="211" spans="1:40" ht="20.25">
      <c r="A211" t="str">
        <f t="shared" si="60"/>
        <v>ServicePublicité 2</v>
      </c>
      <c r="B211" s="11" t="s">
        <v>78</v>
      </c>
      <c r="C211" s="29" t="s">
        <v>49</v>
      </c>
      <c r="D211" s="81"/>
      <c r="E211" s="13"/>
      <c r="F211" s="30">
        <f>+SUM(START:END!F211)</f>
        <v>12610.570865095195</v>
      </c>
      <c r="G211" s="83"/>
      <c r="H211" s="13"/>
      <c r="I211" s="30">
        <f>+SUM(START:END!I211)</f>
        <v>0</v>
      </c>
      <c r="J211" s="41"/>
      <c r="K211" s="13"/>
      <c r="L211" s="33">
        <f>+SUM(START:END!L211)</f>
        <v>16115.76</v>
      </c>
      <c r="M211" s="41"/>
      <c r="N211" s="59">
        <f t="shared" si="73"/>
        <v>3505.1891349048055</v>
      </c>
      <c r="O211" s="41"/>
      <c r="P211" s="13"/>
      <c r="Q211" s="33">
        <f>+SUM(START:END!Q211)</f>
        <v>13611.970000000001</v>
      </c>
      <c r="R211" s="41"/>
      <c r="S211" s="85">
        <f t="shared" si="74"/>
        <v>2503.7899999999991</v>
      </c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</row>
    <row r="212" spans="1:40" ht="20.25">
      <c r="A212" t="str">
        <f t="shared" si="60"/>
        <v>ServiceService gratuit 2</v>
      </c>
      <c r="B212" s="11" t="s">
        <v>78</v>
      </c>
      <c r="C212" s="29" t="s">
        <v>50</v>
      </c>
      <c r="D212" s="81"/>
      <c r="E212" s="13"/>
      <c r="F212" s="30">
        <f>+SUM(START:END!F212)</f>
        <v>11100</v>
      </c>
      <c r="G212" s="83"/>
      <c r="H212" s="13"/>
      <c r="I212" s="30">
        <f>+SUM(START:END!I212)</f>
        <v>0</v>
      </c>
      <c r="J212" s="41"/>
      <c r="K212" s="13"/>
      <c r="L212" s="33">
        <f>+SUM(START:END!L212)</f>
        <v>9685.8900000000012</v>
      </c>
      <c r="M212" s="41"/>
      <c r="N212" s="59">
        <f t="shared" si="73"/>
        <v>-1414.1099999999988</v>
      </c>
      <c r="O212" s="41"/>
      <c r="P212" s="13"/>
      <c r="Q212" s="33">
        <f>+SUM(START:END!Q212)</f>
        <v>16080.779999999999</v>
      </c>
      <c r="R212" s="41"/>
      <c r="S212" s="85">
        <f t="shared" si="74"/>
        <v>-6394.8899999999976</v>
      </c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</row>
    <row r="213" spans="1:40" ht="20.25">
      <c r="A213" t="str">
        <f t="shared" si="60"/>
        <v>ServiceFrais véhicules de cie</v>
      </c>
      <c r="B213" s="11" t="s">
        <v>78</v>
      </c>
      <c r="C213" s="86" t="s">
        <v>51</v>
      </c>
      <c r="D213" s="87"/>
      <c r="E213" s="111"/>
      <c r="F213" s="22">
        <f>+SUM(START:END!F213)</f>
        <v>14468.125000000002</v>
      </c>
      <c r="G213" s="89"/>
      <c r="H213" s="111"/>
      <c r="I213" s="22">
        <f>+SUM(START:END!I213)</f>
        <v>0</v>
      </c>
      <c r="J213" s="23"/>
      <c r="K213" s="111"/>
      <c r="L213" s="33">
        <f>+SUM(START:END!L213)</f>
        <v>16489.599999999999</v>
      </c>
      <c r="M213" s="23"/>
      <c r="N213" s="91">
        <f t="shared" si="73"/>
        <v>2021.4749999999967</v>
      </c>
      <c r="O213" s="23"/>
      <c r="P213" s="111"/>
      <c r="Q213" s="33">
        <f>+SUM(START:END!Q213)</f>
        <v>20942.909999999982</v>
      </c>
      <c r="R213" s="23"/>
      <c r="S213" s="92">
        <f t="shared" si="74"/>
        <v>-4453.3099999999831</v>
      </c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</row>
    <row r="214" spans="1:40" ht="20.25">
      <c r="A214" t="str">
        <f t="shared" si="60"/>
        <v>ServiceInformatique</v>
      </c>
      <c r="B214" s="11" t="s">
        <v>78</v>
      </c>
      <c r="C214" s="29" t="s">
        <v>52</v>
      </c>
      <c r="D214" s="81"/>
      <c r="E214" s="13"/>
      <c r="F214" s="30">
        <f>+SUM(START:END!F214)</f>
        <v>16581.074999999997</v>
      </c>
      <c r="G214" s="83"/>
      <c r="H214" s="13"/>
      <c r="I214" s="30">
        <f>+SUM(START:END!I214)</f>
        <v>0</v>
      </c>
      <c r="J214" s="41"/>
      <c r="K214" s="13"/>
      <c r="L214" s="108">
        <f>+SUM(START:END!L214)</f>
        <v>17361.900000000001</v>
      </c>
      <c r="M214" s="41"/>
      <c r="N214" s="59">
        <f t="shared" si="73"/>
        <v>780.82500000000437</v>
      </c>
      <c r="O214" s="41"/>
      <c r="P214" s="13"/>
      <c r="Q214" s="108">
        <f>+SUM(START:END!Q214)</f>
        <v>17992.39</v>
      </c>
      <c r="R214" s="41"/>
      <c r="S214" s="85">
        <f t="shared" si="74"/>
        <v>-630.48999999999796</v>
      </c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</row>
    <row r="215" spans="1:40" ht="20.25">
      <c r="A215" t="str">
        <f t="shared" si="60"/>
        <v>ServiceFrais de déplacement</v>
      </c>
      <c r="B215" s="11" t="s">
        <v>78</v>
      </c>
      <c r="C215" s="29" t="s">
        <v>53</v>
      </c>
      <c r="D215" s="81"/>
      <c r="E215" s="13"/>
      <c r="F215" s="30">
        <f>+SUM(START:END!F215)</f>
        <v>1233.9000000000001</v>
      </c>
      <c r="G215" s="83"/>
      <c r="H215" s="13"/>
      <c r="I215" s="30">
        <f>+SUM(START:END!I215)</f>
        <v>0</v>
      </c>
      <c r="J215" s="41"/>
      <c r="K215" s="13"/>
      <c r="L215" s="33">
        <f>+SUM(START:END!L215)</f>
        <v>287.77999999999997</v>
      </c>
      <c r="M215" s="41"/>
      <c r="N215" s="59">
        <f t="shared" si="73"/>
        <v>-946.12000000000012</v>
      </c>
      <c r="O215" s="41"/>
      <c r="P215" s="13"/>
      <c r="Q215" s="33">
        <f>+SUM(START:END!Q215)</f>
        <v>3462.33</v>
      </c>
      <c r="R215" s="41"/>
      <c r="S215" s="85">
        <f t="shared" si="74"/>
        <v>-3174.55</v>
      </c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</row>
    <row r="216" spans="1:40" ht="20.25">
      <c r="A216" t="str">
        <f t="shared" si="60"/>
        <v>ServiceServices extérieurs</v>
      </c>
      <c r="B216" s="11" t="s">
        <v>78</v>
      </c>
      <c r="C216" s="86" t="s">
        <v>54</v>
      </c>
      <c r="D216" s="87"/>
      <c r="E216" s="111"/>
      <c r="F216" s="22">
        <f>+SUM(START:END!F216)</f>
        <v>16356.675000000001</v>
      </c>
      <c r="G216" s="89"/>
      <c r="H216" s="111"/>
      <c r="I216" s="22">
        <f>+SUM(START:END!I216)</f>
        <v>0</v>
      </c>
      <c r="J216" s="23"/>
      <c r="K216" s="111"/>
      <c r="L216" s="33">
        <f>+SUM(START:END!L216)</f>
        <v>14927.25</v>
      </c>
      <c r="M216" s="23"/>
      <c r="N216" s="91">
        <f t="shared" si="73"/>
        <v>-1429.4250000000011</v>
      </c>
      <c r="O216" s="23"/>
      <c r="P216" s="111"/>
      <c r="Q216" s="33">
        <f>+SUM(START:END!Q216)</f>
        <v>14272.39</v>
      </c>
      <c r="R216" s="23"/>
      <c r="S216" s="92">
        <f t="shared" si="74"/>
        <v>654.86000000000058</v>
      </c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</row>
    <row r="217" spans="1:40" ht="20.25">
      <c r="A217" t="str">
        <f t="shared" si="60"/>
        <v>ServiceFournitures d'atelier</v>
      </c>
      <c r="B217" s="11" t="s">
        <v>78</v>
      </c>
      <c r="C217" s="29" t="s">
        <v>93</v>
      </c>
      <c r="D217" s="81"/>
      <c r="E217" s="13"/>
      <c r="F217" s="30">
        <f>+SUM(START:END!F217)</f>
        <v>0</v>
      </c>
      <c r="G217" s="83"/>
      <c r="H217" s="13"/>
      <c r="I217" s="30">
        <f>+SUM(START:END!I217)</f>
        <v>0</v>
      </c>
      <c r="J217" s="41"/>
      <c r="K217" s="13"/>
      <c r="L217" s="108">
        <f>+SUM(START:END!L217)</f>
        <v>0</v>
      </c>
      <c r="M217" s="41"/>
      <c r="N217" s="59">
        <f t="shared" si="73"/>
        <v>0</v>
      </c>
      <c r="O217" s="41"/>
      <c r="P217" s="13"/>
      <c r="Q217" s="108">
        <f>+SUM(START:END!Q217)</f>
        <v>0</v>
      </c>
      <c r="R217" s="41"/>
      <c r="S217" s="85">
        <f>L217-Q217</f>
        <v>0</v>
      </c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</row>
    <row r="218" spans="1:40" ht="20.25">
      <c r="A218" t="str">
        <f t="shared" si="60"/>
        <v>ServiceFournitures autres</v>
      </c>
      <c r="B218" s="11" t="s">
        <v>78</v>
      </c>
      <c r="C218" s="29" t="s">
        <v>55</v>
      </c>
      <c r="D218" s="81"/>
      <c r="E218" s="13"/>
      <c r="F218" s="30">
        <f>+SUM(START:END!F218)</f>
        <v>3752.6104417670676</v>
      </c>
      <c r="G218" s="83"/>
      <c r="H218" s="13"/>
      <c r="I218" s="30">
        <f>+SUM(START:END!I218)</f>
        <v>0</v>
      </c>
      <c r="J218" s="41"/>
      <c r="K218" s="13"/>
      <c r="L218" s="33">
        <f>+SUM(START:END!L218)</f>
        <v>3045.41</v>
      </c>
      <c r="M218" s="41"/>
      <c r="N218" s="59">
        <f t="shared" si="73"/>
        <v>-707.20044176706779</v>
      </c>
      <c r="O218" s="41"/>
      <c r="P218" s="13"/>
      <c r="Q218" s="33">
        <f>+SUM(START:END!Q218)</f>
        <v>3909.7200000000003</v>
      </c>
      <c r="R218" s="41"/>
      <c r="S218" s="85">
        <f t="shared" si="74"/>
        <v>-864.3100000000004</v>
      </c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</row>
    <row r="219" spans="1:40" ht="20.25">
      <c r="A219" t="str">
        <f t="shared" si="60"/>
        <v>ServiceUniformes</v>
      </c>
      <c r="B219" s="11" t="s">
        <v>78</v>
      </c>
      <c r="C219" s="29" t="s">
        <v>56</v>
      </c>
      <c r="D219" s="81"/>
      <c r="E219" s="13"/>
      <c r="F219" s="30">
        <f>+SUM(START:END!F219)</f>
        <v>2850</v>
      </c>
      <c r="G219" s="83"/>
      <c r="H219" s="13"/>
      <c r="I219" s="30">
        <f>+SUM(START:END!I219)</f>
        <v>0</v>
      </c>
      <c r="J219" s="41"/>
      <c r="K219" s="13"/>
      <c r="L219" s="33">
        <f>+SUM(START:END!L219)</f>
        <v>3953.04</v>
      </c>
      <c r="M219" s="41"/>
      <c r="N219" s="59">
        <f t="shared" si="73"/>
        <v>1103.04</v>
      </c>
      <c r="O219" s="41"/>
      <c r="P219" s="13"/>
      <c r="Q219" s="33">
        <f>+SUM(START:END!Q219)</f>
        <v>2646.66</v>
      </c>
      <c r="R219" s="41"/>
      <c r="S219" s="85">
        <f t="shared" si="74"/>
        <v>1306.3800000000001</v>
      </c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</row>
    <row r="220" spans="1:40" ht="20.25">
      <c r="A220" t="str">
        <f t="shared" si="60"/>
        <v>ServicePapeterie</v>
      </c>
      <c r="B220" s="11" t="s">
        <v>78</v>
      </c>
      <c r="C220" s="29" t="s">
        <v>57</v>
      </c>
      <c r="D220" s="81"/>
      <c r="E220" s="13"/>
      <c r="F220" s="30">
        <f>+SUM(START:END!F220)</f>
        <v>1181.25</v>
      </c>
      <c r="G220" s="83"/>
      <c r="H220" s="13"/>
      <c r="I220" s="30">
        <f>+SUM(START:END!I220)</f>
        <v>0</v>
      </c>
      <c r="J220" s="41"/>
      <c r="K220" s="13"/>
      <c r="L220" s="32">
        <f>+SUM(START:END!L220)</f>
        <v>986.2</v>
      </c>
      <c r="M220" s="41"/>
      <c r="N220" s="59">
        <f t="shared" si="73"/>
        <v>-195.04999999999995</v>
      </c>
      <c r="O220" s="41"/>
      <c r="P220" s="13"/>
      <c r="Q220" s="32">
        <f>+SUM(START:END!Q220)</f>
        <v>783.2</v>
      </c>
      <c r="R220" s="41"/>
      <c r="S220" s="85">
        <f t="shared" si="74"/>
        <v>203</v>
      </c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</row>
    <row r="221" spans="1:40" ht="20.25">
      <c r="A221" t="str">
        <f t="shared" si="60"/>
        <v>ServiceTéléphone</v>
      </c>
      <c r="B221" s="11" t="s">
        <v>78</v>
      </c>
      <c r="C221" s="29" t="s">
        <v>58</v>
      </c>
      <c r="D221" s="81"/>
      <c r="E221" s="13"/>
      <c r="F221" s="30">
        <f>+SUM(START:END!F221)</f>
        <v>333.6</v>
      </c>
      <c r="G221" s="83"/>
      <c r="H221" s="13"/>
      <c r="I221" s="30">
        <f>+SUM(START:END!I221)</f>
        <v>0</v>
      </c>
      <c r="J221" s="41"/>
      <c r="K221" s="13"/>
      <c r="L221" s="33">
        <f>+SUM(START:END!L221)</f>
        <v>214.33</v>
      </c>
      <c r="M221" s="41"/>
      <c r="N221" s="59">
        <f t="shared" si="73"/>
        <v>-119.27000000000001</v>
      </c>
      <c r="O221" s="41"/>
      <c r="P221" s="13"/>
      <c r="Q221" s="33">
        <f>+SUM(START:END!Q221)</f>
        <v>307.55</v>
      </c>
      <c r="R221" s="41"/>
      <c r="S221" s="85">
        <f t="shared" si="74"/>
        <v>-93.22</v>
      </c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</row>
    <row r="222" spans="1:40" ht="20.25">
      <c r="A222" t="str">
        <f t="shared" si="60"/>
        <v>ServiceFrais postaux</v>
      </c>
      <c r="B222" s="11" t="s">
        <v>78</v>
      </c>
      <c r="C222" s="29" t="s">
        <v>59</v>
      </c>
      <c r="D222" s="81"/>
      <c r="E222" s="13"/>
      <c r="F222" s="30">
        <f>+SUM(START:END!F222)</f>
        <v>337.5</v>
      </c>
      <c r="G222" s="83"/>
      <c r="H222" s="13"/>
      <c r="I222" s="30">
        <f>+SUM(START:END!I222)</f>
        <v>0</v>
      </c>
      <c r="J222" s="41"/>
      <c r="K222" s="13"/>
      <c r="L222" s="33">
        <f>+SUM(START:END!L222)</f>
        <v>133.06</v>
      </c>
      <c r="M222" s="41"/>
      <c r="N222" s="59">
        <f t="shared" si="73"/>
        <v>-204.44</v>
      </c>
      <c r="O222" s="41"/>
      <c r="P222" s="13"/>
      <c r="Q222" s="33">
        <f>+SUM(START:END!Q222)</f>
        <v>385.63</v>
      </c>
      <c r="R222" s="41"/>
      <c r="S222" s="85">
        <f t="shared" si="74"/>
        <v>-252.57</v>
      </c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</row>
    <row r="223" spans="1:40" ht="20.25">
      <c r="A223" t="str">
        <f t="shared" si="60"/>
        <v>ServiceDivers</v>
      </c>
      <c r="B223" s="11" t="s">
        <v>78</v>
      </c>
      <c r="C223" s="29" t="s">
        <v>60</v>
      </c>
      <c r="D223" s="81"/>
      <c r="E223" s="13"/>
      <c r="F223" s="30">
        <f>+SUM(START:END!F223)</f>
        <v>1254.1500000000001</v>
      </c>
      <c r="G223" s="83"/>
      <c r="H223" s="13"/>
      <c r="I223" s="30">
        <f>+SUM(START:END!I223)</f>
        <v>0</v>
      </c>
      <c r="J223" s="41"/>
      <c r="K223" s="13"/>
      <c r="L223" s="33">
        <f>+SUM(START:END!L223)</f>
        <v>1957.21</v>
      </c>
      <c r="M223" s="41"/>
      <c r="N223" s="59">
        <f t="shared" si="73"/>
        <v>703.06</v>
      </c>
      <c r="O223" s="41"/>
      <c r="P223" s="13"/>
      <c r="Q223" s="33">
        <f>+SUM(START:END!Q223)</f>
        <v>1210.69</v>
      </c>
      <c r="R223" s="41"/>
      <c r="S223" s="85">
        <f t="shared" si="74"/>
        <v>746.52</v>
      </c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</row>
    <row r="224" spans="1:40" ht="20.25">
      <c r="A224" t="str">
        <f t="shared" si="60"/>
        <v>ServiceFormation</v>
      </c>
      <c r="B224" s="11" t="s">
        <v>78</v>
      </c>
      <c r="C224" s="29" t="s">
        <v>61</v>
      </c>
      <c r="D224" s="81"/>
      <c r="E224" s="13"/>
      <c r="F224" s="30">
        <f>+SUM(START:END!F224)</f>
        <v>5185.7457200000008</v>
      </c>
      <c r="G224" s="83"/>
      <c r="H224" s="13"/>
      <c r="I224" s="30">
        <f>+SUM(START:END!I224)</f>
        <v>0</v>
      </c>
      <c r="J224" s="41"/>
      <c r="K224" s="13"/>
      <c r="L224" s="33">
        <f>+SUM(START:END!L224)</f>
        <v>1198.73</v>
      </c>
      <c r="M224" s="41"/>
      <c r="N224" s="59">
        <f t="shared" si="73"/>
        <v>-3987.0157200000008</v>
      </c>
      <c r="O224" s="41"/>
      <c r="P224" s="13"/>
      <c r="Q224" s="33">
        <f>+SUM(START:END!Q224)</f>
        <v>6085.7</v>
      </c>
      <c r="R224" s="41"/>
      <c r="S224" s="85">
        <f t="shared" si="74"/>
        <v>-4886.9699999999993</v>
      </c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</row>
    <row r="225" spans="1:40" ht="20.25">
      <c r="A225" t="str">
        <f t="shared" si="60"/>
        <v>ServiceFrais bancaires</v>
      </c>
      <c r="B225" s="11" t="s">
        <v>78</v>
      </c>
      <c r="C225" s="29" t="s">
        <v>62</v>
      </c>
      <c r="D225" s="81"/>
      <c r="E225" s="13"/>
      <c r="F225" s="30">
        <f>+SUM(START:END!F225)</f>
        <v>4129.9875159289577</v>
      </c>
      <c r="G225" s="83"/>
      <c r="H225" s="13"/>
      <c r="I225" s="30">
        <f>+SUM(START:END!I225)</f>
        <v>0</v>
      </c>
      <c r="J225" s="41"/>
      <c r="K225" s="13"/>
      <c r="L225" s="33">
        <f>+SUM(START:END!L225)</f>
        <v>3828.13</v>
      </c>
      <c r="M225" s="41"/>
      <c r="N225" s="59">
        <f t="shared" si="73"/>
        <v>-301.85751592895758</v>
      </c>
      <c r="O225" s="41"/>
      <c r="P225" s="13"/>
      <c r="Q225" s="33">
        <f>+SUM(START:END!Q225)</f>
        <v>3817.59</v>
      </c>
      <c r="R225" s="41"/>
      <c r="S225" s="85">
        <f t="shared" si="74"/>
        <v>10.539999999999964</v>
      </c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</row>
    <row r="226" spans="1:40" ht="20.25" hidden="1">
      <c r="A226" t="str">
        <f t="shared" si="60"/>
        <v>Service[...]</v>
      </c>
      <c r="B226" s="11" t="s">
        <v>78</v>
      </c>
      <c r="C226" s="29" t="s">
        <v>19</v>
      </c>
      <c r="D226" s="81"/>
      <c r="E226" s="13"/>
      <c r="F226" s="30">
        <f>+SUM(START:END!F226)</f>
        <v>0</v>
      </c>
      <c r="G226" s="83"/>
      <c r="H226" s="13"/>
      <c r="I226" s="30">
        <f>+SUM(START:END!I226)</f>
        <v>0</v>
      </c>
      <c r="J226" s="41"/>
      <c r="K226" s="13"/>
      <c r="L226" s="33">
        <f>+SUM(START:END!L226)</f>
        <v>0</v>
      </c>
      <c r="M226" s="41"/>
      <c r="N226" s="59">
        <f t="shared" si="73"/>
        <v>0</v>
      </c>
      <c r="O226" s="41"/>
      <c r="P226" s="13"/>
      <c r="Q226" s="33">
        <f>+SUM(START:END!Q226)</f>
        <v>0</v>
      </c>
      <c r="R226" s="41"/>
      <c r="S226" s="85">
        <f t="shared" si="74"/>
        <v>0</v>
      </c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</row>
    <row r="227" spans="1:40" ht="20.25" hidden="1">
      <c r="B227" s="11" t="s">
        <v>78</v>
      </c>
      <c r="C227" s="29" t="s">
        <v>19</v>
      </c>
      <c r="D227" s="81"/>
      <c r="E227" s="13"/>
      <c r="F227" s="30">
        <f>+SUM(START:END!F227)</f>
        <v>0</v>
      </c>
      <c r="G227" s="83"/>
      <c r="H227" s="13"/>
      <c r="I227" s="30">
        <f>+SUM(START:END!I227)</f>
        <v>0</v>
      </c>
      <c r="J227" s="41"/>
      <c r="K227" s="13"/>
      <c r="L227" s="33">
        <f>+SUM(START:END!L227)</f>
        <v>0</v>
      </c>
      <c r="M227" s="41"/>
      <c r="N227" s="59">
        <f t="shared" si="73"/>
        <v>0</v>
      </c>
      <c r="O227" s="41"/>
      <c r="P227" s="13"/>
      <c r="Q227" s="33">
        <f>+SUM(START:END!Q227)</f>
        <v>0</v>
      </c>
      <c r="R227" s="41"/>
      <c r="S227" s="85">
        <f>L227-Q227</f>
        <v>0</v>
      </c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</row>
    <row r="228" spans="1:40" ht="20.25" hidden="1">
      <c r="A228" t="str">
        <f t="shared" si="60"/>
        <v>Service[...]</v>
      </c>
      <c r="B228" s="11" t="s">
        <v>78</v>
      </c>
      <c r="C228" s="29" t="s">
        <v>19</v>
      </c>
      <c r="D228" s="81"/>
      <c r="E228" s="13"/>
      <c r="F228" s="30">
        <f>+SUM(START:END!F228)</f>
        <v>0</v>
      </c>
      <c r="G228" s="83"/>
      <c r="H228" s="13"/>
      <c r="I228" s="30">
        <f>+SUM(START:END!I228)</f>
        <v>0</v>
      </c>
      <c r="J228" s="41"/>
      <c r="K228" s="13"/>
      <c r="L228" s="33">
        <f>+SUM(START:END!L228)</f>
        <v>0</v>
      </c>
      <c r="M228" s="41"/>
      <c r="N228" s="59">
        <f t="shared" si="73"/>
        <v>0</v>
      </c>
      <c r="O228" s="41"/>
      <c r="P228" s="13"/>
      <c r="Q228" s="33">
        <f>+SUM(START:END!Q228)</f>
        <v>0</v>
      </c>
      <c r="R228" s="41"/>
      <c r="S228" s="85">
        <f t="shared" si="74"/>
        <v>0</v>
      </c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</row>
    <row r="229" spans="1:40" ht="20.25">
      <c r="B229" s="11"/>
      <c r="C229" s="93" t="s">
        <v>63</v>
      </c>
      <c r="D229" s="94" t="s">
        <v>92</v>
      </c>
      <c r="E229" s="95">
        <f>F229/F$194</f>
        <v>0.32661699549449374</v>
      </c>
      <c r="F229" s="96">
        <f>+SUM(F211:F228)</f>
        <v>91375.189542791224</v>
      </c>
      <c r="G229" s="97" t="s">
        <v>92</v>
      </c>
      <c r="H229" s="95" t="e">
        <f>I229/I$194</f>
        <v>#DIV/0!</v>
      </c>
      <c r="I229" s="96">
        <f>+SUM(I211:I228)</f>
        <v>0</v>
      </c>
      <c r="J229" s="97" t="s">
        <v>92</v>
      </c>
      <c r="K229" s="95">
        <f>L229/L$194</f>
        <v>0.34239224895447762</v>
      </c>
      <c r="L229" s="96">
        <f>+SUM(L211:L228)</f>
        <v>90184.29</v>
      </c>
      <c r="M229" s="100"/>
      <c r="N229" s="96">
        <f t="shared" si="73"/>
        <v>-1190.8995427912305</v>
      </c>
      <c r="O229" s="97" t="s">
        <v>92</v>
      </c>
      <c r="P229" s="95">
        <f>Q229/Q$194</f>
        <v>0.37410548979929381</v>
      </c>
      <c r="Q229" s="96">
        <f>+SUM(Q211:Q228)</f>
        <v>105509.51</v>
      </c>
      <c r="R229" s="100"/>
      <c r="S229" s="101">
        <f>L229-Q229</f>
        <v>-15325.220000000001</v>
      </c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</row>
    <row r="230" spans="1:40" ht="20.25">
      <c r="B230" s="11"/>
      <c r="C230" s="86"/>
      <c r="D230" s="87"/>
      <c r="E230" s="111"/>
      <c r="F230" s="59"/>
      <c r="G230" s="89"/>
      <c r="H230" s="111"/>
      <c r="I230" s="59"/>
      <c r="J230" s="23"/>
      <c r="K230" s="111"/>
      <c r="L230" s="91"/>
      <c r="M230" s="23"/>
      <c r="N230" s="91"/>
      <c r="O230" s="23"/>
      <c r="P230" s="111"/>
      <c r="Q230" s="91"/>
      <c r="R230" s="23"/>
      <c r="S230" s="92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</row>
    <row r="231" spans="1:40" ht="20.25">
      <c r="B231" s="11"/>
      <c r="C231" s="93" t="s">
        <v>64</v>
      </c>
      <c r="D231" s="94" t="s">
        <v>38</v>
      </c>
      <c r="E231" s="95">
        <f>F231/F$194</f>
        <v>0.93098316872535958</v>
      </c>
      <c r="F231" s="96">
        <f>F210+F229</f>
        <v>260454.18541259662</v>
      </c>
      <c r="G231" s="97" t="s">
        <v>38</v>
      </c>
      <c r="H231" s="95" t="e">
        <f>I231/I$194</f>
        <v>#DIV/0!</v>
      </c>
      <c r="I231" s="96">
        <f>I210+I229</f>
        <v>0</v>
      </c>
      <c r="J231" s="97" t="s">
        <v>38</v>
      </c>
      <c r="K231" s="95">
        <f>L231/L$194</f>
        <v>0.88548678245792822</v>
      </c>
      <c r="L231" s="96">
        <f>L210+L229</f>
        <v>233232.49</v>
      </c>
      <c r="M231" s="100"/>
      <c r="N231" s="113">
        <f>L231-F231</f>
        <v>-27221.695412596629</v>
      </c>
      <c r="O231" s="97" t="s">
        <v>38</v>
      </c>
      <c r="P231" s="95">
        <f>Q231/Q$194</f>
        <v>0.89692971819028533</v>
      </c>
      <c r="Q231" s="96">
        <f>Q210+Q229</f>
        <v>252962.38</v>
      </c>
      <c r="R231" s="100"/>
      <c r="S231" s="114">
        <f>L231-Q231</f>
        <v>-19729.890000000014</v>
      </c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</row>
    <row r="232" spans="1:40" ht="20.25">
      <c r="B232" s="11"/>
      <c r="C232" s="29"/>
      <c r="D232" s="81"/>
      <c r="E232" s="13"/>
      <c r="F232" s="59"/>
      <c r="G232" s="83"/>
      <c r="H232" s="13"/>
      <c r="I232" s="59"/>
      <c r="J232" s="41"/>
      <c r="K232" s="13"/>
      <c r="L232" s="59"/>
      <c r="M232" s="41"/>
      <c r="N232" s="59">
        <f>L232-F232</f>
        <v>0</v>
      </c>
      <c r="O232" s="41"/>
      <c r="P232" s="13"/>
      <c r="Q232" s="59"/>
      <c r="R232" s="41"/>
      <c r="S232" s="85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</row>
    <row r="233" spans="1:40" ht="21" thickBot="1">
      <c r="B233" s="11"/>
      <c r="C233" s="124" t="s">
        <v>69</v>
      </c>
      <c r="D233" s="152"/>
      <c r="E233" s="125"/>
      <c r="F233" s="127">
        <f>F194-F231</f>
        <v>19308.321754093864</v>
      </c>
      <c r="G233" s="153"/>
      <c r="H233" s="125"/>
      <c r="I233" s="127">
        <f>I194-I231</f>
        <v>0</v>
      </c>
      <c r="J233" s="154"/>
      <c r="K233" s="126"/>
      <c r="L233" s="127">
        <f>L194-L231</f>
        <v>30162.170000000042</v>
      </c>
      <c r="M233" s="154"/>
      <c r="N233" s="127">
        <f>L233-F233</f>
        <v>10853.848245906178</v>
      </c>
      <c r="O233" s="154"/>
      <c r="P233" s="126"/>
      <c r="Q233" s="127">
        <f>Q194-Q231</f>
        <v>29069.05999999959</v>
      </c>
      <c r="R233" s="154"/>
      <c r="S233" s="129">
        <f>L233-Q233</f>
        <v>1093.1100000004517</v>
      </c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  <c r="AM233" s="13"/>
      <c r="AN233" s="13"/>
    </row>
    <row r="234" spans="1:40" ht="21" thickTop="1">
      <c r="B234" s="11"/>
      <c r="C234" s="13"/>
      <c r="D234" s="13"/>
      <c r="E234" s="13"/>
      <c r="F234" s="13"/>
      <c r="G234" s="13"/>
      <c r="H234" s="13"/>
      <c r="I234" s="13"/>
      <c r="J234" s="13"/>
      <c r="K234" s="13"/>
      <c r="L234" s="82"/>
      <c r="M234" s="82"/>
      <c r="N234" s="13"/>
      <c r="O234" s="82"/>
      <c r="P234" s="13"/>
      <c r="Q234" s="82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  <c r="AL234" s="13"/>
      <c r="AM234" s="13"/>
      <c r="AN234" s="13"/>
    </row>
    <row r="235" spans="1:40" ht="20.25">
      <c r="B235" s="11"/>
      <c r="C235" s="10"/>
      <c r="D235" s="10"/>
      <c r="E235" s="10"/>
      <c r="F235" s="10"/>
      <c r="G235" s="10"/>
      <c r="H235" s="10"/>
      <c r="I235" s="10"/>
      <c r="J235" s="10"/>
      <c r="K235" s="10"/>
      <c r="L235" s="155"/>
      <c r="M235" s="155"/>
      <c r="N235" s="10"/>
      <c r="O235" s="155"/>
      <c r="P235" s="10"/>
      <c r="Q235" s="155"/>
      <c r="R235" s="10"/>
      <c r="S235" s="10"/>
      <c r="T235" s="10"/>
      <c r="U235" s="10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  <c r="AL235" s="13"/>
      <c r="AM235" s="13"/>
      <c r="AN235" s="13"/>
    </row>
    <row r="236" spans="1:40" ht="35.25">
      <c r="B236" s="11"/>
      <c r="C236" s="6" t="str">
        <f>C1</f>
        <v>BMW Sherbrooke</v>
      </c>
      <c r="D236" s="2"/>
      <c r="E236" s="2"/>
      <c r="F236" s="2"/>
      <c r="G236" s="2"/>
      <c r="H236" s="1"/>
      <c r="I236" s="1"/>
      <c r="J236" s="1"/>
      <c r="K236" s="3" t="s">
        <v>94</v>
      </c>
      <c r="L236" s="2"/>
      <c r="M236" s="2"/>
      <c r="N236" s="1"/>
      <c r="O236" s="1"/>
      <c r="P236" s="2"/>
      <c r="Q236" s="1"/>
      <c r="R236" s="2"/>
      <c r="S236" s="5" t="str">
        <f>$S$1</f>
        <v>Réalisé  Q3 2024</v>
      </c>
      <c r="T236" s="2"/>
      <c r="U236" s="6"/>
      <c r="V236" s="10"/>
      <c r="W236" s="10"/>
      <c r="X236" s="10"/>
      <c r="Y236" s="10"/>
      <c r="Z236" s="10"/>
      <c r="AA236" s="10"/>
      <c r="AB236" s="10"/>
      <c r="AC236" s="10"/>
      <c r="AD236" s="10"/>
      <c r="AE236" s="10"/>
      <c r="AF236" s="10"/>
      <c r="AG236" s="10"/>
      <c r="AH236" s="10"/>
      <c r="AI236" s="10"/>
      <c r="AJ236" s="10"/>
      <c r="AK236" s="10"/>
      <c r="AL236" s="10"/>
      <c r="AM236" s="10"/>
      <c r="AN236" s="10"/>
    </row>
    <row r="237" spans="1:40" ht="36" thickBot="1">
      <c r="B237" s="11"/>
      <c r="C237" s="8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6"/>
      <c r="W237" s="6"/>
      <c r="X237" s="6"/>
      <c r="Y237" s="6"/>
      <c r="Z237" s="6"/>
      <c r="AA237" s="6"/>
      <c r="AB237" s="6"/>
      <c r="AC237" s="6"/>
      <c r="AD237" s="6"/>
      <c r="AE237" s="6"/>
      <c r="AF237" s="6"/>
      <c r="AG237" s="6"/>
      <c r="AH237" s="6"/>
      <c r="AI237" s="6"/>
      <c r="AJ237" s="6"/>
      <c r="AK237" s="6"/>
      <c r="AL237" s="6"/>
      <c r="AM237" s="6"/>
      <c r="AN237" s="6"/>
    </row>
    <row r="238" spans="1:40" ht="21" thickTop="1">
      <c r="B238" s="11"/>
      <c r="C238" s="12"/>
      <c r="D238" s="496" t="s">
        <v>5</v>
      </c>
      <c r="E238" s="497"/>
      <c r="F238" s="498"/>
      <c r="G238" s="499" t="s">
        <v>71</v>
      </c>
      <c r="H238" s="497"/>
      <c r="I238" s="498"/>
      <c r="J238" s="499" t="s">
        <v>7</v>
      </c>
      <c r="K238" s="497"/>
      <c r="L238" s="498"/>
      <c r="M238" s="499" t="s">
        <v>213</v>
      </c>
      <c r="N238" s="498"/>
      <c r="O238" s="496" t="s">
        <v>8</v>
      </c>
      <c r="P238" s="497"/>
      <c r="Q238" s="498"/>
      <c r="R238" s="494" t="s">
        <v>214</v>
      </c>
      <c r="S238" s="495"/>
      <c r="T238" s="149"/>
      <c r="U238" s="13"/>
      <c r="V238" s="10"/>
      <c r="W238" s="10"/>
      <c r="X238" s="10"/>
      <c r="Y238" s="10"/>
      <c r="Z238" s="10"/>
      <c r="AA238" s="10"/>
      <c r="AB238" s="10"/>
      <c r="AC238" s="10"/>
      <c r="AD238" s="10"/>
      <c r="AE238" s="10"/>
      <c r="AF238" s="10"/>
      <c r="AG238" s="10"/>
      <c r="AH238" s="10"/>
      <c r="AI238" s="10"/>
      <c r="AJ238" s="10"/>
      <c r="AK238" s="10"/>
      <c r="AL238" s="10"/>
      <c r="AM238" s="10"/>
      <c r="AN238" s="10"/>
    </row>
    <row r="239" spans="1:40" ht="20.25">
      <c r="A239" t="str">
        <f t="shared" ref="A239:A284" si="75">+B239&amp;C239</f>
        <v>Carrosserie</v>
      </c>
      <c r="B239" s="11" t="s">
        <v>94</v>
      </c>
      <c r="C239" s="29"/>
      <c r="D239" s="80" t="s">
        <v>39</v>
      </c>
      <c r="E239" s="80" t="s">
        <v>79</v>
      </c>
      <c r="F239" s="134" t="s">
        <v>12</v>
      </c>
      <c r="G239" s="135" t="s">
        <v>39</v>
      </c>
      <c r="H239" s="80" t="s">
        <v>79</v>
      </c>
      <c r="I239" s="134" t="s">
        <v>12</v>
      </c>
      <c r="J239" s="135" t="s">
        <v>39</v>
      </c>
      <c r="K239" s="80" t="s">
        <v>79</v>
      </c>
      <c r="L239" s="134" t="s">
        <v>12</v>
      </c>
      <c r="M239" s="135" t="s">
        <v>39</v>
      </c>
      <c r="N239" s="134" t="s">
        <v>217</v>
      </c>
      <c r="O239" s="80" t="s">
        <v>39</v>
      </c>
      <c r="P239" s="80" t="s">
        <v>79</v>
      </c>
      <c r="Q239" s="134" t="s">
        <v>12</v>
      </c>
      <c r="R239" s="135" t="s">
        <v>80</v>
      </c>
      <c r="S239" s="136" t="s">
        <v>12</v>
      </c>
      <c r="T239" s="80"/>
      <c r="U239" s="13"/>
      <c r="V239" s="13"/>
      <c r="W239" s="13"/>
      <c r="X239" s="13"/>
      <c r="Y239" s="13"/>
      <c r="Z239" s="13"/>
      <c r="AA239" s="13"/>
      <c r="AB239" s="13"/>
      <c r="AC239" s="13"/>
      <c r="AD239" s="13"/>
      <c r="AE239" s="13"/>
      <c r="AF239" s="13"/>
      <c r="AG239" s="13"/>
      <c r="AH239" s="13"/>
      <c r="AI239" s="13"/>
      <c r="AJ239" s="13"/>
      <c r="AK239" s="13"/>
      <c r="AL239" s="13"/>
      <c r="AM239" s="13"/>
      <c r="AN239" s="13"/>
    </row>
    <row r="240" spans="1:40" ht="20.25">
      <c r="A240" t="str">
        <f t="shared" si="75"/>
        <v>Carrosserie</v>
      </c>
      <c r="B240" s="11" t="s">
        <v>94</v>
      </c>
      <c r="C240" s="29"/>
      <c r="D240" s="80"/>
      <c r="E240" s="80"/>
      <c r="F240" s="134"/>
      <c r="G240" s="135"/>
      <c r="H240" s="80"/>
      <c r="I240" s="134"/>
      <c r="J240" s="135"/>
      <c r="K240" s="30"/>
      <c r="L240" s="33"/>
      <c r="M240" s="135"/>
      <c r="N240" s="134"/>
      <c r="O240" s="80"/>
      <c r="P240" s="80"/>
      <c r="Q240" s="134"/>
      <c r="R240" s="135"/>
      <c r="S240" s="136"/>
      <c r="T240" s="80"/>
      <c r="U240" s="13"/>
      <c r="V240" s="13"/>
      <c r="W240" s="13"/>
      <c r="X240" s="13"/>
      <c r="Y240" s="13"/>
      <c r="Z240" s="13"/>
      <c r="AA240" s="13"/>
      <c r="AB240" s="13"/>
      <c r="AC240" s="13"/>
      <c r="AD240" s="13"/>
      <c r="AE240" s="13"/>
      <c r="AF240" s="13"/>
      <c r="AG240" s="13"/>
      <c r="AH240" s="13"/>
      <c r="AI240" s="13"/>
      <c r="AJ240" s="13"/>
      <c r="AK240" s="13"/>
      <c r="AL240" s="13"/>
      <c r="AM240" s="13"/>
      <c r="AN240" s="13"/>
    </row>
    <row r="241" spans="1:40" ht="20.25">
      <c r="A241" t="str">
        <f t="shared" si="75"/>
        <v>CarrosserieM/O Sous-traitement</v>
      </c>
      <c r="B241" s="11" t="s">
        <v>94</v>
      </c>
      <c r="C241" s="29" t="s">
        <v>95</v>
      </c>
      <c r="D241" s="80">
        <f>+SUM(START:END!D241)</f>
        <v>0</v>
      </c>
      <c r="E241" s="82">
        <f>+SUM(START:END!E241)</f>
        <v>5902.3395239145693</v>
      </c>
      <c r="F241" s="82">
        <f>+SUM(START:END!F241)</f>
        <v>1062.4211143046225</v>
      </c>
      <c r="G241" s="156">
        <f>+SUM(START:END!G241)</f>
        <v>0</v>
      </c>
      <c r="H241" s="82">
        <f>+SUM(START:END!H241)</f>
        <v>0</v>
      </c>
      <c r="I241" s="82">
        <f>+SUM(START:END!I241)</f>
        <v>0</v>
      </c>
      <c r="J241" s="60">
        <f>+SUM(START:END!J241)</f>
        <v>23</v>
      </c>
      <c r="K241" s="30">
        <f>+SUM(START:END!K241)</f>
        <v>4257.66</v>
      </c>
      <c r="L241" s="33">
        <f>+SUM(START:END!L241)</f>
        <v>1263.3999999999999</v>
      </c>
      <c r="M241" s="157">
        <f>IFERROR((K241-E241)/E241,0)</f>
        <v>-0.27864874889877222</v>
      </c>
      <c r="N241" s="59">
        <f>L241-F241</f>
        <v>200.97888569537736</v>
      </c>
      <c r="O241" s="60">
        <f>+SUM(START:END!O241)</f>
        <v>31</v>
      </c>
      <c r="P241" s="30">
        <f>+SUM(START:END!P241)</f>
        <v>9691.83</v>
      </c>
      <c r="Q241" s="33">
        <f>+SUM(START:END!Q241)</f>
        <v>988.41</v>
      </c>
      <c r="R241" s="157">
        <f>IF(O241=0,0,J241/O241)</f>
        <v>0.74193548387096775</v>
      </c>
      <c r="S241" s="85">
        <f>L241-Q241</f>
        <v>274.9899999999999</v>
      </c>
      <c r="T241" s="80"/>
      <c r="U241" s="13"/>
      <c r="V241" s="13"/>
      <c r="W241" s="13"/>
      <c r="X241" s="13"/>
      <c r="Y241" s="13"/>
      <c r="Z241" s="13"/>
      <c r="AA241" s="13"/>
      <c r="AB241" s="13"/>
      <c r="AC241" s="13"/>
      <c r="AD241" s="13"/>
      <c r="AE241" s="13"/>
      <c r="AF241" s="13"/>
      <c r="AG241" s="13"/>
      <c r="AH241" s="13"/>
      <c r="AI241" s="13"/>
      <c r="AJ241" s="13"/>
      <c r="AK241" s="13"/>
      <c r="AL241" s="13"/>
      <c r="AM241" s="13"/>
      <c r="AN241" s="13"/>
    </row>
    <row r="242" spans="1:40" ht="20.25">
      <c r="A242" t="str">
        <f t="shared" si="75"/>
        <v>Carrosserie% profit / ventes</v>
      </c>
      <c r="B242" s="11" t="s">
        <v>94</v>
      </c>
      <c r="C242" s="29" t="s">
        <v>82</v>
      </c>
      <c r="D242" s="80"/>
      <c r="E242" s="144"/>
      <c r="F242" s="158">
        <f>IFERROR(F241/E241,0)</f>
        <v>0.18</v>
      </c>
      <c r="G242" s="41"/>
      <c r="H242" s="144"/>
      <c r="I242" s="158">
        <f>IFERROR(I241/H241,0)</f>
        <v>0</v>
      </c>
      <c r="J242" s="60"/>
      <c r="K242" s="13"/>
      <c r="L242" s="158">
        <f>IFERROR(L241/K241,0)</f>
        <v>0.29673576565531301</v>
      </c>
      <c r="M242" s="157"/>
      <c r="N242" s="470">
        <f>IFERROR(N241/M241,0)</f>
        <v>-721.26247287903368</v>
      </c>
      <c r="O242" s="60"/>
      <c r="P242" s="13"/>
      <c r="Q242" s="158">
        <f>IFERROR(Q241/P241,0)</f>
        <v>0.10198383587000596</v>
      </c>
      <c r="R242" s="60"/>
      <c r="S242" s="85">
        <f>IFERROR(S241/R241,0)</f>
        <v>370.63869565217379</v>
      </c>
      <c r="T242" s="80"/>
      <c r="U242" s="13"/>
      <c r="V242" s="13"/>
      <c r="W242" s="13"/>
      <c r="X242" s="13"/>
      <c r="Y242" s="13"/>
      <c r="Z242" s="13"/>
      <c r="AA242" s="13"/>
      <c r="AB242" s="13"/>
      <c r="AC242" s="13"/>
      <c r="AD242" s="13"/>
      <c r="AE242" s="13"/>
      <c r="AF242" s="13"/>
      <c r="AG242" s="13"/>
      <c r="AH242" s="13"/>
      <c r="AI242" s="13"/>
      <c r="AJ242" s="13"/>
      <c r="AK242" s="13"/>
      <c r="AL242" s="13"/>
      <c r="AM242" s="13"/>
      <c r="AN242" s="13"/>
    </row>
    <row r="243" spans="1:40" ht="20.25">
      <c r="A243" t="str">
        <f t="shared" si="75"/>
        <v>Carrosserie</v>
      </c>
      <c r="B243" s="11" t="s">
        <v>94</v>
      </c>
      <c r="C243" s="29"/>
      <c r="D243" s="80"/>
      <c r="E243" s="207"/>
      <c r="F243" s="471"/>
      <c r="G243" s="135"/>
      <c r="H243" s="207"/>
      <c r="I243" s="471"/>
      <c r="J243" s="135"/>
      <c r="K243" s="80"/>
      <c r="L243" s="134"/>
      <c r="M243" s="135"/>
      <c r="N243" s="134"/>
      <c r="O243" s="135"/>
      <c r="P243" s="80"/>
      <c r="Q243" s="134"/>
      <c r="R243" s="208"/>
      <c r="S243" s="136"/>
      <c r="T243" s="80"/>
      <c r="U243" s="13"/>
      <c r="V243" s="13"/>
      <c r="W243" s="13"/>
      <c r="X243" s="13"/>
      <c r="Y243" s="13"/>
      <c r="Z243" s="13"/>
      <c r="AA243" s="13"/>
      <c r="AB243" s="13"/>
      <c r="AC243" s="13"/>
      <c r="AD243" s="13"/>
      <c r="AE243" s="13"/>
      <c r="AF243" s="13"/>
      <c r="AG243" s="13"/>
      <c r="AH243" s="13"/>
      <c r="AI243" s="13"/>
      <c r="AJ243" s="13"/>
      <c r="AK243" s="13"/>
      <c r="AL243" s="13"/>
      <c r="AM243" s="13"/>
      <c r="AN243" s="13"/>
    </row>
    <row r="244" spans="1:40" ht="20.25">
      <c r="A244" t="str">
        <f t="shared" si="75"/>
        <v>CarrosserieM/O Carrosserie</v>
      </c>
      <c r="B244" s="11" t="s">
        <v>94</v>
      </c>
      <c r="C244" s="14" t="s">
        <v>96</v>
      </c>
      <c r="D244" s="105">
        <f>+SUM(START:END!D244)</f>
        <v>0</v>
      </c>
      <c r="E244" s="82">
        <f>+SUM(START:END!E244)</f>
        <v>0</v>
      </c>
      <c r="F244" s="82">
        <f>+SUM(START:END!F244)</f>
        <v>0</v>
      </c>
      <c r="G244" s="209">
        <f>+SUM(START:END!G244)</f>
        <v>0</v>
      </c>
      <c r="H244" s="82">
        <f>+SUM(START:END!H244)</f>
        <v>0</v>
      </c>
      <c r="I244" s="82">
        <f>+SUM(START:END!I244)</f>
        <v>0</v>
      </c>
      <c r="J244" s="164">
        <f>+SUM(START:END!J244)</f>
        <v>0</v>
      </c>
      <c r="K244" s="165">
        <f>+SUM(START:END!K244)</f>
        <v>0</v>
      </c>
      <c r="L244" s="108">
        <f>+SUM(START:END!L244)</f>
        <v>0</v>
      </c>
      <c r="M244" s="173">
        <f>IFERROR((K244-E244)/E244,0)</f>
        <v>0</v>
      </c>
      <c r="N244" s="109">
        <f>L244-F244</f>
        <v>0</v>
      </c>
      <c r="O244" s="164">
        <f>+SUM(START:END!O244)</f>
        <v>0</v>
      </c>
      <c r="P244" s="165">
        <f>+SUM(START:END!P244)</f>
        <v>0</v>
      </c>
      <c r="Q244" s="108">
        <f>+SUM(START:END!Q244)</f>
        <v>0</v>
      </c>
      <c r="R244" s="157">
        <f>IF(O244=0,0,J244/O244)</f>
        <v>0</v>
      </c>
      <c r="S244" s="110">
        <f>L244-Q244</f>
        <v>0</v>
      </c>
      <c r="T244" s="148"/>
      <c r="U244" s="13"/>
      <c r="V244" s="13"/>
      <c r="W244" s="13"/>
      <c r="X244" s="13"/>
      <c r="Y244" s="13"/>
      <c r="Z244" s="13"/>
      <c r="AA244" s="13"/>
      <c r="AB244" s="13"/>
      <c r="AC244" s="13"/>
      <c r="AD244" s="13"/>
      <c r="AE244" s="13"/>
      <c r="AF244" s="13"/>
      <c r="AG244" s="13"/>
      <c r="AH244" s="13"/>
      <c r="AI244" s="13"/>
      <c r="AJ244" s="13"/>
      <c r="AK244" s="13"/>
      <c r="AL244" s="13"/>
      <c r="AM244" s="13"/>
      <c r="AN244" s="13"/>
    </row>
    <row r="245" spans="1:40" ht="20.25">
      <c r="A245" t="str">
        <f t="shared" si="75"/>
        <v>Carrosserie% profit / ventes</v>
      </c>
      <c r="B245" s="11" t="s">
        <v>94</v>
      </c>
      <c r="C245" s="29" t="s">
        <v>82</v>
      </c>
      <c r="D245" s="13"/>
      <c r="E245" s="144"/>
      <c r="F245" s="158" t="e">
        <f>F244/E244</f>
        <v>#DIV/0!</v>
      </c>
      <c r="G245" s="41"/>
      <c r="H245" s="144"/>
      <c r="I245" s="158" t="e">
        <f>I244/H244</f>
        <v>#DIV/0!</v>
      </c>
      <c r="J245" s="60"/>
      <c r="K245" s="13"/>
      <c r="L245" s="158">
        <f>IFERROR(L244/K244,0)</f>
        <v>0</v>
      </c>
      <c r="M245" s="157"/>
      <c r="N245" s="59">
        <f>IFERROR(N244/F244,0)</f>
        <v>0</v>
      </c>
      <c r="O245" s="60"/>
      <c r="P245" s="13"/>
      <c r="Q245" s="158">
        <f>IFERROR(Q244/P244,0)</f>
        <v>0</v>
      </c>
      <c r="R245" s="60"/>
      <c r="S245" s="85">
        <f>IF(Q244=0,0,S244/Q244)</f>
        <v>0</v>
      </c>
      <c r="T245" s="148"/>
      <c r="U245" s="13"/>
      <c r="V245" s="13"/>
      <c r="W245" s="13"/>
      <c r="X245" s="13"/>
      <c r="Y245" s="13"/>
      <c r="Z245" s="13"/>
      <c r="AA245" s="13"/>
      <c r="AB245" s="13"/>
      <c r="AC245" s="13"/>
      <c r="AD245" s="13"/>
      <c r="AE245" s="13"/>
      <c r="AF245" s="13"/>
      <c r="AG245" s="13"/>
      <c r="AH245" s="13"/>
      <c r="AI245" s="13"/>
      <c r="AJ245" s="13"/>
      <c r="AK245" s="13"/>
      <c r="AL245" s="13"/>
      <c r="AM245" s="13"/>
      <c r="AN245" s="13"/>
    </row>
    <row r="246" spans="1:40" ht="20.25">
      <c r="A246" t="str">
        <f t="shared" si="75"/>
        <v>Carrosserie</v>
      </c>
      <c r="B246" s="11" t="s">
        <v>94</v>
      </c>
      <c r="C246" s="86"/>
      <c r="D246" s="111"/>
      <c r="E246" s="159"/>
      <c r="F246" s="160"/>
      <c r="G246" s="23"/>
      <c r="H246" s="170"/>
      <c r="I246" s="160"/>
      <c r="J246" s="161"/>
      <c r="K246" s="210"/>
      <c r="L246" s="160"/>
      <c r="M246" s="162"/>
      <c r="N246" s="91"/>
      <c r="O246" s="161"/>
      <c r="P246" s="210"/>
      <c r="Q246" s="160"/>
      <c r="R246" s="161"/>
      <c r="S246" s="92"/>
      <c r="T246" s="148"/>
      <c r="U246" s="13"/>
      <c r="V246" s="13"/>
      <c r="W246" s="13"/>
      <c r="X246" s="13"/>
      <c r="Y246" s="13"/>
      <c r="Z246" s="13"/>
      <c r="AA246" s="13"/>
      <c r="AB246" s="13"/>
      <c r="AC246" s="13"/>
      <c r="AD246" s="13"/>
      <c r="AE246" s="13"/>
      <c r="AF246" s="13"/>
      <c r="AG246" s="13"/>
      <c r="AH246" s="13"/>
      <c r="AI246" s="13"/>
      <c r="AJ246" s="13"/>
      <c r="AK246" s="13"/>
      <c r="AL246" s="13"/>
      <c r="AM246" s="13"/>
      <c r="AN246" s="13"/>
    </row>
    <row r="247" spans="1:40" ht="20.25">
      <c r="A247" t="str">
        <f t="shared" si="75"/>
        <v>CarrosserieM/O Esthétique Carr.</v>
      </c>
      <c r="B247" s="11" t="s">
        <v>94</v>
      </c>
      <c r="C247" s="14" t="s">
        <v>97</v>
      </c>
      <c r="D247" s="163">
        <f>+SUM(START:END!D247)</f>
        <v>0</v>
      </c>
      <c r="E247" s="82">
        <f>+SUM(START:END!E247)</f>
        <v>0</v>
      </c>
      <c r="F247" s="82">
        <f>+SUM(START:END!F247)</f>
        <v>0</v>
      </c>
      <c r="G247" s="164">
        <f>+SUM(START:END!G247)</f>
        <v>0</v>
      </c>
      <c r="H247" s="82">
        <f>+SUM(START:END!H247)</f>
        <v>0</v>
      </c>
      <c r="I247" s="82">
        <f>+SUM(START:END!I247)</f>
        <v>0</v>
      </c>
      <c r="J247" s="164">
        <f>+SUM(START:END!J247)</f>
        <v>0</v>
      </c>
      <c r="K247" s="30">
        <f>+SUM(START:END!K247)</f>
        <v>0</v>
      </c>
      <c r="L247" s="33">
        <f>+SUM(START:END!L247)</f>
        <v>0</v>
      </c>
      <c r="M247" s="157">
        <f>IFERROR((K247-E247)/E247,0)</f>
        <v>0</v>
      </c>
      <c r="N247" s="109">
        <f>L247-F247</f>
        <v>0</v>
      </c>
      <c r="O247" s="164">
        <f>+SUM(START:END!O247)</f>
        <v>0</v>
      </c>
      <c r="P247" s="30">
        <f>+SUM(START:END!P247)</f>
        <v>0</v>
      </c>
      <c r="Q247" s="33">
        <f>+SUM(START:END!Q247)</f>
        <v>0</v>
      </c>
      <c r="R247" s="157">
        <f>IF(O247=0,0,J247/O247)</f>
        <v>0</v>
      </c>
      <c r="S247" s="85">
        <f>L247-Q247</f>
        <v>0</v>
      </c>
      <c r="T247" s="148"/>
      <c r="U247" s="13"/>
      <c r="V247" s="13"/>
      <c r="W247" s="13"/>
      <c r="X247" s="13"/>
      <c r="Y247" s="13"/>
      <c r="Z247" s="13"/>
      <c r="AA247" s="13"/>
      <c r="AB247" s="13"/>
      <c r="AC247" s="13"/>
      <c r="AD247" s="13"/>
      <c r="AE247" s="13"/>
      <c r="AF247" s="13"/>
      <c r="AG247" s="13"/>
      <c r="AH247" s="13"/>
      <c r="AI247" s="13"/>
      <c r="AJ247" s="13"/>
      <c r="AK247" s="13"/>
      <c r="AL247" s="13"/>
      <c r="AM247" s="13"/>
      <c r="AN247" s="13"/>
    </row>
    <row r="248" spans="1:40" ht="20.25">
      <c r="A248" t="str">
        <f t="shared" si="75"/>
        <v>Carrosserie% profit / ventes</v>
      </c>
      <c r="B248" s="11" t="s">
        <v>94</v>
      </c>
      <c r="C248" s="29" t="s">
        <v>82</v>
      </c>
      <c r="D248" s="13"/>
      <c r="E248" s="13"/>
      <c r="F248" s="158" t="e">
        <f>F247/E247</f>
        <v>#DIV/0!</v>
      </c>
      <c r="G248" s="41"/>
      <c r="H248" s="13"/>
      <c r="I248" s="158" t="e">
        <f>I247/H247</f>
        <v>#DIV/0!</v>
      </c>
      <c r="J248" s="41"/>
      <c r="K248" s="13"/>
      <c r="L248" s="158">
        <f>IFERROR(L247/K247,0)</f>
        <v>0</v>
      </c>
      <c r="M248" s="42"/>
      <c r="N248" s="43">
        <f>IF(L247=0,0,N247/L247)</f>
        <v>0</v>
      </c>
      <c r="O248" s="41"/>
      <c r="P248" s="13"/>
      <c r="Q248" s="158">
        <f>IFERROR(Q247/P247,0)</f>
        <v>0</v>
      </c>
      <c r="R248" s="42"/>
      <c r="S248" s="44">
        <f>IF(Q247=0,0,S247/Q247)</f>
        <v>0</v>
      </c>
      <c r="T248" s="148"/>
      <c r="U248" s="13"/>
      <c r="V248" s="13"/>
      <c r="W248" s="13"/>
      <c r="X248" s="13"/>
      <c r="Y248" s="13"/>
      <c r="Z248" s="13"/>
      <c r="AA248" s="13"/>
      <c r="AB248" s="13"/>
      <c r="AC248" s="13"/>
      <c r="AD248" s="13"/>
      <c r="AE248" s="13"/>
      <c r="AF248" s="13"/>
      <c r="AG248" s="13"/>
      <c r="AH248" s="13"/>
      <c r="AI248" s="13"/>
      <c r="AJ248" s="13"/>
      <c r="AK248" s="13"/>
      <c r="AL248" s="13"/>
      <c r="AM248" s="13"/>
      <c r="AN248" s="13"/>
    </row>
    <row r="249" spans="1:40" ht="21" thickBot="1">
      <c r="A249" t="str">
        <f t="shared" si="75"/>
        <v>Carrosserie</v>
      </c>
      <c r="B249" s="11" t="s">
        <v>94</v>
      </c>
      <c r="C249" s="29"/>
      <c r="D249" s="13"/>
      <c r="E249" s="13"/>
      <c r="F249" s="158"/>
      <c r="G249" s="41"/>
      <c r="H249" s="13"/>
      <c r="I249" s="158"/>
      <c r="J249" s="41"/>
      <c r="K249" s="13"/>
      <c r="L249" s="158"/>
      <c r="M249" s="42"/>
      <c r="N249" s="43"/>
      <c r="O249" s="41"/>
      <c r="P249" s="13"/>
      <c r="Q249" s="158"/>
      <c r="R249" s="42"/>
      <c r="S249" s="44"/>
      <c r="T249" s="148"/>
      <c r="U249" s="13"/>
      <c r="V249" s="13"/>
      <c r="W249" s="13"/>
      <c r="X249" s="13"/>
      <c r="Y249" s="13"/>
      <c r="Z249" s="13"/>
      <c r="AA249" s="13"/>
      <c r="AB249" s="13"/>
      <c r="AC249" s="13"/>
      <c r="AD249" s="13"/>
      <c r="AE249" s="13"/>
      <c r="AF249" s="13"/>
      <c r="AG249" s="13"/>
      <c r="AH249" s="13"/>
      <c r="AI249" s="13"/>
      <c r="AJ249" s="13"/>
      <c r="AK249" s="13"/>
      <c r="AL249" s="13"/>
      <c r="AM249" s="13"/>
      <c r="AN249" s="13"/>
    </row>
    <row r="250" spans="1:40" ht="21" thickTop="1">
      <c r="A250" t="str">
        <f t="shared" si="75"/>
        <v>CarrosserieTotal Mécanique</v>
      </c>
      <c r="B250" s="11" t="s">
        <v>94</v>
      </c>
      <c r="C250" s="62" t="s">
        <v>91</v>
      </c>
      <c r="D250" s="63"/>
      <c r="E250" s="63">
        <f t="shared" ref="E250:F250" si="76">E244+E247+E241</f>
        <v>5902.3395239145693</v>
      </c>
      <c r="F250" s="65">
        <f t="shared" si="76"/>
        <v>1062.4211143046225</v>
      </c>
      <c r="G250" s="66"/>
      <c r="H250" s="63">
        <f t="shared" ref="H250:I250" si="77">H244+H247+H241</f>
        <v>0</v>
      </c>
      <c r="I250" s="65">
        <f t="shared" si="77"/>
        <v>0</v>
      </c>
      <c r="J250" s="66"/>
      <c r="K250" s="63">
        <f t="shared" ref="K250:L250" si="78">K244+K247+K241</f>
        <v>4257.66</v>
      </c>
      <c r="L250" s="65">
        <f t="shared" si="78"/>
        <v>1263.3999999999999</v>
      </c>
      <c r="M250" s="206">
        <f>L251-F251</f>
        <v>0.11673576565531302</v>
      </c>
      <c r="N250" s="65">
        <f>L250-F250</f>
        <v>200.97888569537736</v>
      </c>
      <c r="O250" s="66"/>
      <c r="P250" s="63">
        <f t="shared" ref="P250:Q250" si="79">P244+P247+P241</f>
        <v>9691.83</v>
      </c>
      <c r="Q250" s="65">
        <f t="shared" si="79"/>
        <v>988.41</v>
      </c>
      <c r="R250" s="206">
        <f>L251-Q251</f>
        <v>0.19475192978530703</v>
      </c>
      <c r="S250" s="68">
        <f>L250-Q250</f>
        <v>274.9899999999999</v>
      </c>
      <c r="T250" s="148"/>
      <c r="U250" s="13"/>
      <c r="V250" s="13"/>
      <c r="W250" s="13"/>
      <c r="X250" s="13"/>
      <c r="Y250" s="13"/>
      <c r="Z250" s="13"/>
      <c r="AA250" s="13"/>
      <c r="AB250" s="13"/>
      <c r="AC250" s="13"/>
      <c r="AD250" s="13"/>
      <c r="AE250" s="13"/>
      <c r="AF250" s="13"/>
      <c r="AG250" s="13"/>
      <c r="AH250" s="13"/>
      <c r="AI250" s="13"/>
      <c r="AJ250" s="13"/>
      <c r="AK250" s="13"/>
      <c r="AL250" s="13"/>
      <c r="AM250" s="13"/>
      <c r="AN250" s="13"/>
    </row>
    <row r="251" spans="1:40" ht="21" thickBot="1">
      <c r="A251" t="str">
        <f t="shared" si="75"/>
        <v>Carrosserie</v>
      </c>
      <c r="B251" s="11" t="s">
        <v>94</v>
      </c>
      <c r="C251" s="69"/>
      <c r="D251" s="70"/>
      <c r="E251" s="70"/>
      <c r="F251" s="74">
        <f>F250/E250</f>
        <v>0.18</v>
      </c>
      <c r="G251" s="72"/>
      <c r="H251" s="70"/>
      <c r="I251" s="74" t="e">
        <f>I250/H250</f>
        <v>#DIV/0!</v>
      </c>
      <c r="J251" s="72"/>
      <c r="K251" s="70"/>
      <c r="L251" s="74">
        <f>IF(K250=0,0,L250/K250)</f>
        <v>0.29673576565531301</v>
      </c>
      <c r="M251" s="73"/>
      <c r="N251" s="74">
        <f>N250/F250</f>
        <v>0.18917064334411535</v>
      </c>
      <c r="O251" s="72"/>
      <c r="P251" s="70"/>
      <c r="Q251" s="74">
        <f>IF(P250=0,0,Q250/P250)</f>
        <v>0.10198383587000596</v>
      </c>
      <c r="R251" s="73"/>
      <c r="S251" s="75">
        <f>IF(R250=0,0,S250/R250)</f>
        <v>1412.0014127877791</v>
      </c>
      <c r="T251" s="148"/>
      <c r="U251" s="13"/>
      <c r="V251" s="13"/>
      <c r="W251" s="13"/>
      <c r="X251" s="13"/>
      <c r="Y251" s="13"/>
      <c r="Z251" s="13"/>
      <c r="AA251" s="13"/>
      <c r="AB251" s="13"/>
      <c r="AC251" s="13"/>
      <c r="AD251" s="13"/>
      <c r="AE251" s="13"/>
      <c r="AF251" s="13"/>
      <c r="AG251" s="13"/>
      <c r="AH251" s="13"/>
      <c r="AI251" s="13"/>
      <c r="AJ251" s="13"/>
      <c r="AK251" s="13"/>
      <c r="AL251" s="13"/>
      <c r="AM251" s="13"/>
      <c r="AN251" s="13"/>
    </row>
    <row r="252" spans="1:40" ht="21" thickTop="1">
      <c r="A252" t="str">
        <f t="shared" si="75"/>
        <v>Carrosserie</v>
      </c>
      <c r="B252" s="11" t="s">
        <v>94</v>
      </c>
      <c r="C252" s="29"/>
      <c r="D252" s="13"/>
      <c r="E252" s="13"/>
      <c r="F252" s="59"/>
      <c r="G252" s="41"/>
      <c r="H252" s="13"/>
      <c r="I252" s="59"/>
      <c r="J252" s="41"/>
      <c r="K252" s="13"/>
      <c r="L252" s="40"/>
      <c r="M252" s="41"/>
      <c r="N252" s="40"/>
      <c r="O252" s="41"/>
      <c r="P252" s="13"/>
      <c r="Q252" s="40"/>
      <c r="R252" s="41"/>
      <c r="S252" s="61"/>
      <c r="T252" s="13"/>
      <c r="U252" s="13"/>
      <c r="V252" s="13"/>
      <c r="W252" s="13"/>
      <c r="X252" s="13"/>
      <c r="Y252" s="13"/>
      <c r="Z252" s="13"/>
      <c r="AA252" s="13"/>
      <c r="AB252" s="13"/>
      <c r="AC252" s="13"/>
      <c r="AD252" s="13"/>
      <c r="AE252" s="13"/>
      <c r="AF252" s="13"/>
      <c r="AG252" s="13"/>
      <c r="AH252" s="13"/>
      <c r="AI252" s="13"/>
      <c r="AJ252" s="13"/>
      <c r="AK252" s="13"/>
      <c r="AL252" s="13"/>
      <c r="AM252" s="13"/>
      <c r="AN252" s="13"/>
    </row>
    <row r="253" spans="1:40" ht="20.25">
      <c r="A253" t="str">
        <f t="shared" si="75"/>
        <v>CarrosserieDEPENSES</v>
      </c>
      <c r="B253" s="11" t="s">
        <v>94</v>
      </c>
      <c r="C253" s="79" t="s">
        <v>29</v>
      </c>
      <c r="D253" s="13"/>
      <c r="E253" s="13"/>
      <c r="F253" s="59"/>
      <c r="G253" s="41"/>
      <c r="H253" s="13"/>
      <c r="I253" s="59"/>
      <c r="J253" s="41"/>
      <c r="K253" s="13"/>
      <c r="L253" s="40"/>
      <c r="M253" s="41"/>
      <c r="N253" s="40"/>
      <c r="O253" s="41"/>
      <c r="P253" s="13"/>
      <c r="Q253" s="40"/>
      <c r="R253" s="41"/>
      <c r="S253" s="61"/>
      <c r="T253" s="13"/>
      <c r="U253" s="13"/>
      <c r="V253" s="13"/>
      <c r="W253" s="13"/>
      <c r="X253" s="13"/>
      <c r="Y253" s="13"/>
      <c r="Z253" s="13"/>
      <c r="AA253" s="13"/>
      <c r="AB253" s="13"/>
      <c r="AC253" s="13"/>
      <c r="AD253" s="13"/>
      <c r="AE253" s="13"/>
      <c r="AF253" s="13"/>
      <c r="AG253" s="13"/>
      <c r="AH253" s="13"/>
      <c r="AI253" s="13"/>
      <c r="AJ253" s="13"/>
      <c r="AK253" s="13"/>
      <c r="AL253" s="13"/>
      <c r="AM253" s="13"/>
      <c r="AN253" s="13"/>
    </row>
    <row r="254" spans="1:40" ht="20.25">
      <c r="A254" t="str">
        <f t="shared" si="75"/>
        <v>CarrosserieSalaires cadres</v>
      </c>
      <c r="B254" s="11" t="s">
        <v>94</v>
      </c>
      <c r="C254" s="102" t="s">
        <v>40</v>
      </c>
      <c r="D254" s="13"/>
      <c r="E254" s="13"/>
      <c r="F254" s="30">
        <f>+SUM(START:END!F254)</f>
        <v>912.82500000000005</v>
      </c>
      <c r="G254" s="41"/>
      <c r="H254" s="13"/>
      <c r="I254" s="30">
        <f>+SUM(START:END!I254)</f>
        <v>0</v>
      </c>
      <c r="J254" s="41"/>
      <c r="K254" s="13"/>
      <c r="L254" s="33">
        <f>+SUM(START:END!L254)</f>
        <v>912.81</v>
      </c>
      <c r="M254" s="41"/>
      <c r="N254" s="59">
        <f t="shared" ref="N254:N284" si="80">L254-F254</f>
        <v>-1.5000000000100044E-2</v>
      </c>
      <c r="O254" s="41"/>
      <c r="P254" s="13"/>
      <c r="Q254" s="33">
        <f>+SUM(START:END!Q254)</f>
        <v>912.81</v>
      </c>
      <c r="R254" s="41"/>
      <c r="S254" s="85">
        <f t="shared" ref="S254:S284" si="81">L254-Q254</f>
        <v>0</v>
      </c>
      <c r="T254" s="13"/>
      <c r="U254" s="13"/>
      <c r="V254" s="13"/>
      <c r="W254" s="13"/>
      <c r="X254" s="13"/>
      <c r="Y254" s="13"/>
      <c r="Z254" s="13"/>
      <c r="AA254" s="13"/>
      <c r="AB254" s="13"/>
      <c r="AC254" s="13"/>
      <c r="AD254" s="13"/>
      <c r="AE254" s="13"/>
      <c r="AF254" s="13"/>
      <c r="AG254" s="13"/>
      <c r="AH254" s="13"/>
      <c r="AI254" s="13"/>
      <c r="AJ254" s="13"/>
      <c r="AK254" s="13"/>
      <c r="AL254" s="13"/>
      <c r="AM254" s="13"/>
      <c r="AN254" s="13"/>
    </row>
    <row r="255" spans="1:40" ht="20.25">
      <c r="A255" t="str">
        <f t="shared" si="75"/>
        <v>CarrosserieSalaires commis</v>
      </c>
      <c r="B255" s="11" t="s">
        <v>94</v>
      </c>
      <c r="C255" s="103" t="s">
        <v>41</v>
      </c>
      <c r="D255" s="81"/>
      <c r="E255" s="13"/>
      <c r="F255" s="22">
        <f>+SUM(START:END!F255)</f>
        <v>1039.9809160305344</v>
      </c>
      <c r="G255" s="83"/>
      <c r="H255" s="13"/>
      <c r="I255" s="22">
        <f>+SUM(START:END!I255)</f>
        <v>0</v>
      </c>
      <c r="J255" s="41"/>
      <c r="K255" s="13"/>
      <c r="L255" s="33">
        <f>+SUM(START:END!L255)</f>
        <v>1002.02</v>
      </c>
      <c r="M255" s="41"/>
      <c r="N255" s="59">
        <f t="shared" si="80"/>
        <v>-37.960916030534463</v>
      </c>
      <c r="O255" s="41"/>
      <c r="P255" s="13"/>
      <c r="Q255" s="33">
        <f>+SUM(START:END!Q255)</f>
        <v>948.71</v>
      </c>
      <c r="R255" s="41"/>
      <c r="S255" s="85">
        <f>L255-Q255</f>
        <v>53.309999999999945</v>
      </c>
      <c r="T255" s="13"/>
      <c r="U255" s="13"/>
      <c r="V255" s="13"/>
      <c r="W255" s="13"/>
      <c r="X255" s="13"/>
      <c r="Y255" s="13"/>
      <c r="Z255" s="13"/>
      <c r="AA255" s="13"/>
      <c r="AB255" s="13"/>
      <c r="AC255" s="13"/>
      <c r="AD255" s="13"/>
      <c r="AE255" s="13"/>
      <c r="AF255" s="13"/>
      <c r="AG255" s="13"/>
      <c r="AH255" s="13"/>
      <c r="AI255" s="13"/>
      <c r="AJ255" s="13"/>
      <c r="AK255" s="13"/>
      <c r="AL255" s="13"/>
      <c r="AM255" s="13"/>
      <c r="AN255" s="13"/>
    </row>
    <row r="256" spans="1:40" ht="20.25">
      <c r="A256" t="str">
        <f t="shared" si="75"/>
        <v>CarrosserieSalaires autres</v>
      </c>
      <c r="B256" s="11" t="s">
        <v>94</v>
      </c>
      <c r="C256" s="102" t="s">
        <v>42</v>
      </c>
      <c r="D256" s="104"/>
      <c r="E256" s="105"/>
      <c r="F256" s="30">
        <f>+SUM(START:END!F256)</f>
        <v>57</v>
      </c>
      <c r="G256" s="106"/>
      <c r="H256" s="105"/>
      <c r="I256" s="30">
        <f>+SUM(START:END!I256)</f>
        <v>0</v>
      </c>
      <c r="J256" s="107"/>
      <c r="K256" s="105"/>
      <c r="L256" s="108">
        <f>+SUM(START:END!L256)</f>
        <v>57</v>
      </c>
      <c r="M256" s="107"/>
      <c r="N256" s="109">
        <f t="shared" si="80"/>
        <v>0</v>
      </c>
      <c r="O256" s="107"/>
      <c r="P256" s="105"/>
      <c r="Q256" s="108">
        <f>+SUM(START:END!Q256)</f>
        <v>57</v>
      </c>
      <c r="R256" s="107"/>
      <c r="S256" s="110">
        <f t="shared" si="81"/>
        <v>0</v>
      </c>
      <c r="T256" s="13"/>
      <c r="U256" s="13"/>
      <c r="V256" s="13"/>
      <c r="W256" s="13"/>
      <c r="X256" s="13"/>
      <c r="Y256" s="13"/>
      <c r="Z256" s="13"/>
      <c r="AA256" s="13"/>
      <c r="AB256" s="13"/>
      <c r="AC256" s="13"/>
      <c r="AD256" s="13"/>
      <c r="AE256" s="13"/>
      <c r="AF256" s="13"/>
      <c r="AG256" s="13"/>
      <c r="AH256" s="13"/>
      <c r="AI256" s="13"/>
      <c r="AJ256" s="13"/>
      <c r="AK256" s="13"/>
      <c r="AL256" s="13"/>
      <c r="AM256" s="13"/>
      <c r="AN256" s="13"/>
    </row>
    <row r="257" spans="1:40" ht="20.25">
      <c r="A257" t="str">
        <f t="shared" si="75"/>
        <v>CarrosserieSalaires spécialistes</v>
      </c>
      <c r="B257" s="11" t="s">
        <v>94</v>
      </c>
      <c r="C257" s="102" t="s">
        <v>43</v>
      </c>
      <c r="D257" s="81"/>
      <c r="E257" s="13"/>
      <c r="F257" s="30">
        <f>+SUM(START:END!F257)</f>
        <v>0</v>
      </c>
      <c r="G257" s="83"/>
      <c r="H257" s="13"/>
      <c r="I257" s="30">
        <f>+SUM(START:END!I257)</f>
        <v>0</v>
      </c>
      <c r="J257" s="41"/>
      <c r="K257" s="13"/>
      <c r="L257" s="33">
        <f>+SUM(START:END!L257)</f>
        <v>0</v>
      </c>
      <c r="M257" s="41"/>
      <c r="N257" s="59">
        <f t="shared" si="80"/>
        <v>0</v>
      </c>
      <c r="O257" s="41"/>
      <c r="P257" s="13"/>
      <c r="Q257" s="33">
        <f>+SUM(START:END!Q257)</f>
        <v>0</v>
      </c>
      <c r="R257" s="41"/>
      <c r="S257" s="85">
        <f t="shared" si="81"/>
        <v>0</v>
      </c>
      <c r="T257" s="13"/>
      <c r="U257" s="13"/>
      <c r="V257" s="13"/>
      <c r="W257" s="13"/>
      <c r="X257" s="13"/>
      <c r="Y257" s="13"/>
      <c r="Z257" s="13"/>
      <c r="AA257" s="13"/>
      <c r="AB257" s="13"/>
      <c r="AC257" s="13"/>
      <c r="AD257" s="13"/>
      <c r="AE257" s="13"/>
      <c r="AF257" s="13"/>
      <c r="AG257" s="13"/>
      <c r="AH257" s="13"/>
      <c r="AI257" s="13"/>
      <c r="AJ257" s="13"/>
      <c r="AK257" s="13"/>
      <c r="AL257" s="13"/>
      <c r="AM257" s="13"/>
      <c r="AN257" s="13"/>
    </row>
    <row r="258" spans="1:40" ht="20.25" hidden="1">
      <c r="A258" t="str">
        <f t="shared" si="75"/>
        <v>Carrosserie[...]</v>
      </c>
      <c r="B258" s="11" t="s">
        <v>94</v>
      </c>
      <c r="C258" s="29" t="s">
        <v>19</v>
      </c>
      <c r="D258" s="81"/>
      <c r="E258" s="13"/>
      <c r="F258" s="30">
        <f>+SUM(START:END!F258)</f>
        <v>0</v>
      </c>
      <c r="G258" s="83"/>
      <c r="H258" s="13"/>
      <c r="I258" s="30">
        <f>+SUM(START:END!I258)</f>
        <v>0</v>
      </c>
      <c r="J258" s="41"/>
      <c r="K258" s="13"/>
      <c r="L258" s="33">
        <f>+SUM(START:END!L258)</f>
        <v>0</v>
      </c>
      <c r="M258" s="41"/>
      <c r="N258" s="59">
        <f t="shared" si="80"/>
        <v>0</v>
      </c>
      <c r="O258" s="41"/>
      <c r="P258" s="13"/>
      <c r="Q258" s="33">
        <f>+SUM(START:END!Q258)</f>
        <v>0</v>
      </c>
      <c r="R258" s="41"/>
      <c r="S258" s="85">
        <f t="shared" si="81"/>
        <v>0</v>
      </c>
      <c r="T258" s="13"/>
      <c r="U258" s="13"/>
      <c r="V258" s="13"/>
      <c r="W258" s="13"/>
      <c r="X258" s="13"/>
      <c r="Y258" s="13"/>
      <c r="Z258" s="13"/>
      <c r="AA258" s="13"/>
      <c r="AB258" s="13"/>
      <c r="AC258" s="13"/>
      <c r="AD258" s="13"/>
      <c r="AE258" s="13"/>
      <c r="AF258" s="13"/>
      <c r="AG258" s="13"/>
      <c r="AH258" s="13"/>
      <c r="AI258" s="13"/>
      <c r="AJ258" s="13"/>
      <c r="AK258" s="13"/>
      <c r="AL258" s="13"/>
      <c r="AM258" s="13"/>
      <c r="AN258" s="13"/>
    </row>
    <row r="259" spans="1:40" ht="20.25" hidden="1">
      <c r="A259" t="str">
        <f t="shared" si="75"/>
        <v>Carrosserie[...]</v>
      </c>
      <c r="B259" s="11" t="s">
        <v>94</v>
      </c>
      <c r="C259" s="29" t="s">
        <v>19</v>
      </c>
      <c r="D259" s="81"/>
      <c r="E259" s="13"/>
      <c r="F259" s="30">
        <f>+SUM(START:END!F259)</f>
        <v>0</v>
      </c>
      <c r="G259" s="83"/>
      <c r="H259" s="13"/>
      <c r="I259" s="30">
        <f>+SUM(START:END!I259)</f>
        <v>0</v>
      </c>
      <c r="J259" s="41"/>
      <c r="K259" s="13"/>
      <c r="L259" s="33">
        <f>+SUM(START:END!L259)</f>
        <v>0</v>
      </c>
      <c r="M259" s="41"/>
      <c r="N259" s="59">
        <f t="shared" si="80"/>
        <v>0</v>
      </c>
      <c r="O259" s="41"/>
      <c r="P259" s="13"/>
      <c r="Q259" s="33">
        <f>+SUM(START:END!Q259)</f>
        <v>0</v>
      </c>
      <c r="R259" s="41"/>
      <c r="S259" s="85">
        <f t="shared" si="81"/>
        <v>0</v>
      </c>
      <c r="T259" s="13"/>
      <c r="U259" s="13"/>
      <c r="V259" s="13"/>
      <c r="W259" s="13"/>
      <c r="X259" s="13"/>
      <c r="Y259" s="13"/>
      <c r="Z259" s="13"/>
      <c r="AA259" s="13"/>
      <c r="AB259" s="13"/>
      <c r="AC259" s="13"/>
      <c r="AD259" s="13"/>
      <c r="AE259" s="13"/>
      <c r="AF259" s="13"/>
      <c r="AG259" s="13"/>
      <c r="AH259" s="13"/>
      <c r="AI259" s="13"/>
      <c r="AJ259" s="13"/>
      <c r="AK259" s="13"/>
      <c r="AL259" s="13"/>
      <c r="AM259" s="13"/>
      <c r="AN259" s="13"/>
    </row>
    <row r="260" spans="1:40" ht="20.25" hidden="1">
      <c r="A260" t="str">
        <f t="shared" si="75"/>
        <v>Carrosserie[...]</v>
      </c>
      <c r="B260" s="11" t="s">
        <v>94</v>
      </c>
      <c r="C260" s="29" t="s">
        <v>19</v>
      </c>
      <c r="D260" s="81"/>
      <c r="E260" s="13"/>
      <c r="F260" s="30">
        <f>+SUM(START:END!F260)</f>
        <v>0</v>
      </c>
      <c r="G260" s="83"/>
      <c r="H260" s="13"/>
      <c r="I260" s="30">
        <f>+SUM(START:END!I260)</f>
        <v>0</v>
      </c>
      <c r="J260" s="41"/>
      <c r="K260" s="13"/>
      <c r="L260" s="33">
        <f>+SUM(START:END!L260)</f>
        <v>0</v>
      </c>
      <c r="M260" s="41"/>
      <c r="N260" s="59">
        <f t="shared" si="80"/>
        <v>0</v>
      </c>
      <c r="O260" s="41"/>
      <c r="P260" s="13"/>
      <c r="Q260" s="33">
        <f>+SUM(START:END!Q260)</f>
        <v>0</v>
      </c>
      <c r="R260" s="41"/>
      <c r="S260" s="85">
        <f t="shared" si="81"/>
        <v>0</v>
      </c>
      <c r="T260" s="13"/>
      <c r="U260" s="13"/>
      <c r="V260" s="13"/>
      <c r="W260" s="13"/>
      <c r="X260" s="13"/>
      <c r="Y260" s="13"/>
      <c r="Z260" s="13"/>
      <c r="AA260" s="13"/>
      <c r="AB260" s="13"/>
      <c r="AC260" s="13"/>
      <c r="AD260" s="13"/>
      <c r="AE260" s="13"/>
      <c r="AF260" s="13"/>
      <c r="AG260" s="13"/>
      <c r="AH260" s="13"/>
      <c r="AI260" s="13"/>
      <c r="AJ260" s="13"/>
      <c r="AK260" s="13"/>
      <c r="AL260" s="13"/>
      <c r="AM260" s="13"/>
      <c r="AN260" s="13"/>
    </row>
    <row r="261" spans="1:40" ht="20.25">
      <c r="A261" t="str">
        <f t="shared" si="75"/>
        <v>CarrosserieSalaires en absences</v>
      </c>
      <c r="B261" s="11" t="s">
        <v>94</v>
      </c>
      <c r="C261" s="103" t="s">
        <v>44</v>
      </c>
      <c r="D261" s="81"/>
      <c r="E261" s="13"/>
      <c r="F261" s="22">
        <f>+SUM(START:END!F261)</f>
        <v>314.85295999245102</v>
      </c>
      <c r="G261" s="83"/>
      <c r="H261" s="13"/>
      <c r="I261" s="22">
        <f>+SUM(START:END!I261)</f>
        <v>0</v>
      </c>
      <c r="J261" s="41"/>
      <c r="K261" s="13"/>
      <c r="L261" s="33">
        <f>+SUM(START:END!L261)</f>
        <v>317.27</v>
      </c>
      <c r="M261" s="41"/>
      <c r="N261" s="59">
        <f t="shared" si="80"/>
        <v>2.4170400075489624</v>
      </c>
      <c r="O261" s="41"/>
      <c r="P261" s="13"/>
      <c r="Q261" s="33">
        <f>+SUM(START:END!Q261)</f>
        <v>168.70000000000002</v>
      </c>
      <c r="R261" s="41"/>
      <c r="S261" s="85">
        <f t="shared" si="81"/>
        <v>148.56999999999996</v>
      </c>
      <c r="T261" s="13"/>
      <c r="U261" s="13"/>
      <c r="V261" s="13"/>
      <c r="W261" s="13"/>
      <c r="X261" s="13"/>
      <c r="Y261" s="13"/>
      <c r="Z261" s="13"/>
      <c r="AA261" s="13"/>
      <c r="AB261" s="13"/>
      <c r="AC261" s="13"/>
      <c r="AD261" s="13"/>
      <c r="AE261" s="13"/>
      <c r="AF261" s="13"/>
      <c r="AG261" s="13"/>
      <c r="AH261" s="13"/>
      <c r="AI261" s="13"/>
      <c r="AJ261" s="13"/>
      <c r="AK261" s="13"/>
      <c r="AL261" s="13"/>
      <c r="AM261" s="13"/>
      <c r="AN261" s="13"/>
    </row>
    <row r="262" spans="1:40" ht="20.25">
      <c r="A262" t="str">
        <f t="shared" si="75"/>
        <v>CarrosserieDéduction à la source</v>
      </c>
      <c r="B262" s="11" t="s">
        <v>94</v>
      </c>
      <c r="C262" s="102" t="s">
        <v>45</v>
      </c>
      <c r="D262" s="104"/>
      <c r="E262" s="105"/>
      <c r="F262" s="30">
        <f>+SUM(START:END!F262)</f>
        <v>419.90892301208663</v>
      </c>
      <c r="G262" s="106"/>
      <c r="H262" s="105"/>
      <c r="I262" s="30">
        <f>+SUM(START:END!I262)</f>
        <v>0</v>
      </c>
      <c r="J262" s="107"/>
      <c r="K262" s="105"/>
      <c r="L262" s="108">
        <f>+SUM(START:END!L262)</f>
        <v>657.51</v>
      </c>
      <c r="M262" s="107"/>
      <c r="N262" s="109">
        <f t="shared" si="80"/>
        <v>237.60107698791336</v>
      </c>
      <c r="O262" s="107"/>
      <c r="P262" s="105"/>
      <c r="Q262" s="108">
        <f>+SUM(START:END!Q262)</f>
        <v>641.48</v>
      </c>
      <c r="R262" s="107"/>
      <c r="S262" s="110">
        <f t="shared" si="81"/>
        <v>16.029999999999973</v>
      </c>
      <c r="T262" s="13"/>
      <c r="U262" s="13"/>
      <c r="V262" s="13"/>
      <c r="W262" s="13"/>
      <c r="X262" s="13"/>
      <c r="Y262" s="13"/>
      <c r="Z262" s="13"/>
      <c r="AA262" s="13"/>
      <c r="AB262" s="13"/>
      <c r="AC262" s="13"/>
      <c r="AD262" s="13"/>
      <c r="AE262" s="13"/>
      <c r="AF262" s="13"/>
      <c r="AG262" s="13"/>
      <c r="AH262" s="13"/>
      <c r="AI262" s="13"/>
      <c r="AJ262" s="13"/>
      <c r="AK262" s="13"/>
      <c r="AL262" s="13"/>
      <c r="AM262" s="13"/>
      <c r="AN262" s="13"/>
    </row>
    <row r="263" spans="1:40" ht="20.25">
      <c r="A263" t="str">
        <f t="shared" si="75"/>
        <v>CarrosserieBénéfices marginaux</v>
      </c>
      <c r="B263" s="11" t="s">
        <v>94</v>
      </c>
      <c r="C263" s="102" t="s">
        <v>46</v>
      </c>
      <c r="D263" s="81"/>
      <c r="E263" s="13"/>
      <c r="F263" s="30">
        <f>+SUM(START:END!F263)</f>
        <v>194.76049055343515</v>
      </c>
      <c r="G263" s="83"/>
      <c r="H263" s="13"/>
      <c r="I263" s="30">
        <f>+SUM(START:END!I263)</f>
        <v>0</v>
      </c>
      <c r="J263" s="41"/>
      <c r="K263" s="13"/>
      <c r="L263" s="33">
        <f>+SUM(START:END!L263)</f>
        <v>144.38</v>
      </c>
      <c r="M263" s="41"/>
      <c r="N263" s="59">
        <f t="shared" si="80"/>
        <v>-50.380490553435152</v>
      </c>
      <c r="O263" s="41"/>
      <c r="P263" s="13"/>
      <c r="Q263" s="33">
        <f>+SUM(START:END!Q263)</f>
        <v>115.76</v>
      </c>
      <c r="R263" s="41"/>
      <c r="S263" s="85">
        <f t="shared" si="81"/>
        <v>28.61999999999999</v>
      </c>
      <c r="T263" s="13"/>
      <c r="U263" s="13"/>
      <c r="V263" s="13"/>
      <c r="W263" s="13"/>
      <c r="X263" s="13"/>
      <c r="Y263" s="13"/>
      <c r="Z263" s="13"/>
      <c r="AA263" s="13"/>
      <c r="AB263" s="13"/>
      <c r="AC263" s="13"/>
      <c r="AD263" s="13"/>
      <c r="AE263" s="13"/>
      <c r="AF263" s="13"/>
      <c r="AG263" s="13"/>
      <c r="AH263" s="13"/>
      <c r="AI263" s="13"/>
      <c r="AJ263" s="13"/>
      <c r="AK263" s="13"/>
      <c r="AL263" s="13"/>
      <c r="AM263" s="13"/>
      <c r="AN263" s="13"/>
    </row>
    <row r="264" spans="1:40" ht="20.25">
      <c r="A264" t="str">
        <f t="shared" si="75"/>
        <v>CarrosserieCsst</v>
      </c>
      <c r="B264" s="11" t="s">
        <v>94</v>
      </c>
      <c r="C264" s="102" t="s">
        <v>47</v>
      </c>
      <c r="D264" s="81"/>
      <c r="E264" s="13"/>
      <c r="F264" s="30">
        <f>+SUM(START:END!F264)</f>
        <v>43.978175286259543</v>
      </c>
      <c r="G264" s="83"/>
      <c r="H264" s="13"/>
      <c r="I264" s="30">
        <f>+SUM(START:END!I264)</f>
        <v>0</v>
      </c>
      <c r="J264" s="41"/>
      <c r="K264" s="13"/>
      <c r="L264" s="33">
        <f>+SUM(START:END!L264)</f>
        <v>-35.989999999999995</v>
      </c>
      <c r="M264" s="467"/>
      <c r="N264" s="146">
        <f t="shared" si="80"/>
        <v>-79.968175286259537</v>
      </c>
      <c r="O264" s="41"/>
      <c r="P264" s="13"/>
      <c r="Q264" s="33">
        <f>+SUM(START:END!Q264)</f>
        <v>10.96</v>
      </c>
      <c r="R264" s="41"/>
      <c r="S264" s="85">
        <f t="shared" si="81"/>
        <v>-46.949999999999996</v>
      </c>
      <c r="T264" s="13"/>
      <c r="U264" s="13"/>
      <c r="V264" s="13"/>
      <c r="W264" s="13"/>
      <c r="X264" s="13"/>
      <c r="Y264" s="13"/>
      <c r="Z264" s="13"/>
      <c r="AA264" s="13"/>
      <c r="AB264" s="13"/>
      <c r="AC264" s="13"/>
      <c r="AD264" s="13"/>
      <c r="AE264" s="13"/>
      <c r="AF264" s="13"/>
      <c r="AG264" s="13"/>
      <c r="AH264" s="13"/>
      <c r="AI264" s="13"/>
      <c r="AJ264" s="13"/>
      <c r="AK264" s="13"/>
      <c r="AL264" s="13"/>
      <c r="AM264" s="13"/>
      <c r="AN264" s="13"/>
    </row>
    <row r="265" spans="1:40" ht="20.25" hidden="1">
      <c r="A265" t="str">
        <f t="shared" si="75"/>
        <v>Carrosserie[...]</v>
      </c>
      <c r="B265" s="11" t="s">
        <v>94</v>
      </c>
      <c r="C265" s="29" t="s">
        <v>19</v>
      </c>
      <c r="D265" s="81"/>
      <c r="E265" s="13"/>
      <c r="F265" s="30">
        <f>+SUM(START:END!F265)</f>
        <v>0</v>
      </c>
      <c r="G265" s="83"/>
      <c r="H265" s="13"/>
      <c r="I265" s="30">
        <f>+SUM(START:END!I265)</f>
        <v>0</v>
      </c>
      <c r="J265" s="41"/>
      <c r="K265" s="13"/>
      <c r="L265" s="33">
        <f>+SUM(START:END!L265)</f>
        <v>0</v>
      </c>
      <c r="M265" s="41"/>
      <c r="N265" s="59">
        <f t="shared" ref="N265" si="82">L265-F265</f>
        <v>0</v>
      </c>
      <c r="O265" s="41"/>
      <c r="P265" s="13"/>
      <c r="Q265" s="33">
        <f>+SUM(START:END!Q265)</f>
        <v>0</v>
      </c>
      <c r="R265" s="41"/>
      <c r="S265" s="85">
        <f t="shared" ref="S265" si="83">L265-Q265</f>
        <v>0</v>
      </c>
      <c r="T265" s="13"/>
      <c r="U265" s="13"/>
      <c r="V265" s="13"/>
      <c r="W265" s="13"/>
      <c r="X265" s="13"/>
      <c r="Y265" s="13"/>
      <c r="Z265" s="13"/>
      <c r="AA265" s="13"/>
      <c r="AB265" s="13"/>
      <c r="AC265" s="13"/>
      <c r="AD265" s="13"/>
      <c r="AE265" s="13"/>
      <c r="AF265" s="13"/>
      <c r="AG265" s="13"/>
      <c r="AH265" s="13"/>
      <c r="AI265" s="13"/>
      <c r="AJ265" s="13"/>
      <c r="AK265" s="13"/>
      <c r="AL265" s="13"/>
      <c r="AM265" s="13"/>
      <c r="AN265" s="13"/>
    </row>
    <row r="266" spans="1:40" ht="20.25">
      <c r="A266" t="str">
        <f t="shared" si="75"/>
        <v>CarrosserieTOTAL PERSONNEL</v>
      </c>
      <c r="B266" s="11" t="s">
        <v>94</v>
      </c>
      <c r="C266" s="93" t="s">
        <v>48</v>
      </c>
      <c r="D266" s="94" t="s">
        <v>38</v>
      </c>
      <c r="E266" s="95" t="e">
        <f>F266/F$244</f>
        <v>#DIV/0!</v>
      </c>
      <c r="F266" s="96">
        <f>+SUM(F254:F265)</f>
        <v>2983.3064648747672</v>
      </c>
      <c r="G266" s="97" t="s">
        <v>38</v>
      </c>
      <c r="H266" s="95" t="e">
        <f>I266/I$244</f>
        <v>#DIV/0!</v>
      </c>
      <c r="I266" s="96">
        <f>+SUM(I254:I265)</f>
        <v>0</v>
      </c>
      <c r="J266" s="97" t="s">
        <v>38</v>
      </c>
      <c r="K266" s="95">
        <f>IF(L244=0,0,L266/L$244)</f>
        <v>0</v>
      </c>
      <c r="L266" s="96">
        <f>+SUM(L254:L265)</f>
        <v>3055</v>
      </c>
      <c r="M266" s="147"/>
      <c r="N266" s="113">
        <f>L266-F266</f>
        <v>71.693535125232756</v>
      </c>
      <c r="O266" s="97" t="s">
        <v>38</v>
      </c>
      <c r="P266" s="95">
        <f>IF(Q244=0,0,Q266/Q$244)</f>
        <v>0</v>
      </c>
      <c r="Q266" s="96">
        <f>+SUM(Q254:Q265)</f>
        <v>2855.42</v>
      </c>
      <c r="R266" s="147"/>
      <c r="S266" s="114">
        <f t="shared" si="81"/>
        <v>199.57999999999993</v>
      </c>
      <c r="T266" s="13"/>
      <c r="U266" s="13"/>
      <c r="V266" s="13"/>
      <c r="W266" s="13"/>
      <c r="X266" s="13"/>
      <c r="Y266" s="13"/>
      <c r="Z266" s="13"/>
      <c r="AA266" s="13"/>
      <c r="AB266" s="13"/>
      <c r="AC266" s="13"/>
      <c r="AD266" s="13"/>
      <c r="AE266" s="13"/>
      <c r="AF266" s="13"/>
      <c r="AG266" s="13"/>
      <c r="AH266" s="13"/>
      <c r="AI266" s="13"/>
      <c r="AJ266" s="13"/>
      <c r="AK266" s="13"/>
      <c r="AL266" s="13"/>
      <c r="AM266" s="13"/>
      <c r="AN266" s="13"/>
    </row>
    <row r="267" spans="1:40" ht="20.25">
      <c r="A267" t="str">
        <f t="shared" si="75"/>
        <v>CarrosseriePublicité 2</v>
      </c>
      <c r="B267" s="11" t="s">
        <v>94</v>
      </c>
      <c r="C267" s="211" t="s">
        <v>49</v>
      </c>
      <c r="D267" s="81"/>
      <c r="E267" s="13"/>
      <c r="F267" s="30">
        <f>+SUM(START:END!F267)</f>
        <v>0</v>
      </c>
      <c r="G267" s="83"/>
      <c r="H267" s="13"/>
      <c r="I267" s="30">
        <f>+SUM(START:END!I267)</f>
        <v>0</v>
      </c>
      <c r="J267" s="41"/>
      <c r="K267" s="13"/>
      <c r="L267" s="33">
        <f>+SUM(START:END!L267)</f>
        <v>47.47</v>
      </c>
      <c r="M267" s="41"/>
      <c r="N267" s="59">
        <f t="shared" si="80"/>
        <v>47.47</v>
      </c>
      <c r="O267" s="41"/>
      <c r="P267" s="13"/>
      <c r="Q267" s="33">
        <f>+SUM(START:END!Q267)</f>
        <v>6.25</v>
      </c>
      <c r="R267" s="41"/>
      <c r="S267" s="85">
        <f t="shared" si="81"/>
        <v>41.22</v>
      </c>
      <c r="T267" s="13"/>
      <c r="U267" s="13"/>
      <c r="V267" s="13"/>
      <c r="W267" s="13"/>
      <c r="X267" s="13"/>
      <c r="Y267" s="13"/>
      <c r="Z267" s="13"/>
      <c r="AA267" s="13"/>
      <c r="AB267" s="13"/>
      <c r="AC267" s="13"/>
      <c r="AD267" s="13"/>
      <c r="AE267" s="13"/>
      <c r="AF267" s="13"/>
      <c r="AG267" s="13"/>
      <c r="AH267" s="13"/>
      <c r="AI267" s="13"/>
      <c r="AJ267" s="13"/>
      <c r="AK267" s="13"/>
      <c r="AL267" s="13"/>
      <c r="AM267" s="13"/>
      <c r="AN267" s="13"/>
    </row>
    <row r="268" spans="1:40" ht="20.25">
      <c r="A268" t="str">
        <f t="shared" si="75"/>
        <v>CarrosserieService gratuit 2</v>
      </c>
      <c r="B268" s="11" t="s">
        <v>94</v>
      </c>
      <c r="C268" s="102" t="s">
        <v>50</v>
      </c>
      <c r="D268" s="81"/>
      <c r="E268" s="13"/>
      <c r="F268" s="30">
        <f>+SUM(START:END!F268)</f>
        <v>0</v>
      </c>
      <c r="G268" s="83"/>
      <c r="H268" s="13"/>
      <c r="I268" s="30">
        <f>+SUM(START:END!I268)</f>
        <v>0</v>
      </c>
      <c r="J268" s="41"/>
      <c r="K268" s="13"/>
      <c r="L268" s="33">
        <f>+SUM(START:END!L268)</f>
        <v>12.07</v>
      </c>
      <c r="M268" s="41"/>
      <c r="N268" s="59">
        <f t="shared" si="80"/>
        <v>12.07</v>
      </c>
      <c r="O268" s="41"/>
      <c r="P268" s="13"/>
      <c r="Q268" s="33">
        <f>+SUM(START:END!Q268)</f>
        <v>74.699999999999989</v>
      </c>
      <c r="R268" s="41"/>
      <c r="S268" s="85">
        <f t="shared" si="81"/>
        <v>-62.629999999999988</v>
      </c>
      <c r="T268" s="13"/>
      <c r="U268" s="13"/>
      <c r="V268" s="13"/>
      <c r="W268" s="13"/>
      <c r="X268" s="13"/>
      <c r="Y268" s="13"/>
      <c r="Z268" s="13"/>
      <c r="AA268" s="13"/>
      <c r="AB268" s="13"/>
      <c r="AC268" s="13"/>
      <c r="AD268" s="13"/>
      <c r="AE268" s="13"/>
      <c r="AF268" s="13"/>
      <c r="AG268" s="13"/>
      <c r="AH268" s="13"/>
      <c r="AI268" s="13"/>
      <c r="AJ268" s="13"/>
      <c r="AK268" s="13"/>
      <c r="AL268" s="13"/>
      <c r="AM268" s="13"/>
      <c r="AN268" s="13"/>
    </row>
    <row r="269" spans="1:40" ht="20.25">
      <c r="A269" t="str">
        <f t="shared" si="75"/>
        <v>CarrosserieFrais véhicules de cie</v>
      </c>
      <c r="B269" s="11" t="s">
        <v>94</v>
      </c>
      <c r="C269" s="103" t="s">
        <v>51</v>
      </c>
      <c r="D269" s="87"/>
      <c r="E269" s="111"/>
      <c r="F269" s="22">
        <f>+SUM(START:END!F269)</f>
        <v>358.125</v>
      </c>
      <c r="G269" s="89"/>
      <c r="H269" s="111"/>
      <c r="I269" s="22">
        <f>+SUM(START:END!I269)</f>
        <v>0</v>
      </c>
      <c r="J269" s="23"/>
      <c r="K269" s="111"/>
      <c r="L269" s="33">
        <f>+SUM(START:END!L269)</f>
        <v>403.16</v>
      </c>
      <c r="M269" s="23"/>
      <c r="N269" s="91">
        <f t="shared" si="80"/>
        <v>45.035000000000025</v>
      </c>
      <c r="O269" s="23"/>
      <c r="P269" s="111"/>
      <c r="Q269" s="33">
        <f>+SUM(START:END!Q269)</f>
        <v>426.81000000000006</v>
      </c>
      <c r="R269" s="23"/>
      <c r="S269" s="92">
        <f t="shared" si="81"/>
        <v>-23.650000000000034</v>
      </c>
      <c r="T269" s="13"/>
      <c r="U269" s="13"/>
      <c r="V269" s="13"/>
      <c r="W269" s="13"/>
      <c r="X269" s="13"/>
      <c r="Y269" s="13"/>
      <c r="Z269" s="13"/>
      <c r="AA269" s="13"/>
      <c r="AB269" s="13"/>
      <c r="AC269" s="13"/>
      <c r="AD269" s="13"/>
      <c r="AE269" s="13"/>
      <c r="AF269" s="13"/>
      <c r="AG269" s="13"/>
      <c r="AH269" s="13"/>
      <c r="AI269" s="13"/>
      <c r="AJ269" s="13"/>
      <c r="AK269" s="13"/>
      <c r="AL269" s="13"/>
      <c r="AM269" s="13"/>
      <c r="AN269" s="13"/>
    </row>
    <row r="270" spans="1:40" ht="20.25">
      <c r="A270" t="str">
        <f t="shared" si="75"/>
        <v>CarrosserieInformatique</v>
      </c>
      <c r="B270" s="11" t="s">
        <v>94</v>
      </c>
      <c r="C270" s="102" t="s">
        <v>52</v>
      </c>
      <c r="D270" s="81"/>
      <c r="E270" s="13"/>
      <c r="F270" s="30">
        <f>+SUM(START:END!F270)</f>
        <v>717.67500000000007</v>
      </c>
      <c r="G270" s="83"/>
      <c r="H270" s="13"/>
      <c r="I270" s="30">
        <f>+SUM(START:END!I270)</f>
        <v>0</v>
      </c>
      <c r="J270" s="41"/>
      <c r="K270" s="13"/>
      <c r="L270" s="108">
        <f>+SUM(START:END!L270)</f>
        <v>634.14</v>
      </c>
      <c r="M270" s="41"/>
      <c r="N270" s="59">
        <f t="shared" si="80"/>
        <v>-83.535000000000082</v>
      </c>
      <c r="O270" s="41"/>
      <c r="P270" s="13"/>
      <c r="Q270" s="108">
        <f>+SUM(START:END!Q270)</f>
        <v>684.08</v>
      </c>
      <c r="R270" s="41"/>
      <c r="S270" s="85">
        <f t="shared" si="81"/>
        <v>-49.940000000000055</v>
      </c>
      <c r="T270" s="13"/>
      <c r="U270" s="13"/>
      <c r="V270" s="13"/>
      <c r="W270" s="13"/>
      <c r="X270" s="13"/>
      <c r="Y270" s="13"/>
      <c r="Z270" s="13"/>
      <c r="AA270" s="13"/>
      <c r="AB270" s="13"/>
      <c r="AC270" s="13"/>
      <c r="AD270" s="13"/>
      <c r="AE270" s="13"/>
      <c r="AF270" s="13"/>
      <c r="AG270" s="13"/>
      <c r="AH270" s="13"/>
      <c r="AI270" s="13"/>
      <c r="AJ270" s="13"/>
      <c r="AK270" s="13"/>
      <c r="AL270" s="13"/>
      <c r="AM270" s="13"/>
      <c r="AN270" s="13"/>
    </row>
    <row r="271" spans="1:40" ht="20.25">
      <c r="A271" t="str">
        <f t="shared" si="75"/>
        <v>CarrosserieFrais de déplacement</v>
      </c>
      <c r="B271" s="11" t="s">
        <v>94</v>
      </c>
      <c r="C271" s="102" t="s">
        <v>53</v>
      </c>
      <c r="D271" s="81"/>
      <c r="E271" s="13"/>
      <c r="F271" s="30">
        <f>+SUM(START:END!F271)</f>
        <v>137.10000000000002</v>
      </c>
      <c r="G271" s="83"/>
      <c r="H271" s="13"/>
      <c r="I271" s="30">
        <f>+SUM(START:END!I271)</f>
        <v>0</v>
      </c>
      <c r="J271" s="41"/>
      <c r="K271" s="13"/>
      <c r="L271" s="33">
        <f>+SUM(START:END!L271)</f>
        <v>15.14</v>
      </c>
      <c r="M271" s="41"/>
      <c r="N271" s="59">
        <f t="shared" si="80"/>
        <v>-121.96000000000002</v>
      </c>
      <c r="O271" s="41"/>
      <c r="P271" s="13"/>
      <c r="Q271" s="33">
        <f>+SUM(START:END!Q271)</f>
        <v>65.23</v>
      </c>
      <c r="R271" s="41"/>
      <c r="S271" s="85">
        <f t="shared" si="81"/>
        <v>-50.09</v>
      </c>
      <c r="T271" s="13"/>
      <c r="U271" s="13"/>
      <c r="V271" s="13"/>
      <c r="W271" s="13"/>
      <c r="X271" s="13"/>
      <c r="Y271" s="13"/>
      <c r="Z271" s="13"/>
      <c r="AA271" s="13"/>
      <c r="AB271" s="13"/>
      <c r="AC271" s="13"/>
      <c r="AD271" s="13"/>
      <c r="AE271" s="13"/>
      <c r="AF271" s="13"/>
      <c r="AG271" s="13"/>
      <c r="AH271" s="13"/>
      <c r="AI271" s="13"/>
      <c r="AJ271" s="13"/>
      <c r="AK271" s="13"/>
      <c r="AL271" s="13"/>
      <c r="AM271" s="13"/>
      <c r="AN271" s="13"/>
    </row>
    <row r="272" spans="1:40" ht="20.25">
      <c r="A272" t="str">
        <f t="shared" si="75"/>
        <v>CarrosserieServices extérieurs</v>
      </c>
      <c r="B272" s="11" t="s">
        <v>94</v>
      </c>
      <c r="C272" s="102" t="s">
        <v>54</v>
      </c>
      <c r="D272" s="87"/>
      <c r="E272" s="111"/>
      <c r="F272" s="22">
        <f>+SUM(START:END!F272)</f>
        <v>459.07500000000005</v>
      </c>
      <c r="G272" s="89"/>
      <c r="H272" s="111"/>
      <c r="I272" s="22">
        <f>+SUM(START:END!I272)</f>
        <v>0</v>
      </c>
      <c r="J272" s="23"/>
      <c r="K272" s="111"/>
      <c r="L272" s="33">
        <f>+SUM(START:END!L272)</f>
        <v>488.72</v>
      </c>
      <c r="M272" s="23"/>
      <c r="N272" s="91">
        <f t="shared" si="80"/>
        <v>29.644999999999982</v>
      </c>
      <c r="O272" s="23"/>
      <c r="P272" s="111"/>
      <c r="Q272" s="22">
        <f>+SUM(START:END!Q272)</f>
        <v>433.38</v>
      </c>
      <c r="R272" s="23"/>
      <c r="S272" s="92">
        <f t="shared" si="81"/>
        <v>55.340000000000032</v>
      </c>
      <c r="T272" s="13"/>
      <c r="U272" s="13"/>
      <c r="V272" s="13"/>
      <c r="W272" s="13"/>
      <c r="X272" s="13"/>
      <c r="Y272" s="13"/>
      <c r="Z272" s="13"/>
      <c r="AA272" s="13"/>
      <c r="AB272" s="13"/>
      <c r="AC272" s="13"/>
      <c r="AD272" s="13"/>
      <c r="AE272" s="13"/>
      <c r="AF272" s="13"/>
      <c r="AG272" s="13"/>
      <c r="AH272" s="13"/>
      <c r="AI272" s="13"/>
      <c r="AJ272" s="13"/>
      <c r="AK272" s="13"/>
      <c r="AL272" s="13"/>
      <c r="AM272" s="13"/>
      <c r="AN272" s="13"/>
    </row>
    <row r="273" spans="1:40" ht="20.25">
      <c r="A273" t="str">
        <f t="shared" si="75"/>
        <v>CarrosserieFournitures d'atelier</v>
      </c>
      <c r="B273" s="11" t="s">
        <v>94</v>
      </c>
      <c r="C273" s="212" t="s">
        <v>93</v>
      </c>
      <c r="D273" s="81"/>
      <c r="E273" s="13"/>
      <c r="F273" s="30">
        <f>+SUM(START:END!F273)</f>
        <v>0</v>
      </c>
      <c r="G273" s="83"/>
      <c r="H273" s="13"/>
      <c r="I273" s="30">
        <f>+SUM(START:END!I273)</f>
        <v>0</v>
      </c>
      <c r="J273" s="41"/>
      <c r="K273" s="13"/>
      <c r="L273" s="55">
        <f>+SUM(START:END!L273)</f>
        <v>0</v>
      </c>
      <c r="M273" s="41"/>
      <c r="N273" s="59">
        <f t="shared" si="80"/>
        <v>0</v>
      </c>
      <c r="O273" s="41"/>
      <c r="P273" s="13"/>
      <c r="Q273" s="33">
        <f>+SUM(START:END!Q273)</f>
        <v>0</v>
      </c>
      <c r="R273" s="41"/>
      <c r="S273" s="85">
        <f>L273-Q273</f>
        <v>0</v>
      </c>
      <c r="T273" s="13"/>
      <c r="U273" s="13"/>
      <c r="V273" s="13"/>
      <c r="W273" s="13"/>
      <c r="X273" s="13"/>
      <c r="Y273" s="13"/>
      <c r="Z273" s="13"/>
      <c r="AA273" s="13"/>
      <c r="AB273" s="13"/>
      <c r="AC273" s="13"/>
      <c r="AD273" s="13"/>
      <c r="AE273" s="13"/>
      <c r="AF273" s="13"/>
      <c r="AG273" s="13"/>
      <c r="AH273" s="13"/>
      <c r="AI273" s="13"/>
      <c r="AJ273" s="13"/>
      <c r="AK273" s="13"/>
      <c r="AL273" s="13"/>
      <c r="AM273" s="13"/>
      <c r="AN273" s="13"/>
    </row>
    <row r="274" spans="1:40" ht="20.25">
      <c r="A274" t="str">
        <f t="shared" si="75"/>
        <v>CarrosserieFournitures autres</v>
      </c>
      <c r="B274" s="11" t="s">
        <v>94</v>
      </c>
      <c r="C274" s="102" t="s">
        <v>55</v>
      </c>
      <c r="D274" s="81"/>
      <c r="E274" s="13"/>
      <c r="F274" s="30">
        <f>+SUM(START:END!F274)</f>
        <v>7.7108433734939759</v>
      </c>
      <c r="G274" s="83"/>
      <c r="H274" s="13"/>
      <c r="I274" s="30">
        <f>+SUM(START:END!I274)</f>
        <v>0</v>
      </c>
      <c r="J274" s="41"/>
      <c r="K274" s="13"/>
      <c r="L274" s="33">
        <f>+SUM(START:END!L274)</f>
        <v>0</v>
      </c>
      <c r="M274" s="41"/>
      <c r="N274" s="59">
        <f t="shared" si="80"/>
        <v>-7.7108433734939759</v>
      </c>
      <c r="O274" s="41"/>
      <c r="P274" s="13"/>
      <c r="Q274" s="33">
        <f>+SUM(START:END!Q274)</f>
        <v>6.64</v>
      </c>
      <c r="R274" s="41"/>
      <c r="S274" s="85">
        <f t="shared" si="81"/>
        <v>-6.64</v>
      </c>
      <c r="T274" s="13"/>
      <c r="U274" s="13"/>
      <c r="V274" s="13"/>
      <c r="W274" s="13"/>
      <c r="X274" s="13"/>
      <c r="Y274" s="13"/>
      <c r="Z274" s="13"/>
      <c r="AA274" s="13"/>
      <c r="AB274" s="13"/>
      <c r="AC274" s="13"/>
      <c r="AD274" s="13"/>
      <c r="AE274" s="13"/>
      <c r="AF274" s="13"/>
      <c r="AG274" s="13"/>
      <c r="AH274" s="13"/>
      <c r="AI274" s="13"/>
      <c r="AJ274" s="13"/>
      <c r="AK274" s="13"/>
      <c r="AL274" s="13"/>
      <c r="AM274" s="13"/>
      <c r="AN274" s="13"/>
    </row>
    <row r="275" spans="1:40" ht="20.25">
      <c r="A275" t="str">
        <f t="shared" si="75"/>
        <v>CarrosserieUniformes</v>
      </c>
      <c r="B275" s="11" t="s">
        <v>94</v>
      </c>
      <c r="C275" s="102" t="s">
        <v>56</v>
      </c>
      <c r="D275" s="81"/>
      <c r="E275" s="13"/>
      <c r="F275" s="30">
        <f>+SUM(START:END!F275)</f>
        <v>0</v>
      </c>
      <c r="G275" s="83"/>
      <c r="H275" s="13"/>
      <c r="I275" s="30">
        <f>+SUM(START:END!I275)</f>
        <v>0</v>
      </c>
      <c r="J275" s="41"/>
      <c r="K275" s="13"/>
      <c r="L275" s="33">
        <f>+SUM(START:END!L275)</f>
        <v>18.75</v>
      </c>
      <c r="M275" s="41"/>
      <c r="N275" s="59">
        <f t="shared" si="80"/>
        <v>18.75</v>
      </c>
      <c r="O275" s="41"/>
      <c r="P275" s="13"/>
      <c r="Q275" s="33">
        <f>+SUM(START:END!Q275)</f>
        <v>0</v>
      </c>
      <c r="R275" s="41"/>
      <c r="S275" s="85">
        <f t="shared" si="81"/>
        <v>18.75</v>
      </c>
      <c r="T275" s="13"/>
      <c r="U275" s="13"/>
      <c r="V275" s="13"/>
      <c r="W275" s="13"/>
      <c r="X275" s="13"/>
      <c r="Y275" s="13"/>
      <c r="Z275" s="13"/>
      <c r="AA275" s="13"/>
      <c r="AB275" s="13"/>
      <c r="AC275" s="13"/>
      <c r="AD275" s="13"/>
      <c r="AE275" s="13"/>
      <c r="AF275" s="13"/>
      <c r="AG275" s="13"/>
      <c r="AH275" s="13"/>
      <c r="AI275" s="13"/>
      <c r="AJ275" s="13"/>
      <c r="AK275" s="13"/>
      <c r="AL275" s="13"/>
      <c r="AM275" s="13"/>
      <c r="AN275" s="13"/>
    </row>
    <row r="276" spans="1:40" ht="20.25">
      <c r="A276" t="str">
        <f t="shared" si="75"/>
        <v>CarrosseriePapeterie</v>
      </c>
      <c r="B276" s="11" t="s">
        <v>94</v>
      </c>
      <c r="C276" s="102" t="s">
        <v>57</v>
      </c>
      <c r="D276" s="81"/>
      <c r="E276" s="13"/>
      <c r="F276" s="30">
        <f>+SUM(START:END!F276)</f>
        <v>131.25</v>
      </c>
      <c r="G276" s="83"/>
      <c r="H276" s="13"/>
      <c r="I276" s="30">
        <f>+SUM(START:END!I276)</f>
        <v>0</v>
      </c>
      <c r="J276" s="41"/>
      <c r="K276" s="13"/>
      <c r="L276" s="32">
        <f>+SUM(START:END!L276)</f>
        <v>109.56</v>
      </c>
      <c r="M276" s="41"/>
      <c r="N276" s="59">
        <f t="shared" si="80"/>
        <v>-21.689999999999998</v>
      </c>
      <c r="O276" s="41"/>
      <c r="P276" s="13"/>
      <c r="Q276" s="32">
        <f>+SUM(START:END!Q276)</f>
        <v>86.36</v>
      </c>
      <c r="R276" s="41"/>
      <c r="S276" s="85">
        <f t="shared" si="81"/>
        <v>23.200000000000003</v>
      </c>
      <c r="T276" s="13"/>
      <c r="U276" s="13"/>
      <c r="V276" s="13"/>
      <c r="W276" s="13"/>
      <c r="X276" s="13"/>
      <c r="Y276" s="13"/>
      <c r="Z276" s="13"/>
      <c r="AA276" s="13"/>
      <c r="AB276" s="13"/>
      <c r="AC276" s="13"/>
      <c r="AD276" s="13"/>
      <c r="AE276" s="13"/>
      <c r="AF276" s="13"/>
      <c r="AG276" s="13"/>
      <c r="AH276" s="13"/>
      <c r="AI276" s="13"/>
      <c r="AJ276" s="13"/>
      <c r="AK276" s="13"/>
      <c r="AL276" s="13"/>
      <c r="AM276" s="13"/>
      <c r="AN276" s="13"/>
    </row>
    <row r="277" spans="1:40" ht="20.25">
      <c r="A277" t="str">
        <f t="shared" si="75"/>
        <v>CarrosserieTéléphone</v>
      </c>
      <c r="B277" s="11" t="s">
        <v>94</v>
      </c>
      <c r="C277" s="102" t="s">
        <v>58</v>
      </c>
      <c r="D277" s="81"/>
      <c r="E277" s="13"/>
      <c r="F277" s="30">
        <f>+SUM(START:END!F277)</f>
        <v>26.400000000000002</v>
      </c>
      <c r="G277" s="83"/>
      <c r="H277" s="13"/>
      <c r="I277" s="30">
        <f>+SUM(START:END!I277)</f>
        <v>0</v>
      </c>
      <c r="J277" s="41"/>
      <c r="K277" s="13"/>
      <c r="L277" s="33">
        <f>+SUM(START:END!L277)</f>
        <v>22.14</v>
      </c>
      <c r="M277" s="41"/>
      <c r="N277" s="59">
        <f t="shared" si="80"/>
        <v>-4.2600000000000016</v>
      </c>
      <c r="O277" s="41"/>
      <c r="P277" s="13"/>
      <c r="Q277" s="33">
        <f>+SUM(START:END!Q277)</f>
        <v>26.750000000000004</v>
      </c>
      <c r="R277" s="41"/>
      <c r="S277" s="85">
        <f t="shared" si="81"/>
        <v>-4.610000000000003</v>
      </c>
      <c r="T277" s="13"/>
      <c r="U277" s="13"/>
      <c r="V277" s="13"/>
      <c r="W277" s="13"/>
      <c r="X277" s="13"/>
      <c r="Y277" s="13"/>
      <c r="Z277" s="13"/>
      <c r="AA277" s="13"/>
      <c r="AB277" s="13"/>
      <c r="AC277" s="13"/>
      <c r="AD277" s="13"/>
      <c r="AE277" s="13"/>
      <c r="AF277" s="13"/>
      <c r="AG277" s="13"/>
      <c r="AH277" s="13"/>
      <c r="AI277" s="13"/>
      <c r="AJ277" s="13"/>
      <c r="AK277" s="13"/>
      <c r="AL277" s="13"/>
      <c r="AM277" s="13"/>
      <c r="AN277" s="13"/>
    </row>
    <row r="278" spans="1:40" ht="20.25">
      <c r="A278" t="str">
        <f t="shared" si="75"/>
        <v>CarrosserieFrais postaux</v>
      </c>
      <c r="B278" s="11" t="s">
        <v>94</v>
      </c>
      <c r="C278" s="102" t="s">
        <v>59</v>
      </c>
      <c r="D278" s="81"/>
      <c r="E278" s="13"/>
      <c r="F278" s="30">
        <f>+SUM(START:END!F278)</f>
        <v>37.5</v>
      </c>
      <c r="G278" s="83"/>
      <c r="H278" s="13"/>
      <c r="I278" s="30">
        <f>+SUM(START:END!I278)</f>
        <v>0</v>
      </c>
      <c r="J278" s="41"/>
      <c r="K278" s="13"/>
      <c r="L278" s="33">
        <f>+SUM(START:END!L278)</f>
        <v>19.400000000000002</v>
      </c>
      <c r="M278" s="41"/>
      <c r="N278" s="59">
        <f t="shared" si="80"/>
        <v>-18.099999999999998</v>
      </c>
      <c r="O278" s="41"/>
      <c r="P278" s="13"/>
      <c r="Q278" s="33">
        <f>+SUM(START:END!Q278)</f>
        <v>38.9</v>
      </c>
      <c r="R278" s="41"/>
      <c r="S278" s="85">
        <f t="shared" si="81"/>
        <v>-19.499999999999996</v>
      </c>
      <c r="T278" s="13"/>
      <c r="U278" s="13"/>
      <c r="V278" s="13"/>
      <c r="W278" s="13"/>
      <c r="X278" s="13"/>
      <c r="Y278" s="13"/>
      <c r="Z278" s="13"/>
      <c r="AA278" s="13"/>
      <c r="AB278" s="13"/>
      <c r="AC278" s="13"/>
      <c r="AD278" s="13"/>
      <c r="AE278" s="13"/>
      <c r="AF278" s="13"/>
      <c r="AG278" s="13"/>
      <c r="AH278" s="13"/>
      <c r="AI278" s="13"/>
      <c r="AJ278" s="13"/>
      <c r="AK278" s="13"/>
      <c r="AL278" s="13"/>
      <c r="AM278" s="13"/>
      <c r="AN278" s="13"/>
    </row>
    <row r="279" spans="1:40" ht="20.25">
      <c r="A279" t="str">
        <f t="shared" si="75"/>
        <v>CarrosserieDivers</v>
      </c>
      <c r="B279" s="11" t="s">
        <v>94</v>
      </c>
      <c r="C279" s="102" t="s">
        <v>60</v>
      </c>
      <c r="D279" s="81"/>
      <c r="E279" s="13"/>
      <c r="F279" s="30">
        <f>+SUM(START:END!F279)</f>
        <v>139.35000000000002</v>
      </c>
      <c r="G279" s="83"/>
      <c r="H279" s="13"/>
      <c r="I279" s="30">
        <f>+SUM(START:END!I279)</f>
        <v>0</v>
      </c>
      <c r="J279" s="41"/>
      <c r="K279" s="13"/>
      <c r="L279" s="33">
        <f>+SUM(START:END!L279)</f>
        <v>118.54</v>
      </c>
      <c r="M279" s="41"/>
      <c r="N279" s="59">
        <f t="shared" si="80"/>
        <v>-20.810000000000016</v>
      </c>
      <c r="O279" s="41"/>
      <c r="P279" s="13"/>
      <c r="Q279" s="33">
        <f>+SUM(START:END!Q279)</f>
        <v>134.4499999999999</v>
      </c>
      <c r="R279" s="41"/>
      <c r="S279" s="85">
        <f t="shared" si="81"/>
        <v>-15.909999999999897</v>
      </c>
      <c r="T279" s="13"/>
      <c r="U279" s="13"/>
      <c r="V279" s="13"/>
      <c r="W279" s="13"/>
      <c r="X279" s="13"/>
      <c r="Y279" s="13"/>
      <c r="Z279" s="13"/>
      <c r="AA279" s="13"/>
      <c r="AB279" s="13"/>
      <c r="AC279" s="13"/>
      <c r="AD279" s="13"/>
      <c r="AE279" s="13"/>
      <c r="AF279" s="13"/>
      <c r="AG279" s="13"/>
      <c r="AH279" s="13"/>
      <c r="AI279" s="13"/>
      <c r="AJ279" s="13"/>
      <c r="AK279" s="13"/>
      <c r="AL279" s="13"/>
      <c r="AM279" s="13"/>
      <c r="AN279" s="13"/>
    </row>
    <row r="280" spans="1:40" ht="20.25">
      <c r="A280" t="str">
        <f t="shared" si="75"/>
        <v>CarrosserieFormation</v>
      </c>
      <c r="B280" s="11" t="s">
        <v>94</v>
      </c>
      <c r="C280" s="102" t="s">
        <v>61</v>
      </c>
      <c r="D280" s="81"/>
      <c r="E280" s="13"/>
      <c r="F280" s="30">
        <f>+SUM(START:END!F280)</f>
        <v>62.305079999999982</v>
      </c>
      <c r="G280" s="83"/>
      <c r="H280" s="13"/>
      <c r="I280" s="30">
        <f>+SUM(START:END!I280)</f>
        <v>0</v>
      </c>
      <c r="J280" s="41"/>
      <c r="K280" s="13"/>
      <c r="L280" s="33">
        <f>+SUM(START:END!L280)</f>
        <v>92.11999999999999</v>
      </c>
      <c r="M280" s="41"/>
      <c r="N280" s="59">
        <f t="shared" si="80"/>
        <v>29.814920000000008</v>
      </c>
      <c r="O280" s="41"/>
      <c r="P280" s="13"/>
      <c r="Q280" s="33">
        <f>+SUM(START:END!Q280)</f>
        <v>57.990000000000009</v>
      </c>
      <c r="R280" s="41"/>
      <c r="S280" s="85">
        <f t="shared" si="81"/>
        <v>34.129999999999981</v>
      </c>
      <c r="T280" s="13"/>
      <c r="U280" s="13"/>
      <c r="V280" s="13"/>
      <c r="W280" s="13"/>
      <c r="X280" s="13"/>
      <c r="Y280" s="13"/>
      <c r="Z280" s="13"/>
      <c r="AA280" s="13"/>
      <c r="AB280" s="13"/>
      <c r="AC280" s="13"/>
      <c r="AD280" s="13"/>
      <c r="AE280" s="13"/>
      <c r="AF280" s="13"/>
      <c r="AG280" s="13"/>
      <c r="AH280" s="13"/>
      <c r="AI280" s="13"/>
      <c r="AJ280" s="13"/>
      <c r="AK280" s="13"/>
      <c r="AL280" s="13"/>
      <c r="AM280" s="13"/>
      <c r="AN280" s="13"/>
    </row>
    <row r="281" spans="1:40" ht="20.25">
      <c r="A281" t="str">
        <f t="shared" si="75"/>
        <v>CarrosserieFrais bancaires</v>
      </c>
      <c r="B281" s="11" t="s">
        <v>94</v>
      </c>
      <c r="C281" s="102" t="s">
        <v>62</v>
      </c>
      <c r="D281" s="81"/>
      <c r="E281" s="13"/>
      <c r="F281" s="30">
        <f>+SUM(START:END!F281)</f>
        <v>458.88750176988424</v>
      </c>
      <c r="G281" s="83"/>
      <c r="H281" s="13"/>
      <c r="I281" s="30">
        <f>+SUM(START:END!I281)</f>
        <v>0</v>
      </c>
      <c r="J281" s="41"/>
      <c r="K281" s="13"/>
      <c r="L281" s="33">
        <f>+SUM(START:END!L281)</f>
        <v>425.36</v>
      </c>
      <c r="M281" s="41"/>
      <c r="N281" s="59">
        <f t="shared" si="80"/>
        <v>-33.527501769884225</v>
      </c>
      <c r="O281" s="41"/>
      <c r="P281" s="13"/>
      <c r="Q281" s="33">
        <f>+SUM(START:END!Q281)</f>
        <v>424.16999999999996</v>
      </c>
      <c r="R281" s="41"/>
      <c r="S281" s="85">
        <f t="shared" si="81"/>
        <v>1.1900000000000546</v>
      </c>
      <c r="T281" s="13"/>
      <c r="U281" s="13"/>
      <c r="V281" s="13"/>
      <c r="W281" s="13"/>
      <c r="X281" s="13"/>
      <c r="Y281" s="13"/>
      <c r="Z281" s="13"/>
      <c r="AA281" s="13"/>
      <c r="AB281" s="13"/>
      <c r="AC281" s="13"/>
      <c r="AD281" s="13"/>
      <c r="AE281" s="13"/>
      <c r="AF281" s="13"/>
      <c r="AG281" s="13"/>
      <c r="AH281" s="13"/>
      <c r="AI281" s="13"/>
      <c r="AJ281" s="13"/>
      <c r="AK281" s="13"/>
      <c r="AL281" s="13"/>
      <c r="AM281" s="13"/>
      <c r="AN281" s="13"/>
    </row>
    <row r="282" spans="1:40" ht="20.25" hidden="1">
      <c r="A282" t="str">
        <f t="shared" si="75"/>
        <v>Carrosserie[...]</v>
      </c>
      <c r="B282" s="11" t="s">
        <v>94</v>
      </c>
      <c r="C282" s="102" t="s">
        <v>19</v>
      </c>
      <c r="D282" s="81"/>
      <c r="E282" s="13"/>
      <c r="F282" s="30">
        <f>+SUM(START:END!F282)</f>
        <v>0</v>
      </c>
      <c r="G282" s="83"/>
      <c r="H282" s="13"/>
      <c r="I282" s="30">
        <f>+SUM(START:END!I282)</f>
        <v>0</v>
      </c>
      <c r="J282" s="41"/>
      <c r="K282" s="13"/>
      <c r="L282" s="33">
        <f>+SUM(START:END!L282)</f>
        <v>0</v>
      </c>
      <c r="M282" s="41"/>
      <c r="N282" s="59">
        <f t="shared" si="80"/>
        <v>0</v>
      </c>
      <c r="O282" s="41"/>
      <c r="P282" s="13"/>
      <c r="Q282" s="33">
        <f>+SUM(START:END!Q282)</f>
        <v>0</v>
      </c>
      <c r="R282" s="41"/>
      <c r="S282" s="85">
        <f t="shared" si="81"/>
        <v>0</v>
      </c>
      <c r="T282" s="13"/>
      <c r="U282" s="13"/>
      <c r="V282" s="13"/>
      <c r="W282" s="13"/>
      <c r="X282" s="13"/>
      <c r="Y282" s="13"/>
      <c r="Z282" s="13"/>
      <c r="AA282" s="13"/>
      <c r="AB282" s="13"/>
      <c r="AC282" s="13"/>
      <c r="AD282" s="13"/>
      <c r="AE282" s="13"/>
      <c r="AF282" s="13"/>
      <c r="AG282" s="13"/>
      <c r="AH282" s="13"/>
      <c r="AI282" s="13"/>
      <c r="AJ282" s="13"/>
      <c r="AK282" s="13"/>
      <c r="AL282" s="13"/>
      <c r="AM282" s="13"/>
      <c r="AN282" s="13"/>
    </row>
    <row r="283" spans="1:40" ht="20.25" hidden="1">
      <c r="A283" t="str">
        <f t="shared" si="75"/>
        <v>Carrosserie[...]</v>
      </c>
      <c r="B283" s="11" t="s">
        <v>94</v>
      </c>
      <c r="C283" s="102" t="s">
        <v>19</v>
      </c>
      <c r="D283" s="81"/>
      <c r="E283" s="13"/>
      <c r="F283" s="30">
        <f>+SUM(START:END!F283)</f>
        <v>0</v>
      </c>
      <c r="G283" s="83"/>
      <c r="H283" s="13"/>
      <c r="I283" s="30">
        <f>+SUM(START:END!I283)</f>
        <v>0</v>
      </c>
      <c r="J283" s="41"/>
      <c r="K283" s="13"/>
      <c r="L283" s="33">
        <f>+SUM(START:END!L283)</f>
        <v>0</v>
      </c>
      <c r="M283" s="41"/>
      <c r="N283" s="59">
        <f t="shared" si="80"/>
        <v>0</v>
      </c>
      <c r="O283" s="41"/>
      <c r="P283" s="13"/>
      <c r="Q283" s="33">
        <f>+SUM(START:END!Q283)</f>
        <v>0</v>
      </c>
      <c r="R283" s="41"/>
      <c r="S283" s="85">
        <f>L283-Q283</f>
        <v>0</v>
      </c>
      <c r="T283" s="13"/>
      <c r="U283" s="13"/>
      <c r="V283" s="13"/>
      <c r="W283" s="13"/>
      <c r="X283" s="13"/>
      <c r="Y283" s="13"/>
      <c r="Z283" s="13"/>
      <c r="AA283" s="13"/>
      <c r="AB283" s="13"/>
      <c r="AC283" s="13"/>
      <c r="AD283" s="13"/>
      <c r="AE283" s="13"/>
      <c r="AF283" s="13"/>
      <c r="AG283" s="13"/>
      <c r="AH283" s="13"/>
      <c r="AI283" s="13"/>
      <c r="AJ283" s="13"/>
      <c r="AK283" s="13"/>
      <c r="AL283" s="13"/>
      <c r="AM283" s="13"/>
      <c r="AN283" s="13"/>
    </row>
    <row r="284" spans="1:40" ht="20.25" hidden="1">
      <c r="A284" t="str">
        <f t="shared" si="75"/>
        <v>Carrosserie[...]</v>
      </c>
      <c r="B284" s="11" t="s">
        <v>94</v>
      </c>
      <c r="C284" s="102" t="s">
        <v>19</v>
      </c>
      <c r="D284" s="81"/>
      <c r="E284" s="13"/>
      <c r="F284" s="30">
        <f>+SUM(START:END!F284)</f>
        <v>0</v>
      </c>
      <c r="G284" s="83"/>
      <c r="H284" s="13"/>
      <c r="I284" s="30">
        <f>+SUM(START:END!I284)</f>
        <v>0</v>
      </c>
      <c r="J284" s="41"/>
      <c r="K284" s="13"/>
      <c r="L284" s="33">
        <f>+SUM(START:END!L284)</f>
        <v>0</v>
      </c>
      <c r="M284" s="41"/>
      <c r="N284" s="59">
        <f t="shared" si="80"/>
        <v>0</v>
      </c>
      <c r="O284" s="41"/>
      <c r="P284" s="13"/>
      <c r="Q284" s="33">
        <f>+SUM(START:END!Q284)</f>
        <v>0</v>
      </c>
      <c r="R284" s="41"/>
      <c r="S284" s="85">
        <f t="shared" si="81"/>
        <v>0</v>
      </c>
      <c r="T284" s="13"/>
      <c r="U284" s="13"/>
      <c r="V284" s="13"/>
      <c r="W284" s="13"/>
      <c r="X284" s="13"/>
      <c r="Y284" s="13"/>
      <c r="Z284" s="13"/>
      <c r="AA284" s="13"/>
      <c r="AB284" s="13"/>
      <c r="AC284" s="13"/>
      <c r="AD284" s="13"/>
      <c r="AE284" s="13"/>
      <c r="AF284" s="13"/>
      <c r="AG284" s="13"/>
      <c r="AH284" s="13"/>
      <c r="AI284" s="13"/>
      <c r="AJ284" s="13"/>
      <c r="AK284" s="13"/>
      <c r="AL284" s="13"/>
      <c r="AM284" s="13"/>
      <c r="AN284" s="13"/>
    </row>
    <row r="285" spans="1:40" ht="20.25">
      <c r="B285" s="11"/>
      <c r="C285" s="93" t="s">
        <v>63</v>
      </c>
      <c r="D285" s="94" t="s">
        <v>38</v>
      </c>
      <c r="E285" s="95">
        <f>F285/F$250</f>
        <v>2.3864156980754645</v>
      </c>
      <c r="F285" s="96">
        <f>+SUM(F267:F284)</f>
        <v>2535.3784251433785</v>
      </c>
      <c r="G285" s="97" t="s">
        <v>38</v>
      </c>
      <c r="H285" s="95" t="e">
        <f>I285/I$250</f>
        <v>#DIV/0!</v>
      </c>
      <c r="I285" s="96">
        <f>+SUM(I267:I284)</f>
        <v>0</v>
      </c>
      <c r="J285" s="97" t="s">
        <v>38</v>
      </c>
      <c r="K285" s="95">
        <f>L285/L$250</f>
        <v>1.9048361564033565</v>
      </c>
      <c r="L285" s="96">
        <f>+SUM(L267:L284)</f>
        <v>2406.5700000000002</v>
      </c>
      <c r="M285" s="100"/>
      <c r="N285" s="96">
        <f>+SUM(N267:N284)</f>
        <v>-128.80842514337832</v>
      </c>
      <c r="O285" s="97" t="s">
        <v>38</v>
      </c>
      <c r="P285" s="95">
        <f>Q285/Q$250</f>
        <v>2.4946226768243949</v>
      </c>
      <c r="Q285" s="96">
        <f>+SUM(Q267:Q284)</f>
        <v>2465.71</v>
      </c>
      <c r="R285" s="100"/>
      <c r="S285" s="101">
        <f>L285-Q285</f>
        <v>-59.139999999999873</v>
      </c>
      <c r="T285" s="76"/>
      <c r="U285" s="13"/>
      <c r="V285" s="13"/>
      <c r="W285" s="13"/>
      <c r="X285" s="13"/>
      <c r="Y285" s="13"/>
      <c r="Z285" s="13"/>
      <c r="AA285" s="13"/>
      <c r="AB285" s="13"/>
      <c r="AC285" s="13"/>
      <c r="AD285" s="13"/>
      <c r="AE285" s="13"/>
      <c r="AF285" s="13"/>
      <c r="AG285" s="13"/>
      <c r="AH285" s="13"/>
      <c r="AI285" s="13"/>
      <c r="AJ285" s="13"/>
      <c r="AK285" s="13"/>
      <c r="AL285" s="13"/>
      <c r="AM285" s="13"/>
      <c r="AN285" s="13"/>
    </row>
    <row r="286" spans="1:40" ht="20.25">
      <c r="B286" s="11"/>
      <c r="C286" s="86"/>
      <c r="D286" s="87"/>
      <c r="E286" s="111"/>
      <c r="F286" s="59"/>
      <c r="G286" s="89"/>
      <c r="H286" s="111"/>
      <c r="I286" s="59"/>
      <c r="J286" s="23"/>
      <c r="K286" s="111"/>
      <c r="L286" s="91"/>
      <c r="M286" s="23"/>
      <c r="N286" s="91"/>
      <c r="O286" s="23"/>
      <c r="P286" s="111"/>
      <c r="Q286" s="91"/>
      <c r="R286" s="23"/>
      <c r="S286" s="92"/>
      <c r="T286" s="76"/>
      <c r="U286" s="13"/>
      <c r="V286" s="13"/>
      <c r="W286" s="13"/>
      <c r="X286" s="13"/>
      <c r="Y286" s="13"/>
      <c r="Z286" s="13"/>
      <c r="AA286" s="13"/>
      <c r="AB286" s="13"/>
      <c r="AC286" s="13"/>
      <c r="AD286" s="13"/>
      <c r="AE286" s="13"/>
      <c r="AF286" s="13"/>
      <c r="AG286" s="13"/>
      <c r="AH286" s="13"/>
      <c r="AI286" s="13"/>
      <c r="AJ286" s="13"/>
      <c r="AK286" s="13"/>
      <c r="AL286" s="13"/>
      <c r="AM286" s="13"/>
      <c r="AN286" s="13"/>
    </row>
    <row r="287" spans="1:40" ht="20.25">
      <c r="B287" s="11"/>
      <c r="C287" s="93" t="s">
        <v>64</v>
      </c>
      <c r="D287" s="94" t="s">
        <v>38</v>
      </c>
      <c r="E287" s="95">
        <f>F287/F$250</f>
        <v>5.1944420302962859</v>
      </c>
      <c r="F287" s="96">
        <f>F266+F285</f>
        <v>5518.6848900181458</v>
      </c>
      <c r="G287" s="97" t="s">
        <v>38</v>
      </c>
      <c r="H287" s="95" t="e">
        <f>I287/I$250</f>
        <v>#DIV/0!</v>
      </c>
      <c r="I287" s="96">
        <f>I266+I285</f>
        <v>0</v>
      </c>
      <c r="J287" s="97" t="s">
        <v>38</v>
      </c>
      <c r="K287" s="95">
        <f>L287/L$250</f>
        <v>4.322914358081368</v>
      </c>
      <c r="L287" s="96">
        <f>L266+L285</f>
        <v>5461.57</v>
      </c>
      <c r="M287" s="100"/>
      <c r="N287" s="113">
        <f>L287-F287</f>
        <v>-57.11489001814607</v>
      </c>
      <c r="O287" s="97" t="s">
        <v>38</v>
      </c>
      <c r="P287" s="95">
        <f>Q287/Q$250</f>
        <v>5.3835250553919938</v>
      </c>
      <c r="Q287" s="96">
        <f>Q266+Q285</f>
        <v>5321.13</v>
      </c>
      <c r="R287" s="100"/>
      <c r="S287" s="114">
        <f>L287-Q287</f>
        <v>140.4399999999996</v>
      </c>
      <c r="T287" s="76"/>
      <c r="U287" s="13"/>
      <c r="V287" s="13"/>
      <c r="W287" s="13"/>
      <c r="X287" s="13"/>
      <c r="Y287" s="13"/>
      <c r="Z287" s="13"/>
      <c r="AA287" s="13"/>
      <c r="AB287" s="13"/>
      <c r="AC287" s="13"/>
      <c r="AD287" s="13"/>
      <c r="AE287" s="13"/>
      <c r="AF287" s="13"/>
      <c r="AG287" s="13"/>
      <c r="AH287" s="13"/>
      <c r="AI287" s="13"/>
      <c r="AJ287" s="13"/>
      <c r="AK287" s="13"/>
      <c r="AL287" s="13"/>
      <c r="AM287" s="13"/>
      <c r="AN287" s="13"/>
    </row>
    <row r="288" spans="1:40" ht="20.25">
      <c r="B288" s="11"/>
      <c r="C288" s="29"/>
      <c r="D288" s="81"/>
      <c r="E288" s="13"/>
      <c r="F288" s="59"/>
      <c r="G288" s="83"/>
      <c r="H288" s="13"/>
      <c r="I288" s="59"/>
      <c r="J288" s="41"/>
      <c r="K288" s="13"/>
      <c r="L288" s="59"/>
      <c r="M288" s="41"/>
      <c r="N288" s="59">
        <f>L288-F288</f>
        <v>0</v>
      </c>
      <c r="O288" s="41"/>
      <c r="P288" s="13"/>
      <c r="Q288" s="59"/>
      <c r="R288" s="41"/>
      <c r="S288" s="85"/>
      <c r="T288" s="13"/>
      <c r="U288" s="13"/>
      <c r="V288" s="13"/>
      <c r="W288" s="13"/>
      <c r="X288" s="13"/>
      <c r="Y288" s="13"/>
      <c r="Z288" s="13"/>
      <c r="AA288" s="13"/>
      <c r="AB288" s="13"/>
      <c r="AC288" s="13"/>
      <c r="AD288" s="13"/>
      <c r="AE288" s="13"/>
      <c r="AF288" s="13"/>
      <c r="AG288" s="13"/>
      <c r="AH288" s="13"/>
      <c r="AI288" s="13"/>
      <c r="AJ288" s="13"/>
      <c r="AK288" s="13"/>
      <c r="AL288" s="13"/>
      <c r="AM288" s="13"/>
      <c r="AN288" s="13"/>
    </row>
    <row r="289" spans="1:40" ht="21" thickBot="1">
      <c r="B289" s="11"/>
      <c r="C289" s="124" t="s">
        <v>69</v>
      </c>
      <c r="D289" s="152"/>
      <c r="E289" s="125"/>
      <c r="F289" s="127">
        <f>F250-F287</f>
        <v>-4456.2637757135235</v>
      </c>
      <c r="G289" s="153"/>
      <c r="H289" s="125"/>
      <c r="I289" s="127">
        <f>I250-I287</f>
        <v>0</v>
      </c>
      <c r="J289" s="154"/>
      <c r="K289" s="126"/>
      <c r="L289" s="127">
        <f>L250-L287</f>
        <v>-4198.17</v>
      </c>
      <c r="M289" s="154"/>
      <c r="N289" s="127">
        <f>L289-F289</f>
        <v>258.09377571352343</v>
      </c>
      <c r="O289" s="154"/>
      <c r="P289" s="126"/>
      <c r="Q289" s="127">
        <f>Q250-Q287</f>
        <v>-4332.72</v>
      </c>
      <c r="R289" s="154"/>
      <c r="S289" s="129">
        <f>L289-Q289</f>
        <v>134.55000000000018</v>
      </c>
      <c r="T289" s="76"/>
      <c r="U289" s="13"/>
      <c r="V289" s="13"/>
      <c r="W289" s="13"/>
      <c r="X289" s="13"/>
      <c r="Y289" s="13"/>
      <c r="Z289" s="13"/>
      <c r="AA289" s="13"/>
      <c r="AB289" s="13"/>
      <c r="AC289" s="13"/>
      <c r="AD289" s="13"/>
      <c r="AE289" s="13"/>
      <c r="AF289" s="13"/>
      <c r="AG289" s="13"/>
      <c r="AH289" s="13"/>
      <c r="AI289" s="13"/>
      <c r="AJ289" s="13"/>
      <c r="AK289" s="13"/>
      <c r="AL289" s="13"/>
      <c r="AM289" s="13"/>
      <c r="AN289" s="13"/>
    </row>
    <row r="290" spans="1:40" ht="21" thickTop="1">
      <c r="B290" s="11"/>
      <c r="C290" s="13"/>
      <c r="D290" s="13"/>
      <c r="E290" s="13"/>
      <c r="F290" s="13"/>
      <c r="G290" s="13"/>
      <c r="H290" s="13"/>
      <c r="I290" s="13"/>
      <c r="J290" s="13"/>
      <c r="K290" s="13"/>
      <c r="L290" s="82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  <c r="AA290" s="13"/>
      <c r="AB290" s="13"/>
      <c r="AC290" s="13"/>
      <c r="AD290" s="13"/>
      <c r="AE290" s="13"/>
      <c r="AF290" s="13"/>
      <c r="AG290" s="13"/>
      <c r="AH290" s="13"/>
      <c r="AI290" s="13"/>
      <c r="AJ290" s="13"/>
      <c r="AK290" s="13"/>
      <c r="AL290" s="13"/>
      <c r="AM290" s="13"/>
      <c r="AN290" s="13"/>
    </row>
    <row r="291" spans="1:40" ht="35.25">
      <c r="B291" s="11"/>
      <c r="C291" s="6" t="str">
        <f>C1</f>
        <v>BMW Sherbrooke</v>
      </c>
      <c r="D291" s="2"/>
      <c r="E291" s="2"/>
      <c r="F291" s="2"/>
      <c r="G291" s="2"/>
      <c r="H291" s="1"/>
      <c r="I291" s="1"/>
      <c r="J291" s="1"/>
      <c r="K291" s="3" t="s">
        <v>98</v>
      </c>
      <c r="L291" s="2"/>
      <c r="M291" s="2"/>
      <c r="N291" s="1"/>
      <c r="O291" s="1"/>
      <c r="P291" s="2"/>
      <c r="Q291" s="1"/>
      <c r="R291" s="2"/>
      <c r="S291" s="5" t="str">
        <f>$S$1</f>
        <v>Réalisé  Q3 2024</v>
      </c>
      <c r="T291" s="13"/>
      <c r="U291" s="13"/>
      <c r="V291" s="13"/>
      <c r="W291" s="13"/>
      <c r="X291" s="13"/>
      <c r="Y291" s="13"/>
      <c r="Z291" s="13"/>
      <c r="AA291" s="13"/>
      <c r="AB291" s="13"/>
      <c r="AC291" s="13"/>
      <c r="AD291" s="13"/>
      <c r="AE291" s="13"/>
      <c r="AF291" s="13"/>
      <c r="AG291" s="13"/>
      <c r="AH291" s="13"/>
      <c r="AI291" s="13"/>
      <c r="AJ291" s="13"/>
      <c r="AK291" s="13"/>
      <c r="AL291" s="13"/>
      <c r="AM291" s="13"/>
      <c r="AN291" s="13"/>
    </row>
    <row r="292" spans="1:40" ht="21" thickBot="1">
      <c r="B292" s="11"/>
      <c r="C292" s="8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3"/>
      <c r="U292" s="13"/>
      <c r="V292" s="13"/>
      <c r="W292" s="13"/>
      <c r="X292" s="13"/>
      <c r="Y292" s="13"/>
      <c r="Z292" s="13"/>
      <c r="AA292" s="13"/>
      <c r="AB292" s="13"/>
      <c r="AC292" s="13"/>
      <c r="AD292" s="13"/>
      <c r="AE292" s="13"/>
      <c r="AF292" s="13"/>
      <c r="AG292" s="13"/>
      <c r="AH292" s="13"/>
      <c r="AI292" s="13"/>
      <c r="AJ292" s="13"/>
      <c r="AK292" s="13"/>
      <c r="AL292" s="13"/>
      <c r="AM292" s="13"/>
      <c r="AN292" s="13"/>
    </row>
    <row r="293" spans="1:40" ht="21" thickTop="1">
      <c r="B293" s="11"/>
      <c r="C293" s="12"/>
      <c r="D293" s="496" t="s">
        <v>5</v>
      </c>
      <c r="E293" s="497"/>
      <c r="F293" s="498"/>
      <c r="G293" s="499" t="s">
        <v>71</v>
      </c>
      <c r="H293" s="497"/>
      <c r="I293" s="498"/>
      <c r="J293" s="499" t="s">
        <v>7</v>
      </c>
      <c r="K293" s="497"/>
      <c r="L293" s="498"/>
      <c r="M293" s="499" t="s">
        <v>213</v>
      </c>
      <c r="N293" s="498"/>
      <c r="O293" s="496" t="s">
        <v>8</v>
      </c>
      <c r="P293" s="497"/>
      <c r="Q293" s="498"/>
      <c r="R293" s="494" t="s">
        <v>214</v>
      </c>
      <c r="S293" s="495"/>
      <c r="T293" s="13"/>
      <c r="U293" s="13"/>
      <c r="V293" s="13"/>
      <c r="W293" s="13"/>
      <c r="X293" s="13"/>
      <c r="Y293" s="13"/>
      <c r="Z293" s="13"/>
      <c r="AA293" s="13"/>
      <c r="AB293" s="13"/>
      <c r="AC293" s="13"/>
      <c r="AD293" s="13"/>
      <c r="AE293" s="13"/>
      <c r="AF293" s="13"/>
      <c r="AG293" s="13"/>
      <c r="AH293" s="13"/>
      <c r="AI293" s="13"/>
      <c r="AJ293" s="13"/>
      <c r="AK293" s="13"/>
      <c r="AL293" s="13"/>
      <c r="AM293" s="13"/>
      <c r="AN293" s="13"/>
    </row>
    <row r="294" spans="1:40" ht="20.25">
      <c r="A294" t="str">
        <f t="shared" ref="A294:A348" si="84">+B294&amp;C294</f>
        <v>Pièces</v>
      </c>
      <c r="B294" s="11" t="s">
        <v>98</v>
      </c>
      <c r="C294" s="29"/>
      <c r="D294" s="80" t="s">
        <v>79</v>
      </c>
      <c r="E294" s="80" t="s">
        <v>99</v>
      </c>
      <c r="F294" s="134" t="s">
        <v>12</v>
      </c>
      <c r="G294" s="135" t="s">
        <v>79</v>
      </c>
      <c r="H294" s="80" t="s">
        <v>99</v>
      </c>
      <c r="I294" s="134" t="s">
        <v>12</v>
      </c>
      <c r="J294" s="135" t="s">
        <v>79</v>
      </c>
      <c r="K294" s="80" t="s">
        <v>99</v>
      </c>
      <c r="L294" s="134" t="s">
        <v>12</v>
      </c>
      <c r="M294" s="135" t="s">
        <v>39</v>
      </c>
      <c r="N294" s="134" t="s">
        <v>217</v>
      </c>
      <c r="O294" s="80" t="s">
        <v>79</v>
      </c>
      <c r="P294" s="80" t="s">
        <v>99</v>
      </c>
      <c r="Q294" s="134" t="s">
        <v>12</v>
      </c>
      <c r="R294" s="135" t="s">
        <v>80</v>
      </c>
      <c r="S294" s="136" t="s">
        <v>12</v>
      </c>
      <c r="T294" s="13"/>
      <c r="U294" s="13"/>
      <c r="V294" s="13"/>
      <c r="W294" s="13"/>
      <c r="X294" s="13"/>
      <c r="Y294" s="13"/>
      <c r="Z294" s="13"/>
      <c r="AA294" s="13"/>
      <c r="AB294" s="13"/>
      <c r="AC294" s="13"/>
      <c r="AD294" s="13"/>
      <c r="AE294" s="13"/>
      <c r="AF294" s="13"/>
      <c r="AG294" s="13"/>
      <c r="AH294" s="13"/>
      <c r="AI294" s="13"/>
      <c r="AJ294" s="13"/>
      <c r="AK294" s="13"/>
      <c r="AL294" s="13"/>
      <c r="AM294" s="13"/>
      <c r="AN294" s="13"/>
    </row>
    <row r="295" spans="1:40" ht="20.25">
      <c r="A295" t="str">
        <f t="shared" si="84"/>
        <v>PiècesPièces Ro Clients</v>
      </c>
      <c r="B295" s="11" t="s">
        <v>98</v>
      </c>
      <c r="C295" s="29" t="s">
        <v>100</v>
      </c>
      <c r="D295" s="82">
        <f>+SUM(START:END!D295)</f>
        <v>189400.85907853869</v>
      </c>
      <c r="E295" s="148">
        <f>IF(D295=0,0,F295/D295)</f>
        <v>0.41799999999999998</v>
      </c>
      <c r="F295" s="85">
        <f>+SUM(START:END!F295)</f>
        <v>79169.559094829165</v>
      </c>
      <c r="G295" s="82">
        <f>+SUM(START:END!G295)</f>
        <v>0</v>
      </c>
      <c r="H295" s="148">
        <f>IF(G295=0,0,I295/G295)</f>
        <v>0</v>
      </c>
      <c r="I295" s="85">
        <f>+SUM(START:END!I295)</f>
        <v>0</v>
      </c>
      <c r="J295" s="30">
        <f>+SUM(START:END!J295)</f>
        <v>172430.41999999998</v>
      </c>
      <c r="K295" s="148">
        <f>IF(J295=0,0,L295/J295)</f>
        <v>0.38800885597796486</v>
      </c>
      <c r="L295" s="33">
        <f>+SUM(START:END!L295)</f>
        <v>66904.529999999984</v>
      </c>
      <c r="M295" s="157">
        <f t="shared" ref="M295:M301" si="85">(+J295-D295)/D295</f>
        <v>-8.9600644691382264E-2</v>
      </c>
      <c r="N295" s="59">
        <f t="shared" ref="N295:N304" si="86">L295-F295</f>
        <v>-12265.02909482918</v>
      </c>
      <c r="O295" s="30">
        <f>+SUM(START:END!O295)</f>
        <v>184911.24</v>
      </c>
      <c r="P295" s="148">
        <f>IF(O295=0,0,Q295/O295)</f>
        <v>0.41313654053696142</v>
      </c>
      <c r="Q295" s="33">
        <f>+SUM(START:END!Q295)</f>
        <v>76393.589999999793</v>
      </c>
      <c r="R295" s="157">
        <f>IF(O295=0,0,(J295-O295)/O295)</f>
        <v>-6.7496275510347606E-2</v>
      </c>
      <c r="S295" s="85">
        <f t="shared" ref="S295:S300" si="87">L295-Q295</f>
        <v>-9489.0599999998085</v>
      </c>
      <c r="T295" s="13"/>
      <c r="U295" s="13"/>
      <c r="V295" s="13"/>
      <c r="W295" s="13"/>
      <c r="X295" s="13"/>
      <c r="Y295" s="13"/>
      <c r="Z295" s="13"/>
      <c r="AA295" s="13"/>
      <c r="AB295" s="13"/>
      <c r="AC295" s="13"/>
      <c r="AD295" s="13"/>
      <c r="AE295" s="13"/>
      <c r="AF295" s="13"/>
      <c r="AG295" s="13"/>
      <c r="AH295" s="13"/>
      <c r="AI295" s="13"/>
      <c r="AJ295" s="13"/>
      <c r="AK295" s="13"/>
      <c r="AL295" s="13"/>
      <c r="AM295" s="13"/>
      <c r="AN295" s="13"/>
    </row>
    <row r="296" spans="1:40" ht="20.25">
      <c r="A296" t="str">
        <f t="shared" si="84"/>
        <v>PiècesPièces Ro Carrosserie</v>
      </c>
      <c r="B296" s="11" t="s">
        <v>98</v>
      </c>
      <c r="C296" s="29" t="s">
        <v>101</v>
      </c>
      <c r="D296" s="82">
        <f>+SUM(START:END!D296)</f>
        <v>2500</v>
      </c>
      <c r="E296" s="148">
        <f t="shared" ref="E296:E303" si="88">IF(D296=0,0,F296/D296)</f>
        <v>0.34</v>
      </c>
      <c r="F296" s="85">
        <f>+SUM(START:END!F296)</f>
        <v>850</v>
      </c>
      <c r="G296" s="82">
        <f>+SUM(START:END!G296)</f>
        <v>0</v>
      </c>
      <c r="H296" s="148">
        <f t="shared" ref="H296:H303" si="89">IF(G296=0,0,I296/G296)</f>
        <v>0</v>
      </c>
      <c r="I296" s="85">
        <f>+SUM(START:END!I296)</f>
        <v>0</v>
      </c>
      <c r="J296" s="30">
        <f>+SUM(START:END!J296)</f>
        <v>0</v>
      </c>
      <c r="K296" s="148">
        <f t="shared" ref="K296:K303" si="90">IF(J296=0,0,L296/J296)</f>
        <v>0</v>
      </c>
      <c r="L296" s="33">
        <f>+SUM(START:END!L296)</f>
        <v>0</v>
      </c>
      <c r="M296" s="157">
        <f t="shared" si="85"/>
        <v>-1</v>
      </c>
      <c r="N296" s="59">
        <f t="shared" si="86"/>
        <v>-850</v>
      </c>
      <c r="O296" s="30">
        <f>+SUM(START:END!O296)</f>
        <v>743.28</v>
      </c>
      <c r="P296" s="148">
        <f t="shared" ref="P296:P303" si="91">IF(O296=0,0,Q296/O296)</f>
        <v>0.34900710364869098</v>
      </c>
      <c r="Q296" s="33">
        <f>+SUM(START:END!Q296)</f>
        <v>259.409999999999</v>
      </c>
      <c r="R296" s="157">
        <f t="shared" ref="R296:R303" si="92">IF(O296=0,0,(J296-O296)/O296)</f>
        <v>-1</v>
      </c>
      <c r="S296" s="85">
        <f t="shared" si="87"/>
        <v>-259.409999999999</v>
      </c>
      <c r="T296" s="13"/>
      <c r="U296" s="13"/>
      <c r="V296" s="13"/>
      <c r="W296" s="13"/>
      <c r="X296" s="13"/>
      <c r="Y296" s="13"/>
      <c r="Z296" s="13"/>
      <c r="AA296" s="13"/>
      <c r="AB296" s="13"/>
      <c r="AC296" s="13"/>
      <c r="AD296" s="13"/>
      <c r="AE296" s="13"/>
      <c r="AF296" s="13"/>
      <c r="AG296" s="13"/>
      <c r="AH296" s="13"/>
      <c r="AI296" s="13"/>
      <c r="AJ296" s="13"/>
      <c r="AK296" s="13"/>
      <c r="AL296" s="13"/>
      <c r="AM296" s="13"/>
      <c r="AN296" s="13"/>
    </row>
    <row r="297" spans="1:40" ht="20.25">
      <c r="A297" t="str">
        <f t="shared" si="84"/>
        <v>PiècesP/A Garantie</v>
      </c>
      <c r="B297" s="11" t="s">
        <v>98</v>
      </c>
      <c r="C297" s="29" t="s">
        <v>102</v>
      </c>
      <c r="D297" s="82">
        <f>+SUM(START:END!D297)</f>
        <v>201305.73165137027</v>
      </c>
      <c r="E297" s="148">
        <f t="shared" si="88"/>
        <v>0.28799999999999998</v>
      </c>
      <c r="F297" s="85">
        <f>+SUM(START:END!F297)</f>
        <v>57976.050715594632</v>
      </c>
      <c r="G297" s="82">
        <f>+SUM(START:END!G297)</f>
        <v>0</v>
      </c>
      <c r="H297" s="148">
        <f t="shared" si="89"/>
        <v>0</v>
      </c>
      <c r="I297" s="85">
        <f>+SUM(START:END!I297)</f>
        <v>0</v>
      </c>
      <c r="J297" s="30">
        <f>+SUM(START:END!J297)</f>
        <v>205778.63999999998</v>
      </c>
      <c r="K297" s="148">
        <f t="shared" si="90"/>
        <v>0.26952321193297807</v>
      </c>
      <c r="L297" s="33">
        <f>+SUM(START:END!L297)</f>
        <v>55462.119999999995</v>
      </c>
      <c r="M297" s="157">
        <f t="shared" si="85"/>
        <v>2.2219478362275783E-2</v>
      </c>
      <c r="N297" s="59">
        <f t="shared" si="86"/>
        <v>-2513.9307155946371</v>
      </c>
      <c r="O297" s="30">
        <f>+SUM(START:END!O297)</f>
        <v>183869.66999999981</v>
      </c>
      <c r="P297" s="148">
        <f t="shared" si="91"/>
        <v>0.28244348293005506</v>
      </c>
      <c r="Q297" s="33">
        <f>+SUM(START:END!Q297)</f>
        <v>51932.789999999804</v>
      </c>
      <c r="R297" s="157">
        <f t="shared" si="92"/>
        <v>0.1191548883510815</v>
      </c>
      <c r="S297" s="85">
        <f t="shared" si="87"/>
        <v>3529.3300000001909</v>
      </c>
      <c r="T297" s="13"/>
      <c r="U297" s="13"/>
      <c r="V297" s="13"/>
      <c r="W297" s="13"/>
      <c r="X297" s="13"/>
      <c r="Y297" s="13"/>
      <c r="Z297" s="13"/>
      <c r="AA297" s="13"/>
      <c r="AB297" s="13"/>
      <c r="AC297" s="13"/>
      <c r="AD297" s="13"/>
      <c r="AE297" s="13"/>
      <c r="AF297" s="13"/>
      <c r="AG297" s="13"/>
      <c r="AH297" s="13"/>
      <c r="AI297" s="13"/>
      <c r="AJ297" s="13"/>
      <c r="AK297" s="13"/>
      <c r="AL297" s="13"/>
      <c r="AM297" s="13"/>
      <c r="AN297" s="13"/>
    </row>
    <row r="298" spans="1:40" ht="20.25">
      <c r="A298" t="str">
        <f t="shared" si="84"/>
        <v>PiècesVentes Internes</v>
      </c>
      <c r="B298" s="11" t="s">
        <v>98</v>
      </c>
      <c r="C298" s="29" t="s">
        <v>103</v>
      </c>
      <c r="D298" s="82">
        <f>+SUM(START:END!D298)</f>
        <v>62827.395304734091</v>
      </c>
      <c r="E298" s="148">
        <f t="shared" si="88"/>
        <v>0.38500000000000006</v>
      </c>
      <c r="F298" s="85">
        <f>+SUM(START:END!F298)</f>
        <v>24188.547192322629</v>
      </c>
      <c r="G298" s="82">
        <f>+SUM(START:END!G298)</f>
        <v>0</v>
      </c>
      <c r="H298" s="148">
        <f t="shared" si="89"/>
        <v>0</v>
      </c>
      <c r="I298" s="85">
        <f>+SUM(START:END!I298)</f>
        <v>0</v>
      </c>
      <c r="J298" s="30">
        <f>+SUM(START:END!J298)</f>
        <v>52005.840000000004</v>
      </c>
      <c r="K298" s="148">
        <f t="shared" si="90"/>
        <v>0.36554779232486201</v>
      </c>
      <c r="L298" s="33">
        <f>+SUM(START:END!L298)</f>
        <v>19010.620000000003</v>
      </c>
      <c r="M298" s="157">
        <f t="shared" si="85"/>
        <v>-0.17224262206392432</v>
      </c>
      <c r="N298" s="59">
        <f t="shared" si="86"/>
        <v>-5177.9271923226261</v>
      </c>
      <c r="O298" s="30">
        <f>+SUM(START:END!O298)</f>
        <v>60757.39</v>
      </c>
      <c r="P298" s="148">
        <f t="shared" si="91"/>
        <v>0.36844604417668353</v>
      </c>
      <c r="Q298" s="33">
        <f>+SUM(START:END!Q298)</f>
        <v>22385.819999999989</v>
      </c>
      <c r="R298" s="157">
        <f t="shared" si="92"/>
        <v>-0.1440409141999022</v>
      </c>
      <c r="S298" s="85">
        <f t="shared" si="87"/>
        <v>-3375.1999999999862</v>
      </c>
      <c r="T298" s="13"/>
      <c r="U298" s="13"/>
      <c r="V298" s="13"/>
      <c r="W298" s="13"/>
      <c r="X298" s="13"/>
      <c r="Y298" s="13"/>
      <c r="Z298" s="13"/>
      <c r="AA298" s="13"/>
      <c r="AB298" s="13"/>
      <c r="AC298" s="13"/>
      <c r="AD298" s="13"/>
      <c r="AE298" s="13"/>
      <c r="AF298" s="13"/>
      <c r="AG298" s="13"/>
      <c r="AH298" s="13"/>
      <c r="AI298" s="13"/>
      <c r="AJ298" s="13"/>
      <c r="AK298" s="13"/>
      <c r="AL298" s="13"/>
      <c r="AM298" s="13"/>
      <c r="AN298" s="13"/>
    </row>
    <row r="299" spans="1:40" ht="20.25">
      <c r="A299" t="str">
        <f t="shared" si="84"/>
        <v>PiècesVentes Détails</v>
      </c>
      <c r="B299" s="11" t="s">
        <v>98</v>
      </c>
      <c r="C299" s="29" t="s">
        <v>104</v>
      </c>
      <c r="D299" s="82">
        <f>+SUM(START:END!D299)</f>
        <v>80944.419660619184</v>
      </c>
      <c r="E299" s="148">
        <f t="shared" si="88"/>
        <v>0.30999999999999994</v>
      </c>
      <c r="F299" s="85">
        <f>+SUM(START:END!F299)</f>
        <v>25092.770094791944</v>
      </c>
      <c r="G299" s="82">
        <f>+SUM(START:END!G299)</f>
        <v>0</v>
      </c>
      <c r="H299" s="148">
        <f t="shared" si="89"/>
        <v>0</v>
      </c>
      <c r="I299" s="85">
        <f>+SUM(START:END!I299)</f>
        <v>0</v>
      </c>
      <c r="J299" s="30">
        <f>+SUM(START:END!J299)</f>
        <v>80656.87</v>
      </c>
      <c r="K299" s="148">
        <f t="shared" si="90"/>
        <v>0.28505792500998361</v>
      </c>
      <c r="L299" s="33">
        <f>+SUM(START:END!L299)</f>
        <v>22991.879999999997</v>
      </c>
      <c r="M299" s="157">
        <f t="shared" si="85"/>
        <v>-3.5524334083166693E-3</v>
      </c>
      <c r="N299" s="59">
        <f t="shared" si="86"/>
        <v>-2100.8900947919465</v>
      </c>
      <c r="O299" s="30">
        <f>+SUM(START:END!O299)</f>
        <v>74690.200000000012</v>
      </c>
      <c r="P299" s="148">
        <f t="shared" si="91"/>
        <v>0.29643433810593617</v>
      </c>
      <c r="Q299" s="33">
        <f>+SUM(START:END!Q299)</f>
        <v>22140.739999999998</v>
      </c>
      <c r="R299" s="157">
        <f t="shared" si="92"/>
        <v>7.9885580705366735E-2</v>
      </c>
      <c r="S299" s="85">
        <f t="shared" si="87"/>
        <v>851.13999999999942</v>
      </c>
      <c r="T299" s="13"/>
      <c r="U299" s="13"/>
      <c r="V299" s="13"/>
      <c r="W299" s="13"/>
      <c r="X299" s="13"/>
      <c r="Y299" s="13"/>
      <c r="Z299" s="13"/>
      <c r="AA299" s="13"/>
      <c r="AB299" s="13"/>
      <c r="AC299" s="13"/>
      <c r="AD299" s="13"/>
      <c r="AE299" s="13"/>
      <c r="AF299" s="13"/>
      <c r="AG299" s="13"/>
      <c r="AH299" s="13"/>
      <c r="AI299" s="13"/>
      <c r="AJ299" s="13"/>
      <c r="AK299" s="13"/>
      <c r="AL299" s="13"/>
      <c r="AM299" s="13"/>
      <c r="AN299" s="13"/>
    </row>
    <row r="300" spans="1:40" ht="20.25">
      <c r="A300" t="str">
        <f t="shared" si="84"/>
        <v>PiècesVentes de Gros</v>
      </c>
      <c r="B300" s="11" t="s">
        <v>98</v>
      </c>
      <c r="C300" s="29" t="s">
        <v>105</v>
      </c>
      <c r="D300" s="82">
        <f>+SUM(START:END!D300)</f>
        <v>194776.88752096961</v>
      </c>
      <c r="E300" s="148">
        <f t="shared" si="88"/>
        <v>0.21300000000000002</v>
      </c>
      <c r="F300" s="85">
        <f>+SUM(START:END!F300)</f>
        <v>41487.477041966529</v>
      </c>
      <c r="G300" s="82">
        <f>+SUM(START:END!G300)</f>
        <v>0</v>
      </c>
      <c r="H300" s="148">
        <f t="shared" si="89"/>
        <v>0</v>
      </c>
      <c r="I300" s="85">
        <f>+SUM(START:END!I300)</f>
        <v>0</v>
      </c>
      <c r="J300" s="30">
        <f>+SUM(START:END!J300)</f>
        <v>111677.03</v>
      </c>
      <c r="K300" s="148">
        <f t="shared" si="90"/>
        <v>0.21597449359102763</v>
      </c>
      <c r="L300" s="33">
        <f>+SUM(START:END!L300)</f>
        <v>24119.39</v>
      </c>
      <c r="M300" s="157">
        <f t="shared" si="85"/>
        <v>-0.426641264159348</v>
      </c>
      <c r="N300" s="59">
        <f t="shared" si="86"/>
        <v>-17368.08704196653</v>
      </c>
      <c r="O300" s="30">
        <f>+SUM(START:END!O300)</f>
        <v>104210.81000000001</v>
      </c>
      <c r="P300" s="148">
        <f t="shared" si="91"/>
        <v>0.20033612635771567</v>
      </c>
      <c r="Q300" s="33">
        <f>+SUM(START:END!Q300)</f>
        <v>20877.1899999999</v>
      </c>
      <c r="R300" s="157">
        <f t="shared" si="92"/>
        <v>7.1645350419980283E-2</v>
      </c>
      <c r="S300" s="85">
        <f t="shared" si="87"/>
        <v>3242.200000000099</v>
      </c>
      <c r="T300" s="13"/>
      <c r="U300" s="13"/>
      <c r="V300" s="13"/>
      <c r="W300" s="13"/>
      <c r="X300" s="13"/>
      <c r="Y300" s="13"/>
      <c r="Z300" s="13"/>
      <c r="AA300" s="13"/>
      <c r="AB300" s="13"/>
      <c r="AC300" s="13"/>
      <c r="AD300" s="13"/>
      <c r="AE300" s="13"/>
      <c r="AF300" s="13"/>
      <c r="AG300" s="13"/>
      <c r="AH300" s="13"/>
      <c r="AI300" s="13"/>
      <c r="AJ300" s="13"/>
      <c r="AK300" s="13"/>
      <c r="AL300" s="13"/>
      <c r="AM300" s="13"/>
      <c r="AN300" s="13"/>
    </row>
    <row r="301" spans="1:40" ht="20.25" hidden="1">
      <c r="A301" t="str">
        <f t="shared" si="84"/>
        <v>Pièces[...]</v>
      </c>
      <c r="B301" s="11" t="s">
        <v>98</v>
      </c>
      <c r="C301" s="29" t="s">
        <v>19</v>
      </c>
      <c r="D301" s="82">
        <f>+SUM(START:END!D301)</f>
        <v>0</v>
      </c>
      <c r="E301" s="148">
        <f t="shared" si="88"/>
        <v>0</v>
      </c>
      <c r="F301" s="85">
        <f>+SUM(START:END!F301)</f>
        <v>0</v>
      </c>
      <c r="G301" s="82">
        <f>+SUM(START:END!G301)</f>
        <v>0</v>
      </c>
      <c r="H301" s="148">
        <f t="shared" si="89"/>
        <v>0</v>
      </c>
      <c r="I301" s="85">
        <f>+SUM(START:END!I301)</f>
        <v>0</v>
      </c>
      <c r="J301" s="30">
        <f>+SUM(START:END!J301)</f>
        <v>0</v>
      </c>
      <c r="K301" s="148">
        <f t="shared" si="90"/>
        <v>0</v>
      </c>
      <c r="L301" s="33">
        <f>+SUM(START:END!L301)</f>
        <v>0</v>
      </c>
      <c r="M301" s="157" t="e">
        <f t="shared" si="85"/>
        <v>#DIV/0!</v>
      </c>
      <c r="N301" s="59">
        <f t="shared" si="86"/>
        <v>0</v>
      </c>
      <c r="O301" s="30">
        <f>+SUM(START:END!O301)</f>
        <v>0</v>
      </c>
      <c r="P301" s="148">
        <f t="shared" si="91"/>
        <v>0</v>
      </c>
      <c r="Q301" s="33">
        <f>+SUM(START:END!Q301)</f>
        <v>0</v>
      </c>
      <c r="R301" s="157">
        <f>IF(O301=0,0,(J301-O301)/O301)</f>
        <v>0</v>
      </c>
      <c r="S301" s="85">
        <f>L301-Q301</f>
        <v>0</v>
      </c>
      <c r="T301" s="13"/>
      <c r="U301" s="13"/>
      <c r="V301" s="13"/>
      <c r="W301" s="13"/>
      <c r="X301" s="13"/>
      <c r="Y301" s="13"/>
      <c r="Z301" s="13"/>
      <c r="AA301" s="13"/>
      <c r="AB301" s="13"/>
      <c r="AC301" s="13"/>
      <c r="AD301" s="13"/>
      <c r="AE301" s="13"/>
      <c r="AF301" s="13"/>
      <c r="AG301" s="13"/>
      <c r="AH301" s="13"/>
      <c r="AI301" s="13"/>
      <c r="AJ301" s="13"/>
      <c r="AK301" s="13"/>
      <c r="AL301" s="13"/>
      <c r="AM301" s="13"/>
      <c r="AN301" s="13"/>
    </row>
    <row r="302" spans="1:40" ht="20.25">
      <c r="A302" t="str">
        <f t="shared" si="84"/>
        <v>PiècesEscomptes</v>
      </c>
      <c r="B302" s="11" t="s">
        <v>98</v>
      </c>
      <c r="C302" s="29" t="s">
        <v>106</v>
      </c>
      <c r="D302" s="82">
        <f>+SUM(START:END!D302)</f>
        <v>0</v>
      </c>
      <c r="E302" s="148">
        <f t="shared" si="88"/>
        <v>0</v>
      </c>
      <c r="F302" s="85">
        <f>+SUM(START:END!F302)</f>
        <v>18193.550251811248</v>
      </c>
      <c r="G302" s="82">
        <f>+SUM(START:END!G302)</f>
        <v>0</v>
      </c>
      <c r="H302" s="148">
        <f t="shared" si="89"/>
        <v>0</v>
      </c>
      <c r="I302" s="85">
        <f>+SUM(START:END!I302)</f>
        <v>0</v>
      </c>
      <c r="J302" s="30">
        <f>+SUM(START:END!J302)</f>
        <v>0</v>
      </c>
      <c r="K302" s="148">
        <f t="shared" si="90"/>
        <v>0</v>
      </c>
      <c r="L302" s="33">
        <f>+SUM(START:END!L302)</f>
        <v>5921.56</v>
      </c>
      <c r="M302" s="157"/>
      <c r="N302" s="59">
        <f t="shared" si="86"/>
        <v>-12271.990251811247</v>
      </c>
      <c r="O302" s="30">
        <f>+SUM(START:END!O302)</f>
        <v>0</v>
      </c>
      <c r="P302" s="148">
        <f t="shared" si="91"/>
        <v>0</v>
      </c>
      <c r="Q302" s="33">
        <f>+SUM(START:END!Q302)</f>
        <v>10800.9</v>
      </c>
      <c r="R302" s="157">
        <f t="shared" si="92"/>
        <v>0</v>
      </c>
      <c r="S302" s="85">
        <f>L302-Q302</f>
        <v>-4879.3399999999992</v>
      </c>
      <c r="T302" s="13"/>
      <c r="U302" s="13"/>
      <c r="V302" s="13"/>
      <c r="W302" s="13"/>
      <c r="X302" s="13"/>
      <c r="Y302" s="13"/>
      <c r="Z302" s="13"/>
      <c r="AA302" s="13"/>
      <c r="AB302" s="13"/>
      <c r="AC302" s="13"/>
      <c r="AD302" s="13"/>
      <c r="AE302" s="13"/>
      <c r="AF302" s="13"/>
      <c r="AG302" s="13"/>
      <c r="AH302" s="13"/>
      <c r="AI302" s="13"/>
      <c r="AJ302" s="13"/>
      <c r="AK302" s="13"/>
      <c r="AL302" s="13"/>
      <c r="AM302" s="13"/>
      <c r="AN302" s="13"/>
    </row>
    <row r="303" spans="1:40" ht="20.25">
      <c r="A303" t="str">
        <f t="shared" si="84"/>
        <v>PiècesRectif. Inventaire</v>
      </c>
      <c r="B303" s="11" t="s">
        <v>98</v>
      </c>
      <c r="C303" s="86" t="s">
        <v>107</v>
      </c>
      <c r="D303" s="82">
        <f>+SUM(START:END!D303)</f>
        <v>0</v>
      </c>
      <c r="E303" s="148">
        <f t="shared" si="88"/>
        <v>0</v>
      </c>
      <c r="F303" s="85">
        <f>+SUM(START:END!F303)</f>
        <v>0</v>
      </c>
      <c r="G303" s="82">
        <f>+SUM(START:END!G303)</f>
        <v>0</v>
      </c>
      <c r="H303" s="148">
        <f t="shared" si="89"/>
        <v>0</v>
      </c>
      <c r="I303" s="85">
        <f>+SUM(START:END!I303)</f>
        <v>0</v>
      </c>
      <c r="J303" s="30">
        <f>+SUM(START:END!J303)</f>
        <v>0</v>
      </c>
      <c r="K303" s="148">
        <f t="shared" si="90"/>
        <v>0</v>
      </c>
      <c r="L303" s="33">
        <f>+SUM(START:END!L303)</f>
        <v>0</v>
      </c>
      <c r="M303" s="157"/>
      <c r="N303" s="59">
        <f t="shared" si="86"/>
        <v>0</v>
      </c>
      <c r="O303" s="30">
        <f>+SUM(START:END!O303)</f>
        <v>0</v>
      </c>
      <c r="P303" s="148">
        <f t="shared" si="91"/>
        <v>0</v>
      </c>
      <c r="Q303" s="33">
        <f>+SUM(START:END!Q303)</f>
        <v>0</v>
      </c>
      <c r="R303" s="157">
        <f t="shared" si="92"/>
        <v>0</v>
      </c>
      <c r="S303" s="85">
        <f>L303-Q303</f>
        <v>0</v>
      </c>
      <c r="T303" s="13"/>
      <c r="U303" s="13"/>
      <c r="V303" s="13"/>
      <c r="W303" s="13"/>
      <c r="X303" s="13"/>
      <c r="Y303" s="13"/>
      <c r="Z303" s="13"/>
      <c r="AA303" s="13"/>
      <c r="AB303" s="13"/>
      <c r="AC303" s="13"/>
      <c r="AD303" s="13"/>
      <c r="AE303" s="13"/>
      <c r="AF303" s="13"/>
      <c r="AG303" s="13"/>
      <c r="AH303" s="13"/>
      <c r="AI303" s="13"/>
      <c r="AJ303" s="13"/>
      <c r="AK303" s="13"/>
      <c r="AL303" s="13"/>
      <c r="AM303" s="13"/>
      <c r="AN303" s="13"/>
    </row>
    <row r="304" spans="1:40" ht="20.25">
      <c r="A304" t="str">
        <f t="shared" si="84"/>
        <v>PiècesSous-total Pièces</v>
      </c>
      <c r="B304" s="11" t="s">
        <v>98</v>
      </c>
      <c r="C304" s="53" t="s">
        <v>108</v>
      </c>
      <c r="D304" s="195">
        <f>SUM(D295:D303)</f>
        <v>731755.29321623186</v>
      </c>
      <c r="E304" s="213">
        <f>IF(D304&lt;=0,0,F304/D304)</f>
        <v>0.33748707618619256</v>
      </c>
      <c r="F304" s="199">
        <f>SUM(F295:F303)</f>
        <v>246957.95439131613</v>
      </c>
      <c r="G304" s="195">
        <f>SUM(G295:G303)</f>
        <v>0</v>
      </c>
      <c r="H304" s="213">
        <f>IF(G304&lt;=0,0,I304/G304)</f>
        <v>0</v>
      </c>
      <c r="I304" s="199">
        <f>SUM(I295:I303)</f>
        <v>0</v>
      </c>
      <c r="J304" s="195">
        <f>SUM(J295:J303)</f>
        <v>622548.79999999993</v>
      </c>
      <c r="K304" s="213">
        <f>IF(J304&lt;=0,0,L304/J304)</f>
        <v>0.312280900710113</v>
      </c>
      <c r="L304" s="197">
        <f>SUM(L295:L303)</f>
        <v>194410.09999999998</v>
      </c>
      <c r="M304" s="214">
        <f>(+J304-D304)/D304</f>
        <v>-0.14923908884381884</v>
      </c>
      <c r="N304" s="197">
        <f t="shared" si="86"/>
        <v>-52547.854391316156</v>
      </c>
      <c r="O304" s="195">
        <f>SUM(O295:O303)</f>
        <v>609182.58999999985</v>
      </c>
      <c r="P304" s="213">
        <f>IF(O304&lt;=0,0,Q304/O304)</f>
        <v>0.33617250946058636</v>
      </c>
      <c r="Q304" s="197">
        <f>SUM(Q295:Q303)</f>
        <v>204790.43999999945</v>
      </c>
      <c r="R304" s="214">
        <f>IF(O304=0,0,(J304-O304)/O304)</f>
        <v>2.1941221268322986E-2</v>
      </c>
      <c r="S304" s="199">
        <f>L304-Q304</f>
        <v>-10380.339999999473</v>
      </c>
      <c r="T304" s="13"/>
      <c r="U304" s="13"/>
      <c r="V304" s="13"/>
      <c r="W304" s="13"/>
      <c r="X304" s="13"/>
      <c r="Y304" s="13"/>
      <c r="Z304" s="13"/>
      <c r="AA304" s="13"/>
      <c r="AB304" s="13"/>
      <c r="AC304" s="13"/>
      <c r="AD304" s="13"/>
      <c r="AE304" s="13"/>
      <c r="AF304" s="13"/>
      <c r="AG304" s="13"/>
      <c r="AH304" s="13"/>
      <c r="AI304" s="13"/>
      <c r="AJ304" s="13"/>
      <c r="AK304" s="13"/>
      <c r="AL304" s="13"/>
      <c r="AM304" s="13"/>
      <c r="AN304" s="13"/>
    </row>
    <row r="305" spans="1:40" ht="20.25">
      <c r="A305" t="str">
        <f t="shared" si="84"/>
        <v>Pièces</v>
      </c>
      <c r="B305" s="11" t="s">
        <v>98</v>
      </c>
      <c r="C305" s="29"/>
      <c r="D305" s="13"/>
      <c r="E305" s="13"/>
      <c r="F305" s="40"/>
      <c r="G305" s="41"/>
      <c r="H305" s="13"/>
      <c r="I305" s="40"/>
      <c r="J305" s="41"/>
      <c r="K305" s="13"/>
      <c r="L305" s="40"/>
      <c r="M305" s="41"/>
      <c r="N305" s="43">
        <f>N304/F304</f>
        <v>-0.21278057036402109</v>
      </c>
      <c r="O305" s="41"/>
      <c r="P305" s="13"/>
      <c r="Q305" s="40"/>
      <c r="R305" s="41"/>
      <c r="S305" s="44">
        <f>IF(Q304=0,0,S304/Q304)</f>
        <v>-5.0687619988508743E-2</v>
      </c>
      <c r="T305" s="13"/>
      <c r="U305" s="13"/>
      <c r="V305" s="13"/>
      <c r="W305" s="13"/>
      <c r="X305" s="13"/>
      <c r="Y305" s="13"/>
      <c r="Z305" s="13"/>
      <c r="AA305" s="13"/>
      <c r="AB305" s="13"/>
      <c r="AC305" s="13"/>
      <c r="AD305" s="13"/>
      <c r="AE305" s="13"/>
      <c r="AF305" s="13"/>
      <c r="AG305" s="13"/>
      <c r="AH305" s="13"/>
      <c r="AI305" s="13"/>
      <c r="AJ305" s="13"/>
      <c r="AK305" s="13"/>
      <c r="AL305" s="13"/>
      <c r="AM305" s="13"/>
      <c r="AN305" s="13"/>
    </row>
    <row r="306" spans="1:40" ht="20.25">
      <c r="A306" t="str">
        <f t="shared" si="84"/>
        <v>Pièces</v>
      </c>
      <c r="B306" s="11" t="s">
        <v>98</v>
      </c>
      <c r="C306" s="86"/>
      <c r="D306" s="111"/>
      <c r="E306" s="111"/>
      <c r="F306" s="215"/>
      <c r="G306" s="23"/>
      <c r="H306" s="216"/>
      <c r="I306" s="215"/>
      <c r="J306" s="23"/>
      <c r="K306" s="111"/>
      <c r="L306" s="215"/>
      <c r="M306" s="23"/>
      <c r="N306" s="168"/>
      <c r="O306" s="23"/>
      <c r="P306" s="111"/>
      <c r="Q306" s="215"/>
      <c r="R306" s="23"/>
      <c r="S306" s="169"/>
      <c r="T306" s="13"/>
      <c r="U306" s="13"/>
      <c r="V306" s="13"/>
      <c r="W306" s="13"/>
      <c r="X306" s="13"/>
      <c r="Y306" s="13"/>
      <c r="Z306" s="13"/>
      <c r="AA306" s="13"/>
      <c r="AB306" s="13"/>
      <c r="AC306" s="13"/>
      <c r="AD306" s="13"/>
      <c r="AE306" s="13"/>
      <c r="AF306" s="13"/>
      <c r="AG306" s="13"/>
      <c r="AH306" s="13"/>
      <c r="AI306" s="13"/>
      <c r="AJ306" s="13"/>
      <c r="AK306" s="13"/>
      <c r="AL306" s="13"/>
      <c r="AM306" s="13"/>
      <c r="AN306" s="13"/>
    </row>
    <row r="307" spans="1:40" ht="20.25">
      <c r="A307" t="str">
        <f t="shared" si="84"/>
        <v>PiècesVentes Pneus</v>
      </c>
      <c r="B307" s="11" t="s">
        <v>98</v>
      </c>
      <c r="C307" s="29" t="s">
        <v>109</v>
      </c>
      <c r="D307" s="82">
        <f>+SUM(START:END!D307)</f>
        <v>131218.53457510509</v>
      </c>
      <c r="E307" s="148">
        <f t="shared" ref="E307:E308" si="93">IF(D307=0,0,F307/D307)</f>
        <v>0.25</v>
      </c>
      <c r="F307" s="110">
        <f>+SUM(START:END!F307)</f>
        <v>32804.633643776273</v>
      </c>
      <c r="G307" s="82">
        <f>+SUM(START:END!G307)</f>
        <v>0</v>
      </c>
      <c r="H307" s="148">
        <f t="shared" ref="H307:H308" si="94">IF(G307=0,0,I307/G307)</f>
        <v>0</v>
      </c>
      <c r="I307" s="110">
        <f>+SUM(START:END!I307)</f>
        <v>0</v>
      </c>
      <c r="J307" s="30">
        <f>+SUM(START:END!J307)</f>
        <v>150193.45000000001</v>
      </c>
      <c r="K307" s="148">
        <f t="shared" ref="K307:K308" si="95">IF(J307=0,0,L307/J307)</f>
        <v>0.25093624255917946</v>
      </c>
      <c r="L307" s="33">
        <f>+SUM(START:END!L307)</f>
        <v>37688.979999999996</v>
      </c>
      <c r="M307" s="157">
        <f>(+J307-D307)/D307</f>
        <v>0.14460545140468944</v>
      </c>
      <c r="N307" s="59">
        <f>L307-F307</f>
        <v>4884.346356223723</v>
      </c>
      <c r="O307" s="30">
        <f>+SUM(START:END!O307)</f>
        <v>139109.31</v>
      </c>
      <c r="P307" s="148">
        <f t="shared" ref="P307:P308" si="96">IF(O307=0,0,Q307/O307)</f>
        <v>0.25919048840081227</v>
      </c>
      <c r="Q307" s="33">
        <f>+SUM(START:END!Q307)</f>
        <v>36055.81</v>
      </c>
      <c r="R307" s="157">
        <f>IF(O307=0,0,(J307-O307)/O307)</f>
        <v>7.9679354314962911E-2</v>
      </c>
      <c r="S307" s="85">
        <f>L307-Q307</f>
        <v>1633.1699999999983</v>
      </c>
      <c r="T307" s="13"/>
      <c r="U307" s="13"/>
      <c r="V307" s="13"/>
      <c r="W307" s="13"/>
      <c r="X307" s="13"/>
      <c r="Y307" s="13"/>
      <c r="Z307" s="13"/>
      <c r="AA307" s="13"/>
      <c r="AB307" s="13"/>
      <c r="AC307" s="13"/>
      <c r="AD307" s="13"/>
      <c r="AE307" s="13"/>
      <c r="AF307" s="13"/>
      <c r="AG307" s="13"/>
      <c r="AH307" s="13"/>
      <c r="AI307" s="13"/>
      <c r="AJ307" s="13"/>
      <c r="AK307" s="13"/>
      <c r="AL307" s="13"/>
      <c r="AM307" s="13"/>
      <c r="AN307" s="13"/>
    </row>
    <row r="308" spans="1:40" ht="20.25">
      <c r="A308" t="str">
        <f t="shared" si="84"/>
        <v>PiècesHuiles et Graisse</v>
      </c>
      <c r="B308" s="11" t="s">
        <v>98</v>
      </c>
      <c r="C308" s="86" t="s">
        <v>110</v>
      </c>
      <c r="D308" s="82">
        <f>+SUM(START:END!D308)</f>
        <v>35832.324301739231</v>
      </c>
      <c r="E308" s="148">
        <f t="shared" si="93"/>
        <v>0.34999999999999992</v>
      </c>
      <c r="F308" s="92">
        <f>+SUM(START:END!F308)</f>
        <v>12541.313505608729</v>
      </c>
      <c r="G308" s="82">
        <f>+SUM(START:END!G308)</f>
        <v>0</v>
      </c>
      <c r="H308" s="148">
        <f t="shared" si="94"/>
        <v>0</v>
      </c>
      <c r="I308" s="92">
        <f>+SUM(START:END!I308)</f>
        <v>0</v>
      </c>
      <c r="J308" s="30">
        <f>+SUM(START:END!J308)</f>
        <v>30762.639999999999</v>
      </c>
      <c r="K308" s="148">
        <f t="shared" si="95"/>
        <v>0.34292115371112503</v>
      </c>
      <c r="L308" s="33">
        <f>+SUM(START:END!L308)</f>
        <v>10549.160000000003</v>
      </c>
      <c r="M308" s="157">
        <f>(+J308-D308)/D308</f>
        <v>-0.14148354594717594</v>
      </c>
      <c r="N308" s="59">
        <f>L308-F308</f>
        <v>-1992.153505608725</v>
      </c>
      <c r="O308" s="30">
        <f>+SUM(START:END!O308)</f>
        <v>38550.919999999896</v>
      </c>
      <c r="P308" s="148">
        <f t="shared" si="96"/>
        <v>0.33588433168391352</v>
      </c>
      <c r="Q308" s="33">
        <f>+SUM(START:END!Q308)</f>
        <v>12948.64999999998</v>
      </c>
      <c r="R308" s="157">
        <f>IF(O308=0,0,(J308-O308)/O308)</f>
        <v>-0.20202578823021392</v>
      </c>
      <c r="S308" s="85">
        <f>L308-Q308</f>
        <v>-2399.4899999999761</v>
      </c>
      <c r="T308" s="13"/>
      <c r="U308" s="13"/>
      <c r="V308" s="13"/>
      <c r="W308" s="13"/>
      <c r="X308" s="13"/>
      <c r="Y308" s="13"/>
      <c r="Z308" s="13"/>
      <c r="AA308" s="13"/>
      <c r="AB308" s="13"/>
      <c r="AC308" s="13"/>
      <c r="AD308" s="13"/>
      <c r="AE308" s="13"/>
      <c r="AF308" s="13"/>
      <c r="AG308" s="13"/>
      <c r="AH308" s="13"/>
      <c r="AI308" s="13"/>
      <c r="AJ308" s="13"/>
      <c r="AK308" s="13"/>
      <c r="AL308" s="13"/>
      <c r="AM308" s="13"/>
      <c r="AN308" s="13"/>
    </row>
    <row r="309" spans="1:40" ht="20.25">
      <c r="A309" t="str">
        <f t="shared" si="84"/>
        <v>PiècesSous-total Pièces et Acc.</v>
      </c>
      <c r="B309" s="11" t="s">
        <v>98</v>
      </c>
      <c r="C309" s="53" t="s">
        <v>111</v>
      </c>
      <c r="D309" s="195">
        <f>D304+D307+D308</f>
        <v>898806.15209307615</v>
      </c>
      <c r="E309" s="213">
        <f>IF(D309&lt;=0,0,F309/D309)</f>
        <v>0.32521350778474811</v>
      </c>
      <c r="F309" s="197">
        <f t="shared" ref="F309" si="97">F304+F307+F308</f>
        <v>292303.9015407011</v>
      </c>
      <c r="G309" s="198">
        <f>G304+G307+G308</f>
        <v>0</v>
      </c>
      <c r="H309" s="213">
        <f>IF(G309&lt;=0,0,I309/G309)</f>
        <v>0</v>
      </c>
      <c r="I309" s="197">
        <f t="shared" ref="I309" si="98">I304+I307+I308</f>
        <v>0</v>
      </c>
      <c r="J309" s="198">
        <f>J304+J307+J308</f>
        <v>803504.89</v>
      </c>
      <c r="K309" s="213">
        <f>IF(J309&lt;=0,0,L309/J309)</f>
        <v>0.3019872598410695</v>
      </c>
      <c r="L309" s="197">
        <f t="shared" ref="L309" si="99">L304+L307+L308</f>
        <v>242648.23999999996</v>
      </c>
      <c r="M309" s="214">
        <f>(+J309-D309)/D309</f>
        <v>-0.10603094101119057</v>
      </c>
      <c r="N309" s="197">
        <f>L309-F309</f>
        <v>-49655.661540701141</v>
      </c>
      <c r="O309" s="198">
        <f>O304+O307+O308</f>
        <v>786842.81999999983</v>
      </c>
      <c r="P309" s="213">
        <f>IF(O309&lt;=0,0,Q309/O309)</f>
        <v>0.32254840935067502</v>
      </c>
      <c r="Q309" s="197">
        <f t="shared" ref="Q309" si="100">Q304+Q307+Q308</f>
        <v>253794.89999999944</v>
      </c>
      <c r="R309" s="214">
        <f>IF(O309=0,0,(J309-O309)/O309)</f>
        <v>2.1175855681062433E-2</v>
      </c>
      <c r="S309" s="199">
        <f>L309-Q309</f>
        <v>-11146.65999999948</v>
      </c>
      <c r="T309" s="13"/>
      <c r="U309" s="13"/>
      <c r="V309" s="13"/>
      <c r="W309" s="13"/>
      <c r="X309" s="13"/>
      <c r="Y309" s="13"/>
      <c r="Z309" s="13"/>
      <c r="AA309" s="13"/>
      <c r="AB309" s="13"/>
      <c r="AC309" s="13"/>
      <c r="AD309" s="13"/>
      <c r="AE309" s="13"/>
      <c r="AF309" s="13"/>
      <c r="AG309" s="13"/>
      <c r="AH309" s="13"/>
      <c r="AI309" s="13"/>
      <c r="AJ309" s="13"/>
      <c r="AK309" s="13"/>
      <c r="AL309" s="13"/>
      <c r="AM309" s="13"/>
      <c r="AN309" s="13"/>
    </row>
    <row r="310" spans="1:40" ht="20.25">
      <c r="A310" t="str">
        <f t="shared" si="84"/>
        <v>Pièces</v>
      </c>
      <c r="B310" s="11" t="s">
        <v>98</v>
      </c>
      <c r="C310" s="29"/>
      <c r="D310" s="13"/>
      <c r="E310" s="13"/>
      <c r="F310" s="40"/>
      <c r="G310" s="41"/>
      <c r="H310" s="13"/>
      <c r="I310" s="40"/>
      <c r="J310" s="41"/>
      <c r="K310" s="13"/>
      <c r="L310" s="40"/>
      <c r="M310" s="41"/>
      <c r="N310" s="43">
        <f>N309/F309</f>
        <v>-0.16987683461962608</v>
      </c>
      <c r="O310" s="41"/>
      <c r="P310" s="13"/>
      <c r="Q310" s="40"/>
      <c r="R310" s="41"/>
      <c r="S310" s="44">
        <f>IF(Q309=0,0,S309/Q309)</f>
        <v>-4.3919952686202537E-2</v>
      </c>
      <c r="T310" s="13"/>
      <c r="U310" s="13"/>
      <c r="V310" s="13"/>
      <c r="W310" s="13"/>
      <c r="X310" s="13"/>
      <c r="Y310" s="13"/>
      <c r="Z310" s="13"/>
      <c r="AA310" s="13"/>
      <c r="AB310" s="13"/>
      <c r="AC310" s="13"/>
      <c r="AD310" s="13"/>
      <c r="AE310" s="13"/>
      <c r="AF310" s="13"/>
      <c r="AG310" s="13"/>
      <c r="AH310" s="13"/>
      <c r="AI310" s="13"/>
      <c r="AJ310" s="13"/>
      <c r="AK310" s="13"/>
      <c r="AL310" s="13"/>
      <c r="AM310" s="13"/>
      <c r="AN310" s="13"/>
    </row>
    <row r="311" spans="1:40" ht="20.25">
      <c r="A311" t="str">
        <f t="shared" si="84"/>
        <v>PiècesPièces recond. MCPA</v>
      </c>
      <c r="B311" s="11" t="s">
        <v>98</v>
      </c>
      <c r="C311" s="29" t="s">
        <v>190</v>
      </c>
      <c r="D311" s="13">
        <f>+SUM(START:END!D311)</f>
        <v>0</v>
      </c>
      <c r="E311" s="13">
        <f t="shared" ref="E311:E312" si="101">IF(D311=0,0,F311/D311)</f>
        <v>0</v>
      </c>
      <c r="F311" s="40">
        <f>+SUM(START:END!F311)</f>
        <v>0</v>
      </c>
      <c r="G311" s="41">
        <f>+SUM(START:END!G311)</f>
        <v>0</v>
      </c>
      <c r="H311" s="13">
        <f t="shared" ref="H311:H312" si="102">IF(G311=0,0,I311/G311)</f>
        <v>0</v>
      </c>
      <c r="I311" s="40">
        <f>+SUM(START:END!I311)</f>
        <v>0</v>
      </c>
      <c r="J311" s="41">
        <f>+SUM(START:END!J311)</f>
        <v>0</v>
      </c>
      <c r="K311" s="13">
        <f t="shared" ref="K311:K312" si="103">IF(J311=0,0,L311/J311)</f>
        <v>0</v>
      </c>
      <c r="L311" s="40">
        <f>+SUM(START:END!L311)</f>
        <v>0</v>
      </c>
      <c r="M311" s="41"/>
      <c r="N311" s="43"/>
      <c r="O311" s="41">
        <f>+SUM(START:END!O311)</f>
        <v>0</v>
      </c>
      <c r="P311" s="13">
        <f t="shared" ref="P311:P312" si="104">IF(O311=0,0,Q311/O311)</f>
        <v>0</v>
      </c>
      <c r="Q311" s="40">
        <f>+SUM(START:END!Q311)</f>
        <v>0</v>
      </c>
      <c r="R311" s="41"/>
      <c r="S311" s="44"/>
      <c r="T311" s="13"/>
      <c r="U311" s="13"/>
      <c r="V311" s="13"/>
      <c r="W311" s="13"/>
      <c r="X311" s="13"/>
      <c r="Y311" s="13"/>
      <c r="Z311" s="13"/>
      <c r="AA311" s="13"/>
      <c r="AB311" s="13"/>
      <c r="AC311" s="13"/>
      <c r="AD311" s="13"/>
      <c r="AE311" s="13"/>
      <c r="AF311" s="13"/>
      <c r="AG311" s="13"/>
      <c r="AH311" s="13"/>
      <c r="AI311" s="13"/>
      <c r="AJ311" s="13"/>
      <c r="AK311" s="13"/>
      <c r="AL311" s="13"/>
      <c r="AM311" s="13"/>
      <c r="AN311" s="13"/>
    </row>
    <row r="312" spans="1:40" ht="20.25">
      <c r="A312" t="str">
        <f t="shared" si="84"/>
        <v>PiècesAutostock</v>
      </c>
      <c r="B312" s="11" t="s">
        <v>98</v>
      </c>
      <c r="C312" s="86" t="s">
        <v>112</v>
      </c>
      <c r="D312" s="90">
        <f>+SUM(START:END!D312)</f>
        <v>0</v>
      </c>
      <c r="E312" s="217">
        <f t="shared" si="101"/>
        <v>0</v>
      </c>
      <c r="F312" s="146">
        <f>+SUM(START:END!F312)</f>
        <v>0</v>
      </c>
      <c r="G312" s="172">
        <f>+SUM(START:END!G312)</f>
        <v>0</v>
      </c>
      <c r="H312" s="217">
        <f t="shared" si="102"/>
        <v>0</v>
      </c>
      <c r="I312" s="146">
        <f>+SUM(START:END!I312)</f>
        <v>0</v>
      </c>
      <c r="J312" s="46">
        <f>+SUM(START:END!J312)</f>
        <v>0</v>
      </c>
      <c r="K312" s="218">
        <f t="shared" si="103"/>
        <v>0</v>
      </c>
      <c r="L312" s="22">
        <f>+SUM(START:END!L312)</f>
        <v>0</v>
      </c>
      <c r="M312" s="218">
        <f>IF(F312=0,0,(+L312-F312)/F312)</f>
        <v>0</v>
      </c>
      <c r="N312" s="91">
        <f>L312-F312</f>
        <v>0</v>
      </c>
      <c r="O312" s="46">
        <f>+SUM(START:END!O312)</f>
        <v>0</v>
      </c>
      <c r="P312" s="218">
        <f t="shared" si="104"/>
        <v>0</v>
      </c>
      <c r="Q312" s="22">
        <f>+SUM(START:END!Q312)</f>
        <v>0</v>
      </c>
      <c r="R312" s="218">
        <f>IF(S312=0,0,(+O312-K312)/K312)</f>
        <v>0</v>
      </c>
      <c r="S312" s="92">
        <f>L312-Q312</f>
        <v>0</v>
      </c>
      <c r="T312" s="13"/>
      <c r="U312" s="13"/>
      <c r="V312" s="13"/>
      <c r="W312" s="13"/>
      <c r="X312" s="13"/>
      <c r="Y312" s="13"/>
      <c r="Z312" s="13"/>
      <c r="AA312" s="13"/>
      <c r="AB312" s="13"/>
      <c r="AC312" s="13"/>
      <c r="AD312" s="13"/>
      <c r="AE312" s="13"/>
      <c r="AF312" s="13"/>
      <c r="AG312" s="13"/>
      <c r="AH312" s="13"/>
      <c r="AI312" s="13"/>
      <c r="AJ312" s="13"/>
      <c r="AK312" s="13"/>
      <c r="AL312" s="13"/>
      <c r="AM312" s="13"/>
      <c r="AN312" s="13"/>
    </row>
    <row r="313" spans="1:40" ht="21" thickBot="1">
      <c r="A313" t="str">
        <f t="shared" si="84"/>
        <v>Pièces</v>
      </c>
      <c r="B313" s="11" t="s">
        <v>98</v>
      </c>
      <c r="C313" s="29"/>
      <c r="D313" s="82"/>
      <c r="E313" s="148"/>
      <c r="F313" s="59"/>
      <c r="G313" s="60"/>
      <c r="H313" s="148"/>
      <c r="I313" s="59"/>
      <c r="J313" s="60"/>
      <c r="K313" s="148"/>
      <c r="L313" s="59"/>
      <c r="M313" s="157"/>
      <c r="N313" s="59"/>
      <c r="O313" s="60"/>
      <c r="P313" s="148"/>
      <c r="Q313" s="59"/>
      <c r="R313" s="157"/>
      <c r="S313" s="85"/>
      <c r="T313" s="13"/>
      <c r="U313" s="13"/>
      <c r="V313" s="13"/>
      <c r="W313" s="13"/>
      <c r="X313" s="13"/>
      <c r="Y313" s="13"/>
      <c r="Z313" s="13"/>
      <c r="AA313" s="13"/>
      <c r="AB313" s="13"/>
      <c r="AC313" s="13"/>
      <c r="AD313" s="13"/>
      <c r="AE313" s="13"/>
      <c r="AF313" s="13"/>
      <c r="AG313" s="13"/>
      <c r="AH313" s="13"/>
      <c r="AI313" s="13"/>
      <c r="AJ313" s="13"/>
      <c r="AK313" s="13"/>
      <c r="AL313" s="13"/>
      <c r="AM313" s="13"/>
      <c r="AN313" s="13"/>
    </row>
    <row r="314" spans="1:40" ht="21" thickTop="1">
      <c r="A314" t="str">
        <f t="shared" si="84"/>
        <v>PiècesTotal Dépt. Pièces</v>
      </c>
      <c r="B314" s="11" t="s">
        <v>98</v>
      </c>
      <c r="C314" s="62" t="s">
        <v>113</v>
      </c>
      <c r="D314" s="63">
        <f>D309+D312+D311</f>
        <v>898806.15209307615</v>
      </c>
      <c r="E314" s="219">
        <f>IF(D314&lt;=0,0,F314/D314)</f>
        <v>0.32521350778474811</v>
      </c>
      <c r="F314" s="65">
        <f>F309+F312+F311</f>
        <v>292303.9015407011</v>
      </c>
      <c r="G314" s="66">
        <f>G309+G312+G311</f>
        <v>0</v>
      </c>
      <c r="H314" s="219">
        <f>IF(G314&lt;=0,0,I314/G314)</f>
        <v>0</v>
      </c>
      <c r="I314" s="65">
        <f>I309+I312+I311</f>
        <v>0</v>
      </c>
      <c r="J314" s="66">
        <f>J309+J312+J311</f>
        <v>803504.89</v>
      </c>
      <c r="K314" s="219">
        <f>IF(J314&lt;=0,0,L314/J314)</f>
        <v>0.3019872598410695</v>
      </c>
      <c r="L314" s="65">
        <f>L309+L312+L311</f>
        <v>242648.23999999996</v>
      </c>
      <c r="M314" s="220">
        <f>(+J314-D314)/D314</f>
        <v>-0.10603094101119057</v>
      </c>
      <c r="N314" s="221">
        <f>L314-F314</f>
        <v>-49655.661540701141</v>
      </c>
      <c r="O314" s="66">
        <f>O309+O312+O311</f>
        <v>786842.81999999983</v>
      </c>
      <c r="P314" s="219">
        <f>IF(O314&lt;=0,0,Q314/O314)</f>
        <v>0.32254840935067502</v>
      </c>
      <c r="Q314" s="65">
        <f>Q309+Q312+Q311</f>
        <v>253794.89999999944</v>
      </c>
      <c r="R314" s="220">
        <f>IF(O314=0,0,(J314-O314)/O314)</f>
        <v>2.1175855681062433E-2</v>
      </c>
      <c r="S314" s="222">
        <f>L314-Q314</f>
        <v>-11146.65999999948</v>
      </c>
      <c r="T314" s="13"/>
      <c r="U314" s="13"/>
      <c r="V314" s="13"/>
      <c r="W314" s="13"/>
      <c r="X314" s="13"/>
      <c r="Y314" s="13"/>
      <c r="Z314" s="13"/>
      <c r="AA314" s="13"/>
      <c r="AB314" s="13"/>
      <c r="AC314" s="13"/>
      <c r="AD314" s="13"/>
      <c r="AE314" s="13"/>
      <c r="AF314" s="13"/>
      <c r="AG314" s="13"/>
      <c r="AH314" s="13"/>
      <c r="AI314" s="13"/>
      <c r="AJ314" s="13"/>
      <c r="AK314" s="13"/>
      <c r="AL314" s="13"/>
      <c r="AM314" s="13"/>
      <c r="AN314" s="13"/>
    </row>
    <row r="315" spans="1:40" ht="21" thickBot="1">
      <c r="A315" t="str">
        <f t="shared" si="84"/>
        <v>Pièces</v>
      </c>
      <c r="B315" s="11" t="s">
        <v>98</v>
      </c>
      <c r="C315" s="223"/>
      <c r="D315" s="224"/>
      <c r="E315" s="225"/>
      <c r="F315" s="226"/>
      <c r="G315" s="227"/>
      <c r="H315" s="225"/>
      <c r="I315" s="226"/>
      <c r="J315" s="227"/>
      <c r="K315" s="225"/>
      <c r="L315" s="226"/>
      <c r="M315" s="228"/>
      <c r="N315" s="74">
        <f>N314/F314</f>
        <v>-0.16987683461962608</v>
      </c>
      <c r="O315" s="227"/>
      <c r="P315" s="225"/>
      <c r="Q315" s="226"/>
      <c r="R315" s="228"/>
      <c r="S315" s="75">
        <f>IF(Q314=0,0,S314/Q314)</f>
        <v>-4.3919952686202537E-2</v>
      </c>
      <c r="T315" s="13"/>
      <c r="U315" s="13"/>
      <c r="V315" s="13"/>
      <c r="W315" s="13"/>
      <c r="X315" s="13"/>
      <c r="Y315" s="13"/>
      <c r="Z315" s="13"/>
      <c r="AA315" s="13"/>
      <c r="AB315" s="13"/>
      <c r="AC315" s="13"/>
      <c r="AD315" s="13"/>
      <c r="AE315" s="13"/>
      <c r="AF315" s="13"/>
      <c r="AG315" s="13"/>
      <c r="AH315" s="13"/>
      <c r="AI315" s="13"/>
      <c r="AJ315" s="13"/>
      <c r="AK315" s="13"/>
      <c r="AL315" s="13"/>
      <c r="AM315" s="13"/>
      <c r="AN315" s="13"/>
    </row>
    <row r="316" spans="1:40" ht="21" thickTop="1">
      <c r="A316" t="str">
        <f t="shared" si="84"/>
        <v>Pièces</v>
      </c>
      <c r="B316" s="11" t="s">
        <v>98</v>
      </c>
      <c r="C316" s="53"/>
      <c r="D316" s="112"/>
      <c r="E316" s="174"/>
      <c r="F316" s="176"/>
      <c r="G316" s="175"/>
      <c r="H316" s="174"/>
      <c r="I316" s="176"/>
      <c r="J316" s="175"/>
      <c r="K316" s="174"/>
      <c r="L316" s="176"/>
      <c r="M316" s="41"/>
      <c r="N316" s="43"/>
      <c r="O316" s="175"/>
      <c r="P316" s="174"/>
      <c r="Q316" s="176"/>
      <c r="R316" s="41"/>
      <c r="S316" s="44"/>
      <c r="T316" s="13"/>
      <c r="U316" s="13"/>
      <c r="V316" s="13"/>
      <c r="W316" s="13"/>
      <c r="X316" s="13"/>
      <c r="Y316" s="13"/>
      <c r="Z316" s="13"/>
      <c r="AA316" s="13"/>
      <c r="AB316" s="13"/>
      <c r="AC316" s="13"/>
      <c r="AD316" s="13"/>
      <c r="AE316" s="13"/>
      <c r="AF316" s="13"/>
      <c r="AG316" s="13"/>
      <c r="AH316" s="13"/>
      <c r="AI316" s="13"/>
      <c r="AJ316" s="13"/>
      <c r="AK316" s="13"/>
      <c r="AL316" s="13"/>
      <c r="AM316" s="13"/>
      <c r="AN316" s="13"/>
    </row>
    <row r="317" spans="1:40" ht="20.25">
      <c r="A317" t="str">
        <f t="shared" si="84"/>
        <v>PiècesDEPENSES</v>
      </c>
      <c r="B317" s="11" t="s">
        <v>98</v>
      </c>
      <c r="C317" s="79" t="s">
        <v>29</v>
      </c>
      <c r="D317" s="13"/>
      <c r="E317" s="13"/>
      <c r="F317" s="59"/>
      <c r="G317" s="41"/>
      <c r="H317" s="13"/>
      <c r="I317" s="59"/>
      <c r="J317" s="41"/>
      <c r="K317" s="13"/>
      <c r="L317" s="40"/>
      <c r="M317" s="41"/>
      <c r="N317" s="40"/>
      <c r="O317" s="41"/>
      <c r="P317" s="13"/>
      <c r="Q317" s="40"/>
      <c r="R317" s="41"/>
      <c r="S317" s="61"/>
      <c r="T317" s="13"/>
      <c r="U317" s="13"/>
      <c r="V317" s="13"/>
      <c r="W317" s="13"/>
      <c r="X317" s="13"/>
      <c r="Y317" s="13"/>
      <c r="Z317" s="13"/>
      <c r="AA317" s="13"/>
      <c r="AB317" s="13"/>
      <c r="AC317" s="13"/>
      <c r="AD317" s="13"/>
      <c r="AE317" s="13"/>
      <c r="AF317" s="13"/>
      <c r="AG317" s="13"/>
      <c r="AH317" s="13"/>
      <c r="AI317" s="13"/>
      <c r="AJ317" s="13"/>
      <c r="AK317" s="13"/>
      <c r="AL317" s="13"/>
      <c r="AM317" s="13"/>
      <c r="AN317" s="13"/>
    </row>
    <row r="318" spans="1:40" ht="20.25">
      <c r="A318" t="str">
        <f t="shared" si="84"/>
        <v>PiècesSalaires cadres</v>
      </c>
      <c r="B318" s="11" t="s">
        <v>98</v>
      </c>
      <c r="C318" s="102" t="s">
        <v>40</v>
      </c>
      <c r="D318" s="13"/>
      <c r="E318" s="13"/>
      <c r="F318" s="30">
        <f>+SUM(START:END!F318)</f>
        <v>12526.41679389313</v>
      </c>
      <c r="G318" s="41"/>
      <c r="H318" s="13"/>
      <c r="I318" s="30">
        <f>+SUM(START:END!I318)</f>
        <v>0</v>
      </c>
      <c r="J318" s="41"/>
      <c r="K318" s="13"/>
      <c r="L318" s="33">
        <f>+SUM(START:END!L318)</f>
        <v>9358.5999999999985</v>
      </c>
      <c r="M318" s="41"/>
      <c r="N318" s="59">
        <f t="shared" ref="N318:N348" si="105">L318-F318</f>
        <v>-3167.816793893131</v>
      </c>
      <c r="O318" s="41"/>
      <c r="P318" s="13"/>
      <c r="Q318" s="33">
        <f>+SUM(START:END!Q318)</f>
        <v>11172.77</v>
      </c>
      <c r="R318" s="41"/>
      <c r="S318" s="85">
        <f t="shared" ref="S318:S343" si="106">L318-Q318</f>
        <v>-1814.1700000000019</v>
      </c>
      <c r="T318" s="13"/>
      <c r="U318" s="13"/>
      <c r="V318" s="13"/>
      <c r="W318" s="13"/>
      <c r="X318" s="13"/>
      <c r="Y318" s="13"/>
      <c r="Z318" s="13"/>
      <c r="AA318" s="13"/>
      <c r="AB318" s="13"/>
      <c r="AC318" s="13"/>
      <c r="AD318" s="13"/>
      <c r="AE318" s="13"/>
      <c r="AF318" s="13"/>
      <c r="AG318" s="13"/>
      <c r="AH318" s="13"/>
      <c r="AI318" s="13"/>
      <c r="AJ318" s="13"/>
      <c r="AK318" s="13"/>
      <c r="AL318" s="13"/>
      <c r="AM318" s="13"/>
      <c r="AN318" s="13"/>
    </row>
    <row r="319" spans="1:40" ht="20.25">
      <c r="A319" t="str">
        <f t="shared" si="84"/>
        <v>PiècesSalaires commis</v>
      </c>
      <c r="B319" s="11" t="s">
        <v>98</v>
      </c>
      <c r="C319" s="103" t="s">
        <v>41</v>
      </c>
      <c r="D319" s="81"/>
      <c r="E319" s="13"/>
      <c r="F319" s="22">
        <f>+SUM(START:END!F319)</f>
        <v>8319.8473282442756</v>
      </c>
      <c r="G319" s="83"/>
      <c r="H319" s="13"/>
      <c r="I319" s="22">
        <f>+SUM(START:END!I319)</f>
        <v>0</v>
      </c>
      <c r="J319" s="41"/>
      <c r="K319" s="13"/>
      <c r="L319" s="33">
        <f>+SUM(START:END!L319)</f>
        <v>8016.59</v>
      </c>
      <c r="M319" s="41"/>
      <c r="N319" s="59">
        <f t="shared" si="105"/>
        <v>-303.25732824427541</v>
      </c>
      <c r="O319" s="41"/>
      <c r="P319" s="13"/>
      <c r="Q319" s="33">
        <f>+SUM(START:END!Q319)</f>
        <v>7590.25</v>
      </c>
      <c r="R319" s="41"/>
      <c r="S319" s="85">
        <f t="shared" si="106"/>
        <v>426.34000000000015</v>
      </c>
      <c r="T319" s="13"/>
      <c r="U319" s="13"/>
      <c r="V319" s="13"/>
      <c r="W319" s="13"/>
      <c r="X319" s="13"/>
      <c r="Y319" s="13"/>
      <c r="Z319" s="13"/>
      <c r="AA319" s="13"/>
      <c r="AB319" s="13"/>
      <c r="AC319" s="13"/>
      <c r="AD319" s="13"/>
      <c r="AE319" s="13"/>
      <c r="AF319" s="13"/>
      <c r="AG319" s="13"/>
      <c r="AH319" s="13"/>
      <c r="AI319" s="13"/>
      <c r="AJ319" s="13"/>
      <c r="AK319" s="13"/>
      <c r="AL319" s="13"/>
      <c r="AM319" s="13"/>
      <c r="AN319" s="13"/>
    </row>
    <row r="320" spans="1:40" ht="20.25">
      <c r="A320" t="str">
        <f t="shared" si="84"/>
        <v>PiècesSalaires autres</v>
      </c>
      <c r="B320" s="11" t="s">
        <v>98</v>
      </c>
      <c r="C320" s="102" t="s">
        <v>42</v>
      </c>
      <c r="D320" s="104"/>
      <c r="E320" s="105"/>
      <c r="F320" s="30">
        <f>+SUM(START:END!F320)</f>
        <v>41790.305343511449</v>
      </c>
      <c r="G320" s="106"/>
      <c r="H320" s="105"/>
      <c r="I320" s="30">
        <f>+SUM(START:END!I320)</f>
        <v>0</v>
      </c>
      <c r="J320" s="107"/>
      <c r="K320" s="105"/>
      <c r="L320" s="108">
        <f>+SUM(START:END!L320)</f>
        <v>36059.75</v>
      </c>
      <c r="M320" s="107"/>
      <c r="N320" s="109">
        <f t="shared" si="105"/>
        <v>-5730.5553435114489</v>
      </c>
      <c r="O320" s="107"/>
      <c r="P320" s="105"/>
      <c r="Q320" s="108">
        <f>+SUM(START:END!Q320)</f>
        <v>37197.49</v>
      </c>
      <c r="R320" s="107"/>
      <c r="S320" s="110">
        <f t="shared" si="106"/>
        <v>-1137.739999999998</v>
      </c>
      <c r="T320" s="13"/>
      <c r="U320" s="13"/>
      <c r="V320" s="462"/>
      <c r="W320" s="13"/>
      <c r="X320" s="13"/>
      <c r="Y320" s="13"/>
      <c r="Z320" s="13"/>
      <c r="AA320" s="13"/>
      <c r="AB320" s="13"/>
      <c r="AC320" s="13"/>
      <c r="AD320" s="13"/>
      <c r="AE320" s="13"/>
      <c r="AF320" s="13"/>
      <c r="AG320" s="13"/>
      <c r="AH320" s="13"/>
      <c r="AI320" s="13"/>
      <c r="AJ320" s="13"/>
      <c r="AK320" s="13"/>
      <c r="AL320" s="13"/>
      <c r="AM320" s="13"/>
      <c r="AN320" s="13"/>
    </row>
    <row r="321" spans="1:40" ht="20.25">
      <c r="A321" t="str">
        <f t="shared" si="84"/>
        <v>PiècesSalaires spécialistes</v>
      </c>
      <c r="B321" s="11" t="s">
        <v>98</v>
      </c>
      <c r="C321" s="102" t="s">
        <v>43</v>
      </c>
      <c r="D321" s="81"/>
      <c r="E321" s="13"/>
      <c r="F321" s="30">
        <f>+SUM(START:END!F321)</f>
        <v>0</v>
      </c>
      <c r="G321" s="83"/>
      <c r="H321" s="13"/>
      <c r="I321" s="30">
        <f>+SUM(START:END!I321)</f>
        <v>0</v>
      </c>
      <c r="J321" s="41"/>
      <c r="K321" s="13"/>
      <c r="L321" s="33">
        <f>+SUM(START:END!L321)</f>
        <v>0</v>
      </c>
      <c r="M321" s="41"/>
      <c r="N321" s="59">
        <f t="shared" si="105"/>
        <v>0</v>
      </c>
      <c r="O321" s="41"/>
      <c r="P321" s="13"/>
      <c r="Q321" s="33">
        <f>+SUM(START:END!Q321)</f>
        <v>0</v>
      </c>
      <c r="R321" s="41"/>
      <c r="S321" s="85">
        <f t="shared" si="106"/>
        <v>0</v>
      </c>
      <c r="T321" s="13"/>
      <c r="U321" s="13"/>
      <c r="V321" s="13"/>
      <c r="W321" s="13"/>
      <c r="X321" s="13"/>
      <c r="Y321" s="13"/>
      <c r="Z321" s="13"/>
      <c r="AA321" s="13"/>
      <c r="AB321" s="13"/>
      <c r="AC321" s="13"/>
      <c r="AD321" s="13"/>
      <c r="AE321" s="13"/>
      <c r="AF321" s="13"/>
      <c r="AG321" s="13"/>
      <c r="AH321" s="13"/>
      <c r="AI321" s="13"/>
      <c r="AJ321" s="13"/>
      <c r="AK321" s="13"/>
      <c r="AL321" s="13"/>
      <c r="AM321" s="13"/>
      <c r="AN321" s="13"/>
    </row>
    <row r="322" spans="1:40" ht="20.25" hidden="1">
      <c r="A322" t="str">
        <f t="shared" si="84"/>
        <v>Pièces[...]</v>
      </c>
      <c r="B322" s="11" t="s">
        <v>98</v>
      </c>
      <c r="C322" s="229" t="s">
        <v>19</v>
      </c>
      <c r="D322" s="81"/>
      <c r="E322" s="13"/>
      <c r="F322" s="30">
        <f>+SUM(START:END!F322)</f>
        <v>0</v>
      </c>
      <c r="G322" s="83"/>
      <c r="H322" s="13"/>
      <c r="I322" s="30">
        <f>+SUM(START:END!I322)</f>
        <v>0</v>
      </c>
      <c r="J322" s="41"/>
      <c r="K322" s="13"/>
      <c r="L322" s="33">
        <f>+SUM(START:END!L322)</f>
        <v>0</v>
      </c>
      <c r="M322" s="41"/>
      <c r="N322" s="59">
        <f t="shared" si="105"/>
        <v>0</v>
      </c>
      <c r="O322" s="41"/>
      <c r="P322" s="13"/>
      <c r="Q322" s="33">
        <f>+SUM(START:END!Q322)</f>
        <v>0</v>
      </c>
      <c r="R322" s="41"/>
      <c r="S322" s="85">
        <f>L322-Q322</f>
        <v>0</v>
      </c>
      <c r="T322" s="13"/>
      <c r="U322" s="13"/>
      <c r="V322" s="13"/>
      <c r="W322" s="13"/>
      <c r="X322" s="13"/>
      <c r="Y322" s="13"/>
      <c r="Z322" s="13"/>
      <c r="AA322" s="13"/>
      <c r="AB322" s="13"/>
      <c r="AC322" s="13"/>
      <c r="AD322" s="13"/>
      <c r="AE322" s="13"/>
      <c r="AF322" s="13"/>
      <c r="AG322" s="13"/>
      <c r="AH322" s="13"/>
      <c r="AI322" s="13"/>
      <c r="AJ322" s="13"/>
      <c r="AK322" s="13"/>
      <c r="AL322" s="13"/>
      <c r="AM322" s="13"/>
      <c r="AN322" s="13"/>
    </row>
    <row r="323" spans="1:40" ht="20.25" hidden="1">
      <c r="A323" t="str">
        <f t="shared" si="84"/>
        <v>Pièces[...]</v>
      </c>
      <c r="B323" s="11" t="s">
        <v>98</v>
      </c>
      <c r="C323" s="229" t="s">
        <v>19</v>
      </c>
      <c r="D323" s="81"/>
      <c r="E323" s="13"/>
      <c r="F323" s="30">
        <f>+SUM(START:END!F323)</f>
        <v>0</v>
      </c>
      <c r="G323" s="83"/>
      <c r="H323" s="13"/>
      <c r="I323" s="30">
        <f>+SUM(START:END!I323)</f>
        <v>0</v>
      </c>
      <c r="J323" s="41"/>
      <c r="K323" s="13"/>
      <c r="L323" s="33">
        <f>+SUM(START:END!L323)</f>
        <v>0</v>
      </c>
      <c r="M323" s="41"/>
      <c r="N323" s="59">
        <f t="shared" si="105"/>
        <v>0</v>
      </c>
      <c r="O323" s="41"/>
      <c r="P323" s="13"/>
      <c r="Q323" s="33">
        <f>+SUM(START:END!Q323)</f>
        <v>0</v>
      </c>
      <c r="R323" s="41"/>
      <c r="S323" s="85">
        <f>L323-Q323</f>
        <v>0</v>
      </c>
      <c r="T323" s="13"/>
      <c r="U323" s="13"/>
      <c r="V323" s="13"/>
      <c r="W323" s="13"/>
      <c r="X323" s="13"/>
      <c r="Y323" s="13"/>
      <c r="Z323" s="13"/>
      <c r="AA323" s="13"/>
      <c r="AB323" s="13"/>
      <c r="AC323" s="13"/>
      <c r="AD323" s="13"/>
      <c r="AE323" s="13"/>
      <c r="AF323" s="13"/>
      <c r="AG323" s="13"/>
      <c r="AH323" s="13"/>
      <c r="AI323" s="13"/>
      <c r="AJ323" s="13"/>
      <c r="AK323" s="13"/>
      <c r="AL323" s="13"/>
      <c r="AM323" s="13"/>
      <c r="AN323" s="13"/>
    </row>
    <row r="324" spans="1:40" ht="20.25" hidden="1">
      <c r="A324" t="str">
        <f t="shared" si="84"/>
        <v>Pièces[...]</v>
      </c>
      <c r="B324" s="11" t="s">
        <v>98</v>
      </c>
      <c r="C324" s="229" t="s">
        <v>19</v>
      </c>
      <c r="D324" s="81"/>
      <c r="E324" s="13"/>
      <c r="F324" s="30">
        <f>+SUM(START:END!F324)</f>
        <v>0</v>
      </c>
      <c r="G324" s="83"/>
      <c r="H324" s="13"/>
      <c r="I324" s="30">
        <f>+SUM(START:END!I324)</f>
        <v>0</v>
      </c>
      <c r="J324" s="41"/>
      <c r="K324" s="13"/>
      <c r="L324" s="33">
        <f>+SUM(START:END!L324)</f>
        <v>0</v>
      </c>
      <c r="M324" s="41"/>
      <c r="N324" s="59">
        <f t="shared" si="105"/>
        <v>0</v>
      </c>
      <c r="O324" s="41"/>
      <c r="P324" s="13"/>
      <c r="Q324" s="33">
        <f>+SUM(START:END!Q324)</f>
        <v>0</v>
      </c>
      <c r="R324" s="41"/>
      <c r="S324" s="85">
        <f>L324-Q324</f>
        <v>0</v>
      </c>
      <c r="T324" s="13"/>
      <c r="U324" s="13"/>
      <c r="V324" s="13"/>
      <c r="W324" s="13"/>
      <c r="X324" s="13"/>
      <c r="Y324" s="13"/>
      <c r="Z324" s="13"/>
      <c r="AA324" s="13"/>
      <c r="AB324" s="13"/>
      <c r="AC324" s="13"/>
      <c r="AD324" s="13"/>
      <c r="AE324" s="13"/>
      <c r="AF324" s="13"/>
      <c r="AG324" s="13"/>
      <c r="AH324" s="13"/>
      <c r="AI324" s="13"/>
      <c r="AJ324" s="13"/>
      <c r="AK324" s="13"/>
      <c r="AL324" s="13"/>
      <c r="AM324" s="13"/>
      <c r="AN324" s="13"/>
    </row>
    <row r="325" spans="1:40" ht="20.25">
      <c r="A325" t="str">
        <f t="shared" si="84"/>
        <v>PiècesSalaires en absences</v>
      </c>
      <c r="B325" s="11" t="s">
        <v>98</v>
      </c>
      <c r="C325" s="103" t="s">
        <v>44</v>
      </c>
      <c r="D325" s="81"/>
      <c r="E325" s="13"/>
      <c r="F325" s="22">
        <f>+SUM(START:END!F325)</f>
        <v>7188.9601935749342</v>
      </c>
      <c r="G325" s="83"/>
      <c r="H325" s="13"/>
      <c r="I325" s="22">
        <f>+SUM(START:END!I325)</f>
        <v>0</v>
      </c>
      <c r="J325" s="41"/>
      <c r="K325" s="13"/>
      <c r="L325" s="33">
        <f>+SUM(START:END!L325)</f>
        <v>6987.83</v>
      </c>
      <c r="M325" s="41"/>
      <c r="N325" s="59">
        <f t="shared" si="105"/>
        <v>-201.13019357493431</v>
      </c>
      <c r="O325" s="41"/>
      <c r="P325" s="13"/>
      <c r="Q325" s="33">
        <f>+SUM(START:END!Q325)</f>
        <v>4605.84</v>
      </c>
      <c r="R325" s="41"/>
      <c r="S325" s="85">
        <f t="shared" si="106"/>
        <v>2381.9899999999998</v>
      </c>
      <c r="T325" s="13"/>
      <c r="U325" s="13"/>
      <c r="V325" s="13"/>
      <c r="W325" s="13"/>
      <c r="X325" s="13"/>
      <c r="Y325" s="13"/>
      <c r="Z325" s="13"/>
      <c r="AA325" s="13"/>
      <c r="AB325" s="13"/>
      <c r="AC325" s="13"/>
      <c r="AD325" s="13"/>
      <c r="AE325" s="13"/>
      <c r="AF325" s="13"/>
      <c r="AG325" s="13"/>
      <c r="AH325" s="13"/>
      <c r="AI325" s="13"/>
      <c r="AJ325" s="13"/>
      <c r="AK325" s="13"/>
      <c r="AL325" s="13"/>
      <c r="AM325" s="13"/>
      <c r="AN325" s="13"/>
    </row>
    <row r="326" spans="1:40" ht="20.25">
      <c r="A326" t="str">
        <f t="shared" si="84"/>
        <v>PiècesDéduction à la source</v>
      </c>
      <c r="B326" s="11" t="s">
        <v>98</v>
      </c>
      <c r="C326" s="102" t="s">
        <v>45</v>
      </c>
      <c r="D326" s="104"/>
      <c r="E326" s="105"/>
      <c r="F326" s="30">
        <f>+SUM(START:END!F326)</f>
        <v>9582.2117874045798</v>
      </c>
      <c r="G326" s="106"/>
      <c r="H326" s="105"/>
      <c r="I326" s="30">
        <f>+SUM(START:END!I326)</f>
        <v>0</v>
      </c>
      <c r="J326" s="107"/>
      <c r="K326" s="105"/>
      <c r="L326" s="108">
        <f>+SUM(START:END!L326)</f>
        <v>10497.27</v>
      </c>
      <c r="M326" s="107"/>
      <c r="N326" s="109">
        <f t="shared" si="105"/>
        <v>915.05821259542063</v>
      </c>
      <c r="O326" s="107"/>
      <c r="P326" s="105"/>
      <c r="Q326" s="108">
        <f>+SUM(START:END!Q326)</f>
        <v>9468.7199999999993</v>
      </c>
      <c r="R326" s="107"/>
      <c r="S326" s="110">
        <f t="shared" si="106"/>
        <v>1028.5500000000011</v>
      </c>
      <c r="T326" s="13"/>
      <c r="U326" s="13"/>
      <c r="V326" s="13"/>
      <c r="W326" s="13"/>
      <c r="X326" s="13"/>
      <c r="Y326" s="13"/>
      <c r="Z326" s="13"/>
      <c r="AA326" s="13"/>
      <c r="AB326" s="13"/>
      <c r="AC326" s="13"/>
      <c r="AD326" s="13"/>
      <c r="AE326" s="13"/>
      <c r="AF326" s="13"/>
      <c r="AG326" s="13"/>
      <c r="AH326" s="13"/>
      <c r="AI326" s="13"/>
      <c r="AJ326" s="13"/>
      <c r="AK326" s="13"/>
      <c r="AL326" s="13"/>
      <c r="AM326" s="13"/>
      <c r="AN326" s="13"/>
    </row>
    <row r="327" spans="1:40" ht="20.25">
      <c r="A327" t="str">
        <f t="shared" si="84"/>
        <v>PiècesBénéfices marginaux</v>
      </c>
      <c r="B327" s="11" t="s">
        <v>98</v>
      </c>
      <c r="C327" s="102" t="s">
        <v>46</v>
      </c>
      <c r="D327" s="81"/>
      <c r="E327" s="13"/>
      <c r="F327" s="30">
        <f>+SUM(START:END!F327)</f>
        <v>4444.6874969465653</v>
      </c>
      <c r="G327" s="83"/>
      <c r="H327" s="13"/>
      <c r="I327" s="30">
        <f>+SUM(START:END!I327)</f>
        <v>0</v>
      </c>
      <c r="J327" s="41"/>
      <c r="K327" s="13"/>
      <c r="L327" s="33">
        <f>+SUM(START:END!L327)</f>
        <v>5397.48</v>
      </c>
      <c r="M327" s="41"/>
      <c r="N327" s="59">
        <f t="shared" si="105"/>
        <v>952.7925030534343</v>
      </c>
      <c r="O327" s="41"/>
      <c r="P327" s="13"/>
      <c r="Q327" s="33">
        <f>+SUM(START:END!Q327)</f>
        <v>5108.12</v>
      </c>
      <c r="R327" s="41"/>
      <c r="S327" s="85">
        <f t="shared" si="106"/>
        <v>289.35999999999967</v>
      </c>
      <c r="T327" s="13"/>
      <c r="U327" s="13"/>
      <c r="V327" s="13"/>
      <c r="W327" s="13"/>
      <c r="X327" s="13"/>
      <c r="Y327" s="13"/>
      <c r="Z327" s="13"/>
      <c r="AA327" s="13"/>
      <c r="AB327" s="13"/>
      <c r="AC327" s="13"/>
      <c r="AD327" s="13"/>
      <c r="AE327" s="13"/>
      <c r="AF327" s="13"/>
      <c r="AG327" s="13"/>
      <c r="AH327" s="13"/>
      <c r="AI327" s="13"/>
      <c r="AJ327" s="13"/>
      <c r="AK327" s="13"/>
      <c r="AL327" s="13"/>
      <c r="AM327" s="13"/>
      <c r="AN327" s="13"/>
    </row>
    <row r="328" spans="1:40" ht="20.25">
      <c r="A328" t="str">
        <f t="shared" si="84"/>
        <v>PiècesCsst</v>
      </c>
      <c r="B328" s="11" t="s">
        <v>98</v>
      </c>
      <c r="C328" s="102" t="s">
        <v>47</v>
      </c>
      <c r="D328" s="81"/>
      <c r="E328" s="13"/>
      <c r="F328" s="30">
        <f>+SUM(START:END!F328)</f>
        <v>1003.6391122137404</v>
      </c>
      <c r="G328" s="83"/>
      <c r="H328" s="13"/>
      <c r="I328" s="30">
        <f>+SUM(START:END!I328)</f>
        <v>0</v>
      </c>
      <c r="J328" s="41"/>
      <c r="K328" s="13"/>
      <c r="L328" s="33">
        <f>+SUM(START:END!L328)</f>
        <v>468.37</v>
      </c>
      <c r="M328" s="467"/>
      <c r="N328" s="146">
        <f t="shared" si="105"/>
        <v>-535.26911221374041</v>
      </c>
      <c r="O328" s="41"/>
      <c r="P328" s="13"/>
      <c r="Q328" s="33">
        <f>+SUM(START:END!Q328)</f>
        <v>763.06000000000006</v>
      </c>
      <c r="R328" s="41"/>
      <c r="S328" s="85">
        <f t="shared" si="106"/>
        <v>-294.69000000000005</v>
      </c>
      <c r="T328" s="13"/>
      <c r="U328" s="13"/>
      <c r="V328" s="13"/>
      <c r="W328" s="13"/>
      <c r="X328" s="13"/>
      <c r="Y328" s="13"/>
      <c r="Z328" s="13"/>
      <c r="AA328" s="13"/>
      <c r="AB328" s="13"/>
      <c r="AC328" s="13"/>
      <c r="AD328" s="13"/>
      <c r="AE328" s="13"/>
      <c r="AF328" s="13"/>
      <c r="AG328" s="13"/>
      <c r="AH328" s="13"/>
      <c r="AI328" s="13"/>
      <c r="AJ328" s="13"/>
      <c r="AK328" s="13"/>
      <c r="AL328" s="13"/>
      <c r="AM328" s="13"/>
      <c r="AN328" s="13"/>
    </row>
    <row r="329" spans="1:40" ht="20.25" hidden="1">
      <c r="A329" t="str">
        <f t="shared" si="84"/>
        <v>Pièces[...]</v>
      </c>
      <c r="B329" s="11" t="s">
        <v>98</v>
      </c>
      <c r="C329" s="229" t="s">
        <v>19</v>
      </c>
      <c r="D329" s="81"/>
      <c r="E329" s="13"/>
      <c r="F329" s="30">
        <f>+SUM(START:END!F329)</f>
        <v>0</v>
      </c>
      <c r="G329" s="83"/>
      <c r="H329" s="13"/>
      <c r="I329" s="30">
        <f>+SUM(START:END!I329)</f>
        <v>0</v>
      </c>
      <c r="J329" s="41"/>
      <c r="K329" s="13"/>
      <c r="L329" s="33">
        <f>+SUM(START:END!L329)</f>
        <v>0</v>
      </c>
      <c r="M329" s="41"/>
      <c r="N329" s="59">
        <f t="shared" ref="N329" si="107">L329-F329</f>
        <v>0</v>
      </c>
      <c r="O329" s="41"/>
      <c r="P329" s="13"/>
      <c r="Q329" s="33">
        <f>+SUM(START:END!Q329)</f>
        <v>0</v>
      </c>
      <c r="R329" s="41"/>
      <c r="S329" s="85">
        <f>L329-Q329</f>
        <v>0</v>
      </c>
      <c r="T329" s="13"/>
      <c r="U329" s="13"/>
      <c r="V329" s="13"/>
      <c r="W329" s="13"/>
      <c r="X329" s="13"/>
      <c r="Y329" s="13"/>
      <c r="Z329" s="13"/>
      <c r="AA329" s="13"/>
      <c r="AB329" s="13"/>
      <c r="AC329" s="13"/>
      <c r="AD329" s="13"/>
      <c r="AE329" s="13"/>
      <c r="AF329" s="13"/>
      <c r="AG329" s="13"/>
      <c r="AH329" s="13"/>
      <c r="AI329" s="13"/>
      <c r="AJ329" s="13"/>
      <c r="AK329" s="13"/>
      <c r="AL329" s="13"/>
      <c r="AM329" s="13"/>
      <c r="AN329" s="13"/>
    </row>
    <row r="330" spans="1:40" ht="20.25">
      <c r="A330" t="str">
        <f t="shared" si="84"/>
        <v>PiècesTOTAL PERSONNEL</v>
      </c>
      <c r="B330" s="11" t="s">
        <v>98</v>
      </c>
      <c r="C330" s="93" t="s">
        <v>48</v>
      </c>
      <c r="D330" s="94" t="s">
        <v>38</v>
      </c>
      <c r="E330" s="95">
        <f>F330/F$314</f>
        <v>0.29030083966899467</v>
      </c>
      <c r="F330" s="96">
        <f>+SUM(F318:F329)</f>
        <v>84856.068055788681</v>
      </c>
      <c r="G330" s="97" t="s">
        <v>38</v>
      </c>
      <c r="H330" s="95" t="e">
        <f>I330/I$314</f>
        <v>#DIV/0!</v>
      </c>
      <c r="I330" s="96">
        <f>+SUM(I318:I329)</f>
        <v>0</v>
      </c>
      <c r="J330" s="97" t="s">
        <v>38</v>
      </c>
      <c r="K330" s="95">
        <f>L330/L$314</f>
        <v>0.31644940016873813</v>
      </c>
      <c r="L330" s="96">
        <f>+SUM(L318:L329)</f>
        <v>76785.89</v>
      </c>
      <c r="M330" s="147"/>
      <c r="N330" s="113">
        <f t="shared" si="105"/>
        <v>-8070.1780557886814</v>
      </c>
      <c r="O330" s="97" t="s">
        <v>38</v>
      </c>
      <c r="P330" s="95">
        <f>Q330/Q$314</f>
        <v>0.29908500919443282</v>
      </c>
      <c r="Q330" s="96">
        <f>+SUM(Q318:Q329)</f>
        <v>75906.249999999985</v>
      </c>
      <c r="R330" s="147"/>
      <c r="S330" s="114">
        <f t="shared" si="106"/>
        <v>879.64000000001397</v>
      </c>
      <c r="T330" s="13"/>
      <c r="U330" s="13"/>
      <c r="V330" s="13"/>
      <c r="W330" s="13"/>
      <c r="X330" s="13"/>
      <c r="Y330" s="13"/>
      <c r="Z330" s="13"/>
      <c r="AA330" s="13"/>
      <c r="AB330" s="13"/>
      <c r="AC330" s="13"/>
      <c r="AD330" s="13"/>
      <c r="AE330" s="13"/>
      <c r="AF330" s="13"/>
      <c r="AG330" s="13"/>
      <c r="AH330" s="13"/>
      <c r="AI330" s="13"/>
      <c r="AJ330" s="13"/>
      <c r="AK330" s="13"/>
      <c r="AL330" s="13"/>
      <c r="AM330" s="13"/>
      <c r="AN330" s="13"/>
    </row>
    <row r="331" spans="1:40" ht="20.25">
      <c r="A331" t="str">
        <f t="shared" si="84"/>
        <v>PiècesPublicité 2</v>
      </c>
      <c r="B331" s="11" t="s">
        <v>98</v>
      </c>
      <c r="C331" s="211" t="s">
        <v>49</v>
      </c>
      <c r="D331" s="81"/>
      <c r="E331" s="13"/>
      <c r="F331" s="30">
        <f>+SUM(START:END!F331)</f>
        <v>6790.3073888974104</v>
      </c>
      <c r="G331" s="83"/>
      <c r="H331" s="13"/>
      <c r="I331" s="30">
        <f>+SUM(START:END!I331)</f>
        <v>0</v>
      </c>
      <c r="J331" s="41"/>
      <c r="K331" s="13"/>
      <c r="L331" s="33">
        <f>+SUM(START:END!L331)</f>
        <v>8148.74</v>
      </c>
      <c r="M331" s="41"/>
      <c r="N331" s="59">
        <f t="shared" si="105"/>
        <v>1358.4326111025894</v>
      </c>
      <c r="O331" s="41"/>
      <c r="P331" s="13"/>
      <c r="Q331" s="33">
        <f>+SUM(START:END!Q331)</f>
        <v>6841.7199999999993</v>
      </c>
      <c r="R331" s="41"/>
      <c r="S331" s="85">
        <f t="shared" si="106"/>
        <v>1307.0200000000004</v>
      </c>
      <c r="T331" s="13"/>
      <c r="U331" s="13"/>
      <c r="V331" s="13"/>
      <c r="W331" s="13"/>
      <c r="X331" s="13"/>
      <c r="Y331" s="13"/>
      <c r="Z331" s="13"/>
      <c r="AA331" s="13"/>
      <c r="AB331" s="13"/>
      <c r="AC331" s="13"/>
      <c r="AD331" s="13"/>
      <c r="AE331" s="13"/>
      <c r="AF331" s="13"/>
      <c r="AG331" s="13"/>
      <c r="AH331" s="13"/>
      <c r="AI331" s="13"/>
      <c r="AJ331" s="13"/>
      <c r="AK331" s="13"/>
      <c r="AL331" s="13"/>
      <c r="AM331" s="13"/>
      <c r="AN331" s="13"/>
    </row>
    <row r="332" spans="1:40" ht="20.25">
      <c r="A332" t="str">
        <f t="shared" si="84"/>
        <v>PiècesService gratuit 2</v>
      </c>
      <c r="B332" s="11" t="s">
        <v>98</v>
      </c>
      <c r="C332" s="102" t="s">
        <v>50</v>
      </c>
      <c r="D332" s="81"/>
      <c r="E332" s="13"/>
      <c r="F332" s="30">
        <f>+SUM(START:END!F332)</f>
        <v>795</v>
      </c>
      <c r="G332" s="83"/>
      <c r="H332" s="13"/>
      <c r="I332" s="30">
        <f>+SUM(START:END!I332)</f>
        <v>0</v>
      </c>
      <c r="J332" s="41"/>
      <c r="K332" s="13"/>
      <c r="L332" s="59">
        <f>+SUM(START:END!L332)</f>
        <v>591.88</v>
      </c>
      <c r="M332" s="41"/>
      <c r="N332" s="59">
        <f t="shared" si="105"/>
        <v>-203.12</v>
      </c>
      <c r="O332" s="41"/>
      <c r="P332" s="13"/>
      <c r="Q332" s="33">
        <f>+SUM(START:END!Q332)</f>
        <v>1255.06</v>
      </c>
      <c r="R332" s="41"/>
      <c r="S332" s="85">
        <f t="shared" si="106"/>
        <v>-663.18</v>
      </c>
      <c r="T332" s="13"/>
      <c r="U332" s="13"/>
      <c r="V332" s="13"/>
      <c r="W332" s="13"/>
      <c r="X332" s="13"/>
      <c r="Y332" s="13"/>
      <c r="Z332" s="13"/>
      <c r="AA332" s="13"/>
      <c r="AB332" s="13"/>
      <c r="AC332" s="13"/>
      <c r="AD332" s="13"/>
      <c r="AE332" s="13"/>
      <c r="AF332" s="13"/>
      <c r="AG332" s="13"/>
      <c r="AH332" s="13"/>
      <c r="AI332" s="13"/>
      <c r="AJ332" s="13"/>
      <c r="AK332" s="13"/>
      <c r="AL332" s="13"/>
      <c r="AM332" s="13"/>
      <c r="AN332" s="13"/>
    </row>
    <row r="333" spans="1:40" ht="20.25">
      <c r="A333" t="str">
        <f t="shared" si="84"/>
        <v>PiècesFrais véhicules de cie</v>
      </c>
      <c r="B333" s="11" t="s">
        <v>98</v>
      </c>
      <c r="C333" s="103" t="s">
        <v>51</v>
      </c>
      <c r="D333" s="87"/>
      <c r="E333" s="111"/>
      <c r="F333" s="22">
        <f>+SUM(START:END!F333)</f>
        <v>13270.000000000002</v>
      </c>
      <c r="G333" s="89"/>
      <c r="H333" s="111"/>
      <c r="I333" s="22">
        <f>+SUM(START:END!I333)</f>
        <v>0</v>
      </c>
      <c r="J333" s="23"/>
      <c r="K333" s="111"/>
      <c r="L333" s="91">
        <f>+SUM(START:END!L333)</f>
        <v>15418.6</v>
      </c>
      <c r="M333" s="23"/>
      <c r="N333" s="91">
        <f t="shared" si="105"/>
        <v>2148.5999999999985</v>
      </c>
      <c r="O333" s="23"/>
      <c r="P333" s="111"/>
      <c r="Q333" s="33">
        <f>+SUM(START:END!Q333)</f>
        <v>14080.41</v>
      </c>
      <c r="R333" s="23"/>
      <c r="S333" s="92">
        <f t="shared" si="106"/>
        <v>1338.1900000000005</v>
      </c>
      <c r="T333" s="13"/>
      <c r="U333" s="13"/>
      <c r="V333" s="13"/>
      <c r="W333" s="13"/>
      <c r="X333" s="13"/>
      <c r="Y333" s="13"/>
      <c r="Z333" s="13"/>
      <c r="AA333" s="13"/>
      <c r="AB333" s="13"/>
      <c r="AC333" s="13"/>
      <c r="AD333" s="13"/>
      <c r="AE333" s="13"/>
      <c r="AF333" s="13"/>
      <c r="AG333" s="13"/>
      <c r="AH333" s="13"/>
      <c r="AI333" s="13"/>
      <c r="AJ333" s="13"/>
      <c r="AK333" s="13"/>
      <c r="AL333" s="13"/>
      <c r="AM333" s="13"/>
      <c r="AN333" s="13"/>
    </row>
    <row r="334" spans="1:40" ht="20.25">
      <c r="A334" t="str">
        <f t="shared" si="84"/>
        <v>PiècesInformatique</v>
      </c>
      <c r="B334" s="11" t="s">
        <v>98</v>
      </c>
      <c r="C334" s="102" t="s">
        <v>52</v>
      </c>
      <c r="D334" s="81"/>
      <c r="E334" s="13"/>
      <c r="F334" s="30">
        <f>+SUM(START:END!F334)</f>
        <v>5741.4000000000005</v>
      </c>
      <c r="G334" s="83"/>
      <c r="H334" s="13"/>
      <c r="I334" s="30">
        <f>+SUM(START:END!I334)</f>
        <v>0</v>
      </c>
      <c r="J334" s="41"/>
      <c r="K334" s="13"/>
      <c r="L334" s="108">
        <f>+SUM(START:END!L334)</f>
        <v>5214.96</v>
      </c>
      <c r="M334" s="41"/>
      <c r="N334" s="59">
        <f t="shared" si="105"/>
        <v>-526.44000000000051</v>
      </c>
      <c r="O334" s="41"/>
      <c r="P334" s="13"/>
      <c r="Q334" s="108">
        <f>+SUM(START:END!Q334)</f>
        <v>5557.49</v>
      </c>
      <c r="R334" s="41"/>
      <c r="S334" s="85">
        <f t="shared" si="106"/>
        <v>-342.52999999999975</v>
      </c>
      <c r="T334" s="13"/>
      <c r="U334" s="13"/>
      <c r="V334" s="13"/>
      <c r="W334" s="13"/>
      <c r="X334" s="13"/>
      <c r="Y334" s="13"/>
      <c r="Z334" s="13"/>
      <c r="AA334" s="13"/>
      <c r="AB334" s="13"/>
      <c r="AC334" s="13"/>
      <c r="AD334" s="13"/>
      <c r="AE334" s="13"/>
      <c r="AF334" s="13"/>
      <c r="AG334" s="13"/>
      <c r="AH334" s="13"/>
      <c r="AI334" s="13"/>
      <c r="AJ334" s="13"/>
      <c r="AK334" s="13"/>
      <c r="AL334" s="13"/>
      <c r="AM334" s="13"/>
      <c r="AN334" s="13"/>
    </row>
    <row r="335" spans="1:40" ht="20.25">
      <c r="A335" t="str">
        <f t="shared" si="84"/>
        <v>PiècesFrais de déplacement</v>
      </c>
      <c r="B335" s="11" t="s">
        <v>98</v>
      </c>
      <c r="C335" s="102" t="s">
        <v>53</v>
      </c>
      <c r="D335" s="81"/>
      <c r="E335" s="13"/>
      <c r="F335" s="30">
        <f>+SUM(START:END!F335)</f>
        <v>1096.8000000000002</v>
      </c>
      <c r="G335" s="83"/>
      <c r="H335" s="13"/>
      <c r="I335" s="30">
        <f>+SUM(START:END!I335)</f>
        <v>0</v>
      </c>
      <c r="J335" s="41"/>
      <c r="K335" s="13"/>
      <c r="L335" s="33">
        <f>+SUM(START:END!L335)</f>
        <v>143.92000000000002</v>
      </c>
      <c r="M335" s="41"/>
      <c r="N335" s="59">
        <f t="shared" si="105"/>
        <v>-952.88000000000011</v>
      </c>
      <c r="O335" s="41"/>
      <c r="P335" s="13"/>
      <c r="Q335" s="33">
        <f>+SUM(START:END!Q335)</f>
        <v>554.88</v>
      </c>
      <c r="R335" s="41"/>
      <c r="S335" s="85">
        <f t="shared" si="106"/>
        <v>-410.96</v>
      </c>
      <c r="T335" s="13"/>
      <c r="U335" s="13"/>
      <c r="V335" s="13"/>
      <c r="W335" s="13"/>
      <c r="X335" s="13"/>
      <c r="Y335" s="13"/>
      <c r="Z335" s="13"/>
      <c r="AA335" s="13"/>
      <c r="AB335" s="13"/>
      <c r="AC335" s="13"/>
      <c r="AD335" s="13"/>
      <c r="AE335" s="13"/>
      <c r="AF335" s="13"/>
      <c r="AG335" s="13"/>
      <c r="AH335" s="13"/>
      <c r="AI335" s="13"/>
      <c r="AJ335" s="13"/>
      <c r="AK335" s="13"/>
      <c r="AL335" s="13"/>
      <c r="AM335" s="13"/>
      <c r="AN335" s="13"/>
    </row>
    <row r="336" spans="1:40" ht="20.25">
      <c r="A336" t="str">
        <f t="shared" si="84"/>
        <v>PiècesServices extérieurs</v>
      </c>
      <c r="B336" s="11" t="s">
        <v>98</v>
      </c>
      <c r="C336" s="230" t="s">
        <v>54</v>
      </c>
      <c r="D336" s="87"/>
      <c r="E336" s="111"/>
      <c r="F336" s="22">
        <f>+SUM(START:END!F336)</f>
        <v>5982.6</v>
      </c>
      <c r="G336" s="89"/>
      <c r="H336" s="111"/>
      <c r="I336" s="22">
        <f>+SUM(START:END!I336)</f>
        <v>0</v>
      </c>
      <c r="J336" s="23"/>
      <c r="K336" s="111"/>
      <c r="L336" s="48">
        <f>+SUM(START:END!L336)</f>
        <v>5010.63</v>
      </c>
      <c r="M336" s="23"/>
      <c r="N336" s="91">
        <f t="shared" si="105"/>
        <v>-971.97000000000025</v>
      </c>
      <c r="O336" s="23"/>
      <c r="P336" s="111"/>
      <c r="Q336" s="48">
        <f>+SUM(START:END!Q336)</f>
        <v>4731.32</v>
      </c>
      <c r="R336" s="23"/>
      <c r="S336" s="92">
        <f t="shared" si="106"/>
        <v>279.3100000000004</v>
      </c>
      <c r="T336" s="13"/>
      <c r="U336" s="13"/>
      <c r="V336" s="13"/>
      <c r="W336" s="13"/>
      <c r="X336" s="13"/>
      <c r="Y336" s="13"/>
      <c r="Z336" s="13"/>
      <c r="AA336" s="13"/>
      <c r="AB336" s="13"/>
      <c r="AC336" s="13"/>
      <c r="AD336" s="13"/>
      <c r="AE336" s="13"/>
      <c r="AF336" s="13"/>
      <c r="AG336" s="13"/>
      <c r="AH336" s="13"/>
      <c r="AI336" s="13"/>
      <c r="AJ336" s="13"/>
      <c r="AK336" s="13"/>
      <c r="AL336" s="13"/>
      <c r="AM336" s="13"/>
      <c r="AN336" s="13"/>
    </row>
    <row r="337" spans="1:40" ht="20.25">
      <c r="A337" t="str">
        <f t="shared" si="84"/>
        <v>PiècesFournitures d'atelier</v>
      </c>
      <c r="B337" s="11" t="s">
        <v>98</v>
      </c>
      <c r="C337" s="102" t="s">
        <v>93</v>
      </c>
      <c r="D337" s="81"/>
      <c r="E337" s="13"/>
      <c r="F337" s="30">
        <f>+SUM(START:END!F337)</f>
        <v>0</v>
      </c>
      <c r="G337" s="83"/>
      <c r="H337" s="13"/>
      <c r="I337" s="30">
        <f>+SUM(START:END!I337)</f>
        <v>0</v>
      </c>
      <c r="J337" s="41"/>
      <c r="K337" s="13"/>
      <c r="L337" s="33">
        <f>+SUM(START:END!L337)</f>
        <v>0</v>
      </c>
      <c r="M337" s="41"/>
      <c r="N337" s="59">
        <f t="shared" si="105"/>
        <v>0</v>
      </c>
      <c r="O337" s="41"/>
      <c r="P337" s="13"/>
      <c r="Q337" s="33">
        <f>+SUM(START:END!Q337)</f>
        <v>0</v>
      </c>
      <c r="R337" s="41"/>
      <c r="S337" s="85">
        <f>L337-Q337</f>
        <v>0</v>
      </c>
      <c r="T337" s="13"/>
      <c r="U337" s="13"/>
      <c r="V337" s="13"/>
      <c r="W337" s="13"/>
      <c r="X337" s="13"/>
      <c r="Y337" s="13"/>
      <c r="Z337" s="13"/>
      <c r="AA337" s="13"/>
      <c r="AB337" s="13"/>
      <c r="AC337" s="13"/>
      <c r="AD337" s="13"/>
      <c r="AE337" s="13"/>
      <c r="AF337" s="13"/>
      <c r="AG337" s="13"/>
      <c r="AH337" s="13"/>
      <c r="AI337" s="13"/>
      <c r="AJ337" s="13"/>
      <c r="AK337" s="13"/>
      <c r="AL337" s="13"/>
      <c r="AM337" s="13"/>
      <c r="AN337" s="13"/>
    </row>
    <row r="338" spans="1:40" ht="20.25">
      <c r="A338" t="str">
        <f t="shared" si="84"/>
        <v>PiècesFournitures autres</v>
      </c>
      <c r="B338" s="11" t="s">
        <v>98</v>
      </c>
      <c r="C338" s="102" t="s">
        <v>55</v>
      </c>
      <c r="D338" s="81"/>
      <c r="E338" s="13"/>
      <c r="F338" s="30">
        <f>+SUM(START:END!F338)</f>
        <v>89.959839357429715</v>
      </c>
      <c r="G338" s="83"/>
      <c r="H338" s="13"/>
      <c r="I338" s="30">
        <f>+SUM(START:END!I338)</f>
        <v>0</v>
      </c>
      <c r="J338" s="41"/>
      <c r="K338" s="13"/>
      <c r="L338" s="33">
        <f>+SUM(START:END!L338)</f>
        <v>0</v>
      </c>
      <c r="M338" s="41"/>
      <c r="N338" s="59">
        <f t="shared" si="105"/>
        <v>-89.959839357429715</v>
      </c>
      <c r="O338" s="41"/>
      <c r="P338" s="13"/>
      <c r="Q338" s="33">
        <f>+SUM(START:END!Q338)</f>
        <v>99.31</v>
      </c>
      <c r="R338" s="41"/>
      <c r="S338" s="85">
        <f t="shared" si="106"/>
        <v>-99.31</v>
      </c>
      <c r="T338" s="13"/>
      <c r="U338" s="13"/>
      <c r="V338" s="13"/>
      <c r="W338" s="13"/>
      <c r="X338" s="13"/>
      <c r="Y338" s="13"/>
      <c r="Z338" s="13"/>
      <c r="AA338" s="13"/>
      <c r="AB338" s="13"/>
      <c r="AC338" s="13"/>
      <c r="AD338" s="13"/>
      <c r="AE338" s="13"/>
      <c r="AF338" s="13"/>
      <c r="AG338" s="13"/>
      <c r="AH338" s="13"/>
      <c r="AI338" s="13"/>
      <c r="AJ338" s="13"/>
      <c r="AK338" s="13"/>
      <c r="AL338" s="13"/>
      <c r="AM338" s="13"/>
      <c r="AN338" s="13"/>
    </row>
    <row r="339" spans="1:40" ht="20.25">
      <c r="A339" t="str">
        <f t="shared" si="84"/>
        <v>PiècesUniformes</v>
      </c>
      <c r="B339" s="11" t="s">
        <v>98</v>
      </c>
      <c r="C339" s="102" t="s">
        <v>56</v>
      </c>
      <c r="D339" s="81"/>
      <c r="E339" s="13"/>
      <c r="F339" s="30">
        <f>+SUM(START:END!F339)</f>
        <v>99</v>
      </c>
      <c r="G339" s="83"/>
      <c r="H339" s="13"/>
      <c r="I339" s="30">
        <f>+SUM(START:END!I339)</f>
        <v>0</v>
      </c>
      <c r="J339" s="41"/>
      <c r="K339" s="13"/>
      <c r="L339" s="33">
        <f>+SUM(START:END!L339)</f>
        <v>150</v>
      </c>
      <c r="M339" s="41"/>
      <c r="N339" s="59">
        <f t="shared" si="105"/>
        <v>51</v>
      </c>
      <c r="O339" s="41"/>
      <c r="P339" s="13"/>
      <c r="Q339" s="33">
        <f>+SUM(START:END!Q339)</f>
        <v>131.71</v>
      </c>
      <c r="R339" s="41"/>
      <c r="S339" s="85">
        <f t="shared" si="106"/>
        <v>18.289999999999992</v>
      </c>
      <c r="T339" s="13"/>
      <c r="U339" s="13"/>
      <c r="V339" s="13"/>
      <c r="W339" s="13"/>
      <c r="X339" s="13"/>
      <c r="Y339" s="13"/>
      <c r="Z339" s="13"/>
      <c r="AA339" s="13"/>
      <c r="AB339" s="13"/>
      <c r="AC339" s="13"/>
      <c r="AD339" s="13"/>
      <c r="AE339" s="13"/>
      <c r="AF339" s="13"/>
      <c r="AG339" s="13"/>
      <c r="AH339" s="13"/>
      <c r="AI339" s="13"/>
      <c r="AJ339" s="13"/>
      <c r="AK339" s="13"/>
      <c r="AL339" s="13"/>
      <c r="AM339" s="13"/>
      <c r="AN339" s="13"/>
    </row>
    <row r="340" spans="1:40" ht="20.25">
      <c r="A340" t="str">
        <f t="shared" si="84"/>
        <v>PiècesPapeterie</v>
      </c>
      <c r="B340" s="11" t="s">
        <v>98</v>
      </c>
      <c r="C340" s="102" t="s">
        <v>57</v>
      </c>
      <c r="D340" s="81"/>
      <c r="E340" s="13"/>
      <c r="F340" s="30">
        <f>+SUM(START:END!F340)</f>
        <v>1050</v>
      </c>
      <c r="G340" s="83"/>
      <c r="H340" s="13"/>
      <c r="I340" s="30">
        <f>+SUM(START:END!I340)</f>
        <v>0</v>
      </c>
      <c r="J340" s="41"/>
      <c r="K340" s="13"/>
      <c r="L340" s="32">
        <f>+SUM(START:END!L340)</f>
        <v>880.82</v>
      </c>
      <c r="M340" s="41"/>
      <c r="N340" s="59">
        <f t="shared" si="105"/>
        <v>-169.17999999999995</v>
      </c>
      <c r="O340" s="41"/>
      <c r="P340" s="13"/>
      <c r="Q340" s="32">
        <f>+SUM(START:END!Q340)</f>
        <v>690.85000000000014</v>
      </c>
      <c r="R340" s="41"/>
      <c r="S340" s="85">
        <f t="shared" si="106"/>
        <v>189.96999999999991</v>
      </c>
      <c r="T340" s="13"/>
      <c r="U340" s="13"/>
      <c r="V340" s="13"/>
      <c r="W340" s="13"/>
      <c r="X340" s="13"/>
      <c r="Y340" s="13"/>
      <c r="Z340" s="13"/>
      <c r="AA340" s="13"/>
      <c r="AB340" s="13"/>
      <c r="AC340" s="13"/>
      <c r="AD340" s="13"/>
      <c r="AE340" s="13"/>
      <c r="AF340" s="13"/>
      <c r="AG340" s="13"/>
      <c r="AH340" s="13"/>
      <c r="AI340" s="13"/>
      <c r="AJ340" s="13"/>
      <c r="AK340" s="13"/>
      <c r="AL340" s="13"/>
      <c r="AM340" s="13"/>
      <c r="AN340" s="13"/>
    </row>
    <row r="341" spans="1:40" ht="20.25">
      <c r="A341" t="str">
        <f t="shared" si="84"/>
        <v>PiècesTéléphone</v>
      </c>
      <c r="B341" s="11" t="s">
        <v>98</v>
      </c>
      <c r="C341" s="102" t="s">
        <v>58</v>
      </c>
      <c r="D341" s="81"/>
      <c r="E341" s="13"/>
      <c r="F341" s="30">
        <f>+SUM(START:END!F341)</f>
        <v>355.20000000000005</v>
      </c>
      <c r="G341" s="83"/>
      <c r="H341" s="13"/>
      <c r="I341" s="30">
        <f>+SUM(START:END!I341)</f>
        <v>0</v>
      </c>
      <c r="J341" s="41"/>
      <c r="K341" s="13"/>
      <c r="L341" s="33">
        <f>+SUM(START:END!L341)</f>
        <v>301.05</v>
      </c>
      <c r="M341" s="41"/>
      <c r="N341" s="59">
        <f t="shared" si="105"/>
        <v>-54.150000000000034</v>
      </c>
      <c r="O341" s="41"/>
      <c r="P341" s="13"/>
      <c r="Q341" s="33">
        <f>+SUM(START:END!Q341)</f>
        <v>554.03000000000009</v>
      </c>
      <c r="R341" s="41"/>
      <c r="S341" s="85">
        <f t="shared" si="106"/>
        <v>-252.98000000000008</v>
      </c>
      <c r="T341" s="13"/>
      <c r="U341" s="13"/>
      <c r="V341" s="13"/>
      <c r="W341" s="13"/>
      <c r="X341" s="13"/>
      <c r="Y341" s="13"/>
      <c r="Z341" s="13"/>
      <c r="AA341" s="13"/>
      <c r="AB341" s="13"/>
      <c r="AC341" s="13"/>
      <c r="AD341" s="13"/>
      <c r="AE341" s="13"/>
      <c r="AF341" s="13"/>
      <c r="AG341" s="13"/>
      <c r="AH341" s="13"/>
      <c r="AI341" s="13"/>
      <c r="AJ341" s="13"/>
      <c r="AK341" s="13"/>
      <c r="AL341" s="13"/>
      <c r="AM341" s="13"/>
      <c r="AN341" s="13"/>
    </row>
    <row r="342" spans="1:40" ht="20.25">
      <c r="A342" t="str">
        <f t="shared" si="84"/>
        <v>PiècesFrais postaux</v>
      </c>
      <c r="B342" s="11" t="s">
        <v>98</v>
      </c>
      <c r="C342" s="102" t="s">
        <v>59</v>
      </c>
      <c r="D342" s="81"/>
      <c r="E342" s="13"/>
      <c r="F342" s="30">
        <f>+SUM(START:END!F342)</f>
        <v>1425</v>
      </c>
      <c r="G342" s="83"/>
      <c r="H342" s="13"/>
      <c r="I342" s="30">
        <f>+SUM(START:END!I342)</f>
        <v>0</v>
      </c>
      <c r="J342" s="41"/>
      <c r="K342" s="13"/>
      <c r="L342" s="33">
        <f>+SUM(START:END!L342)</f>
        <v>214.02999999999997</v>
      </c>
      <c r="M342" s="41"/>
      <c r="N342" s="59">
        <f t="shared" si="105"/>
        <v>-1210.97</v>
      </c>
      <c r="O342" s="41"/>
      <c r="P342" s="13"/>
      <c r="Q342" s="33">
        <f>+SUM(START:END!Q342)</f>
        <v>742.25</v>
      </c>
      <c r="R342" s="41"/>
      <c r="S342" s="85">
        <f t="shared" si="106"/>
        <v>-528.22</v>
      </c>
      <c r="T342" s="13"/>
      <c r="U342" s="13"/>
      <c r="V342" s="13"/>
      <c r="W342" s="13"/>
      <c r="X342" s="13"/>
      <c r="Y342" s="13"/>
      <c r="Z342" s="13"/>
      <c r="AA342" s="13"/>
      <c r="AB342" s="13"/>
      <c r="AC342" s="13"/>
      <c r="AD342" s="13"/>
      <c r="AE342" s="13"/>
      <c r="AF342" s="13"/>
      <c r="AG342" s="13"/>
      <c r="AH342" s="13"/>
      <c r="AI342" s="13"/>
      <c r="AJ342" s="13"/>
      <c r="AK342" s="13"/>
      <c r="AL342" s="13"/>
      <c r="AM342" s="13"/>
      <c r="AN342" s="13"/>
    </row>
    <row r="343" spans="1:40" ht="20.25">
      <c r="A343" t="str">
        <f t="shared" si="84"/>
        <v>PiècesDivers</v>
      </c>
      <c r="B343" s="11" t="s">
        <v>98</v>
      </c>
      <c r="C343" s="102" t="s">
        <v>60</v>
      </c>
      <c r="D343" s="81"/>
      <c r="E343" s="13"/>
      <c r="F343" s="30">
        <f>+SUM(START:END!F343)</f>
        <v>1114.8000000000002</v>
      </c>
      <c r="G343" s="83"/>
      <c r="H343" s="13"/>
      <c r="I343" s="30">
        <f>+SUM(START:END!I343)</f>
        <v>0</v>
      </c>
      <c r="J343" s="41"/>
      <c r="K343" s="13"/>
      <c r="L343" s="33">
        <f>+SUM(START:END!L343)</f>
        <v>948.59999999999991</v>
      </c>
      <c r="M343" s="41"/>
      <c r="N343" s="59">
        <f t="shared" si="105"/>
        <v>-166.20000000000027</v>
      </c>
      <c r="O343" s="41"/>
      <c r="P343" s="13"/>
      <c r="Q343" s="33">
        <f>+SUM(START:END!Q343)</f>
        <v>1076.1199999999999</v>
      </c>
      <c r="R343" s="41"/>
      <c r="S343" s="85">
        <f t="shared" si="106"/>
        <v>-127.51999999999998</v>
      </c>
      <c r="T343" s="13"/>
      <c r="U343" s="13"/>
      <c r="V343" s="13"/>
      <c r="W343" s="13"/>
      <c r="X343" s="13"/>
      <c r="Y343" s="13"/>
      <c r="Z343" s="13"/>
      <c r="AA343" s="13"/>
      <c r="AB343" s="13"/>
      <c r="AC343" s="13"/>
      <c r="AD343" s="13"/>
      <c r="AE343" s="13"/>
      <c r="AF343" s="13"/>
      <c r="AG343" s="13"/>
      <c r="AH343" s="13"/>
      <c r="AI343" s="13"/>
      <c r="AJ343" s="13"/>
      <c r="AK343" s="13"/>
      <c r="AL343" s="13"/>
      <c r="AM343" s="13"/>
      <c r="AN343" s="13"/>
    </row>
    <row r="344" spans="1:40" ht="20.25">
      <c r="A344" t="str">
        <f t="shared" si="84"/>
        <v>PiècesFormation</v>
      </c>
      <c r="B344" s="11" t="s">
        <v>98</v>
      </c>
      <c r="C344" s="102" t="s">
        <v>61</v>
      </c>
      <c r="D344" s="81"/>
      <c r="E344" s="13"/>
      <c r="F344" s="30">
        <f>+SUM(START:END!F344)</f>
        <v>723.4406399999998</v>
      </c>
      <c r="G344" s="83"/>
      <c r="H344" s="13"/>
      <c r="I344" s="30">
        <f>+SUM(START:END!I344)</f>
        <v>0</v>
      </c>
      <c r="J344" s="41"/>
      <c r="K344" s="13"/>
      <c r="L344" s="59">
        <f>+SUM(START:END!L344)</f>
        <v>736.98</v>
      </c>
      <c r="M344" s="41"/>
      <c r="N344" s="59">
        <f t="shared" si="105"/>
        <v>13.539360000000215</v>
      </c>
      <c r="O344" s="41"/>
      <c r="P344" s="13"/>
      <c r="Q344" s="33">
        <f>+SUM(START:END!Q344)</f>
        <v>464.28</v>
      </c>
      <c r="R344" s="41"/>
      <c r="S344" s="85">
        <f>L344-Q344</f>
        <v>272.70000000000005</v>
      </c>
      <c r="T344" s="13"/>
      <c r="U344" s="13"/>
      <c r="V344" s="13"/>
      <c r="W344" s="13"/>
      <c r="X344" s="13"/>
      <c r="Y344" s="13"/>
      <c r="Z344" s="13"/>
      <c r="AA344" s="13"/>
      <c r="AB344" s="13"/>
      <c r="AC344" s="13"/>
      <c r="AD344" s="13"/>
      <c r="AE344" s="13"/>
      <c r="AF344" s="13"/>
      <c r="AG344" s="13"/>
      <c r="AH344" s="13"/>
      <c r="AI344" s="13"/>
      <c r="AJ344" s="13"/>
      <c r="AK344" s="13"/>
      <c r="AL344" s="13"/>
      <c r="AM344" s="13"/>
      <c r="AN344" s="13"/>
    </row>
    <row r="345" spans="1:40" ht="20.25">
      <c r="A345" t="str">
        <f t="shared" si="84"/>
        <v>PiècesFrais bancaires</v>
      </c>
      <c r="B345" s="11" t="s">
        <v>98</v>
      </c>
      <c r="C345" s="102" t="s">
        <v>62</v>
      </c>
      <c r="D345" s="81"/>
      <c r="E345" s="13"/>
      <c r="F345" s="30">
        <f>+SUM(START:END!F345)</f>
        <v>3671.1000141590739</v>
      </c>
      <c r="G345" s="83"/>
      <c r="H345" s="13"/>
      <c r="I345" s="30">
        <f>+SUM(START:END!I345)</f>
        <v>0</v>
      </c>
      <c r="J345" s="41"/>
      <c r="K345" s="13"/>
      <c r="L345" s="32">
        <f>+SUM(START:END!L345)</f>
        <v>3402.76</v>
      </c>
      <c r="M345" s="41"/>
      <c r="N345" s="59">
        <f t="shared" si="105"/>
        <v>-268.34001415907369</v>
      </c>
      <c r="O345" s="41"/>
      <c r="P345" s="13"/>
      <c r="Q345" s="33">
        <f>+SUM(START:END!Q345)</f>
        <v>3393.41</v>
      </c>
      <c r="R345" s="41"/>
      <c r="S345" s="85">
        <f>L345-Q345</f>
        <v>9.3500000000003638</v>
      </c>
      <c r="T345" s="13"/>
      <c r="U345" s="13"/>
      <c r="V345" s="13"/>
      <c r="W345" s="13"/>
      <c r="X345" s="13"/>
      <c r="Y345" s="13"/>
      <c r="Z345" s="13"/>
      <c r="AA345" s="13"/>
      <c r="AB345" s="13"/>
      <c r="AC345" s="13"/>
      <c r="AD345" s="13"/>
      <c r="AE345" s="13"/>
      <c r="AF345" s="13"/>
      <c r="AG345" s="13"/>
      <c r="AH345" s="13"/>
      <c r="AI345" s="13"/>
      <c r="AJ345" s="13"/>
      <c r="AK345" s="13"/>
      <c r="AL345" s="13"/>
      <c r="AM345" s="13"/>
      <c r="AN345" s="13"/>
    </row>
    <row r="346" spans="1:40" ht="20.25" hidden="1">
      <c r="A346" t="str">
        <f t="shared" si="84"/>
        <v>Pièces[...]</v>
      </c>
      <c r="B346" s="11" t="s">
        <v>98</v>
      </c>
      <c r="C346" s="102" t="s">
        <v>19</v>
      </c>
      <c r="D346" s="81"/>
      <c r="E346" s="13"/>
      <c r="F346" s="30">
        <f>+SUM(START:END!F346)</f>
        <v>0</v>
      </c>
      <c r="G346" s="83"/>
      <c r="H346" s="13"/>
      <c r="I346" s="30">
        <f>+SUM(START:END!I346)</f>
        <v>0</v>
      </c>
      <c r="J346" s="41"/>
      <c r="K346" s="13"/>
      <c r="L346" s="33">
        <f>+SUM(START:END!L346)</f>
        <v>0</v>
      </c>
      <c r="M346" s="41"/>
      <c r="N346" s="59">
        <f t="shared" si="105"/>
        <v>0</v>
      </c>
      <c r="O346" s="41"/>
      <c r="P346" s="13"/>
      <c r="Q346" s="33">
        <f>+SUM(START:END!Q346)</f>
        <v>0</v>
      </c>
      <c r="R346" s="41"/>
      <c r="S346" s="85">
        <f>L346-Q346</f>
        <v>0</v>
      </c>
      <c r="T346" s="13"/>
      <c r="U346" s="13"/>
      <c r="V346" s="13"/>
      <c r="W346" s="13"/>
      <c r="X346" s="13"/>
      <c r="Y346" s="13"/>
      <c r="Z346" s="13"/>
      <c r="AA346" s="13"/>
      <c r="AB346" s="13"/>
      <c r="AC346" s="13"/>
      <c r="AD346" s="13"/>
      <c r="AE346" s="13"/>
      <c r="AF346" s="13"/>
      <c r="AG346" s="13"/>
      <c r="AH346" s="13"/>
      <c r="AI346" s="13"/>
      <c r="AJ346" s="13"/>
      <c r="AK346" s="13"/>
      <c r="AL346" s="13"/>
      <c r="AM346" s="13"/>
      <c r="AN346" s="13"/>
    </row>
    <row r="347" spans="1:40" ht="20.25" hidden="1">
      <c r="A347" t="str">
        <f t="shared" si="84"/>
        <v>Pièces[...]</v>
      </c>
      <c r="B347" s="11" t="s">
        <v>98</v>
      </c>
      <c r="C347" s="102" t="s">
        <v>19</v>
      </c>
      <c r="D347" s="81"/>
      <c r="E347" s="13"/>
      <c r="F347" s="30">
        <f>+SUM(START:END!F347)</f>
        <v>0</v>
      </c>
      <c r="G347" s="83"/>
      <c r="H347" s="13"/>
      <c r="I347" s="30">
        <f>+SUM(START:END!I347)</f>
        <v>0</v>
      </c>
      <c r="J347" s="41"/>
      <c r="K347" s="13"/>
      <c r="L347" s="33">
        <f>+SUM(START:END!L347)</f>
        <v>0</v>
      </c>
      <c r="M347" s="41"/>
      <c r="N347" s="59">
        <f t="shared" si="105"/>
        <v>0</v>
      </c>
      <c r="O347" s="41"/>
      <c r="P347" s="13"/>
      <c r="Q347" s="33">
        <f>+SUM(START:END!Q347)</f>
        <v>0</v>
      </c>
      <c r="R347" s="41"/>
      <c r="S347" s="85">
        <f>L347-Q347</f>
        <v>0</v>
      </c>
      <c r="T347" s="13"/>
      <c r="U347" s="13"/>
      <c r="V347" s="13"/>
      <c r="W347" s="13"/>
      <c r="X347" s="13"/>
      <c r="Y347" s="13"/>
      <c r="Z347" s="13"/>
      <c r="AA347" s="13"/>
      <c r="AB347" s="13"/>
      <c r="AC347" s="13"/>
      <c r="AD347" s="13"/>
      <c r="AE347" s="13"/>
      <c r="AF347" s="13"/>
      <c r="AG347" s="13"/>
      <c r="AH347" s="13"/>
      <c r="AI347" s="13"/>
      <c r="AJ347" s="13"/>
      <c r="AK347" s="13"/>
      <c r="AL347" s="13"/>
      <c r="AM347" s="13"/>
      <c r="AN347" s="13"/>
    </row>
    <row r="348" spans="1:40" ht="20.25" hidden="1">
      <c r="A348" t="str">
        <f t="shared" si="84"/>
        <v>Pièces[...]</v>
      </c>
      <c r="B348" s="11" t="s">
        <v>98</v>
      </c>
      <c r="C348" s="102" t="s">
        <v>19</v>
      </c>
      <c r="D348" s="81"/>
      <c r="E348" s="13"/>
      <c r="F348" s="30">
        <f>+SUM(START:END!F348)</f>
        <v>0</v>
      </c>
      <c r="G348" s="83"/>
      <c r="H348" s="13"/>
      <c r="I348" s="30">
        <f>+SUM(START:END!I348)</f>
        <v>0</v>
      </c>
      <c r="J348" s="41"/>
      <c r="K348" s="13"/>
      <c r="L348" s="33">
        <f>+SUM(START:END!L348)</f>
        <v>0</v>
      </c>
      <c r="M348" s="41"/>
      <c r="N348" s="59">
        <f t="shared" si="105"/>
        <v>0</v>
      </c>
      <c r="O348" s="41"/>
      <c r="P348" s="13"/>
      <c r="Q348" s="33">
        <f>+SUM(START:END!Q348)</f>
        <v>0</v>
      </c>
      <c r="R348" s="41"/>
      <c r="S348" s="85">
        <f>L348-Q348</f>
        <v>0</v>
      </c>
      <c r="T348" s="13"/>
      <c r="U348" s="13"/>
      <c r="V348" s="13"/>
      <c r="W348" s="13"/>
      <c r="X348" s="13"/>
      <c r="Y348" s="13"/>
      <c r="Z348" s="13"/>
      <c r="AA348" s="13"/>
      <c r="AB348" s="13"/>
      <c r="AC348" s="13"/>
      <c r="AD348" s="13"/>
      <c r="AE348" s="13"/>
      <c r="AF348" s="13"/>
      <c r="AG348" s="13"/>
      <c r="AH348" s="13"/>
      <c r="AI348" s="13"/>
      <c r="AJ348" s="13"/>
      <c r="AK348" s="13"/>
      <c r="AL348" s="13"/>
      <c r="AM348" s="13"/>
      <c r="AN348" s="13"/>
    </row>
    <row r="349" spans="1:40" ht="20.25">
      <c r="B349" s="7"/>
      <c r="C349" s="93" t="s">
        <v>63</v>
      </c>
      <c r="D349" s="94" t="s">
        <v>38</v>
      </c>
      <c r="E349" s="95">
        <f>F349/F$314</f>
        <v>0.14438605731896889</v>
      </c>
      <c r="F349" s="96">
        <f>+SUM(F331:F348)</f>
        <v>42204.607882413911</v>
      </c>
      <c r="G349" s="97" t="s">
        <v>38</v>
      </c>
      <c r="H349" s="95" t="e">
        <f>I349/I$314</f>
        <v>#DIV/0!</v>
      </c>
      <c r="I349" s="96">
        <f>+SUM(I331:I348)</f>
        <v>0</v>
      </c>
      <c r="J349" s="97" t="s">
        <v>38</v>
      </c>
      <c r="K349" s="95">
        <f>L349/L$314</f>
        <v>0.16964050511967452</v>
      </c>
      <c r="L349" s="96">
        <f>+SUM(L331:L348)</f>
        <v>41162.97</v>
      </c>
      <c r="M349" s="100"/>
      <c r="N349" s="96">
        <f>+SUM(N331:N348)</f>
        <v>-1041.6378824139163</v>
      </c>
      <c r="O349" s="97" t="s">
        <v>38</v>
      </c>
      <c r="P349" s="95">
        <f>Q349/Q$314</f>
        <v>0.1582886023320409</v>
      </c>
      <c r="Q349" s="96">
        <f>+SUM(Q331:Q348)</f>
        <v>40172.839999999997</v>
      </c>
      <c r="R349" s="100"/>
      <c r="S349" s="101">
        <f>+SUM(S331:S348)</f>
        <v>990.13000000000193</v>
      </c>
      <c r="T349" s="13"/>
      <c r="U349" s="13"/>
      <c r="V349" s="13"/>
      <c r="W349" s="13"/>
      <c r="X349" s="13"/>
      <c r="Y349" s="13"/>
      <c r="Z349" s="13"/>
      <c r="AA349" s="13"/>
      <c r="AB349" s="13"/>
      <c r="AC349" s="13"/>
      <c r="AD349" s="13"/>
      <c r="AE349" s="13"/>
      <c r="AF349" s="13"/>
      <c r="AG349" s="13"/>
      <c r="AH349" s="13"/>
      <c r="AI349" s="13"/>
      <c r="AJ349" s="13"/>
      <c r="AK349" s="13"/>
      <c r="AL349" s="13"/>
      <c r="AM349" s="13"/>
      <c r="AN349" s="13"/>
    </row>
    <row r="350" spans="1:40" ht="20.25">
      <c r="B350" s="7"/>
      <c r="C350" s="86"/>
      <c r="D350" s="87"/>
      <c r="E350" s="111"/>
      <c r="F350" s="59"/>
      <c r="G350" s="89"/>
      <c r="H350" s="111"/>
      <c r="I350" s="59"/>
      <c r="J350" s="23"/>
      <c r="K350" s="111"/>
      <c r="L350" s="91"/>
      <c r="M350" s="23"/>
      <c r="N350" s="91"/>
      <c r="O350" s="23"/>
      <c r="P350" s="111"/>
      <c r="Q350" s="91"/>
      <c r="R350" s="23"/>
      <c r="S350" s="92"/>
      <c r="T350" s="13"/>
      <c r="U350" s="13"/>
      <c r="V350" s="13"/>
      <c r="W350" s="13"/>
      <c r="X350" s="13"/>
      <c r="Y350" s="13"/>
      <c r="Z350" s="13"/>
      <c r="AA350" s="13"/>
      <c r="AB350" s="13"/>
      <c r="AC350" s="13"/>
      <c r="AD350" s="13"/>
      <c r="AE350" s="13"/>
      <c r="AF350" s="13"/>
      <c r="AG350" s="13"/>
      <c r="AH350" s="13"/>
      <c r="AI350" s="13"/>
      <c r="AJ350" s="13"/>
      <c r="AK350" s="13"/>
      <c r="AL350" s="13"/>
      <c r="AM350" s="13"/>
      <c r="AN350" s="13"/>
    </row>
    <row r="351" spans="1:40" ht="20.25">
      <c r="B351" s="7"/>
      <c r="C351" s="93" t="s">
        <v>64</v>
      </c>
      <c r="D351" s="94" t="s">
        <v>38</v>
      </c>
      <c r="E351" s="95">
        <f>F351/F$314</f>
        <v>0.43468689698796359</v>
      </c>
      <c r="F351" s="96">
        <f>F330+F349</f>
        <v>127060.67593820259</v>
      </c>
      <c r="G351" s="97" t="s">
        <v>38</v>
      </c>
      <c r="H351" s="95" t="e">
        <f>I351/I$314</f>
        <v>#DIV/0!</v>
      </c>
      <c r="I351" s="96">
        <f>I330+I349</f>
        <v>0</v>
      </c>
      <c r="J351" s="97" t="s">
        <v>38</v>
      </c>
      <c r="K351" s="95">
        <f>L351/L$314</f>
        <v>0.48608990528841262</v>
      </c>
      <c r="L351" s="96">
        <f>L330+L349</f>
        <v>117948.86</v>
      </c>
      <c r="M351" s="100"/>
      <c r="N351" s="113">
        <f>L351-F351</f>
        <v>-9111.8159382025915</v>
      </c>
      <c r="O351" s="97" t="s">
        <v>38</v>
      </c>
      <c r="P351" s="95">
        <f>Q351/Q$314</f>
        <v>0.45737361152647371</v>
      </c>
      <c r="Q351" s="96">
        <f>Q330+Q349</f>
        <v>116079.08999999998</v>
      </c>
      <c r="R351" s="100"/>
      <c r="S351" s="114">
        <f>L351-Q351</f>
        <v>1869.7700000000186</v>
      </c>
      <c r="T351" s="13"/>
      <c r="U351" s="13"/>
      <c r="V351" s="13"/>
      <c r="W351" s="13"/>
      <c r="X351" s="13"/>
      <c r="Y351" s="13"/>
      <c r="Z351" s="13"/>
      <c r="AA351" s="13"/>
      <c r="AB351" s="13"/>
      <c r="AC351" s="13"/>
      <c r="AD351" s="13"/>
      <c r="AE351" s="13"/>
      <c r="AF351" s="13"/>
      <c r="AG351" s="13"/>
      <c r="AH351" s="13"/>
      <c r="AI351" s="13"/>
      <c r="AJ351" s="13"/>
      <c r="AK351" s="13"/>
      <c r="AL351" s="13"/>
      <c r="AM351" s="13"/>
      <c r="AN351" s="13"/>
    </row>
    <row r="352" spans="1:40" ht="20.25">
      <c r="B352" s="7"/>
      <c r="C352" s="29"/>
      <c r="D352" s="81"/>
      <c r="E352" s="13"/>
      <c r="F352" s="59"/>
      <c r="G352" s="83"/>
      <c r="H352" s="13"/>
      <c r="I352" s="59"/>
      <c r="J352" s="41"/>
      <c r="K352" s="13"/>
      <c r="L352" s="59"/>
      <c r="M352" s="41"/>
      <c r="N352" s="59">
        <f>L352-F352</f>
        <v>0</v>
      </c>
      <c r="O352" s="41"/>
      <c r="P352" s="13"/>
      <c r="Q352" s="59"/>
      <c r="R352" s="41"/>
      <c r="S352" s="85"/>
      <c r="T352" s="13"/>
      <c r="U352" s="13"/>
      <c r="V352" s="13"/>
      <c r="W352" s="13"/>
      <c r="X352" s="13"/>
      <c r="Y352" s="13"/>
      <c r="Z352" s="13"/>
      <c r="AA352" s="13"/>
      <c r="AB352" s="13"/>
      <c r="AC352" s="13"/>
      <c r="AD352" s="13"/>
      <c r="AE352" s="13"/>
      <c r="AF352" s="13"/>
      <c r="AG352" s="13"/>
      <c r="AH352" s="13"/>
      <c r="AI352" s="13"/>
      <c r="AJ352" s="13"/>
      <c r="AK352" s="13"/>
      <c r="AL352" s="13"/>
      <c r="AM352" s="13"/>
      <c r="AN352" s="13"/>
    </row>
    <row r="353" spans="1:40" ht="21" thickBot="1">
      <c r="B353" s="7"/>
      <c r="C353" s="124" t="s">
        <v>69</v>
      </c>
      <c r="D353" s="152"/>
      <c r="E353" s="125"/>
      <c r="F353" s="127">
        <f>F314-F351</f>
        <v>165243.22560249851</v>
      </c>
      <c r="G353" s="153"/>
      <c r="H353" s="125"/>
      <c r="I353" s="127">
        <f>I314-I351</f>
        <v>0</v>
      </c>
      <c r="J353" s="154"/>
      <c r="K353" s="126"/>
      <c r="L353" s="127">
        <f>L314-L351</f>
        <v>124699.37999999996</v>
      </c>
      <c r="M353" s="154"/>
      <c r="N353" s="127">
        <f>L353-F353</f>
        <v>-40543.84560249855</v>
      </c>
      <c r="O353" s="154"/>
      <c r="P353" s="126"/>
      <c r="Q353" s="127">
        <f>Q314-Q351</f>
        <v>137715.80999999947</v>
      </c>
      <c r="R353" s="154"/>
      <c r="S353" s="129">
        <f>L353-Q353</f>
        <v>-13016.429999999513</v>
      </c>
      <c r="T353" s="13"/>
      <c r="U353" s="13"/>
      <c r="V353" s="13"/>
      <c r="W353" s="13"/>
      <c r="X353" s="13"/>
      <c r="Y353" s="13"/>
      <c r="Z353" s="13"/>
      <c r="AA353" s="13"/>
      <c r="AB353" s="13"/>
      <c r="AC353" s="13"/>
      <c r="AD353" s="13"/>
      <c r="AE353" s="13"/>
      <c r="AF353" s="13"/>
      <c r="AG353" s="13"/>
      <c r="AH353" s="13"/>
      <c r="AI353" s="13"/>
      <c r="AJ353" s="13"/>
      <c r="AK353" s="13"/>
      <c r="AL353" s="13"/>
      <c r="AM353" s="13"/>
      <c r="AN353" s="13"/>
    </row>
    <row r="354" spans="1:40" ht="21" thickTop="1">
      <c r="B354" s="7"/>
      <c r="C354" s="76"/>
      <c r="D354" s="81"/>
      <c r="E354" s="13"/>
      <c r="F354" s="112"/>
      <c r="G354" s="81"/>
      <c r="H354" s="13"/>
      <c r="I354" s="112"/>
      <c r="J354" s="76"/>
      <c r="K354" s="76"/>
      <c r="L354" s="112"/>
      <c r="M354" s="76"/>
      <c r="N354" s="112"/>
      <c r="O354" s="76"/>
      <c r="P354" s="76"/>
      <c r="Q354" s="112"/>
      <c r="R354" s="76"/>
      <c r="S354" s="112"/>
      <c r="T354" s="13"/>
      <c r="U354" s="13"/>
      <c r="V354" s="13"/>
      <c r="W354" s="13"/>
      <c r="X354" s="13"/>
      <c r="Y354" s="13"/>
      <c r="Z354" s="13"/>
      <c r="AA354" s="13"/>
      <c r="AB354" s="13"/>
      <c r="AC354" s="13"/>
      <c r="AD354" s="13"/>
      <c r="AE354" s="13"/>
      <c r="AF354" s="13"/>
      <c r="AG354" s="13"/>
      <c r="AH354" s="13"/>
      <c r="AI354" s="13"/>
      <c r="AJ354" s="13"/>
      <c r="AK354" s="13"/>
      <c r="AL354" s="13"/>
      <c r="AM354" s="13"/>
      <c r="AN354" s="13"/>
    </row>
    <row r="355" spans="1:40" ht="20.25" hidden="1">
      <c r="B355" s="7"/>
      <c r="C355" s="76"/>
      <c r="D355" s="81"/>
      <c r="E355" s="13"/>
      <c r="F355" s="112"/>
      <c r="G355" s="81"/>
      <c r="H355" s="13"/>
      <c r="I355" s="112"/>
      <c r="J355" s="76"/>
      <c r="K355" s="76"/>
      <c r="L355" s="112"/>
      <c r="M355" s="76"/>
      <c r="N355" s="112"/>
      <c r="O355" s="76"/>
      <c r="P355" s="76"/>
      <c r="Q355" s="112"/>
      <c r="R355" s="76"/>
      <c r="S355" s="112"/>
      <c r="T355" s="13"/>
      <c r="U355" s="13"/>
      <c r="V355" s="13"/>
      <c r="W355" s="13"/>
      <c r="X355" s="13"/>
      <c r="Y355" s="13"/>
      <c r="Z355" s="13"/>
      <c r="AA355" s="13"/>
      <c r="AB355" s="13"/>
      <c r="AC355" s="13"/>
      <c r="AD355" s="13"/>
      <c r="AE355" s="13"/>
      <c r="AF355" s="13"/>
      <c r="AG355" s="13"/>
      <c r="AH355" s="13"/>
      <c r="AI355" s="13"/>
      <c r="AJ355" s="13"/>
      <c r="AK355" s="13"/>
      <c r="AL355" s="13"/>
      <c r="AM355" s="13"/>
      <c r="AN355" s="13"/>
    </row>
    <row r="356" spans="1:40" ht="35.25" hidden="1">
      <c r="B356" s="7"/>
      <c r="C356" s="6" t="str">
        <f>+C291</f>
        <v>BMW Sherbrooke</v>
      </c>
      <c r="D356" s="2"/>
      <c r="E356" s="2"/>
      <c r="F356" s="2"/>
      <c r="G356" s="2"/>
      <c r="H356" s="1"/>
      <c r="I356" s="1"/>
      <c r="J356" s="1"/>
      <c r="K356" s="3" t="s">
        <v>114</v>
      </c>
      <c r="L356" s="2"/>
      <c r="M356" s="2"/>
      <c r="N356" s="1"/>
      <c r="O356" s="1"/>
      <c r="P356" s="2"/>
      <c r="Q356" s="1"/>
      <c r="R356" s="2"/>
      <c r="S356" s="5" t="str">
        <f>$S$1</f>
        <v>Réalisé  Q3 2024</v>
      </c>
      <c r="T356" s="10"/>
      <c r="U356" s="10"/>
      <c r="V356" s="13"/>
      <c r="W356" s="10"/>
      <c r="X356" s="10"/>
      <c r="Y356" s="10"/>
      <c r="Z356" s="10"/>
      <c r="AA356" s="10"/>
      <c r="AB356" s="10"/>
      <c r="AC356" s="10"/>
      <c r="AD356" s="10"/>
      <c r="AE356" s="10"/>
      <c r="AF356" s="10"/>
      <c r="AG356" s="10"/>
      <c r="AH356" s="10"/>
      <c r="AI356" s="10"/>
      <c r="AJ356" s="10"/>
      <c r="AK356" s="10"/>
      <c r="AL356" s="10"/>
      <c r="AM356" s="10"/>
      <c r="AN356" s="10"/>
    </row>
    <row r="357" spans="1:40" ht="20.25" hidden="1">
      <c r="B357" s="7"/>
      <c r="C357" s="8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3"/>
      <c r="W357" s="10"/>
      <c r="X357" s="10"/>
      <c r="Y357" s="10"/>
      <c r="Z357" s="10"/>
      <c r="AA357" s="10"/>
      <c r="AB357" s="10"/>
      <c r="AC357" s="10"/>
      <c r="AD357" s="10"/>
      <c r="AE357" s="10"/>
      <c r="AF357" s="10"/>
      <c r="AG357" s="10"/>
      <c r="AH357" s="10"/>
      <c r="AI357" s="10"/>
      <c r="AJ357" s="10"/>
      <c r="AK357" s="10"/>
      <c r="AL357" s="10"/>
      <c r="AM357" s="10"/>
      <c r="AN357" s="10"/>
    </row>
    <row r="358" spans="1:40" ht="21" hidden="1" thickTop="1">
      <c r="B358" s="7"/>
      <c r="C358" s="12"/>
      <c r="D358" s="496" t="s">
        <v>5</v>
      </c>
      <c r="E358" s="497"/>
      <c r="F358" s="498"/>
      <c r="G358" s="499" t="s">
        <v>71</v>
      </c>
      <c r="H358" s="497"/>
      <c r="I358" s="498"/>
      <c r="J358" s="499" t="s">
        <v>7</v>
      </c>
      <c r="K358" s="497"/>
      <c r="L358" s="498"/>
      <c r="M358" s="499"/>
      <c r="N358" s="498"/>
      <c r="O358" s="496" t="s">
        <v>8</v>
      </c>
      <c r="P358" s="497"/>
      <c r="Q358" s="498"/>
      <c r="R358" s="499" t="s">
        <v>9</v>
      </c>
      <c r="S358" s="503"/>
      <c r="T358" s="10"/>
      <c r="U358" s="10"/>
      <c r="V358" s="13"/>
      <c r="W358" s="10"/>
      <c r="X358" s="10"/>
      <c r="Y358" s="10"/>
      <c r="Z358" s="10"/>
      <c r="AA358" s="10"/>
      <c r="AB358" s="10"/>
      <c r="AC358" s="10"/>
      <c r="AD358" s="10"/>
      <c r="AE358" s="10"/>
      <c r="AF358" s="10"/>
      <c r="AG358" s="10"/>
      <c r="AH358" s="10"/>
      <c r="AI358" s="10"/>
      <c r="AJ358" s="10"/>
      <c r="AK358" s="10"/>
      <c r="AL358" s="10"/>
      <c r="AM358" s="10"/>
      <c r="AN358" s="10"/>
    </row>
    <row r="359" spans="1:40" ht="21" hidden="1" thickBot="1">
      <c r="A359" t="str">
        <f t="shared" ref="A359:A394" si="108">+B359&amp;C359</f>
        <v>Boutique</v>
      </c>
      <c r="B359" s="11" t="s">
        <v>114</v>
      </c>
      <c r="C359" s="29"/>
      <c r="D359" s="231" t="s">
        <v>79</v>
      </c>
      <c r="E359" s="231" t="s">
        <v>99</v>
      </c>
      <c r="F359" s="232" t="s">
        <v>12</v>
      </c>
      <c r="G359" s="233" t="s">
        <v>79</v>
      </c>
      <c r="H359" s="231" t="s">
        <v>99</v>
      </c>
      <c r="I359" s="232" t="s">
        <v>12</v>
      </c>
      <c r="J359" s="135" t="s">
        <v>79</v>
      </c>
      <c r="K359" s="80" t="s">
        <v>99</v>
      </c>
      <c r="L359" s="134" t="s">
        <v>12</v>
      </c>
      <c r="M359" s="135"/>
      <c r="N359" s="134"/>
      <c r="O359" s="135" t="s">
        <v>79</v>
      </c>
      <c r="P359" s="80" t="s">
        <v>99</v>
      </c>
      <c r="Q359" s="134" t="s">
        <v>12</v>
      </c>
      <c r="R359" s="135" t="s">
        <v>80</v>
      </c>
      <c r="S359" s="136" t="s">
        <v>12</v>
      </c>
      <c r="T359" s="10"/>
      <c r="U359" s="10"/>
      <c r="V359" s="13"/>
      <c r="W359" s="10"/>
      <c r="X359" s="10"/>
      <c r="Y359" s="10"/>
      <c r="Z359" s="10"/>
      <c r="AA359" s="10"/>
      <c r="AB359" s="10"/>
      <c r="AC359" s="10"/>
      <c r="AD359" s="10"/>
      <c r="AE359" s="10"/>
      <c r="AF359" s="10"/>
      <c r="AG359" s="10"/>
      <c r="AH359" s="10"/>
      <c r="AI359" s="10"/>
      <c r="AJ359" s="10"/>
      <c r="AK359" s="10"/>
      <c r="AL359" s="10"/>
      <c r="AM359" s="10"/>
      <c r="AN359" s="10"/>
    </row>
    <row r="360" spans="1:40" ht="27.75" hidden="1" thickTop="1">
      <c r="A360" t="str">
        <f t="shared" si="108"/>
        <v>BoutiqueBoutique</v>
      </c>
      <c r="B360" s="11" t="s">
        <v>114</v>
      </c>
      <c r="C360" s="62" t="s">
        <v>114</v>
      </c>
      <c r="D360" s="234">
        <f>+SUM(START:END!D360)</f>
        <v>0</v>
      </c>
      <c r="E360" s="235">
        <f>IFERROR(F360/D360,0)</f>
        <v>0</v>
      </c>
      <c r="F360" s="236">
        <f>+SUM(START:END!F360)</f>
        <v>0</v>
      </c>
      <c r="G360" s="234">
        <f>+SUM(START:END!G360)</f>
        <v>0</v>
      </c>
      <c r="H360" s="235">
        <f>IFERROR(I360/G360,0)</f>
        <v>0</v>
      </c>
      <c r="I360" s="234">
        <f>+SUM(START:END!I360)</f>
        <v>0</v>
      </c>
      <c r="J360" s="237">
        <f>+SUM(START:END!J360)</f>
        <v>0</v>
      </c>
      <c r="K360" s="219">
        <f>IFERROR(L360/J360,0)</f>
        <v>0</v>
      </c>
      <c r="L360" s="238">
        <f>+SUM(START:END!L360)</f>
        <v>0</v>
      </c>
      <c r="M360" s="220"/>
      <c r="N360" s="221"/>
      <c r="O360" s="237">
        <f>+SUM(START:END!O360)</f>
        <v>0</v>
      </c>
      <c r="P360" s="219">
        <f>IFERROR(Q360/O360,0)</f>
        <v>0</v>
      </c>
      <c r="Q360" s="238">
        <f>+SUM(START:END!Q360)</f>
        <v>0</v>
      </c>
      <c r="R360" s="220">
        <f>IF(O360=0,0,(J360-O360)/O360)</f>
        <v>0</v>
      </c>
      <c r="S360" s="222">
        <f>L360-Q360</f>
        <v>0</v>
      </c>
      <c r="T360" s="10"/>
      <c r="U360" s="10"/>
      <c r="V360" s="239"/>
      <c r="W360" s="10"/>
      <c r="X360" s="10"/>
      <c r="Y360" s="10"/>
      <c r="Z360" s="10"/>
      <c r="AA360" s="10"/>
      <c r="AB360" s="10"/>
      <c r="AC360" s="10"/>
      <c r="AD360" s="10"/>
      <c r="AE360" s="10"/>
      <c r="AF360" s="10"/>
      <c r="AG360" s="10"/>
      <c r="AH360" s="10"/>
      <c r="AI360" s="10"/>
      <c r="AJ360" s="10"/>
      <c r="AK360" s="10"/>
      <c r="AL360" s="10"/>
      <c r="AM360" s="10"/>
      <c r="AN360" s="10"/>
    </row>
    <row r="361" spans="1:40" ht="21" hidden="1" thickBot="1">
      <c r="A361" t="str">
        <f t="shared" si="108"/>
        <v>Boutique</v>
      </c>
      <c r="B361" s="11" t="s">
        <v>114</v>
      </c>
      <c r="C361" s="223"/>
      <c r="D361" s="224"/>
      <c r="E361" s="225"/>
      <c r="F361" s="226"/>
      <c r="G361" s="227"/>
      <c r="H361" s="225"/>
      <c r="I361" s="226"/>
      <c r="J361" s="227"/>
      <c r="K361" s="225"/>
      <c r="L361" s="226"/>
      <c r="M361" s="228"/>
      <c r="N361" s="74"/>
      <c r="O361" s="227"/>
      <c r="P361" s="225"/>
      <c r="Q361" s="226"/>
      <c r="R361" s="228"/>
      <c r="S361" s="75"/>
      <c r="T361" s="10"/>
      <c r="U361" s="10"/>
      <c r="V361" s="13"/>
      <c r="W361" s="10"/>
      <c r="X361" s="10"/>
      <c r="Y361" s="10"/>
      <c r="Z361" s="10"/>
      <c r="AA361" s="10"/>
      <c r="AB361" s="10"/>
      <c r="AC361" s="10"/>
      <c r="AD361" s="10"/>
      <c r="AE361" s="10"/>
      <c r="AF361" s="10"/>
      <c r="AG361" s="10"/>
      <c r="AH361" s="10"/>
      <c r="AI361" s="10"/>
      <c r="AJ361" s="10"/>
      <c r="AK361" s="10"/>
      <c r="AL361" s="10"/>
      <c r="AM361" s="10"/>
      <c r="AN361" s="10"/>
    </row>
    <row r="362" spans="1:40" ht="21" hidden="1" thickTop="1">
      <c r="A362" t="str">
        <f t="shared" si="108"/>
        <v>BoutiqueTotal Dépt. Boutique</v>
      </c>
      <c r="B362" s="11" t="s">
        <v>114</v>
      </c>
      <c r="C362" s="53" t="s">
        <v>115</v>
      </c>
      <c r="D362" s="240">
        <f>+D360</f>
        <v>0</v>
      </c>
      <c r="E362" s="174">
        <f>IF(D362&lt;=0,0,F362/D362)</f>
        <v>0</v>
      </c>
      <c r="F362" s="176">
        <f t="shared" ref="F362" si="109">+F360</f>
        <v>0</v>
      </c>
      <c r="G362" s="175">
        <f>+G360</f>
        <v>0</v>
      </c>
      <c r="H362" s="174">
        <f>IF(G362&lt;=0,0,I362/G362)</f>
        <v>0</v>
      </c>
      <c r="I362" s="176">
        <f t="shared" ref="I362" si="110">+I360</f>
        <v>0</v>
      </c>
      <c r="J362" s="175">
        <f>+J360</f>
        <v>0</v>
      </c>
      <c r="K362" s="174">
        <f>IF(J362&lt;=0,0,L362/J362)</f>
        <v>0</v>
      </c>
      <c r="L362" s="176">
        <f t="shared" ref="L362" si="111">+L360</f>
        <v>0</v>
      </c>
      <c r="M362" s="241"/>
      <c r="N362" s="242"/>
      <c r="O362" s="175">
        <f>+O360</f>
        <v>0</v>
      </c>
      <c r="P362" s="174">
        <f>IF(O362&lt;=0,0,Q362/O362)</f>
        <v>0</v>
      </c>
      <c r="Q362" s="176">
        <f t="shared" ref="Q362" si="112">+Q360</f>
        <v>0</v>
      </c>
      <c r="R362" s="41">
        <f>IF(O362=0,0,(J362-O362)/O362)</f>
        <v>0</v>
      </c>
      <c r="S362" s="44">
        <f>L362-Q362</f>
        <v>0</v>
      </c>
      <c r="T362" s="10"/>
      <c r="U362" s="10"/>
      <c r="V362" s="13"/>
      <c r="W362" s="10"/>
      <c r="X362" s="10"/>
      <c r="Y362" s="10"/>
      <c r="Z362" s="10"/>
      <c r="AA362" s="10"/>
      <c r="AB362" s="10"/>
      <c r="AC362" s="10"/>
      <c r="AD362" s="10"/>
      <c r="AE362" s="10"/>
      <c r="AF362" s="10"/>
      <c r="AG362" s="10"/>
      <c r="AH362" s="10"/>
      <c r="AI362" s="10"/>
      <c r="AJ362" s="10"/>
      <c r="AK362" s="10"/>
      <c r="AL362" s="10"/>
      <c r="AM362" s="10"/>
      <c r="AN362" s="10"/>
    </row>
    <row r="363" spans="1:40" ht="20.25" hidden="1">
      <c r="A363" t="str">
        <f t="shared" si="108"/>
        <v>Boutique</v>
      </c>
      <c r="B363" s="11" t="s">
        <v>114</v>
      </c>
      <c r="C363" s="79"/>
      <c r="D363" s="13"/>
      <c r="E363" s="13"/>
      <c r="F363" s="59"/>
      <c r="G363" s="41"/>
      <c r="H363" s="243"/>
      <c r="I363" s="59"/>
      <c r="J363" s="41"/>
      <c r="K363" s="13"/>
      <c r="L363" s="40"/>
      <c r="M363" s="41"/>
      <c r="N363" s="244"/>
      <c r="O363" s="41"/>
      <c r="P363" s="13"/>
      <c r="Q363" s="40"/>
      <c r="R363" s="41"/>
      <c r="S363" s="61">
        <f>IF(Q362=0,0,S362/Q362)</f>
        <v>0</v>
      </c>
      <c r="T363" s="10"/>
      <c r="U363" s="10"/>
      <c r="V363" s="13"/>
      <c r="W363" s="10"/>
      <c r="X363" s="10"/>
      <c r="Y363" s="10"/>
      <c r="Z363" s="10"/>
      <c r="AA363" s="10"/>
      <c r="AB363" s="10"/>
      <c r="AC363" s="10"/>
      <c r="AD363" s="10"/>
      <c r="AE363" s="10"/>
      <c r="AF363" s="10"/>
      <c r="AG363" s="10"/>
      <c r="AH363" s="10"/>
      <c r="AI363" s="10"/>
      <c r="AJ363" s="10"/>
      <c r="AK363" s="10"/>
      <c r="AL363" s="10"/>
      <c r="AM363" s="10"/>
      <c r="AN363" s="10"/>
    </row>
    <row r="364" spans="1:40" ht="20.25" hidden="1">
      <c r="A364" t="str">
        <f t="shared" si="108"/>
        <v>BoutiqueDEPENSES</v>
      </c>
      <c r="B364" s="11" t="s">
        <v>114</v>
      </c>
      <c r="C364" s="79" t="s">
        <v>29</v>
      </c>
      <c r="D364" s="13"/>
      <c r="E364" s="13"/>
      <c r="F364" s="59"/>
      <c r="G364" s="41"/>
      <c r="H364" s="13"/>
      <c r="I364" s="59"/>
      <c r="J364" s="41"/>
      <c r="K364" s="13"/>
      <c r="L364" s="40"/>
      <c r="M364" s="41"/>
      <c r="N364" s="40"/>
      <c r="O364" s="41"/>
      <c r="P364" s="13"/>
      <c r="Q364" s="40"/>
      <c r="R364" s="41"/>
      <c r="S364" s="61"/>
      <c r="T364" s="10"/>
      <c r="U364" s="10"/>
      <c r="V364" s="13"/>
      <c r="W364" s="10"/>
      <c r="X364" s="10"/>
      <c r="Y364" s="10"/>
      <c r="Z364" s="10"/>
      <c r="AA364" s="10"/>
      <c r="AB364" s="10"/>
      <c r="AC364" s="10"/>
      <c r="AD364" s="10"/>
      <c r="AE364" s="10"/>
      <c r="AF364" s="10"/>
      <c r="AG364" s="10"/>
      <c r="AH364" s="10"/>
      <c r="AI364" s="10"/>
      <c r="AJ364" s="10"/>
      <c r="AK364" s="10"/>
      <c r="AL364" s="10"/>
      <c r="AM364" s="10"/>
      <c r="AN364" s="10"/>
    </row>
    <row r="365" spans="1:40" ht="20.25" hidden="1">
      <c r="A365" t="str">
        <f t="shared" si="108"/>
        <v>BoutiqueSalaires cadres</v>
      </c>
      <c r="B365" s="11" t="s">
        <v>114</v>
      </c>
      <c r="C365" s="102" t="s">
        <v>40</v>
      </c>
      <c r="D365" s="13"/>
      <c r="E365" s="13"/>
      <c r="F365" s="30">
        <f>+SUM(START:END!F364)</f>
        <v>0</v>
      </c>
      <c r="G365" s="41"/>
      <c r="H365" s="13"/>
      <c r="I365" s="30">
        <f>+SUM(START:END!I364)</f>
        <v>0</v>
      </c>
      <c r="J365" s="41"/>
      <c r="K365" s="13"/>
      <c r="L365" s="33">
        <f>+SUM(START:END!L364)</f>
        <v>0</v>
      </c>
      <c r="M365" s="41"/>
      <c r="N365" s="40"/>
      <c r="O365" s="41"/>
      <c r="P365" s="13"/>
      <c r="Q365" s="33">
        <f>+SUM(START:END!Q364)</f>
        <v>0</v>
      </c>
      <c r="R365" s="41"/>
      <c r="S365" s="34">
        <f>L365-Q365</f>
        <v>0</v>
      </c>
      <c r="T365" s="10"/>
      <c r="U365" s="10"/>
      <c r="V365" s="13"/>
      <c r="W365" s="10"/>
      <c r="X365" s="10"/>
      <c r="Y365" s="10"/>
      <c r="Z365" s="10"/>
      <c r="AA365" s="10"/>
      <c r="AB365" s="10"/>
      <c r="AC365" s="10"/>
      <c r="AD365" s="10"/>
      <c r="AE365" s="10"/>
      <c r="AF365" s="10"/>
      <c r="AG365" s="10"/>
      <c r="AH365" s="10"/>
      <c r="AI365" s="10"/>
      <c r="AJ365" s="10"/>
      <c r="AK365" s="10"/>
      <c r="AL365" s="10"/>
      <c r="AM365" s="10"/>
      <c r="AN365" s="10"/>
    </row>
    <row r="366" spans="1:40" ht="20.25" hidden="1">
      <c r="A366" t="str">
        <f t="shared" si="108"/>
        <v>BoutiqueSalaires commis</v>
      </c>
      <c r="B366" s="11" t="s">
        <v>114</v>
      </c>
      <c r="C366" s="103" t="s">
        <v>41</v>
      </c>
      <c r="D366" s="81"/>
      <c r="E366" s="13"/>
      <c r="F366" s="22">
        <f>+SUM(START:END!F365)</f>
        <v>0</v>
      </c>
      <c r="G366" s="83"/>
      <c r="H366" s="13"/>
      <c r="I366" s="22">
        <f>+SUM(START:END!I365)</f>
        <v>0</v>
      </c>
      <c r="J366" s="41"/>
      <c r="K366" s="13"/>
      <c r="L366" s="22">
        <f>+SUM(START:END!L365)</f>
        <v>0</v>
      </c>
      <c r="M366" s="41"/>
      <c r="N366" s="59"/>
      <c r="O366" s="41"/>
      <c r="P366" s="13"/>
      <c r="Q366" s="22">
        <f>+SUM(START:END!Q365)</f>
        <v>0</v>
      </c>
      <c r="R366" s="41"/>
      <c r="S366" s="85">
        <f t="shared" ref="S366:S394" si="113">L366-Q366</f>
        <v>0</v>
      </c>
      <c r="T366" s="10"/>
      <c r="U366" s="10"/>
      <c r="V366" s="13"/>
      <c r="W366" s="10"/>
      <c r="X366" s="10"/>
      <c r="Y366" s="10"/>
      <c r="Z366" s="10"/>
      <c r="AA366" s="10"/>
      <c r="AB366" s="10"/>
      <c r="AC366" s="10"/>
      <c r="AD366" s="10"/>
      <c r="AE366" s="10"/>
      <c r="AF366" s="10"/>
      <c r="AG366" s="10"/>
      <c r="AH366" s="10"/>
      <c r="AI366" s="10"/>
      <c r="AJ366" s="10"/>
      <c r="AK366" s="10"/>
      <c r="AL366" s="10"/>
      <c r="AM366" s="10"/>
      <c r="AN366" s="10"/>
    </row>
    <row r="367" spans="1:40" ht="20.25" hidden="1">
      <c r="A367" t="str">
        <f t="shared" si="108"/>
        <v>BoutiqueSalaires autres</v>
      </c>
      <c r="B367" s="11" t="s">
        <v>114</v>
      </c>
      <c r="C367" s="102" t="s">
        <v>42</v>
      </c>
      <c r="D367" s="104"/>
      <c r="E367" s="105"/>
      <c r="F367" s="30">
        <f>+SUM(START:END!F366)</f>
        <v>0</v>
      </c>
      <c r="G367" s="106"/>
      <c r="H367" s="105"/>
      <c r="I367" s="30">
        <f>+SUM(START:END!I366)</f>
        <v>0</v>
      </c>
      <c r="J367" s="107"/>
      <c r="K367" s="105"/>
      <c r="L367" s="33">
        <f>+SUM(START:END!L366)</f>
        <v>0</v>
      </c>
      <c r="M367" s="107"/>
      <c r="N367" s="109"/>
      <c r="O367" s="107"/>
      <c r="P367" s="105"/>
      <c r="Q367" s="33">
        <f>+SUM(START:END!Q366)</f>
        <v>0</v>
      </c>
      <c r="R367" s="107"/>
      <c r="S367" s="110">
        <f t="shared" si="113"/>
        <v>0</v>
      </c>
      <c r="T367" s="10"/>
      <c r="U367" s="10"/>
      <c r="V367" s="13"/>
      <c r="W367" s="10"/>
      <c r="X367" s="10"/>
      <c r="Y367" s="10"/>
      <c r="Z367" s="10"/>
      <c r="AA367" s="10"/>
      <c r="AB367" s="10"/>
      <c r="AC367" s="10"/>
      <c r="AD367" s="10"/>
      <c r="AE367" s="10"/>
      <c r="AF367" s="10"/>
      <c r="AG367" s="10"/>
      <c r="AH367" s="10"/>
      <c r="AI367" s="10"/>
      <c r="AJ367" s="10"/>
      <c r="AK367" s="10"/>
      <c r="AL367" s="10"/>
      <c r="AM367" s="10"/>
      <c r="AN367" s="10"/>
    </row>
    <row r="368" spans="1:40" ht="20.25" hidden="1">
      <c r="A368" t="str">
        <f t="shared" si="108"/>
        <v>BoutiqueSalaires spécialistes</v>
      </c>
      <c r="B368" s="11" t="s">
        <v>114</v>
      </c>
      <c r="C368" s="102" t="s">
        <v>43</v>
      </c>
      <c r="D368" s="81"/>
      <c r="E368" s="13"/>
      <c r="F368" s="30">
        <f>+SUM(START:END!F367)</f>
        <v>0</v>
      </c>
      <c r="G368" s="83"/>
      <c r="H368" s="13"/>
      <c r="I368" s="30">
        <f>+SUM(START:END!I367)</f>
        <v>0</v>
      </c>
      <c r="J368" s="41"/>
      <c r="K368" s="13"/>
      <c r="L368" s="33">
        <f>+SUM(START:END!L367)</f>
        <v>0</v>
      </c>
      <c r="M368" s="41"/>
      <c r="N368" s="59"/>
      <c r="O368" s="41"/>
      <c r="P368" s="13"/>
      <c r="Q368" s="33">
        <f>+SUM(START:END!Q367)</f>
        <v>0</v>
      </c>
      <c r="R368" s="41"/>
      <c r="S368" s="85">
        <f t="shared" si="113"/>
        <v>0</v>
      </c>
      <c r="T368" s="10"/>
      <c r="U368" s="10"/>
      <c r="V368" s="13"/>
      <c r="W368" s="10"/>
      <c r="X368" s="10"/>
      <c r="Y368" s="10"/>
      <c r="Z368" s="10"/>
      <c r="AA368" s="10"/>
      <c r="AB368" s="10"/>
      <c r="AC368" s="10"/>
      <c r="AD368" s="10"/>
      <c r="AE368" s="10"/>
      <c r="AF368" s="10"/>
      <c r="AG368" s="10"/>
      <c r="AH368" s="10"/>
      <c r="AI368" s="10"/>
      <c r="AJ368" s="10"/>
      <c r="AK368" s="10"/>
      <c r="AL368" s="10"/>
      <c r="AM368" s="10"/>
      <c r="AN368" s="10"/>
    </row>
    <row r="369" spans="1:40" ht="20.25" hidden="1">
      <c r="A369" t="str">
        <f t="shared" si="108"/>
        <v>Boutique[...]</v>
      </c>
      <c r="B369" s="11" t="s">
        <v>114</v>
      </c>
      <c r="C369" s="29" t="s">
        <v>19</v>
      </c>
      <c r="D369" s="81"/>
      <c r="E369" s="13"/>
      <c r="F369" s="30">
        <f>+SUM(START:END!F368)</f>
        <v>0</v>
      </c>
      <c r="G369" s="83"/>
      <c r="H369" s="13"/>
      <c r="I369" s="30">
        <f>+SUM(START:END!I368)</f>
        <v>0</v>
      </c>
      <c r="J369" s="41"/>
      <c r="K369" s="13"/>
      <c r="L369" s="33">
        <f>+SUM(START:END!L368)</f>
        <v>0</v>
      </c>
      <c r="M369" s="41"/>
      <c r="N369" s="59"/>
      <c r="O369" s="41"/>
      <c r="P369" s="13"/>
      <c r="Q369" s="33">
        <f>+SUM(START:END!Q368)</f>
        <v>0</v>
      </c>
      <c r="R369" s="41"/>
      <c r="S369" s="85">
        <f t="shared" si="113"/>
        <v>0</v>
      </c>
      <c r="T369" s="10"/>
      <c r="U369" s="10"/>
      <c r="V369" s="13"/>
      <c r="W369" s="10"/>
      <c r="X369" s="10"/>
      <c r="Y369" s="10"/>
      <c r="Z369" s="10"/>
      <c r="AA369" s="10"/>
      <c r="AB369" s="10"/>
      <c r="AC369" s="10"/>
      <c r="AD369" s="10"/>
      <c r="AE369" s="10"/>
      <c r="AF369" s="10"/>
      <c r="AG369" s="10"/>
      <c r="AH369" s="10"/>
      <c r="AI369" s="10"/>
      <c r="AJ369" s="10"/>
      <c r="AK369" s="10"/>
      <c r="AL369" s="10"/>
      <c r="AM369" s="10"/>
      <c r="AN369" s="10"/>
    </row>
    <row r="370" spans="1:40" ht="20.25" hidden="1">
      <c r="A370" t="str">
        <f t="shared" si="108"/>
        <v>Boutique[...]</v>
      </c>
      <c r="B370" s="11" t="s">
        <v>114</v>
      </c>
      <c r="C370" s="29" t="s">
        <v>19</v>
      </c>
      <c r="D370" s="81"/>
      <c r="E370" s="13"/>
      <c r="F370" s="30">
        <f>+SUM(START:END!F369)</f>
        <v>0</v>
      </c>
      <c r="G370" s="83"/>
      <c r="H370" s="13"/>
      <c r="I370" s="30">
        <f>+SUM(START:END!I369)</f>
        <v>0</v>
      </c>
      <c r="J370" s="41"/>
      <c r="K370" s="13"/>
      <c r="L370" s="33">
        <f>+SUM(START:END!L369)</f>
        <v>0</v>
      </c>
      <c r="M370" s="41"/>
      <c r="N370" s="59"/>
      <c r="O370" s="41"/>
      <c r="P370" s="13"/>
      <c r="Q370" s="33">
        <f>+SUM(START:END!Q369)</f>
        <v>0</v>
      </c>
      <c r="R370" s="41"/>
      <c r="S370" s="85">
        <f t="shared" si="113"/>
        <v>0</v>
      </c>
      <c r="T370" s="10"/>
      <c r="U370" s="10"/>
      <c r="V370" s="13"/>
      <c r="W370" s="10"/>
      <c r="X370" s="10"/>
      <c r="Y370" s="10"/>
      <c r="Z370" s="10"/>
      <c r="AA370" s="10"/>
      <c r="AB370" s="10"/>
      <c r="AC370" s="10"/>
      <c r="AD370" s="10"/>
      <c r="AE370" s="10"/>
      <c r="AF370" s="10"/>
      <c r="AG370" s="10"/>
      <c r="AH370" s="10"/>
      <c r="AI370" s="10"/>
      <c r="AJ370" s="10"/>
      <c r="AK370" s="10"/>
      <c r="AL370" s="10"/>
      <c r="AM370" s="10"/>
      <c r="AN370" s="10"/>
    </row>
    <row r="371" spans="1:40" ht="20.25" hidden="1">
      <c r="A371" t="str">
        <f t="shared" si="108"/>
        <v>Boutique[...]</v>
      </c>
      <c r="B371" s="11" t="s">
        <v>114</v>
      </c>
      <c r="C371" s="29" t="s">
        <v>19</v>
      </c>
      <c r="D371" s="81"/>
      <c r="E371" s="13"/>
      <c r="F371" s="30">
        <f>+SUM(START:END!F370)</f>
        <v>0</v>
      </c>
      <c r="G371" s="83"/>
      <c r="H371" s="13"/>
      <c r="I371" s="30">
        <f>+SUM(START:END!I370)</f>
        <v>0</v>
      </c>
      <c r="J371" s="41"/>
      <c r="K371" s="13"/>
      <c r="L371" s="33">
        <f>+SUM(START:END!L370)</f>
        <v>0</v>
      </c>
      <c r="M371" s="41"/>
      <c r="N371" s="59"/>
      <c r="O371" s="41"/>
      <c r="P371" s="13"/>
      <c r="Q371" s="33">
        <f>+SUM(START:END!Q370)</f>
        <v>0</v>
      </c>
      <c r="R371" s="41"/>
      <c r="S371" s="85">
        <f t="shared" si="113"/>
        <v>0</v>
      </c>
      <c r="T371" s="10"/>
      <c r="U371" s="10"/>
      <c r="V371" s="13"/>
      <c r="W371" s="10"/>
      <c r="X371" s="10"/>
      <c r="Y371" s="10"/>
      <c r="Z371" s="10"/>
      <c r="AA371" s="10"/>
      <c r="AB371" s="10"/>
      <c r="AC371" s="10"/>
      <c r="AD371" s="10"/>
      <c r="AE371" s="10"/>
      <c r="AF371" s="10"/>
      <c r="AG371" s="10"/>
      <c r="AH371" s="10"/>
      <c r="AI371" s="10"/>
      <c r="AJ371" s="10"/>
      <c r="AK371" s="10"/>
      <c r="AL371" s="10"/>
      <c r="AM371" s="10"/>
      <c r="AN371" s="10"/>
    </row>
    <row r="372" spans="1:40" ht="20.25" hidden="1">
      <c r="A372" t="str">
        <f t="shared" si="108"/>
        <v>BoutiqueSalaires en absences</v>
      </c>
      <c r="B372" s="11" t="s">
        <v>114</v>
      </c>
      <c r="C372" s="103" t="s">
        <v>44</v>
      </c>
      <c r="D372" s="81"/>
      <c r="E372" s="13"/>
      <c r="F372" s="22">
        <f>+SUM(START:END!F371)</f>
        <v>0</v>
      </c>
      <c r="G372" s="83"/>
      <c r="H372" s="13"/>
      <c r="I372" s="22">
        <f>+SUM(START:END!I371)</f>
        <v>0</v>
      </c>
      <c r="J372" s="41"/>
      <c r="K372" s="13"/>
      <c r="L372" s="22">
        <f>+SUM(START:END!L371)</f>
        <v>0</v>
      </c>
      <c r="M372" s="41"/>
      <c r="N372" s="59"/>
      <c r="O372" s="41"/>
      <c r="P372" s="13"/>
      <c r="Q372" s="22">
        <f>+SUM(START:END!Q371)</f>
        <v>0</v>
      </c>
      <c r="R372" s="41"/>
      <c r="S372" s="85">
        <f t="shared" si="113"/>
        <v>0</v>
      </c>
      <c r="T372" s="10"/>
      <c r="U372" s="10"/>
      <c r="V372" s="13"/>
      <c r="W372" s="10"/>
      <c r="X372" s="10"/>
      <c r="Y372" s="10"/>
      <c r="Z372" s="10"/>
      <c r="AA372" s="10"/>
      <c r="AB372" s="10"/>
      <c r="AC372" s="10"/>
      <c r="AD372" s="10"/>
      <c r="AE372" s="10"/>
      <c r="AF372" s="10"/>
      <c r="AG372" s="10"/>
      <c r="AH372" s="10"/>
      <c r="AI372" s="10"/>
      <c r="AJ372" s="10"/>
      <c r="AK372" s="10"/>
      <c r="AL372" s="10"/>
      <c r="AM372" s="10"/>
      <c r="AN372" s="10"/>
    </row>
    <row r="373" spans="1:40" ht="20.25" hidden="1">
      <c r="A373" t="str">
        <f t="shared" si="108"/>
        <v>BoutiqueDéduction à la source</v>
      </c>
      <c r="B373" s="11" t="s">
        <v>114</v>
      </c>
      <c r="C373" s="102" t="s">
        <v>45</v>
      </c>
      <c r="D373" s="104"/>
      <c r="E373" s="105"/>
      <c r="F373" s="30">
        <f>+SUM(START:END!F372)</f>
        <v>0</v>
      </c>
      <c r="G373" s="106"/>
      <c r="H373" s="105"/>
      <c r="I373" s="30">
        <f>+SUM(START:END!I372)</f>
        <v>0</v>
      </c>
      <c r="J373" s="107"/>
      <c r="K373" s="105"/>
      <c r="L373" s="33">
        <f>+SUM(START:END!L372)</f>
        <v>0</v>
      </c>
      <c r="M373" s="107"/>
      <c r="N373" s="109"/>
      <c r="O373" s="107"/>
      <c r="P373" s="105"/>
      <c r="Q373" s="33">
        <f>+SUM(START:END!Q372)</f>
        <v>0</v>
      </c>
      <c r="R373" s="107"/>
      <c r="S373" s="110">
        <f t="shared" si="113"/>
        <v>0</v>
      </c>
      <c r="T373" s="10"/>
      <c r="U373" s="10"/>
      <c r="V373" s="13"/>
      <c r="W373" s="10"/>
      <c r="X373" s="10"/>
      <c r="Y373" s="10"/>
      <c r="Z373" s="10"/>
      <c r="AA373" s="10"/>
      <c r="AB373" s="10"/>
      <c r="AC373" s="10"/>
      <c r="AD373" s="10"/>
      <c r="AE373" s="10"/>
      <c r="AF373" s="10"/>
      <c r="AG373" s="10"/>
      <c r="AH373" s="10"/>
      <c r="AI373" s="10"/>
      <c r="AJ373" s="10"/>
      <c r="AK373" s="10"/>
      <c r="AL373" s="10"/>
      <c r="AM373" s="10"/>
      <c r="AN373" s="10"/>
    </row>
    <row r="374" spans="1:40" ht="20.25" hidden="1">
      <c r="A374" t="str">
        <f t="shared" si="108"/>
        <v>BoutiqueBénéfices marginaux</v>
      </c>
      <c r="B374" s="11" t="s">
        <v>114</v>
      </c>
      <c r="C374" s="102" t="s">
        <v>46</v>
      </c>
      <c r="D374" s="81"/>
      <c r="E374" s="13"/>
      <c r="F374" s="30">
        <f>+SUM(START:END!F373)</f>
        <v>0</v>
      </c>
      <c r="G374" s="83"/>
      <c r="H374" s="13"/>
      <c r="I374" s="30">
        <f>+SUM(START:END!I373)</f>
        <v>0</v>
      </c>
      <c r="J374" s="41"/>
      <c r="K374" s="13"/>
      <c r="L374" s="33">
        <f>+SUM(START:END!L373)</f>
        <v>0</v>
      </c>
      <c r="M374" s="41"/>
      <c r="N374" s="59"/>
      <c r="O374" s="41"/>
      <c r="P374" s="13"/>
      <c r="Q374" s="33">
        <f>+SUM(START:END!Q373)</f>
        <v>0</v>
      </c>
      <c r="R374" s="41"/>
      <c r="S374" s="85">
        <f t="shared" si="113"/>
        <v>0</v>
      </c>
      <c r="T374" s="10"/>
      <c r="U374" s="10"/>
      <c r="V374" s="13"/>
      <c r="W374" s="10"/>
      <c r="X374" s="10"/>
      <c r="Y374" s="10"/>
      <c r="Z374" s="10"/>
      <c r="AA374" s="10"/>
      <c r="AB374" s="10"/>
      <c r="AC374" s="10"/>
      <c r="AD374" s="10"/>
      <c r="AE374" s="10"/>
      <c r="AF374" s="10"/>
      <c r="AG374" s="10"/>
      <c r="AH374" s="10"/>
      <c r="AI374" s="10"/>
      <c r="AJ374" s="10"/>
      <c r="AK374" s="10"/>
      <c r="AL374" s="10"/>
      <c r="AM374" s="10"/>
      <c r="AN374" s="10"/>
    </row>
    <row r="375" spans="1:40" ht="20.25" hidden="1">
      <c r="A375" t="str">
        <f t="shared" si="108"/>
        <v>BoutiqueCsst</v>
      </c>
      <c r="B375" s="11" t="s">
        <v>114</v>
      </c>
      <c r="C375" s="102" t="s">
        <v>47</v>
      </c>
      <c r="D375" s="81"/>
      <c r="E375" s="13"/>
      <c r="F375" s="30">
        <f>+SUM(START:END!F374)</f>
        <v>0</v>
      </c>
      <c r="G375" s="83"/>
      <c r="H375" s="13"/>
      <c r="I375" s="30">
        <f>+SUM(START:END!I374)</f>
        <v>0</v>
      </c>
      <c r="J375" s="41"/>
      <c r="K375" s="13"/>
      <c r="L375" s="33">
        <f>+SUM(START:END!L374)</f>
        <v>0</v>
      </c>
      <c r="M375" s="41"/>
      <c r="N375" s="59"/>
      <c r="O375" s="41"/>
      <c r="P375" s="13"/>
      <c r="Q375" s="33">
        <f>+SUM(START:END!Q374)</f>
        <v>0</v>
      </c>
      <c r="R375" s="41"/>
      <c r="S375" s="85">
        <f t="shared" si="113"/>
        <v>0</v>
      </c>
      <c r="T375" s="10"/>
      <c r="U375" s="10"/>
      <c r="V375" s="13"/>
      <c r="W375" s="10"/>
      <c r="X375" s="10"/>
      <c r="Y375" s="10"/>
      <c r="Z375" s="10"/>
      <c r="AA375" s="10"/>
      <c r="AB375" s="10"/>
      <c r="AC375" s="10"/>
      <c r="AD375" s="10"/>
      <c r="AE375" s="10"/>
      <c r="AF375" s="10"/>
      <c r="AG375" s="10"/>
      <c r="AH375" s="10"/>
      <c r="AI375" s="10"/>
      <c r="AJ375" s="10"/>
      <c r="AK375" s="10"/>
      <c r="AL375" s="10"/>
      <c r="AM375" s="10"/>
      <c r="AN375" s="10"/>
    </row>
    <row r="376" spans="1:40" ht="20.25" hidden="1">
      <c r="A376" t="str">
        <f t="shared" si="108"/>
        <v>Boutique[...]</v>
      </c>
      <c r="B376" s="11" t="s">
        <v>114</v>
      </c>
      <c r="C376" s="29" t="s">
        <v>19</v>
      </c>
      <c r="D376" s="87"/>
      <c r="E376" s="111"/>
      <c r="F376" s="30">
        <f>+SUM(START:END!F375)</f>
        <v>0</v>
      </c>
      <c r="G376" s="89"/>
      <c r="H376" s="111"/>
      <c r="I376" s="30">
        <f>+SUM(START:END!I375)</f>
        <v>0</v>
      </c>
      <c r="J376" s="23"/>
      <c r="K376" s="111"/>
      <c r="L376" s="33">
        <f>+SUM(START:END!L375)</f>
        <v>0</v>
      </c>
      <c r="M376" s="23"/>
      <c r="N376" s="91"/>
      <c r="O376" s="23"/>
      <c r="P376" s="111"/>
      <c r="Q376" s="33">
        <f>+SUM(START:END!Q375)</f>
        <v>0</v>
      </c>
      <c r="R376" s="23"/>
      <c r="S376" s="92">
        <f t="shared" si="113"/>
        <v>0</v>
      </c>
      <c r="T376" s="10"/>
      <c r="U376" s="10"/>
      <c r="V376" s="13"/>
      <c r="W376" s="10"/>
      <c r="X376" s="10"/>
      <c r="Y376" s="10"/>
      <c r="Z376" s="10"/>
      <c r="AA376" s="10"/>
      <c r="AB376" s="10"/>
      <c r="AC376" s="10"/>
      <c r="AD376" s="10"/>
      <c r="AE376" s="10"/>
      <c r="AF376" s="10"/>
      <c r="AG376" s="10"/>
      <c r="AH376" s="10"/>
      <c r="AI376" s="10"/>
      <c r="AJ376" s="10"/>
      <c r="AK376" s="10"/>
      <c r="AL376" s="10"/>
      <c r="AM376" s="10"/>
      <c r="AN376" s="10"/>
    </row>
    <row r="377" spans="1:40" ht="20.25" hidden="1">
      <c r="A377" t="str">
        <f t="shared" si="108"/>
        <v>BoutiqueTOTAL PERSONNEL</v>
      </c>
      <c r="B377" s="11" t="s">
        <v>114</v>
      </c>
      <c r="C377" s="93" t="s">
        <v>48</v>
      </c>
      <c r="D377" s="94" t="s">
        <v>38</v>
      </c>
      <c r="E377" s="95">
        <f>IFERROR(F377/F$360,0)</f>
        <v>0</v>
      </c>
      <c r="F377" s="96">
        <f>+SUM(F365:F376)</f>
        <v>0</v>
      </c>
      <c r="G377" s="97" t="s">
        <v>38</v>
      </c>
      <c r="H377" s="95">
        <f>IFERROR(I377/I$360,0)</f>
        <v>0</v>
      </c>
      <c r="I377" s="96">
        <f>+SUM(I365:I376)</f>
        <v>0</v>
      </c>
      <c r="J377" s="97" t="s">
        <v>38</v>
      </c>
      <c r="K377" s="95">
        <f>IFERROR(L377/L$360,0)</f>
        <v>0</v>
      </c>
      <c r="L377" s="96">
        <f>+SUM(L365:L376)</f>
        <v>0</v>
      </c>
      <c r="M377" s="147"/>
      <c r="N377" s="113"/>
      <c r="O377" s="97" t="s">
        <v>38</v>
      </c>
      <c r="P377" s="95">
        <f>IFERROR(Q377/Q$360,0)</f>
        <v>0</v>
      </c>
      <c r="Q377" s="96">
        <f>+SUM(Q365:Q376)</f>
        <v>0</v>
      </c>
      <c r="R377" s="147"/>
      <c r="S377" s="114">
        <f t="shared" si="113"/>
        <v>0</v>
      </c>
      <c r="T377" s="10"/>
      <c r="U377" s="10"/>
      <c r="V377" s="13"/>
      <c r="W377" s="10"/>
      <c r="X377" s="10"/>
      <c r="Y377" s="10"/>
      <c r="Z377" s="10"/>
      <c r="AA377" s="10"/>
      <c r="AB377" s="10"/>
      <c r="AC377" s="10"/>
      <c r="AD377" s="10"/>
      <c r="AE377" s="10"/>
      <c r="AF377" s="10"/>
      <c r="AG377" s="10"/>
      <c r="AH377" s="10"/>
      <c r="AI377" s="10"/>
      <c r="AJ377" s="10"/>
      <c r="AK377" s="10"/>
      <c r="AL377" s="10"/>
      <c r="AM377" s="10"/>
      <c r="AN377" s="10"/>
    </row>
    <row r="378" spans="1:40" ht="20.25" hidden="1">
      <c r="A378" t="str">
        <f t="shared" si="108"/>
        <v>BoutiquePublicité 2</v>
      </c>
      <c r="B378" s="11" t="s">
        <v>114</v>
      </c>
      <c r="C378" s="211" t="s">
        <v>49</v>
      </c>
      <c r="D378" s="81"/>
      <c r="E378" s="13"/>
      <c r="F378" s="30">
        <f>+SUM(START:END!F377)</f>
        <v>0</v>
      </c>
      <c r="G378" s="83"/>
      <c r="H378" s="13"/>
      <c r="I378" s="30">
        <f>+SUM(START:END!I377)</f>
        <v>0</v>
      </c>
      <c r="J378" s="41"/>
      <c r="K378" s="13"/>
      <c r="L378" s="33">
        <f>+SUM(START:END!L377)</f>
        <v>0</v>
      </c>
      <c r="M378" s="41"/>
      <c r="N378" s="59"/>
      <c r="O378" s="41"/>
      <c r="P378" s="13"/>
      <c r="Q378" s="33">
        <f>+SUM(START:END!Q377)</f>
        <v>0</v>
      </c>
      <c r="R378" s="41"/>
      <c r="S378" s="85">
        <f t="shared" si="113"/>
        <v>0</v>
      </c>
      <c r="T378" s="10"/>
      <c r="U378" s="10"/>
      <c r="V378" s="13"/>
      <c r="W378" s="10"/>
      <c r="X378" s="10"/>
      <c r="Y378" s="10"/>
      <c r="Z378" s="10"/>
      <c r="AA378" s="10"/>
      <c r="AB378" s="10"/>
      <c r="AC378" s="10"/>
      <c r="AD378" s="10"/>
      <c r="AE378" s="10"/>
      <c r="AF378" s="10"/>
      <c r="AG378" s="10"/>
      <c r="AH378" s="10"/>
      <c r="AI378" s="10"/>
      <c r="AJ378" s="10"/>
      <c r="AK378" s="10"/>
      <c r="AL378" s="10"/>
      <c r="AM378" s="10"/>
      <c r="AN378" s="10"/>
    </row>
    <row r="379" spans="1:40" ht="20.25" hidden="1">
      <c r="A379" t="str">
        <f t="shared" si="108"/>
        <v>BoutiqueService gratuit 2</v>
      </c>
      <c r="B379" s="11" t="s">
        <v>114</v>
      </c>
      <c r="C379" s="102" t="s">
        <v>50</v>
      </c>
      <c r="D379" s="81"/>
      <c r="E379" s="13"/>
      <c r="F379" s="30">
        <f>+SUM(START:END!F378)</f>
        <v>0</v>
      </c>
      <c r="G379" s="83"/>
      <c r="H379" s="13"/>
      <c r="I379" s="30">
        <f>+SUM(START:END!I378)</f>
        <v>0</v>
      </c>
      <c r="J379" s="41"/>
      <c r="K379" s="13"/>
      <c r="L379" s="33">
        <f>+SUM(START:END!L378)</f>
        <v>0</v>
      </c>
      <c r="M379" s="41"/>
      <c r="N379" s="59"/>
      <c r="O379" s="41"/>
      <c r="P379" s="13"/>
      <c r="Q379" s="33">
        <f>+SUM(START:END!Q378)</f>
        <v>0</v>
      </c>
      <c r="R379" s="41"/>
      <c r="S379" s="85">
        <f t="shared" si="113"/>
        <v>0</v>
      </c>
      <c r="T379" s="10"/>
      <c r="U379" s="10"/>
      <c r="V379" s="13"/>
      <c r="W379" s="10"/>
      <c r="X379" s="10"/>
      <c r="Y379" s="10"/>
      <c r="Z379" s="10"/>
      <c r="AA379" s="10"/>
      <c r="AB379" s="10"/>
      <c r="AC379" s="10"/>
      <c r="AD379" s="10"/>
      <c r="AE379" s="10"/>
      <c r="AF379" s="10"/>
      <c r="AG379" s="10"/>
      <c r="AH379" s="10"/>
      <c r="AI379" s="10"/>
      <c r="AJ379" s="10"/>
      <c r="AK379" s="10"/>
      <c r="AL379" s="10"/>
      <c r="AM379" s="10"/>
      <c r="AN379" s="10"/>
    </row>
    <row r="380" spans="1:40" ht="20.25" hidden="1">
      <c r="A380" t="str">
        <f t="shared" si="108"/>
        <v>BoutiqueFrais véhicules de cie</v>
      </c>
      <c r="B380" s="11" t="s">
        <v>114</v>
      </c>
      <c r="C380" s="103" t="s">
        <v>51</v>
      </c>
      <c r="D380" s="87"/>
      <c r="E380" s="111"/>
      <c r="F380" s="22">
        <f>+SUM(START:END!F379)</f>
        <v>0</v>
      </c>
      <c r="G380" s="89"/>
      <c r="H380" s="111"/>
      <c r="I380" s="22">
        <f>+SUM(START:END!I379)</f>
        <v>0</v>
      </c>
      <c r="J380" s="23"/>
      <c r="K380" s="111"/>
      <c r="L380" s="22">
        <f>+SUM(START:END!L379)</f>
        <v>0</v>
      </c>
      <c r="M380" s="23"/>
      <c r="N380" s="91"/>
      <c r="O380" s="23"/>
      <c r="P380" s="111"/>
      <c r="Q380" s="22">
        <f>+SUM(START:END!Q379)</f>
        <v>0</v>
      </c>
      <c r="R380" s="23"/>
      <c r="S380" s="92">
        <f t="shared" si="113"/>
        <v>0</v>
      </c>
      <c r="T380" s="10"/>
      <c r="U380" s="10"/>
      <c r="V380" s="13"/>
      <c r="W380" s="10"/>
      <c r="X380" s="10"/>
      <c r="Y380" s="10"/>
      <c r="Z380" s="10"/>
      <c r="AA380" s="10"/>
      <c r="AB380" s="10"/>
      <c r="AC380" s="10"/>
      <c r="AD380" s="10"/>
      <c r="AE380" s="10"/>
      <c r="AF380" s="10"/>
      <c r="AG380" s="10"/>
      <c r="AH380" s="10"/>
      <c r="AI380" s="10"/>
      <c r="AJ380" s="10"/>
      <c r="AK380" s="10"/>
      <c r="AL380" s="10"/>
      <c r="AM380" s="10"/>
      <c r="AN380" s="10"/>
    </row>
    <row r="381" spans="1:40" ht="20.25" hidden="1">
      <c r="A381" t="str">
        <f t="shared" si="108"/>
        <v>BoutiqueInformatique</v>
      </c>
      <c r="B381" s="11" t="s">
        <v>114</v>
      </c>
      <c r="C381" s="102" t="s">
        <v>52</v>
      </c>
      <c r="D381" s="81"/>
      <c r="E381" s="13"/>
      <c r="F381" s="30">
        <f>+SUM(START:END!F380)</f>
        <v>0</v>
      </c>
      <c r="G381" s="83"/>
      <c r="H381" s="13"/>
      <c r="I381" s="30">
        <f>+SUM(START:END!I380)</f>
        <v>0</v>
      </c>
      <c r="J381" s="41"/>
      <c r="K381" s="13"/>
      <c r="L381" s="33">
        <f>+SUM(START:END!L380)</f>
        <v>0</v>
      </c>
      <c r="M381" s="41"/>
      <c r="N381" s="59"/>
      <c r="O381" s="41"/>
      <c r="P381" s="13"/>
      <c r="Q381" s="33">
        <f>+SUM(START:END!Q380)</f>
        <v>0</v>
      </c>
      <c r="R381" s="41"/>
      <c r="S381" s="85">
        <f t="shared" si="113"/>
        <v>0</v>
      </c>
      <c r="T381" s="10"/>
      <c r="U381" s="10"/>
      <c r="V381" s="13"/>
      <c r="W381" s="10"/>
      <c r="X381" s="10"/>
      <c r="Y381" s="10"/>
      <c r="Z381" s="10"/>
      <c r="AA381" s="10"/>
      <c r="AB381" s="10"/>
      <c r="AC381" s="10"/>
      <c r="AD381" s="10"/>
      <c r="AE381" s="10"/>
      <c r="AF381" s="10"/>
      <c r="AG381" s="10"/>
      <c r="AH381" s="10"/>
      <c r="AI381" s="10"/>
      <c r="AJ381" s="10"/>
      <c r="AK381" s="10"/>
      <c r="AL381" s="10"/>
      <c r="AM381" s="10"/>
      <c r="AN381" s="10"/>
    </row>
    <row r="382" spans="1:40" ht="20.25" hidden="1">
      <c r="A382" t="str">
        <f t="shared" si="108"/>
        <v>BoutiqueFrais de déplacement</v>
      </c>
      <c r="B382" s="11" t="s">
        <v>114</v>
      </c>
      <c r="C382" s="102" t="s">
        <v>53</v>
      </c>
      <c r="D382" s="81"/>
      <c r="E382" s="13"/>
      <c r="F382" s="30">
        <f>+SUM(START:END!F381)</f>
        <v>0</v>
      </c>
      <c r="G382" s="83"/>
      <c r="H382" s="13"/>
      <c r="I382" s="30">
        <f>+SUM(START:END!I381)</f>
        <v>0</v>
      </c>
      <c r="J382" s="41"/>
      <c r="K382" s="13"/>
      <c r="L382" s="33">
        <f>+SUM(START:END!L381)</f>
        <v>0</v>
      </c>
      <c r="M382" s="41"/>
      <c r="N382" s="59"/>
      <c r="O382" s="41"/>
      <c r="P382" s="13"/>
      <c r="Q382" s="33">
        <f>+SUM(START:END!Q381)</f>
        <v>0</v>
      </c>
      <c r="R382" s="41"/>
      <c r="S382" s="85">
        <f t="shared" si="113"/>
        <v>0</v>
      </c>
      <c r="T382" s="10"/>
      <c r="U382" s="10"/>
      <c r="V382" s="13"/>
      <c r="W382" s="10"/>
      <c r="X382" s="10"/>
      <c r="Y382" s="10"/>
      <c r="Z382" s="10"/>
      <c r="AA382" s="10"/>
      <c r="AB382" s="10"/>
      <c r="AC382" s="10"/>
      <c r="AD382" s="10"/>
      <c r="AE382" s="10"/>
      <c r="AF382" s="10"/>
      <c r="AG382" s="10"/>
      <c r="AH382" s="10"/>
      <c r="AI382" s="10"/>
      <c r="AJ382" s="10"/>
      <c r="AK382" s="10"/>
      <c r="AL382" s="10"/>
      <c r="AM382" s="10"/>
      <c r="AN382" s="10"/>
    </row>
    <row r="383" spans="1:40" ht="20.25" hidden="1">
      <c r="A383" t="str">
        <f t="shared" si="108"/>
        <v>BoutiqueServices extérieurs</v>
      </c>
      <c r="B383" s="11" t="s">
        <v>114</v>
      </c>
      <c r="C383" s="102" t="s">
        <v>54</v>
      </c>
      <c r="D383" s="87"/>
      <c r="E383" s="111"/>
      <c r="F383" s="22">
        <f>+SUM(START:END!F382)</f>
        <v>0</v>
      </c>
      <c r="G383" s="89"/>
      <c r="H383" s="111"/>
      <c r="I383" s="22">
        <f>+SUM(START:END!I382)</f>
        <v>0</v>
      </c>
      <c r="J383" s="23"/>
      <c r="K383" s="111"/>
      <c r="L383" s="22">
        <f>+SUM(START:END!L382)</f>
        <v>0</v>
      </c>
      <c r="M383" s="23"/>
      <c r="N383" s="91"/>
      <c r="O383" s="23"/>
      <c r="P383" s="111"/>
      <c r="Q383" s="22">
        <f>+SUM(START:END!Q382)</f>
        <v>0</v>
      </c>
      <c r="R383" s="23"/>
      <c r="S383" s="92">
        <f t="shared" si="113"/>
        <v>0</v>
      </c>
      <c r="T383" s="10"/>
      <c r="U383" s="10"/>
      <c r="V383" s="13"/>
      <c r="W383" s="10"/>
      <c r="X383" s="10"/>
      <c r="Y383" s="10"/>
      <c r="Z383" s="10"/>
      <c r="AA383" s="10"/>
      <c r="AB383" s="10"/>
      <c r="AC383" s="10"/>
      <c r="AD383" s="10"/>
      <c r="AE383" s="10"/>
      <c r="AF383" s="10"/>
      <c r="AG383" s="10"/>
      <c r="AH383" s="10"/>
      <c r="AI383" s="10"/>
      <c r="AJ383" s="10"/>
      <c r="AK383" s="10"/>
      <c r="AL383" s="10"/>
      <c r="AM383" s="10"/>
      <c r="AN383" s="10"/>
    </row>
    <row r="384" spans="1:40" ht="20.25" hidden="1">
      <c r="A384" t="str">
        <f t="shared" si="108"/>
        <v>BoutiqueFournitures autres</v>
      </c>
      <c r="B384" s="11" t="s">
        <v>114</v>
      </c>
      <c r="C384" s="211" t="s">
        <v>55</v>
      </c>
      <c r="D384" s="81"/>
      <c r="E384" s="13"/>
      <c r="F384" s="30">
        <f>+SUM(START:END!F383)</f>
        <v>0</v>
      </c>
      <c r="G384" s="83"/>
      <c r="H384" s="13"/>
      <c r="I384" s="30">
        <f>+SUM(START:END!I383)</f>
        <v>0</v>
      </c>
      <c r="J384" s="41"/>
      <c r="K384" s="13"/>
      <c r="L384" s="33">
        <f>+SUM(START:END!L383)</f>
        <v>0</v>
      </c>
      <c r="M384" s="41"/>
      <c r="N384" s="59"/>
      <c r="O384" s="41"/>
      <c r="P384" s="13"/>
      <c r="Q384" s="33">
        <f>+SUM(START:END!Q383)</f>
        <v>0</v>
      </c>
      <c r="R384" s="41"/>
      <c r="S384" s="85">
        <f t="shared" si="113"/>
        <v>0</v>
      </c>
      <c r="T384" s="10"/>
      <c r="U384" s="10"/>
      <c r="V384" s="13"/>
      <c r="W384" s="10"/>
      <c r="X384" s="10"/>
      <c r="Y384" s="10"/>
      <c r="Z384" s="10"/>
      <c r="AA384" s="10"/>
      <c r="AB384" s="10"/>
      <c r="AC384" s="10"/>
      <c r="AD384" s="10"/>
      <c r="AE384" s="10"/>
      <c r="AF384" s="10"/>
      <c r="AG384" s="10"/>
      <c r="AH384" s="10"/>
      <c r="AI384" s="10"/>
      <c r="AJ384" s="10"/>
      <c r="AK384" s="10"/>
      <c r="AL384" s="10"/>
      <c r="AM384" s="10"/>
      <c r="AN384" s="10"/>
    </row>
    <row r="385" spans="1:40" ht="20.25" hidden="1">
      <c r="A385" t="str">
        <f t="shared" si="108"/>
        <v>BoutiqueUniformes</v>
      </c>
      <c r="B385" s="11" t="s">
        <v>114</v>
      </c>
      <c r="C385" s="102" t="s">
        <v>56</v>
      </c>
      <c r="D385" s="81"/>
      <c r="E385" s="13"/>
      <c r="F385" s="30">
        <f>+SUM(START:END!F384)</f>
        <v>0</v>
      </c>
      <c r="G385" s="83"/>
      <c r="H385" s="13"/>
      <c r="I385" s="30">
        <f>+SUM(START:END!I384)</f>
        <v>0</v>
      </c>
      <c r="J385" s="41"/>
      <c r="K385" s="13"/>
      <c r="L385" s="33">
        <f>+SUM(START:END!L384)</f>
        <v>0</v>
      </c>
      <c r="M385" s="41"/>
      <c r="N385" s="59"/>
      <c r="O385" s="41"/>
      <c r="P385" s="13"/>
      <c r="Q385" s="33">
        <f>+SUM(START:END!Q384)</f>
        <v>0</v>
      </c>
      <c r="R385" s="41"/>
      <c r="S385" s="85">
        <f t="shared" si="113"/>
        <v>0</v>
      </c>
      <c r="T385" s="10"/>
      <c r="U385" s="10"/>
      <c r="V385" s="13"/>
      <c r="W385" s="10"/>
      <c r="X385" s="10"/>
      <c r="Y385" s="10"/>
      <c r="Z385" s="10"/>
      <c r="AA385" s="10"/>
      <c r="AB385" s="10"/>
      <c r="AC385" s="10"/>
      <c r="AD385" s="10"/>
      <c r="AE385" s="10"/>
      <c r="AF385" s="10"/>
      <c r="AG385" s="10"/>
      <c r="AH385" s="10"/>
      <c r="AI385" s="10"/>
      <c r="AJ385" s="10"/>
      <c r="AK385" s="10"/>
      <c r="AL385" s="10"/>
      <c r="AM385" s="10"/>
      <c r="AN385" s="10"/>
    </row>
    <row r="386" spans="1:40" ht="20.25" hidden="1">
      <c r="A386" t="str">
        <f t="shared" si="108"/>
        <v>BoutiquePapeterie</v>
      </c>
      <c r="B386" s="11" t="s">
        <v>114</v>
      </c>
      <c r="C386" s="102" t="s">
        <v>57</v>
      </c>
      <c r="D386" s="81"/>
      <c r="E386" s="13"/>
      <c r="F386" s="30">
        <f>+SUM(START:END!F385)</f>
        <v>0</v>
      </c>
      <c r="G386" s="83"/>
      <c r="H386" s="13"/>
      <c r="I386" s="30">
        <f>+SUM(START:END!I385)</f>
        <v>0</v>
      </c>
      <c r="J386" s="41"/>
      <c r="K386" s="13"/>
      <c r="L386" s="33">
        <f>+SUM(START:END!L385)</f>
        <v>0</v>
      </c>
      <c r="M386" s="41"/>
      <c r="N386" s="59"/>
      <c r="O386" s="41"/>
      <c r="P386" s="13"/>
      <c r="Q386" s="33">
        <f>+SUM(START:END!Q385)</f>
        <v>0</v>
      </c>
      <c r="R386" s="41"/>
      <c r="S386" s="85">
        <f t="shared" si="113"/>
        <v>0</v>
      </c>
      <c r="T386" s="10"/>
      <c r="U386" s="10"/>
      <c r="V386" s="13"/>
      <c r="W386" s="10"/>
      <c r="X386" s="10"/>
      <c r="Y386" s="10"/>
      <c r="Z386" s="10"/>
      <c r="AA386" s="10"/>
      <c r="AB386" s="10"/>
      <c r="AC386" s="10"/>
      <c r="AD386" s="10"/>
      <c r="AE386" s="10"/>
      <c r="AF386" s="10"/>
      <c r="AG386" s="10"/>
      <c r="AH386" s="10"/>
      <c r="AI386" s="10"/>
      <c r="AJ386" s="10"/>
      <c r="AK386" s="10"/>
      <c r="AL386" s="10"/>
      <c r="AM386" s="10"/>
      <c r="AN386" s="10"/>
    </row>
    <row r="387" spans="1:40" ht="20.25" hidden="1">
      <c r="A387" t="str">
        <f t="shared" si="108"/>
        <v>BoutiqueTéléphone</v>
      </c>
      <c r="B387" s="11" t="s">
        <v>114</v>
      </c>
      <c r="C387" s="102" t="s">
        <v>58</v>
      </c>
      <c r="D387" s="81"/>
      <c r="E387" s="13"/>
      <c r="F387" s="30">
        <f>+SUM(START:END!F386)</f>
        <v>0</v>
      </c>
      <c r="G387" s="83"/>
      <c r="H387" s="13"/>
      <c r="I387" s="30">
        <f>+SUM(START:END!I386)</f>
        <v>0</v>
      </c>
      <c r="J387" s="41"/>
      <c r="K387" s="13"/>
      <c r="L387" s="33">
        <f>+SUM(START:END!L386)</f>
        <v>0</v>
      </c>
      <c r="M387" s="41"/>
      <c r="N387" s="59"/>
      <c r="O387" s="41"/>
      <c r="P387" s="13"/>
      <c r="Q387" s="33">
        <f>+SUM(START:END!Q386)</f>
        <v>0</v>
      </c>
      <c r="R387" s="41"/>
      <c r="S387" s="85">
        <f t="shared" si="113"/>
        <v>0</v>
      </c>
      <c r="T387" s="10"/>
      <c r="U387" s="10"/>
      <c r="V387" s="13"/>
      <c r="W387" s="10"/>
      <c r="X387" s="10"/>
      <c r="Y387" s="10"/>
      <c r="Z387" s="10"/>
      <c r="AA387" s="10"/>
      <c r="AB387" s="10"/>
      <c r="AC387" s="10"/>
      <c r="AD387" s="10"/>
      <c r="AE387" s="10"/>
      <c r="AF387" s="10"/>
      <c r="AG387" s="10"/>
      <c r="AH387" s="10"/>
      <c r="AI387" s="10"/>
      <c r="AJ387" s="10"/>
      <c r="AK387" s="10"/>
      <c r="AL387" s="10"/>
      <c r="AM387" s="10"/>
      <c r="AN387" s="10"/>
    </row>
    <row r="388" spans="1:40" ht="20.25" hidden="1">
      <c r="A388" t="str">
        <f t="shared" si="108"/>
        <v>BoutiqueFrais postaux</v>
      </c>
      <c r="B388" s="11" t="s">
        <v>114</v>
      </c>
      <c r="C388" s="102" t="s">
        <v>59</v>
      </c>
      <c r="D388" s="81"/>
      <c r="E388" s="13"/>
      <c r="F388" s="30">
        <f>+SUM(START:END!F387)</f>
        <v>0</v>
      </c>
      <c r="G388" s="83"/>
      <c r="H388" s="13"/>
      <c r="I388" s="30">
        <f>+SUM(START:END!I387)</f>
        <v>0</v>
      </c>
      <c r="J388" s="41"/>
      <c r="K388" s="13"/>
      <c r="L388" s="33">
        <f>+SUM(START:END!L387)</f>
        <v>0</v>
      </c>
      <c r="M388" s="41"/>
      <c r="N388" s="59"/>
      <c r="O388" s="41"/>
      <c r="P388" s="13"/>
      <c r="Q388" s="33">
        <f>+SUM(START:END!Q387)</f>
        <v>0</v>
      </c>
      <c r="R388" s="41"/>
      <c r="S388" s="85">
        <f t="shared" si="113"/>
        <v>0</v>
      </c>
      <c r="T388" s="10"/>
      <c r="U388" s="10"/>
      <c r="V388" s="13"/>
      <c r="W388" s="10"/>
      <c r="X388" s="10"/>
      <c r="Y388" s="10"/>
      <c r="Z388" s="10"/>
      <c r="AA388" s="10"/>
      <c r="AB388" s="10"/>
      <c r="AC388" s="10"/>
      <c r="AD388" s="10"/>
      <c r="AE388" s="10"/>
      <c r="AF388" s="10"/>
      <c r="AG388" s="10"/>
      <c r="AH388" s="10"/>
      <c r="AI388" s="10"/>
      <c r="AJ388" s="10"/>
      <c r="AK388" s="10"/>
      <c r="AL388" s="10"/>
      <c r="AM388" s="10"/>
      <c r="AN388" s="10"/>
    </row>
    <row r="389" spans="1:40" ht="20.25" hidden="1">
      <c r="A389" t="str">
        <f t="shared" si="108"/>
        <v>BoutiqueDivers</v>
      </c>
      <c r="B389" s="11" t="s">
        <v>114</v>
      </c>
      <c r="C389" s="102" t="s">
        <v>60</v>
      </c>
      <c r="D389" s="81"/>
      <c r="E389" s="13"/>
      <c r="F389" s="30">
        <f>+SUM(START:END!F388)</f>
        <v>0</v>
      </c>
      <c r="G389" s="83"/>
      <c r="H389" s="13"/>
      <c r="I389" s="30">
        <f>+SUM(START:END!I388)</f>
        <v>0</v>
      </c>
      <c r="J389" s="41"/>
      <c r="K389" s="13"/>
      <c r="L389" s="33">
        <f>+SUM(START:END!L388)</f>
        <v>0</v>
      </c>
      <c r="M389" s="41"/>
      <c r="N389" s="59"/>
      <c r="O389" s="41"/>
      <c r="P389" s="13"/>
      <c r="Q389" s="33">
        <f>+SUM(START:END!Q388)</f>
        <v>0</v>
      </c>
      <c r="R389" s="41"/>
      <c r="S389" s="85">
        <f t="shared" si="113"/>
        <v>0</v>
      </c>
      <c r="T389" s="10"/>
      <c r="U389" s="10"/>
      <c r="V389" s="13"/>
      <c r="W389" s="10"/>
      <c r="X389" s="10"/>
      <c r="Y389" s="10"/>
      <c r="Z389" s="10"/>
      <c r="AA389" s="10"/>
      <c r="AB389" s="10"/>
      <c r="AC389" s="10"/>
      <c r="AD389" s="10"/>
      <c r="AE389" s="10"/>
      <c r="AF389" s="10"/>
      <c r="AG389" s="10"/>
      <c r="AH389" s="10"/>
      <c r="AI389" s="10"/>
      <c r="AJ389" s="10"/>
      <c r="AK389" s="10"/>
      <c r="AL389" s="10"/>
      <c r="AM389" s="10"/>
      <c r="AN389" s="10"/>
    </row>
    <row r="390" spans="1:40" ht="20.25" hidden="1">
      <c r="A390" t="str">
        <f t="shared" si="108"/>
        <v>BoutiqueFormation</v>
      </c>
      <c r="B390" s="11" t="s">
        <v>114</v>
      </c>
      <c r="C390" s="102" t="s">
        <v>61</v>
      </c>
      <c r="D390" s="81"/>
      <c r="E390" s="13"/>
      <c r="F390" s="30">
        <f>+SUM(START:END!F389)</f>
        <v>0</v>
      </c>
      <c r="G390" s="83"/>
      <c r="H390" s="13"/>
      <c r="I390" s="30">
        <f>+SUM(START:END!I389)</f>
        <v>0</v>
      </c>
      <c r="J390" s="41"/>
      <c r="K390" s="13"/>
      <c r="L390" s="33">
        <f>+SUM(START:END!L389)</f>
        <v>0</v>
      </c>
      <c r="M390" s="41"/>
      <c r="N390" s="59"/>
      <c r="O390" s="41"/>
      <c r="P390" s="13"/>
      <c r="Q390" s="33">
        <f>+SUM(START:END!Q389)</f>
        <v>0</v>
      </c>
      <c r="R390" s="41"/>
      <c r="S390" s="85">
        <f t="shared" si="113"/>
        <v>0</v>
      </c>
      <c r="T390" s="10"/>
      <c r="U390" s="10"/>
      <c r="V390" s="13"/>
      <c r="W390" s="10"/>
      <c r="X390" s="10"/>
      <c r="Y390" s="10"/>
      <c r="Z390" s="10"/>
      <c r="AA390" s="10"/>
      <c r="AB390" s="10"/>
      <c r="AC390" s="10"/>
      <c r="AD390" s="10"/>
      <c r="AE390" s="10"/>
      <c r="AF390" s="10"/>
      <c r="AG390" s="10"/>
      <c r="AH390" s="10"/>
      <c r="AI390" s="10"/>
      <c r="AJ390" s="10"/>
      <c r="AK390" s="10"/>
      <c r="AL390" s="10"/>
      <c r="AM390" s="10"/>
      <c r="AN390" s="10"/>
    </row>
    <row r="391" spans="1:40" ht="20.25" hidden="1">
      <c r="A391" t="str">
        <f t="shared" si="108"/>
        <v>BoutiqueFrais bancaires</v>
      </c>
      <c r="B391" s="11" t="s">
        <v>114</v>
      </c>
      <c r="C391" s="102" t="s">
        <v>62</v>
      </c>
      <c r="D391" s="81"/>
      <c r="E391" s="13"/>
      <c r="F391" s="30">
        <f>+SUM(START:END!F390)</f>
        <v>0</v>
      </c>
      <c r="G391" s="83"/>
      <c r="H391" s="13"/>
      <c r="I391" s="30">
        <f>+SUM(START:END!I390)</f>
        <v>0</v>
      </c>
      <c r="J391" s="41"/>
      <c r="K391" s="13"/>
      <c r="L391" s="33">
        <f>+SUM(START:END!L390)</f>
        <v>0</v>
      </c>
      <c r="M391" s="41"/>
      <c r="N391" s="59"/>
      <c r="O391" s="41"/>
      <c r="P391" s="13"/>
      <c r="Q391" s="33">
        <f>+SUM(START:END!Q390)</f>
        <v>0</v>
      </c>
      <c r="R391" s="41"/>
      <c r="S391" s="85">
        <f t="shared" si="113"/>
        <v>0</v>
      </c>
      <c r="T391" s="10"/>
      <c r="U391" s="10"/>
      <c r="V391" s="13"/>
      <c r="W391" s="10"/>
      <c r="X391" s="10"/>
      <c r="Y391" s="10"/>
      <c r="Z391" s="10"/>
      <c r="AA391" s="10"/>
      <c r="AB391" s="10"/>
      <c r="AC391" s="10"/>
      <c r="AD391" s="10"/>
      <c r="AE391" s="10"/>
      <c r="AF391" s="10"/>
      <c r="AG391" s="10"/>
      <c r="AH391" s="10"/>
      <c r="AI391" s="10"/>
      <c r="AJ391" s="10"/>
      <c r="AK391" s="10"/>
      <c r="AL391" s="10"/>
      <c r="AM391" s="10"/>
      <c r="AN391" s="10"/>
    </row>
    <row r="392" spans="1:40" ht="20.25" hidden="1">
      <c r="A392" t="str">
        <f t="shared" si="108"/>
        <v>Boutique[...]</v>
      </c>
      <c r="B392" s="11" t="s">
        <v>114</v>
      </c>
      <c r="C392" s="102" t="s">
        <v>19</v>
      </c>
      <c r="D392" s="81"/>
      <c r="E392" s="13"/>
      <c r="F392" s="30">
        <f>+SUM(START:END!F391)</f>
        <v>0</v>
      </c>
      <c r="G392" s="83"/>
      <c r="H392" s="13"/>
      <c r="I392" s="30">
        <f>+SUM(START:END!I391)</f>
        <v>0</v>
      </c>
      <c r="J392" s="41"/>
      <c r="K392" s="13"/>
      <c r="L392" s="33">
        <f>+SUM(START:END!L391)</f>
        <v>0</v>
      </c>
      <c r="M392" s="41"/>
      <c r="N392" s="59"/>
      <c r="O392" s="41"/>
      <c r="P392" s="13"/>
      <c r="Q392" s="33">
        <f>+SUM(START:END!Q391)</f>
        <v>0</v>
      </c>
      <c r="R392" s="41"/>
      <c r="S392" s="85">
        <f t="shared" si="113"/>
        <v>0</v>
      </c>
      <c r="T392" s="10"/>
      <c r="U392" s="10"/>
      <c r="V392" s="13"/>
      <c r="W392" s="10"/>
      <c r="X392" s="10"/>
      <c r="Y392" s="10"/>
      <c r="Z392" s="10"/>
      <c r="AA392" s="10"/>
      <c r="AB392" s="10"/>
      <c r="AC392" s="10"/>
      <c r="AD392" s="10"/>
      <c r="AE392" s="10"/>
      <c r="AF392" s="10"/>
      <c r="AG392" s="10"/>
      <c r="AH392" s="10"/>
      <c r="AI392" s="10"/>
      <c r="AJ392" s="10"/>
      <c r="AK392" s="10"/>
      <c r="AL392" s="10"/>
      <c r="AM392" s="10"/>
      <c r="AN392" s="10"/>
    </row>
    <row r="393" spans="1:40" ht="20.25" hidden="1">
      <c r="A393" t="str">
        <f t="shared" si="108"/>
        <v>Boutique[...]</v>
      </c>
      <c r="B393" s="11" t="s">
        <v>114</v>
      </c>
      <c r="C393" s="102" t="s">
        <v>19</v>
      </c>
      <c r="D393" s="81"/>
      <c r="E393" s="13"/>
      <c r="F393" s="30">
        <f>+SUM(START:END!F392)</f>
        <v>0</v>
      </c>
      <c r="G393" s="83"/>
      <c r="H393" s="13"/>
      <c r="I393" s="30">
        <f>+SUM(START:END!I392)</f>
        <v>0</v>
      </c>
      <c r="J393" s="41"/>
      <c r="K393" s="13"/>
      <c r="L393" s="33">
        <f>+SUM(START:END!L392)</f>
        <v>0</v>
      </c>
      <c r="M393" s="41"/>
      <c r="N393" s="59"/>
      <c r="O393" s="41"/>
      <c r="P393" s="13"/>
      <c r="Q393" s="33">
        <f>+SUM(START:END!Q392)</f>
        <v>0</v>
      </c>
      <c r="R393" s="41"/>
      <c r="S393" s="85">
        <f t="shared" si="113"/>
        <v>0</v>
      </c>
      <c r="T393" s="10"/>
      <c r="U393" s="10"/>
      <c r="V393" s="13"/>
      <c r="W393" s="10"/>
      <c r="X393" s="10"/>
      <c r="Y393" s="10"/>
      <c r="Z393" s="10"/>
      <c r="AA393" s="10"/>
      <c r="AB393" s="10"/>
      <c r="AC393" s="10"/>
      <c r="AD393" s="10"/>
      <c r="AE393" s="10"/>
      <c r="AF393" s="10"/>
      <c r="AG393" s="10"/>
      <c r="AH393" s="10"/>
      <c r="AI393" s="10"/>
      <c r="AJ393" s="10"/>
      <c r="AK393" s="10"/>
      <c r="AL393" s="10"/>
      <c r="AM393" s="10"/>
      <c r="AN393" s="10"/>
    </row>
    <row r="394" spans="1:40" ht="20.25" hidden="1">
      <c r="A394" t="str">
        <f t="shared" si="108"/>
        <v>Boutique[...]</v>
      </c>
      <c r="B394" s="11" t="s">
        <v>114</v>
      </c>
      <c r="C394" s="102" t="s">
        <v>19</v>
      </c>
      <c r="D394" s="87"/>
      <c r="E394" s="111"/>
      <c r="F394" s="30">
        <f>+SUM(START:END!F393)</f>
        <v>0</v>
      </c>
      <c r="G394" s="89"/>
      <c r="H394" s="111"/>
      <c r="I394" s="30">
        <f>+SUM(START:END!I393)</f>
        <v>0</v>
      </c>
      <c r="J394" s="23"/>
      <c r="K394" s="111"/>
      <c r="L394" s="33">
        <f>+SUM(START:END!L393)</f>
        <v>0</v>
      </c>
      <c r="M394" s="23"/>
      <c r="N394" s="91"/>
      <c r="O394" s="23"/>
      <c r="P394" s="111"/>
      <c r="Q394" s="33">
        <f>+SUM(START:END!Q393)</f>
        <v>0</v>
      </c>
      <c r="R394" s="23"/>
      <c r="S394" s="92">
        <f t="shared" si="113"/>
        <v>0</v>
      </c>
      <c r="T394" s="10"/>
      <c r="U394" s="10"/>
      <c r="V394" s="13"/>
      <c r="W394" s="10"/>
      <c r="X394" s="10"/>
      <c r="Y394" s="10"/>
      <c r="Z394" s="10"/>
      <c r="AA394" s="10"/>
      <c r="AB394" s="10"/>
      <c r="AC394" s="10"/>
      <c r="AD394" s="10"/>
      <c r="AE394" s="10"/>
      <c r="AF394" s="10"/>
      <c r="AG394" s="10"/>
      <c r="AH394" s="10"/>
      <c r="AI394" s="10"/>
      <c r="AJ394" s="10"/>
      <c r="AK394" s="10"/>
      <c r="AL394" s="10"/>
      <c r="AM394" s="10"/>
      <c r="AN394" s="10"/>
    </row>
    <row r="395" spans="1:40" ht="20.25" hidden="1">
      <c r="B395" s="7"/>
      <c r="C395" s="93" t="s">
        <v>63</v>
      </c>
      <c r="D395" s="94" t="s">
        <v>38</v>
      </c>
      <c r="E395" s="95">
        <f>IFERROR(F395/F$360,0)</f>
        <v>0</v>
      </c>
      <c r="F395" s="96">
        <f>+SUM(F378:F394)</f>
        <v>0</v>
      </c>
      <c r="G395" s="97" t="s">
        <v>38</v>
      </c>
      <c r="H395" s="95">
        <f>IFERROR(I395/I$360,0)</f>
        <v>0</v>
      </c>
      <c r="I395" s="96">
        <f>+SUM(I378:I394)</f>
        <v>0</v>
      </c>
      <c r="J395" s="97" t="s">
        <v>38</v>
      </c>
      <c r="K395" s="95">
        <f>IFERROR(L395/L$360,0)</f>
        <v>0</v>
      </c>
      <c r="L395" s="96">
        <f>+SUM(L378:L394)</f>
        <v>0</v>
      </c>
      <c r="M395" s="147"/>
      <c r="N395" s="96"/>
      <c r="O395" s="97" t="s">
        <v>38</v>
      </c>
      <c r="P395" s="95">
        <f>IFERROR(Q395/Q$360,0)</f>
        <v>0</v>
      </c>
      <c r="Q395" s="96">
        <f>+SUM(Q378:Q394)</f>
        <v>0</v>
      </c>
      <c r="R395" s="147"/>
      <c r="S395" s="114">
        <f>+SUM(S378:S394)</f>
        <v>0</v>
      </c>
      <c r="T395" s="10"/>
      <c r="U395" s="10"/>
      <c r="V395" s="13"/>
      <c r="W395" s="10"/>
      <c r="X395" s="10"/>
      <c r="Y395" s="10"/>
      <c r="Z395" s="10"/>
      <c r="AA395" s="10"/>
      <c r="AB395" s="10"/>
      <c r="AC395" s="10"/>
      <c r="AD395" s="10"/>
      <c r="AE395" s="10"/>
      <c r="AF395" s="10"/>
      <c r="AG395" s="10"/>
      <c r="AH395" s="10"/>
      <c r="AI395" s="10"/>
      <c r="AJ395" s="10"/>
      <c r="AK395" s="10"/>
      <c r="AL395" s="10"/>
      <c r="AM395" s="10"/>
      <c r="AN395" s="10"/>
    </row>
    <row r="396" spans="1:40" ht="20.25" hidden="1">
      <c r="B396" s="7"/>
      <c r="C396" s="29"/>
      <c r="D396" s="13"/>
      <c r="E396" s="13"/>
      <c r="F396" s="40"/>
      <c r="G396" s="41"/>
      <c r="H396" s="13"/>
      <c r="I396" s="40"/>
      <c r="J396" s="41"/>
      <c r="K396" s="13"/>
      <c r="L396" s="40"/>
      <c r="M396" s="78"/>
      <c r="N396" s="77"/>
      <c r="O396" s="41"/>
      <c r="P396" s="13"/>
      <c r="Q396" s="40"/>
      <c r="R396" s="41"/>
      <c r="S396" s="245"/>
      <c r="T396" s="246"/>
      <c r="U396" s="246"/>
      <c r="V396" s="13"/>
      <c r="W396" s="10"/>
      <c r="X396" s="10"/>
      <c r="Y396" s="10"/>
      <c r="Z396" s="10"/>
      <c r="AA396" s="10"/>
      <c r="AB396" s="10"/>
      <c r="AC396" s="10"/>
      <c r="AD396" s="10"/>
      <c r="AE396" s="10"/>
      <c r="AF396" s="10"/>
      <c r="AG396" s="10"/>
      <c r="AH396" s="10"/>
      <c r="AI396" s="10"/>
      <c r="AJ396" s="10"/>
      <c r="AK396" s="10"/>
      <c r="AL396" s="10"/>
      <c r="AM396" s="10"/>
      <c r="AN396" s="10"/>
    </row>
    <row r="397" spans="1:40" ht="20.25" hidden="1">
      <c r="B397" s="7"/>
      <c r="C397" s="93" t="s">
        <v>64</v>
      </c>
      <c r="D397" s="94" t="s">
        <v>38</v>
      </c>
      <c r="E397" s="95">
        <f>IFERROR(F397/F$360,0)</f>
        <v>0</v>
      </c>
      <c r="F397" s="96">
        <f>F377+F395</f>
        <v>0</v>
      </c>
      <c r="G397" s="97" t="s">
        <v>38</v>
      </c>
      <c r="H397" s="95">
        <f>IFERROR(I397/I$360,0)</f>
        <v>0</v>
      </c>
      <c r="I397" s="96">
        <f>I377+I395</f>
        <v>0</v>
      </c>
      <c r="J397" s="97" t="s">
        <v>38</v>
      </c>
      <c r="K397" s="95">
        <f>IFERROR(L397/L$360,0)</f>
        <v>0</v>
      </c>
      <c r="L397" s="96">
        <f>L377+L395</f>
        <v>0</v>
      </c>
      <c r="M397" s="247"/>
      <c r="N397" s="96"/>
      <c r="O397" s="97" t="s">
        <v>38</v>
      </c>
      <c r="P397" s="95">
        <f>IFERROR(Q397/Q$360,0)</f>
        <v>0</v>
      </c>
      <c r="Q397" s="96">
        <f>Q377+Q395</f>
        <v>0</v>
      </c>
      <c r="R397" s="100"/>
      <c r="S397" s="101">
        <f>L397-Q397</f>
        <v>0</v>
      </c>
      <c r="T397" s="246"/>
      <c r="U397" s="246"/>
      <c r="V397" s="13"/>
      <c r="W397" s="10"/>
      <c r="X397" s="10"/>
      <c r="Y397" s="10"/>
      <c r="Z397" s="10"/>
      <c r="AA397" s="10"/>
      <c r="AB397" s="10"/>
      <c r="AC397" s="10"/>
      <c r="AD397" s="10"/>
      <c r="AE397" s="10"/>
      <c r="AF397" s="10"/>
      <c r="AG397" s="10"/>
      <c r="AH397" s="10"/>
      <c r="AI397" s="10"/>
      <c r="AJ397" s="10"/>
      <c r="AK397" s="10"/>
      <c r="AL397" s="10"/>
      <c r="AM397" s="10"/>
      <c r="AN397" s="10"/>
    </row>
    <row r="398" spans="1:40" ht="20.25" hidden="1">
      <c r="B398" s="7"/>
      <c r="C398" s="29"/>
      <c r="D398" s="13"/>
      <c r="E398" s="13"/>
      <c r="F398" s="59"/>
      <c r="G398" s="41"/>
      <c r="H398" s="13"/>
      <c r="I398" s="59"/>
      <c r="J398" s="41"/>
      <c r="K398" s="13"/>
      <c r="L398" s="59"/>
      <c r="M398" s="78"/>
      <c r="N398" s="77"/>
      <c r="O398" s="41"/>
      <c r="P398" s="13"/>
      <c r="Q398" s="59"/>
      <c r="R398" s="41"/>
      <c r="S398" s="245"/>
      <c r="T398" s="10"/>
      <c r="U398" s="10"/>
      <c r="V398" s="13"/>
      <c r="W398" s="10"/>
      <c r="X398" s="10"/>
      <c r="Y398" s="10"/>
      <c r="Z398" s="10"/>
      <c r="AA398" s="10"/>
      <c r="AB398" s="10"/>
      <c r="AC398" s="10"/>
      <c r="AD398" s="10"/>
      <c r="AE398" s="10"/>
      <c r="AF398" s="10"/>
      <c r="AG398" s="10"/>
      <c r="AH398" s="10"/>
      <c r="AI398" s="10"/>
      <c r="AJ398" s="10"/>
      <c r="AK398" s="10"/>
      <c r="AL398" s="10"/>
      <c r="AM398" s="10"/>
      <c r="AN398" s="10"/>
    </row>
    <row r="399" spans="1:40" ht="21.75" hidden="1" thickTop="1" thickBot="1">
      <c r="B399" s="7"/>
      <c r="C399" s="248" t="s">
        <v>69</v>
      </c>
      <c r="D399" s="249"/>
      <c r="E399" s="249"/>
      <c r="F399" s="250">
        <f>F362-F397</f>
        <v>0</v>
      </c>
      <c r="G399" s="251"/>
      <c r="H399" s="249"/>
      <c r="I399" s="250">
        <f>I362-I397</f>
        <v>0</v>
      </c>
      <c r="J399" s="252"/>
      <c r="K399" s="253"/>
      <c r="L399" s="250">
        <f>L362-L397</f>
        <v>0</v>
      </c>
      <c r="M399" s="251"/>
      <c r="N399" s="250"/>
      <c r="O399" s="252"/>
      <c r="P399" s="253"/>
      <c r="Q399" s="250">
        <f>Q362-Q397</f>
        <v>0</v>
      </c>
      <c r="R399" s="252"/>
      <c r="S399" s="254">
        <f>L399-Q399</f>
        <v>0</v>
      </c>
      <c r="T399" s="10"/>
      <c r="U399" s="10"/>
      <c r="V399" s="13"/>
      <c r="W399" s="10"/>
      <c r="X399" s="10"/>
      <c r="Y399" s="10"/>
      <c r="Z399" s="10"/>
      <c r="AA399" s="10"/>
      <c r="AB399" s="10"/>
      <c r="AC399" s="10"/>
      <c r="AD399" s="10"/>
      <c r="AE399" s="10"/>
      <c r="AF399" s="10"/>
      <c r="AG399" s="10"/>
      <c r="AH399" s="10"/>
      <c r="AI399" s="10"/>
      <c r="AJ399" s="10"/>
      <c r="AK399" s="10"/>
      <c r="AL399" s="10"/>
      <c r="AM399" s="10"/>
      <c r="AN399" s="10"/>
    </row>
    <row r="400" spans="1:40" ht="20.25" hidden="1">
      <c r="B400" s="7"/>
      <c r="C400" s="76"/>
      <c r="D400" s="81"/>
      <c r="E400" s="13"/>
      <c r="F400" s="112"/>
      <c r="G400" s="81"/>
      <c r="H400" s="13"/>
      <c r="I400" s="112"/>
      <c r="J400" s="76"/>
      <c r="K400" s="76"/>
      <c r="L400" s="112"/>
      <c r="M400" s="76"/>
      <c r="N400" s="112"/>
      <c r="O400" s="76"/>
      <c r="P400" s="76"/>
      <c r="Q400" s="112"/>
      <c r="R400" s="76"/>
      <c r="S400" s="112"/>
      <c r="T400" s="13"/>
      <c r="U400" s="13"/>
      <c r="V400" s="13"/>
      <c r="W400" s="13"/>
      <c r="X400" s="13"/>
      <c r="Y400" s="13"/>
      <c r="Z400" s="13"/>
      <c r="AA400" s="13"/>
      <c r="AB400" s="13"/>
      <c r="AC400" s="13"/>
      <c r="AD400" s="13"/>
      <c r="AE400" s="13"/>
      <c r="AF400" s="13"/>
      <c r="AG400" s="13"/>
      <c r="AH400" s="13"/>
      <c r="AI400" s="13"/>
      <c r="AJ400" s="13"/>
      <c r="AK400" s="13"/>
      <c r="AL400" s="13"/>
      <c r="AM400" s="13"/>
      <c r="AN400" s="13"/>
    </row>
    <row r="401" spans="1:61" ht="20.25">
      <c r="B401" s="7"/>
      <c r="C401" s="13"/>
      <c r="D401" s="13"/>
      <c r="E401" s="13"/>
      <c r="F401" s="82"/>
      <c r="G401" s="13"/>
      <c r="H401" s="13"/>
      <c r="I401" s="13"/>
      <c r="J401" s="13"/>
      <c r="K401" s="13"/>
      <c r="L401" s="82"/>
      <c r="M401" s="13"/>
      <c r="N401" s="13"/>
      <c r="O401" s="13"/>
      <c r="P401" s="13"/>
      <c r="Q401" s="13"/>
      <c r="R401" s="13"/>
      <c r="S401" s="13"/>
      <c r="T401" s="10"/>
      <c r="U401" s="10"/>
      <c r="V401" s="13"/>
      <c r="W401" s="10"/>
      <c r="X401" s="10"/>
      <c r="Y401" s="10"/>
      <c r="Z401" s="10"/>
      <c r="AA401" s="10"/>
      <c r="AB401" s="10"/>
      <c r="AC401" s="10"/>
      <c r="AD401" s="10"/>
      <c r="AE401" s="10"/>
      <c r="AF401" s="10"/>
      <c r="AG401" s="10"/>
      <c r="AH401" s="10"/>
      <c r="AI401" s="10"/>
      <c r="AJ401" s="10"/>
      <c r="AK401" s="10"/>
      <c r="AL401" s="10"/>
      <c r="AM401" s="10"/>
      <c r="AN401" s="10"/>
      <c r="AQ401" s="472"/>
      <c r="AU401" s="472"/>
      <c r="AV401" s="473"/>
    </row>
    <row r="402" spans="1:61" ht="35.25">
      <c r="B402" s="7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6" t="str">
        <f>C1</f>
        <v>BMW Sherbrooke</v>
      </c>
      <c r="W402" s="6"/>
      <c r="X402" s="6"/>
      <c r="Y402" s="6"/>
      <c r="Z402" s="1"/>
      <c r="AA402" s="1"/>
      <c r="AB402" s="6"/>
      <c r="AC402" s="6"/>
      <c r="AD402" s="1"/>
      <c r="AE402" s="3" t="s">
        <v>116</v>
      </c>
      <c r="AF402" s="6"/>
      <c r="AG402" s="6"/>
      <c r="AH402" s="1"/>
      <c r="AI402" s="1"/>
      <c r="AJ402" s="255"/>
      <c r="AK402" s="2"/>
      <c r="AL402" s="1"/>
      <c r="AM402" s="6"/>
      <c r="AN402" s="6"/>
      <c r="AO402" s="5" t="str">
        <f>$S$1</f>
        <v>Réalisé  Q3 2024</v>
      </c>
      <c r="AP402" s="246"/>
      <c r="AQ402" s="472"/>
      <c r="AS402" s="473"/>
      <c r="AT402" s="474"/>
      <c r="AU402" s="472"/>
      <c r="AV402" s="473"/>
      <c r="AW402" s="473"/>
      <c r="AX402" s="473"/>
      <c r="AY402" s="246"/>
      <c r="AZ402" s="246"/>
      <c r="BA402" s="246"/>
      <c r="BB402" s="246"/>
      <c r="BC402" s="246"/>
      <c r="BD402" s="246"/>
      <c r="BE402" s="246"/>
      <c r="BF402" s="246"/>
      <c r="BG402" s="246"/>
      <c r="BH402" s="246"/>
      <c r="BI402" s="246"/>
    </row>
    <row r="403" spans="1:61" ht="18.75" thickBot="1">
      <c r="B403" s="7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256"/>
      <c r="W403" s="9"/>
      <c r="X403" s="9"/>
      <c r="Y403" s="9"/>
      <c r="Z403" s="9"/>
      <c r="AA403" s="9"/>
      <c r="AB403" s="9"/>
      <c r="AC403" s="9"/>
      <c r="AD403" s="9"/>
      <c r="AE403" s="9"/>
      <c r="AF403" s="9"/>
      <c r="AG403" s="9"/>
      <c r="AH403" s="9"/>
      <c r="AI403" s="9"/>
      <c r="AJ403" s="9"/>
      <c r="AK403" s="9"/>
      <c r="AL403" s="10"/>
      <c r="AM403" s="10"/>
      <c r="AN403" s="10"/>
      <c r="AO403" s="10"/>
      <c r="AP403" s="246"/>
      <c r="AQ403" s="475"/>
      <c r="AR403" s="246"/>
      <c r="AS403" s="473"/>
      <c r="AT403" s="476"/>
      <c r="AU403" s="475"/>
      <c r="AV403" s="477"/>
      <c r="AW403" s="477"/>
      <c r="AX403" s="477"/>
      <c r="AY403" s="246"/>
      <c r="AZ403" s="246"/>
      <c r="BA403" s="246"/>
      <c r="BB403" s="246"/>
      <c r="BC403" s="246"/>
      <c r="BD403" s="246"/>
      <c r="BE403" s="246"/>
      <c r="BF403" s="246"/>
      <c r="BG403" s="246"/>
      <c r="BH403" s="246"/>
      <c r="BI403" s="246"/>
    </row>
    <row r="404" spans="1:61" ht="21.75" thickTop="1" thickBot="1">
      <c r="A404" t="str">
        <f>+U404&amp;V404</f>
        <v/>
      </c>
      <c r="B404" s="7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257"/>
      <c r="W404" s="258"/>
      <c r="X404" s="504" t="s">
        <v>117</v>
      </c>
      <c r="Y404" s="501"/>
      <c r="Z404" s="505"/>
      <c r="AA404" s="500" t="s">
        <v>71</v>
      </c>
      <c r="AB404" s="501"/>
      <c r="AC404" s="505"/>
      <c r="AD404" s="500" t="s">
        <v>7</v>
      </c>
      <c r="AE404" s="501"/>
      <c r="AF404" s="505"/>
      <c r="AG404" s="500" t="s">
        <v>213</v>
      </c>
      <c r="AH404" s="501"/>
      <c r="AI404" s="505"/>
      <c r="AJ404" s="500" t="s">
        <v>118</v>
      </c>
      <c r="AK404" s="501"/>
      <c r="AL404" s="501"/>
      <c r="AM404" s="500" t="s">
        <v>119</v>
      </c>
      <c r="AN404" s="501"/>
      <c r="AO404" s="502"/>
      <c r="AP404" s="246"/>
      <c r="AQ404" s="475"/>
      <c r="AR404" s="246"/>
      <c r="AS404" s="477"/>
      <c r="AT404" s="476"/>
      <c r="AU404" s="475"/>
      <c r="AV404" s="477"/>
      <c r="AW404" s="477"/>
      <c r="AX404" s="477"/>
      <c r="AY404" s="246"/>
      <c r="AZ404" s="246"/>
      <c r="BA404" s="246"/>
      <c r="BB404" s="246"/>
      <c r="BC404" s="246"/>
      <c r="BD404" s="246"/>
      <c r="BE404" s="246"/>
      <c r="BF404" s="246"/>
      <c r="BG404" s="246"/>
      <c r="BH404" s="246"/>
      <c r="BI404" s="246"/>
    </row>
    <row r="405" spans="1:61" ht="20.25">
      <c r="A405" t="str">
        <f t="shared" ref="A405:A484" si="114">+U405&amp;V405</f>
        <v/>
      </c>
      <c r="B405" s="7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86"/>
      <c r="W405" s="259" t="s">
        <v>120</v>
      </c>
      <c r="X405" s="259" t="s">
        <v>121</v>
      </c>
      <c r="Y405" s="259" t="s">
        <v>122</v>
      </c>
      <c r="Z405" s="260" t="s">
        <v>123</v>
      </c>
      <c r="AA405" s="259" t="s">
        <v>121</v>
      </c>
      <c r="AB405" s="259" t="s">
        <v>122</v>
      </c>
      <c r="AC405" s="260" t="s">
        <v>123</v>
      </c>
      <c r="AD405" s="261" t="s">
        <v>121</v>
      </c>
      <c r="AE405" s="259" t="s">
        <v>122</v>
      </c>
      <c r="AF405" s="259" t="s">
        <v>123</v>
      </c>
      <c r="AG405" s="261" t="s">
        <v>124</v>
      </c>
      <c r="AH405" s="259" t="s">
        <v>125</v>
      </c>
      <c r="AI405" s="259" t="s">
        <v>126</v>
      </c>
      <c r="AJ405" s="261" t="s">
        <v>121</v>
      </c>
      <c r="AK405" s="259" t="s">
        <v>122</v>
      </c>
      <c r="AL405" s="259" t="s">
        <v>123</v>
      </c>
      <c r="AM405" s="262" t="s">
        <v>124</v>
      </c>
      <c r="AN405" s="259" t="s">
        <v>125</v>
      </c>
      <c r="AO405" s="139" t="s">
        <v>126</v>
      </c>
      <c r="AP405" s="246"/>
      <c r="AQ405" s="478"/>
      <c r="AR405" s="395"/>
      <c r="AS405" s="395"/>
      <c r="AT405" s="479"/>
      <c r="AU405" s="478"/>
      <c r="AV405" s="480"/>
      <c r="AW405" s="480"/>
      <c r="AX405" s="480"/>
      <c r="AY405" s="246"/>
      <c r="AZ405" s="246"/>
      <c r="BA405" s="246"/>
      <c r="BB405" s="246"/>
      <c r="BC405" s="246"/>
      <c r="BD405" s="246"/>
      <c r="BE405" s="246"/>
      <c r="BF405" s="246"/>
      <c r="BG405" s="246"/>
      <c r="BH405" s="246"/>
      <c r="BI405" s="246"/>
    </row>
    <row r="406" spans="1:61" ht="18">
      <c r="A406" t="str">
        <f t="shared" si="114"/>
        <v>Ventes nettes</v>
      </c>
      <c r="B406" s="7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246"/>
      <c r="U406" s="246"/>
      <c r="V406" s="103" t="s">
        <v>14</v>
      </c>
      <c r="W406" s="263"/>
      <c r="X406" s="263"/>
      <c r="Y406" s="263"/>
      <c r="Z406" s="264">
        <f>F5+F93+E194+E250+D314+D362</f>
        <v>12155960.311785012</v>
      </c>
      <c r="AA406" s="263"/>
      <c r="AB406" s="263"/>
      <c r="AC406" s="264">
        <f>I5+I93+H194+H250+G314+G362</f>
        <v>0</v>
      </c>
      <c r="AD406" s="265"/>
      <c r="AE406" s="266"/>
      <c r="AF406" s="266">
        <f>L5+L93+K194+K250+J314+J362</f>
        <v>11542464.890000001</v>
      </c>
      <c r="AG406" s="265"/>
      <c r="AH406" s="266"/>
      <c r="AI406" s="267"/>
      <c r="AJ406" s="265"/>
      <c r="AK406" s="266"/>
      <c r="AL406" s="266">
        <f>Q5+Q93+P194+P250+O314+O362</f>
        <v>11701523.98999998</v>
      </c>
      <c r="AM406" s="268"/>
      <c r="AN406" s="266"/>
      <c r="AO406" s="269"/>
      <c r="AP406" s="246"/>
      <c r="AQ406" s="246"/>
      <c r="AR406" s="246"/>
      <c r="AS406" s="246"/>
      <c r="AT406" s="246"/>
      <c r="AU406" s="246"/>
      <c r="AV406" s="477"/>
      <c r="AW406" s="246"/>
      <c r="AX406" s="246"/>
      <c r="AY406" s="246"/>
      <c r="AZ406" s="246"/>
      <c r="BA406" s="246"/>
      <c r="BB406" s="246"/>
      <c r="BC406" s="246"/>
      <c r="BD406" s="246"/>
      <c r="BE406" s="246"/>
      <c r="BF406" s="246"/>
      <c r="BG406" s="246"/>
      <c r="BH406" s="246"/>
      <c r="BI406" s="246"/>
    </row>
    <row r="407" spans="1:61" ht="18">
      <c r="A407" t="str">
        <f t="shared" si="114"/>
        <v>Profit brut</v>
      </c>
      <c r="B407" s="7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246"/>
      <c r="U407" s="246"/>
      <c r="V407" s="270" t="s">
        <v>127</v>
      </c>
      <c r="W407" s="271"/>
      <c r="X407" s="271"/>
      <c r="Y407" s="271"/>
      <c r="Z407" s="272">
        <f>F27+F108+F194+F250+F314+F362</f>
        <v>1288729.2249806141</v>
      </c>
      <c r="AA407" s="271"/>
      <c r="AB407" s="271"/>
      <c r="AC407" s="272">
        <f>I27+I108+I194+I250+I314+I362</f>
        <v>0</v>
      </c>
      <c r="AD407" s="273"/>
      <c r="AE407" s="274"/>
      <c r="AF407" s="274">
        <f>L27+L108+L194+L250+L314+L362</f>
        <v>1033231.2</v>
      </c>
      <c r="AG407" s="273"/>
      <c r="AH407" s="274">
        <f>AF407-Z407</f>
        <v>-255498.02498061419</v>
      </c>
      <c r="AI407" s="275">
        <f>AH407/Z407</f>
        <v>-0.19825578564376667</v>
      </c>
      <c r="AJ407" s="273"/>
      <c r="AK407" s="274"/>
      <c r="AL407" s="274">
        <f>Q27+Q108+Q194+Q250+Q314+Q362</f>
        <v>1275951.9399999983</v>
      </c>
      <c r="AM407" s="276"/>
      <c r="AN407" s="274">
        <f>AF407-AL407</f>
        <v>-242720.73999999836</v>
      </c>
      <c r="AO407" s="277">
        <f>IF(AL407=0,0,AN407/AL407)</f>
        <v>-0.19022718050023002</v>
      </c>
      <c r="AP407" s="246"/>
      <c r="AQ407" s="246"/>
      <c r="AR407" s="310"/>
      <c r="AS407" s="310"/>
      <c r="AT407" s="246"/>
      <c r="AU407" s="246"/>
      <c r="AV407" s="246"/>
      <c r="AW407" s="246"/>
      <c r="AX407" s="246"/>
      <c r="AY407" s="246"/>
      <c r="AZ407" s="246"/>
      <c r="BA407" s="246"/>
      <c r="BB407" s="246"/>
      <c r="BC407" s="246"/>
      <c r="BD407" s="246"/>
      <c r="BE407" s="246"/>
      <c r="BF407" s="246"/>
      <c r="BG407" s="246"/>
      <c r="BH407" s="246"/>
      <c r="BI407" s="246"/>
    </row>
    <row r="408" spans="1:61" ht="18">
      <c r="A408" t="str">
        <f t="shared" si="114"/>
        <v>DÉPENSES</v>
      </c>
      <c r="B408" s="7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246"/>
      <c r="U408" s="246"/>
      <c r="V408" s="278" t="s">
        <v>128</v>
      </c>
      <c r="W408" s="279"/>
      <c r="X408" s="279"/>
      <c r="Y408" s="279"/>
      <c r="Z408" s="280"/>
      <c r="AA408" s="279"/>
      <c r="AB408" s="279"/>
      <c r="AC408" s="280"/>
      <c r="AD408" s="281"/>
      <c r="AE408" s="279"/>
      <c r="AF408" s="282"/>
      <c r="AG408" s="281"/>
      <c r="AH408" s="282"/>
      <c r="AI408" s="283"/>
      <c r="AJ408" s="281"/>
      <c r="AK408" s="279"/>
      <c r="AL408" s="282"/>
      <c r="AM408" s="284"/>
      <c r="AN408" s="282"/>
      <c r="AO408" s="285"/>
      <c r="AP408" s="246"/>
      <c r="AQ408" s="246"/>
      <c r="AR408" s="246"/>
      <c r="AS408" s="246"/>
      <c r="AT408" s="246"/>
      <c r="AU408" s="475"/>
      <c r="AV408" s="475"/>
      <c r="AW408" s="475"/>
      <c r="AX408" s="475"/>
      <c r="AY408" s="475"/>
      <c r="AZ408" s="246"/>
      <c r="BA408" s="246"/>
      <c r="BB408" s="246"/>
      <c r="BC408" s="246"/>
      <c r="BD408" s="246"/>
      <c r="BE408" s="246"/>
      <c r="BF408" s="246"/>
      <c r="BG408" s="246"/>
      <c r="BH408" s="246"/>
      <c r="BI408" s="246"/>
    </row>
    <row r="409" spans="1:61" ht="18">
      <c r="A409" t="str">
        <f t="shared" si="114"/>
        <v>Comm. vendeurs</v>
      </c>
      <c r="B409" s="7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246"/>
      <c r="U409" s="246"/>
      <c r="V409" s="102" t="s">
        <v>30</v>
      </c>
      <c r="W409" s="286" t="s">
        <v>129</v>
      </c>
      <c r="X409" s="279"/>
      <c r="Y409" s="287">
        <f>Z409/(D$13+D$97)</f>
        <v>1195.9963876884844</v>
      </c>
      <c r="Z409" s="280">
        <f>+SUM(START:END!Z409)</f>
        <v>144715.56291030662</v>
      </c>
      <c r="AA409" s="279"/>
      <c r="AB409" s="287">
        <f>IF(AC409=0,0,AC409/(G$13+G$97))</f>
        <v>0</v>
      </c>
      <c r="AC409" s="280">
        <f>+SUM(START:END!AC409)</f>
        <v>0</v>
      </c>
      <c r="AD409" s="288"/>
      <c r="AE409" s="287">
        <f>IF(AF409=0,0,AF409/(J$13+J$97))</f>
        <v>963.87762376237629</v>
      </c>
      <c r="AF409" s="280">
        <f>+SUM(START:END!AF409)</f>
        <v>97351.64</v>
      </c>
      <c r="AG409" s="281">
        <f t="shared" ref="AG409:AH424" si="115">AE409-Y409</f>
        <v>-232.11876392610816</v>
      </c>
      <c r="AH409" s="282">
        <f t="shared" si="115"/>
        <v>-47363.922910306617</v>
      </c>
      <c r="AI409" s="283">
        <f t="shared" ref="AI409:AI418" si="116">IF(Z409=0,0,AH409/Z409)</f>
        <v>-0.3272897673048637</v>
      </c>
      <c r="AJ409" s="288"/>
      <c r="AK409" s="282">
        <f>AL409/(O$13+O$97)</f>
        <v>1375.3426415094341</v>
      </c>
      <c r="AL409" s="280">
        <f>+SUMIF($C:$C,$V409,Q:Q)</f>
        <v>145786.32</v>
      </c>
      <c r="AM409" s="284">
        <f t="shared" ref="AM409:AM414" si="117">AE409-Y409</f>
        <v>-232.11876392610816</v>
      </c>
      <c r="AN409" s="282">
        <f t="shared" ref="AN409:AN414" si="118">AF409-AL409</f>
        <v>-48434.680000000008</v>
      </c>
      <c r="AO409" s="289">
        <f t="shared" ref="AO409:AO431" si="119">IF(AL409=0,0,AN409/AL409)</f>
        <v>-0.33223062355919269</v>
      </c>
      <c r="AP409" s="246"/>
      <c r="AQ409" s="246"/>
      <c r="AS409" s="481"/>
      <c r="AT409" s="474"/>
      <c r="AU409" s="475"/>
      <c r="AV409" s="475"/>
      <c r="AW409" s="475"/>
      <c r="AX409" s="475"/>
      <c r="AY409" s="475"/>
      <c r="AZ409" s="246"/>
      <c r="BA409" s="246"/>
      <c r="BB409" s="246"/>
      <c r="BC409" s="246"/>
      <c r="BD409" s="246"/>
      <c r="BE409" s="246"/>
      <c r="BF409" s="246"/>
      <c r="BG409" s="246"/>
      <c r="BH409" s="246"/>
      <c r="BI409" s="246"/>
    </row>
    <row r="410" spans="1:61" ht="18">
      <c r="A410" t="str">
        <f t="shared" si="114"/>
        <v>Comm. F&amp;I</v>
      </c>
      <c r="B410" s="7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246"/>
      <c r="U410" s="246"/>
      <c r="V410" s="103" t="s">
        <v>31</v>
      </c>
      <c r="W410" s="290" t="s">
        <v>130</v>
      </c>
      <c r="X410" s="263"/>
      <c r="Y410" s="291">
        <f t="shared" ref="Y410:Y415" si="120">Z410/(D$13+D$97)</f>
        <v>426.13636363636363</v>
      </c>
      <c r="Z410" s="264">
        <f>+SUM(START:END!Z410)</f>
        <v>51562.5</v>
      </c>
      <c r="AA410" s="263"/>
      <c r="AB410" s="291">
        <f t="shared" ref="AB410:AB415" si="121">IF(AC410=0,0,AC410/(G$13+G$97))</f>
        <v>0</v>
      </c>
      <c r="AC410" s="264">
        <f>+SUM(START:END!AC410)</f>
        <v>0</v>
      </c>
      <c r="AD410" s="292"/>
      <c r="AE410" s="291">
        <f t="shared" ref="AE410:AE415" si="122">IF(AF410=0,0,AF410/(J$13+J$97))</f>
        <v>510.190297029703</v>
      </c>
      <c r="AF410" s="264">
        <f>+SUM(START:END!AF410)</f>
        <v>51529.22</v>
      </c>
      <c r="AG410" s="265">
        <f t="shared" si="115"/>
        <v>84.053933393339378</v>
      </c>
      <c r="AH410" s="266">
        <f t="shared" si="115"/>
        <v>-33.279999999998836</v>
      </c>
      <c r="AI410" s="293">
        <f t="shared" si="116"/>
        <v>-6.4543030303028045E-4</v>
      </c>
      <c r="AJ410" s="292"/>
      <c r="AK410" s="266">
        <f t="shared" ref="AK410:AK415" si="123">AL410/(O$13+O$97)</f>
        <v>395.67415094339628</v>
      </c>
      <c r="AL410" s="264">
        <f t="shared" ref="AL410:AL415" si="124">+SUMIF($C:$C,$V410,Q:Q)</f>
        <v>41941.460000000006</v>
      </c>
      <c r="AM410" s="268">
        <f t="shared" si="117"/>
        <v>84.053933393339378</v>
      </c>
      <c r="AN410" s="266">
        <f t="shared" si="118"/>
        <v>9587.7599999999948</v>
      </c>
      <c r="AO410" s="294">
        <f t="shared" si="119"/>
        <v>0.22859862293778027</v>
      </c>
      <c r="AP410" s="246"/>
      <c r="AQ410" s="246"/>
      <c r="AS410" s="439"/>
      <c r="AT410" s="474"/>
      <c r="AU410" s="475"/>
      <c r="AV410" s="475"/>
      <c r="AW410" s="475"/>
      <c r="AX410" s="475"/>
      <c r="AY410" s="475"/>
      <c r="AZ410" s="246"/>
      <c r="BA410" s="246"/>
      <c r="BB410" s="246"/>
      <c r="BC410" s="246"/>
      <c r="BD410" s="246"/>
      <c r="BE410" s="246"/>
      <c r="BF410" s="246"/>
      <c r="BG410" s="246"/>
      <c r="BH410" s="246"/>
      <c r="BI410" s="246"/>
    </row>
    <row r="411" spans="1:61" ht="18">
      <c r="A411" t="str">
        <f t="shared" si="114"/>
        <v>Frais de livraison</v>
      </c>
      <c r="B411" s="7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246"/>
      <c r="U411" s="246"/>
      <c r="V411" s="102" t="s">
        <v>32</v>
      </c>
      <c r="W411" s="286" t="s">
        <v>131</v>
      </c>
      <c r="X411" s="279"/>
      <c r="Y411" s="287">
        <f t="shared" si="120"/>
        <v>110</v>
      </c>
      <c r="Z411" s="280">
        <f>+SUM(START:END!Z411)</f>
        <v>13310</v>
      </c>
      <c r="AA411" s="279"/>
      <c r="AB411" s="287">
        <f t="shared" si="121"/>
        <v>0</v>
      </c>
      <c r="AC411" s="280">
        <f>+SUM(START:END!AC411)</f>
        <v>0</v>
      </c>
      <c r="AD411" s="288"/>
      <c r="AE411" s="287">
        <f t="shared" si="122"/>
        <v>154.9540594059406</v>
      </c>
      <c r="AF411" s="280">
        <f>+SUM(START:END!AF411)</f>
        <v>15650.36</v>
      </c>
      <c r="AG411" s="281">
        <f t="shared" si="115"/>
        <v>44.954059405940598</v>
      </c>
      <c r="AH411" s="282">
        <f t="shared" si="115"/>
        <v>2340.3600000000006</v>
      </c>
      <c r="AI411" s="283">
        <f t="shared" si="116"/>
        <v>0.17583471074380169</v>
      </c>
      <c r="AJ411" s="288"/>
      <c r="AK411" s="282">
        <f t="shared" si="123"/>
        <v>130.12179245283019</v>
      </c>
      <c r="AL411" s="280">
        <f t="shared" si="124"/>
        <v>13792.91</v>
      </c>
      <c r="AM411" s="284">
        <f t="shared" si="117"/>
        <v>44.954059405940598</v>
      </c>
      <c r="AN411" s="282">
        <f t="shared" si="118"/>
        <v>1857.4500000000007</v>
      </c>
      <c r="AO411" s="289">
        <f t="shared" si="119"/>
        <v>0.13466701370486728</v>
      </c>
      <c r="AP411" s="246"/>
      <c r="AQ411" s="246"/>
      <c r="AS411" s="439"/>
      <c r="AT411" s="474"/>
      <c r="AU411" s="475"/>
      <c r="AV411" s="475"/>
      <c r="AW411" s="475"/>
      <c r="AX411" s="475"/>
      <c r="AY411" s="475"/>
      <c r="AZ411" s="246"/>
      <c r="BA411" s="246"/>
      <c r="BB411" s="246"/>
      <c r="BC411" s="246"/>
      <c r="BD411" s="246"/>
      <c r="BE411" s="246"/>
      <c r="BF411" s="246"/>
      <c r="BG411" s="246"/>
      <c r="BH411" s="246"/>
      <c r="BI411" s="246"/>
    </row>
    <row r="412" spans="1:61" ht="18">
      <c r="A412" t="str">
        <f t="shared" si="114"/>
        <v>Service gratuit 1</v>
      </c>
      <c r="B412" s="7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246"/>
      <c r="U412" s="246"/>
      <c r="V412" s="102" t="s">
        <v>33</v>
      </c>
      <c r="W412" s="286" t="s">
        <v>132</v>
      </c>
      <c r="X412" s="279"/>
      <c r="Y412" s="287">
        <f t="shared" si="120"/>
        <v>69.917355371900825</v>
      </c>
      <c r="Z412" s="280">
        <f>+SUM(START:END!Z412)</f>
        <v>8460</v>
      </c>
      <c r="AA412" s="279"/>
      <c r="AB412" s="287">
        <f t="shared" si="121"/>
        <v>0</v>
      </c>
      <c r="AC412" s="280">
        <f>+SUM(START:END!AC412)</f>
        <v>0</v>
      </c>
      <c r="AD412" s="288"/>
      <c r="AE412" s="287">
        <f t="shared" si="122"/>
        <v>82.272079207920783</v>
      </c>
      <c r="AF412" s="280">
        <f>+SUM(START:END!AF412)</f>
        <v>8309.48</v>
      </c>
      <c r="AG412" s="281">
        <f t="shared" si="115"/>
        <v>12.354723836019957</v>
      </c>
      <c r="AH412" s="282">
        <f t="shared" si="115"/>
        <v>-150.52000000000044</v>
      </c>
      <c r="AI412" s="283">
        <f t="shared" si="116"/>
        <v>-1.7791962174940949E-2</v>
      </c>
      <c r="AJ412" s="288"/>
      <c r="AK412" s="282">
        <f t="shared" si="123"/>
        <v>87.38367924528302</v>
      </c>
      <c r="AL412" s="280">
        <f t="shared" si="124"/>
        <v>9262.67</v>
      </c>
      <c r="AM412" s="284">
        <f t="shared" si="117"/>
        <v>12.354723836019957</v>
      </c>
      <c r="AN412" s="282">
        <f t="shared" si="118"/>
        <v>-953.19000000000051</v>
      </c>
      <c r="AO412" s="295">
        <f t="shared" si="119"/>
        <v>-0.10290661331991753</v>
      </c>
      <c r="AP412" s="246"/>
      <c r="AQ412" s="246"/>
      <c r="AS412" s="439"/>
      <c r="AT412" s="474"/>
      <c r="AU412" s="475"/>
      <c r="AV412" s="475"/>
      <c r="AW412" s="475"/>
      <c r="AX412" s="475"/>
      <c r="AY412" s="475"/>
      <c r="AZ412" s="246"/>
      <c r="BA412" s="246"/>
      <c r="BB412" s="246"/>
      <c r="BC412" s="246"/>
      <c r="BD412" s="246"/>
      <c r="BE412" s="246"/>
      <c r="BF412" s="246"/>
      <c r="BG412" s="246"/>
      <c r="BH412" s="246"/>
      <c r="BI412" s="246"/>
    </row>
    <row r="413" spans="1:61" ht="18">
      <c r="A413" t="str">
        <f t="shared" si="114"/>
        <v>Entretien stock</v>
      </c>
      <c r="B413" s="7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246"/>
      <c r="U413" s="246"/>
      <c r="V413" s="103" t="s">
        <v>34</v>
      </c>
      <c r="W413" s="290"/>
      <c r="X413" s="263"/>
      <c r="Y413" s="291">
        <f t="shared" si="120"/>
        <v>77.809917355371894</v>
      </c>
      <c r="Z413" s="264">
        <f>+SUM(START:END!Z413)</f>
        <v>9415</v>
      </c>
      <c r="AA413" s="263"/>
      <c r="AB413" s="291">
        <f t="shared" si="121"/>
        <v>0</v>
      </c>
      <c r="AC413" s="264">
        <f>+SUM(START:END!AC413)</f>
        <v>0</v>
      </c>
      <c r="AD413" s="292"/>
      <c r="AE413" s="291">
        <f t="shared" si="122"/>
        <v>94.811980198019782</v>
      </c>
      <c r="AF413" s="264">
        <f>+SUM(START:END!AF413)</f>
        <v>9576.0099999999984</v>
      </c>
      <c r="AG413" s="265">
        <f t="shared" si="115"/>
        <v>17.002062842647888</v>
      </c>
      <c r="AH413" s="266">
        <f t="shared" si="115"/>
        <v>161.0099999999984</v>
      </c>
      <c r="AI413" s="293">
        <f t="shared" si="116"/>
        <v>1.7101433882102859E-2</v>
      </c>
      <c r="AJ413" s="292"/>
      <c r="AK413" s="266">
        <f t="shared" si="123"/>
        <v>79.833301886792455</v>
      </c>
      <c r="AL413" s="264">
        <f t="shared" si="124"/>
        <v>8462.33</v>
      </c>
      <c r="AM413" s="268">
        <f t="shared" si="117"/>
        <v>17.002062842647888</v>
      </c>
      <c r="AN413" s="266">
        <f t="shared" si="118"/>
        <v>1113.6799999999985</v>
      </c>
      <c r="AO413" s="294">
        <f t="shared" si="119"/>
        <v>0.13160441627778618</v>
      </c>
      <c r="AP413" s="246"/>
      <c r="AQ413" s="246"/>
      <c r="AS413" s="439"/>
      <c r="AT413" s="474"/>
      <c r="AU413" s="475"/>
      <c r="AV413" s="475"/>
      <c r="AW413" s="475"/>
      <c r="AX413" s="475"/>
      <c r="AY413" s="475"/>
      <c r="AZ413" s="246"/>
      <c r="BA413" s="246"/>
      <c r="BB413" s="246"/>
      <c r="BC413" s="246"/>
      <c r="BD413" s="246"/>
      <c r="BE413" s="246"/>
      <c r="BF413" s="246"/>
      <c r="BG413" s="246"/>
      <c r="BH413" s="246"/>
      <c r="BI413" s="246"/>
    </row>
    <row r="414" spans="1:61" ht="18">
      <c r="A414" t="str">
        <f t="shared" si="114"/>
        <v>Publicité 1</v>
      </c>
      <c r="B414" s="7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246"/>
      <c r="U414" s="246"/>
      <c r="V414" s="102" t="s">
        <v>35</v>
      </c>
      <c r="W414" s="286" t="s">
        <v>133</v>
      </c>
      <c r="X414" s="283"/>
      <c r="Y414" s="287">
        <f t="shared" si="120"/>
        <v>429.62370867768601</v>
      </c>
      <c r="Z414" s="280">
        <f>+SUM(START:END!Z414)</f>
        <v>51984.468750000007</v>
      </c>
      <c r="AA414" s="283"/>
      <c r="AB414" s="287">
        <f t="shared" si="121"/>
        <v>0</v>
      </c>
      <c r="AC414" s="280">
        <f>+SUM(START:END!AC414)</f>
        <v>0</v>
      </c>
      <c r="AD414" s="288"/>
      <c r="AE414" s="287">
        <f t="shared" si="122"/>
        <v>615.40930693069299</v>
      </c>
      <c r="AF414" s="280">
        <f>+SUM(START:END!AF414)</f>
        <v>62156.34</v>
      </c>
      <c r="AG414" s="281">
        <f t="shared" si="115"/>
        <v>185.78559825300698</v>
      </c>
      <c r="AH414" s="282">
        <f t="shared" si="115"/>
        <v>10171.871249999989</v>
      </c>
      <c r="AI414" s="283">
        <f t="shared" si="116"/>
        <v>0.1956713513591497</v>
      </c>
      <c r="AJ414" s="288"/>
      <c r="AK414" s="282">
        <f t="shared" si="123"/>
        <v>472.15707547169796</v>
      </c>
      <c r="AL414" s="280">
        <f t="shared" si="124"/>
        <v>50048.649999999987</v>
      </c>
      <c r="AM414" s="284">
        <f t="shared" si="117"/>
        <v>185.78559825300698</v>
      </c>
      <c r="AN414" s="282">
        <f t="shared" si="118"/>
        <v>12107.69000000001</v>
      </c>
      <c r="AO414" s="289">
        <f t="shared" si="119"/>
        <v>0.24191841338377784</v>
      </c>
      <c r="AP414" s="246"/>
      <c r="AQ414" s="246"/>
      <c r="AR414" s="440"/>
      <c r="AS414" s="439"/>
      <c r="AT414" s="474"/>
      <c r="AU414" s="475"/>
      <c r="AV414" s="475"/>
      <c r="AW414" s="475"/>
      <c r="AX414" s="475"/>
      <c r="AY414" s="475"/>
      <c r="AZ414" s="246"/>
      <c r="BA414" s="246"/>
      <c r="BB414" s="246"/>
      <c r="BC414" s="246"/>
      <c r="BD414" s="246"/>
      <c r="BE414" s="246"/>
      <c r="BF414" s="246"/>
      <c r="BG414" s="246"/>
      <c r="BH414" s="246"/>
      <c r="BI414" s="246"/>
    </row>
    <row r="415" spans="1:61" ht="20.25">
      <c r="A415" t="str">
        <f t="shared" si="114"/>
        <v>Intérêt de gros</v>
      </c>
      <c r="B415" s="7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246"/>
      <c r="U415" s="246"/>
      <c r="V415" s="102" t="s">
        <v>36</v>
      </c>
      <c r="W415" s="286" t="s">
        <v>134</v>
      </c>
      <c r="X415" s="279"/>
      <c r="Y415" s="287">
        <f t="shared" si="120"/>
        <v>886.09851726337115</v>
      </c>
      <c r="Z415" s="280">
        <f>+SUM(START:END!Z415)</f>
        <v>107217.92058886791</v>
      </c>
      <c r="AA415" s="279"/>
      <c r="AB415" s="287">
        <f t="shared" si="121"/>
        <v>0</v>
      </c>
      <c r="AC415" s="280">
        <f>+SUM(START:END!AC415)</f>
        <v>0</v>
      </c>
      <c r="AD415" s="288"/>
      <c r="AE415" s="287">
        <f t="shared" si="122"/>
        <v>1054.0991089108911</v>
      </c>
      <c r="AF415" s="280">
        <f>+SUM(START:END!AF415)</f>
        <v>106464.01</v>
      </c>
      <c r="AG415" s="281">
        <f t="shared" si="115"/>
        <v>168.00059164751997</v>
      </c>
      <c r="AH415" s="282">
        <f t="shared" si="115"/>
        <v>-753.9105888679187</v>
      </c>
      <c r="AI415" s="283">
        <f t="shared" si="116"/>
        <v>-7.0315725648030783E-3</v>
      </c>
      <c r="AJ415" s="288"/>
      <c r="AK415" s="282">
        <f t="shared" si="123"/>
        <v>526.94415094339627</v>
      </c>
      <c r="AL415" s="280">
        <f t="shared" si="124"/>
        <v>55856.08</v>
      </c>
      <c r="AM415" s="284">
        <f>AE415-Y415</f>
        <v>168.00059164751997</v>
      </c>
      <c r="AN415" s="282">
        <f>AF415-AL415</f>
        <v>50607.929999999993</v>
      </c>
      <c r="AO415" s="289">
        <f t="shared" si="119"/>
        <v>0.90604156252998758</v>
      </c>
      <c r="AP415" s="246"/>
      <c r="AQ415" s="246"/>
      <c r="AR415" s="13"/>
      <c r="AS415" s="482"/>
      <c r="AT415" s="246"/>
      <c r="AU415" s="475"/>
      <c r="AV415" s="475"/>
      <c r="AW415" s="475"/>
      <c r="AX415" s="475"/>
      <c r="AY415" s="475"/>
      <c r="AZ415" s="246"/>
      <c r="BA415" s="246"/>
      <c r="BB415" s="246"/>
      <c r="BC415" s="246"/>
      <c r="BD415" s="246"/>
      <c r="BE415" s="246"/>
      <c r="BF415" s="246"/>
      <c r="BG415" s="246"/>
      <c r="BH415" s="246"/>
      <c r="BI415" s="246"/>
    </row>
    <row r="416" spans="1:61" ht="20.25" hidden="1" customHeight="1">
      <c r="A416" t="str">
        <f t="shared" si="114"/>
        <v>[...]</v>
      </c>
      <c r="B416" s="7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246"/>
      <c r="U416" s="246"/>
      <c r="V416" s="102" t="s">
        <v>19</v>
      </c>
      <c r="W416" s="286"/>
      <c r="X416" s="283"/>
      <c r="Y416" s="287">
        <f t="shared" ref="Y416:Y418" si="125">Z416/(D$13+D$97)</f>
        <v>0</v>
      </c>
      <c r="Z416" s="280">
        <f>+SUM(START:END!Z416)</f>
        <v>0</v>
      </c>
      <c r="AA416" s="279"/>
      <c r="AB416" s="287">
        <f t="shared" ref="AB416:AB418" si="126">IF(AC416=0,0,AC416/(G$13+G$97))</f>
        <v>0</v>
      </c>
      <c r="AC416" s="280">
        <f>+SUM(START:END!AC416)</f>
        <v>0</v>
      </c>
      <c r="AD416" s="288"/>
      <c r="AE416" s="287">
        <f t="shared" ref="AE416:AE418" si="127">IF(AF416=0,0,AF416/(J$13+J$97))</f>
        <v>0</v>
      </c>
      <c r="AF416" s="280">
        <f>+SUM(START:END!AF416)</f>
        <v>0</v>
      </c>
      <c r="AG416" s="281">
        <f t="shared" si="115"/>
        <v>0</v>
      </c>
      <c r="AH416" s="282">
        <f t="shared" si="115"/>
        <v>0</v>
      </c>
      <c r="AI416" s="283">
        <f t="shared" si="116"/>
        <v>0</v>
      </c>
      <c r="AJ416" s="288"/>
      <c r="AK416" s="282">
        <f t="shared" ref="AK416:AK418" si="128">AL416/(O$13+O$97)</f>
        <v>0</v>
      </c>
      <c r="AL416" s="280"/>
      <c r="AM416" s="284">
        <f>AE416-Y416</f>
        <v>0</v>
      </c>
      <c r="AN416" s="282">
        <f>AF416-AL416</f>
        <v>0</v>
      </c>
      <c r="AO416" s="289">
        <f t="shared" si="119"/>
        <v>0</v>
      </c>
      <c r="AP416" s="246"/>
      <c r="AQ416" s="246"/>
      <c r="AR416" s="13"/>
      <c r="AS416" s="246"/>
      <c r="AT416" s="246"/>
      <c r="AU416" s="475"/>
      <c r="AV416" s="475"/>
      <c r="AW416" s="475"/>
      <c r="AX416" s="475"/>
      <c r="AY416" s="475"/>
      <c r="AZ416" s="246"/>
      <c r="BA416" s="246"/>
      <c r="BB416" s="246"/>
      <c r="BC416" s="246"/>
      <c r="BD416" s="246"/>
      <c r="BE416" s="246"/>
      <c r="BF416" s="246"/>
      <c r="BG416" s="246"/>
      <c r="BH416" s="246"/>
      <c r="BI416" s="246"/>
    </row>
    <row r="417" spans="1:61" ht="20.25" hidden="1" customHeight="1">
      <c r="A417" t="str">
        <f t="shared" si="114"/>
        <v>[...]</v>
      </c>
      <c r="B417" s="7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246"/>
      <c r="U417" s="246"/>
      <c r="V417" s="102" t="s">
        <v>19</v>
      </c>
      <c r="W417" s="286"/>
      <c r="X417" s="283"/>
      <c r="Y417" s="287">
        <f t="shared" si="125"/>
        <v>0</v>
      </c>
      <c r="Z417" s="280">
        <f>+SUM(START:END!Z417)</f>
        <v>0</v>
      </c>
      <c r="AA417" s="279"/>
      <c r="AB417" s="287">
        <f t="shared" si="126"/>
        <v>0</v>
      </c>
      <c r="AC417" s="280">
        <f>+SUM(START:END!AC417)</f>
        <v>0</v>
      </c>
      <c r="AD417" s="288"/>
      <c r="AE417" s="287">
        <f t="shared" si="127"/>
        <v>0</v>
      </c>
      <c r="AF417" s="280">
        <f>+SUM(START:END!AF417)</f>
        <v>0</v>
      </c>
      <c r="AG417" s="281">
        <f t="shared" si="115"/>
        <v>0</v>
      </c>
      <c r="AH417" s="282">
        <f t="shared" si="115"/>
        <v>0</v>
      </c>
      <c r="AI417" s="283">
        <f t="shared" si="116"/>
        <v>0</v>
      </c>
      <c r="AJ417" s="288"/>
      <c r="AK417" s="282">
        <f t="shared" si="128"/>
        <v>0</v>
      </c>
      <c r="AL417" s="280"/>
      <c r="AM417" s="284">
        <f>AE417-Y417</f>
        <v>0</v>
      </c>
      <c r="AN417" s="282">
        <f>AF417-AL417</f>
        <v>0</v>
      </c>
      <c r="AO417" s="289">
        <f t="shared" si="119"/>
        <v>0</v>
      </c>
      <c r="AP417" s="246"/>
      <c r="AQ417" s="246"/>
      <c r="AR417" s="13"/>
      <c r="AS417" s="246"/>
      <c r="AT417" s="246"/>
      <c r="AU417" s="475"/>
      <c r="AV417" s="475"/>
      <c r="AW417" s="475"/>
      <c r="AX417" s="475"/>
      <c r="AY417" s="475"/>
      <c r="AZ417" s="246"/>
      <c r="BA417" s="246"/>
      <c r="BB417" s="246"/>
      <c r="BC417" s="246"/>
      <c r="BD417" s="246"/>
      <c r="BE417" s="246"/>
      <c r="BF417" s="246"/>
      <c r="BG417" s="246"/>
      <c r="BH417" s="246"/>
      <c r="BI417" s="246"/>
    </row>
    <row r="418" spans="1:61" ht="20.25" hidden="1" customHeight="1">
      <c r="A418" t="str">
        <f t="shared" si="114"/>
        <v>[...]</v>
      </c>
      <c r="B418" s="7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246"/>
      <c r="U418" s="246"/>
      <c r="V418" s="102" t="s">
        <v>19</v>
      </c>
      <c r="W418" s="286"/>
      <c r="X418" s="279"/>
      <c r="Y418" s="287">
        <f t="shared" si="125"/>
        <v>0</v>
      </c>
      <c r="Z418" s="280">
        <f>+SUM(START:END!Z418)</f>
        <v>0</v>
      </c>
      <c r="AA418" s="279"/>
      <c r="AB418" s="287">
        <f t="shared" si="126"/>
        <v>0</v>
      </c>
      <c r="AC418" s="280">
        <f>+SUM(START:END!AC418)</f>
        <v>0</v>
      </c>
      <c r="AD418" s="288"/>
      <c r="AE418" s="287">
        <f t="shared" si="127"/>
        <v>0</v>
      </c>
      <c r="AF418" s="280">
        <f>+SUM(START:END!AF418)</f>
        <v>0</v>
      </c>
      <c r="AG418" s="281">
        <f t="shared" si="115"/>
        <v>0</v>
      </c>
      <c r="AH418" s="282">
        <f t="shared" si="115"/>
        <v>0</v>
      </c>
      <c r="AI418" s="283">
        <f t="shared" si="116"/>
        <v>0</v>
      </c>
      <c r="AJ418" s="288"/>
      <c r="AK418" s="282">
        <f t="shared" si="128"/>
        <v>0</v>
      </c>
      <c r="AL418" s="280"/>
      <c r="AM418" s="284">
        <f>AE418-Y418</f>
        <v>0</v>
      </c>
      <c r="AN418" s="282">
        <f>AF418-AL418</f>
        <v>0</v>
      </c>
      <c r="AO418" s="289">
        <f t="shared" si="119"/>
        <v>0</v>
      </c>
      <c r="AP418" s="246"/>
      <c r="AQ418" s="246"/>
      <c r="AR418" s="13"/>
      <c r="AS418" s="246"/>
      <c r="AT418" s="246"/>
      <c r="AU418" s="475"/>
      <c r="AV418" s="475"/>
      <c r="AW418" s="475"/>
      <c r="AX418" s="475"/>
      <c r="AY418" s="475"/>
      <c r="AZ418" s="246"/>
      <c r="BA418" s="246"/>
      <c r="BB418" s="246"/>
      <c r="BC418" s="246"/>
      <c r="BD418" s="246"/>
      <c r="BE418" s="246"/>
      <c r="BF418" s="246"/>
      <c r="BG418" s="246"/>
      <c r="BH418" s="246"/>
      <c r="BI418" s="246"/>
    </row>
    <row r="419" spans="1:61" ht="20.25">
      <c r="A419" t="str">
        <f t="shared" si="114"/>
        <v>TOTAL VARIABLES</v>
      </c>
      <c r="B419" s="7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246"/>
      <c r="U419" s="246"/>
      <c r="V419" s="296" t="s">
        <v>37</v>
      </c>
      <c r="W419" s="297"/>
      <c r="X419" s="298">
        <f>Z419/Z407</f>
        <v>0.30003622541809821</v>
      </c>
      <c r="Y419" s="297"/>
      <c r="Z419" s="299">
        <f>SUM(Z409:Z418)</f>
        <v>386665.45224917453</v>
      </c>
      <c r="AA419" s="298" t="e">
        <f>AC419/AC407</f>
        <v>#DIV/0!</v>
      </c>
      <c r="AB419" s="297"/>
      <c r="AC419" s="299">
        <f>SUM(AC409:AC418)</f>
        <v>0</v>
      </c>
      <c r="AD419" s="300">
        <f>AF419/AF407</f>
        <v>0.33974686401262372</v>
      </c>
      <c r="AE419" s="297"/>
      <c r="AF419" s="299">
        <f>SUM(AF409:AF418)</f>
        <v>351037.06</v>
      </c>
      <c r="AG419" s="301"/>
      <c r="AH419" s="302">
        <f t="shared" si="115"/>
        <v>-35628.392249174532</v>
      </c>
      <c r="AI419" s="298">
        <f>AH419/Z419</f>
        <v>-9.2142683143605297E-2</v>
      </c>
      <c r="AJ419" s="300">
        <f>IF($AL$407=0,0,AL419/$AL$407)</f>
        <v>0.25482967642182547</v>
      </c>
      <c r="AK419" s="297"/>
      <c r="AL419" s="299">
        <f>SUM(AL409:AL418)</f>
        <v>325150.42000000004</v>
      </c>
      <c r="AM419" s="303"/>
      <c r="AN419" s="302">
        <f t="shared" ref="AN419:AN431" si="129">AF419-AL419</f>
        <v>25886.639999999956</v>
      </c>
      <c r="AO419" s="277">
        <f t="shared" si="119"/>
        <v>7.9614352028208824E-2</v>
      </c>
      <c r="AP419" s="246"/>
      <c r="AQ419" s="246"/>
      <c r="AR419" s="13"/>
      <c r="AS419" s="246"/>
      <c r="AT419" s="246"/>
      <c r="AU419" s="475"/>
      <c r="AV419" s="475"/>
      <c r="AW419" s="475"/>
      <c r="AX419" s="475"/>
      <c r="AY419" s="475"/>
      <c r="AZ419" s="246"/>
      <c r="BA419" s="246"/>
      <c r="BB419" s="246"/>
      <c r="BC419" s="246"/>
      <c r="BD419" s="246"/>
      <c r="BE419" s="246"/>
      <c r="BF419" s="246"/>
      <c r="BG419" s="246"/>
      <c r="BH419" s="246"/>
      <c r="BI419" s="246"/>
    </row>
    <row r="420" spans="1:61" ht="18">
      <c r="A420" t="str">
        <f t="shared" si="114"/>
        <v>Salaires propriétaire</v>
      </c>
      <c r="B420" s="7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304"/>
      <c r="P420" s="155"/>
      <c r="Q420" s="10"/>
      <c r="R420" s="10"/>
      <c r="S420" s="10"/>
      <c r="T420" s="246"/>
      <c r="U420" s="246"/>
      <c r="V420" s="102" t="s">
        <v>135</v>
      </c>
      <c r="W420" s="286" t="s">
        <v>136</v>
      </c>
      <c r="X420" s="279"/>
      <c r="Y420" s="279"/>
      <c r="Z420" s="280">
        <f>+SUM(START:END!Z420)</f>
        <v>45259.692748091606</v>
      </c>
      <c r="AA420" s="279"/>
      <c r="AB420" s="279">
        <f t="shared" ref="AB420:AB430" si="130">IF(AC420=0,0,AC420/(G$13+G$97))</f>
        <v>0</v>
      </c>
      <c r="AC420" s="280">
        <f>+SUM(START:END!AC420)</f>
        <v>0</v>
      </c>
      <c r="AD420" s="288"/>
      <c r="AE420" s="287"/>
      <c r="AF420" s="280">
        <f>+SUM(START:END!AF420)</f>
        <v>39782.699999999997</v>
      </c>
      <c r="AG420" s="281"/>
      <c r="AH420" s="282">
        <f t="shared" si="115"/>
        <v>-5476.9927480916085</v>
      </c>
      <c r="AI420" s="283">
        <f t="shared" ref="AI420:AI432" si="131">IF(Z420=0,0,AH420/Z420)</f>
        <v>-0.12101259234294179</v>
      </c>
      <c r="AJ420" s="288"/>
      <c r="AK420" s="279"/>
      <c r="AL420" s="280">
        <f>+SUM(START:END!AL420)</f>
        <v>37483.059999999896</v>
      </c>
      <c r="AM420" s="284"/>
      <c r="AN420" s="282">
        <f t="shared" si="129"/>
        <v>2299.6400000001013</v>
      </c>
      <c r="AO420" s="289">
        <f t="shared" si="119"/>
        <v>6.1351447827368087E-2</v>
      </c>
      <c r="AP420" s="246"/>
      <c r="AQ420" s="246"/>
      <c r="AS420" s="246"/>
      <c r="AT420" s="246"/>
      <c r="AU420" s="475"/>
      <c r="AV420" s="475"/>
      <c r="AW420" s="475"/>
      <c r="AX420" s="475"/>
      <c r="AY420" s="475"/>
      <c r="AZ420" s="246"/>
      <c r="BA420" s="246"/>
      <c r="BB420" s="246"/>
      <c r="BC420" s="246"/>
      <c r="BD420" s="246"/>
      <c r="BE420" s="246"/>
      <c r="BF420" s="246"/>
      <c r="BG420" s="246"/>
      <c r="BH420" s="246"/>
      <c r="BI420" s="246"/>
    </row>
    <row r="421" spans="1:61" ht="18">
      <c r="A421" t="str">
        <f t="shared" si="114"/>
        <v>Salaires cadres</v>
      </c>
      <c r="B421" s="7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304"/>
      <c r="P421" s="155"/>
      <c r="Q421" s="10"/>
      <c r="R421" s="10"/>
      <c r="S421" s="10"/>
      <c r="T421" s="246"/>
      <c r="U421" s="246"/>
      <c r="V421" s="102" t="s">
        <v>40</v>
      </c>
      <c r="W421" s="286" t="s">
        <v>137</v>
      </c>
      <c r="X421" s="279"/>
      <c r="Y421" s="279"/>
      <c r="Z421" s="280">
        <f>+SUM(START:END!Z421)</f>
        <v>95284.755725190858</v>
      </c>
      <c r="AA421" s="279"/>
      <c r="AB421" s="279">
        <f t="shared" si="130"/>
        <v>0</v>
      </c>
      <c r="AC421" s="280">
        <f>+SUM(START:END!AC421)</f>
        <v>0</v>
      </c>
      <c r="AD421" s="288"/>
      <c r="AE421" s="287"/>
      <c r="AF421" s="280">
        <f>+SUM(START:END!AF421)</f>
        <v>81236.009999999995</v>
      </c>
      <c r="AG421" s="281"/>
      <c r="AH421" s="282">
        <f t="shared" si="115"/>
        <v>-14048.745725190864</v>
      </c>
      <c r="AI421" s="283">
        <f t="shared" si="131"/>
        <v>-0.14743959427999806</v>
      </c>
      <c r="AJ421" s="288"/>
      <c r="AK421" s="279"/>
      <c r="AL421" s="280">
        <f t="shared" ref="AL421:AL430" si="132">+SUMIF($C:$C,$V421,Q:Q)</f>
        <v>88910.95</v>
      </c>
      <c r="AM421" s="284"/>
      <c r="AN421" s="282">
        <f t="shared" si="129"/>
        <v>-7674.9400000000023</v>
      </c>
      <c r="AO421" s="289">
        <f t="shared" si="119"/>
        <v>-8.6321651045231235E-2</v>
      </c>
      <c r="AP421" s="246"/>
      <c r="AQ421" s="246"/>
      <c r="AS421" s="246"/>
      <c r="AT421" s="246"/>
      <c r="AU421" s="475"/>
      <c r="AV421" s="475"/>
      <c r="AW421" s="475"/>
      <c r="AX421" s="475"/>
      <c r="AY421" s="475"/>
      <c r="AZ421" s="246"/>
      <c r="BA421" s="246"/>
      <c r="BB421" s="246"/>
      <c r="BC421" s="246"/>
      <c r="BD421" s="246"/>
      <c r="BE421" s="246"/>
      <c r="BF421" s="246"/>
      <c r="BG421" s="246"/>
      <c r="BH421" s="246"/>
      <c r="BI421" s="246"/>
    </row>
    <row r="422" spans="1:61" ht="18">
      <c r="A422" t="str">
        <f t="shared" si="114"/>
        <v>Salaires commis</v>
      </c>
      <c r="B422" s="7"/>
      <c r="C422" s="246"/>
      <c r="D422" s="246"/>
      <c r="E422" s="246"/>
      <c r="F422" s="246"/>
      <c r="G422" s="246"/>
      <c r="H422" s="246"/>
      <c r="I422" s="246"/>
      <c r="J422" s="246"/>
      <c r="K422" s="246"/>
      <c r="L422" s="246"/>
      <c r="M422" s="246"/>
      <c r="N422" s="246"/>
      <c r="O422" s="305"/>
      <c r="P422" s="155"/>
      <c r="Q422" s="246"/>
      <c r="R422" s="246"/>
      <c r="S422" s="246"/>
      <c r="T422" s="246"/>
      <c r="U422" s="246"/>
      <c r="V422" s="103" t="s">
        <v>41</v>
      </c>
      <c r="W422" s="290" t="s">
        <v>138</v>
      </c>
      <c r="X422" s="263"/>
      <c r="Y422" s="263"/>
      <c r="Z422" s="264">
        <f>+SUM(START:END!Z422)</f>
        <v>58922.402671755714</v>
      </c>
      <c r="AA422" s="263"/>
      <c r="AB422" s="263">
        <f t="shared" si="130"/>
        <v>0</v>
      </c>
      <c r="AC422" s="264">
        <f>+SUM(START:END!AC422)</f>
        <v>0</v>
      </c>
      <c r="AD422" s="292"/>
      <c r="AE422" s="291"/>
      <c r="AF422" s="264">
        <f>+SUM(START:END!AF422)</f>
        <v>57113.069999999992</v>
      </c>
      <c r="AG422" s="265"/>
      <c r="AH422" s="266">
        <f t="shared" si="115"/>
        <v>-1809.3326717557211</v>
      </c>
      <c r="AI422" s="293">
        <f t="shared" si="131"/>
        <v>-3.0707041629567146E-2</v>
      </c>
      <c r="AJ422" s="292"/>
      <c r="AK422" s="263"/>
      <c r="AL422" s="264">
        <f t="shared" si="132"/>
        <v>54621.57</v>
      </c>
      <c r="AM422" s="268"/>
      <c r="AN422" s="266">
        <f t="shared" si="129"/>
        <v>2491.4999999999927</v>
      </c>
      <c r="AO422" s="269">
        <f t="shared" si="119"/>
        <v>4.561384815559115E-2</v>
      </c>
      <c r="AP422" s="246"/>
      <c r="AQ422" s="246"/>
      <c r="AS422" s="246"/>
      <c r="AT422" s="246"/>
      <c r="AU422" s="475"/>
      <c r="AV422" s="475"/>
      <c r="AW422" s="475"/>
      <c r="AX422" s="475"/>
      <c r="AY422" s="475"/>
      <c r="AZ422" s="246"/>
      <c r="BA422" s="246"/>
      <c r="BB422" s="246"/>
      <c r="BC422" s="246"/>
      <c r="BD422" s="246"/>
      <c r="BE422" s="246"/>
      <c r="BF422" s="246"/>
      <c r="BG422" s="246"/>
      <c r="BH422" s="246"/>
      <c r="BI422" s="246"/>
    </row>
    <row r="423" spans="1:61" ht="18">
      <c r="A423" t="str">
        <f t="shared" si="114"/>
        <v>Salaires autres</v>
      </c>
      <c r="B423" s="7"/>
      <c r="C423" s="246"/>
      <c r="D423" s="246"/>
      <c r="E423" s="246"/>
      <c r="F423" s="246"/>
      <c r="G423" s="246"/>
      <c r="H423" s="246"/>
      <c r="I423" s="246"/>
      <c r="J423" s="246"/>
      <c r="K423" s="246"/>
      <c r="L423" s="246"/>
      <c r="M423" s="246"/>
      <c r="N423" s="246"/>
      <c r="O423" s="305"/>
      <c r="P423" s="155"/>
      <c r="Q423" s="246"/>
      <c r="R423" s="246"/>
      <c r="S423" s="246"/>
      <c r="T423" s="246"/>
      <c r="U423" s="246"/>
      <c r="V423" s="102" t="s">
        <v>42</v>
      </c>
      <c r="W423" s="286" t="s">
        <v>139</v>
      </c>
      <c r="X423" s="279"/>
      <c r="Y423" s="279"/>
      <c r="Z423" s="280">
        <f>+SUM(START:END!Z423)</f>
        <v>64716.832061068708</v>
      </c>
      <c r="AA423" s="279"/>
      <c r="AB423" s="279">
        <f t="shared" si="130"/>
        <v>0</v>
      </c>
      <c r="AC423" s="280">
        <f>+SUM(START:END!AC423)</f>
        <v>0</v>
      </c>
      <c r="AD423" s="288"/>
      <c r="AE423" s="287"/>
      <c r="AF423" s="280">
        <f>+SUM(START:END!AF423)</f>
        <v>55922.76</v>
      </c>
      <c r="AG423" s="281"/>
      <c r="AH423" s="282">
        <f t="shared" si="115"/>
        <v>-8794.0720610687058</v>
      </c>
      <c r="AI423" s="283">
        <f t="shared" si="131"/>
        <v>-0.1358853914970739</v>
      </c>
      <c r="AJ423" s="288"/>
      <c r="AK423" s="279"/>
      <c r="AL423" s="280">
        <f t="shared" si="132"/>
        <v>57525.119999999995</v>
      </c>
      <c r="AM423" s="284"/>
      <c r="AN423" s="282">
        <f t="shared" si="129"/>
        <v>-1602.3599999999933</v>
      </c>
      <c r="AO423" s="289">
        <f t="shared" si="119"/>
        <v>-2.7854961449884735E-2</v>
      </c>
      <c r="AP423" s="246"/>
      <c r="AQ423" s="246"/>
      <c r="AS423" s="246"/>
      <c r="AT423" s="246"/>
      <c r="AU423" s="475"/>
      <c r="AV423" s="475"/>
      <c r="AW423" s="475"/>
      <c r="AX423" s="475"/>
      <c r="AY423" s="475"/>
      <c r="AZ423" s="246"/>
      <c r="BA423" s="246"/>
      <c r="BB423" s="246"/>
      <c r="BC423" s="246"/>
      <c r="BD423" s="246"/>
      <c r="BE423" s="246"/>
      <c r="BF423" s="246"/>
      <c r="BG423" s="246"/>
      <c r="BH423" s="246"/>
      <c r="BI423" s="246"/>
    </row>
    <row r="424" spans="1:61" ht="18">
      <c r="A424" t="str">
        <f t="shared" si="114"/>
        <v>Salaires spécialistes</v>
      </c>
      <c r="B424" s="7"/>
      <c r="C424" s="246"/>
      <c r="D424" s="246"/>
      <c r="E424" s="246"/>
      <c r="F424" s="246"/>
      <c r="G424" s="246"/>
      <c r="H424" s="246"/>
      <c r="I424" s="246"/>
      <c r="J424" s="246"/>
      <c r="K424" s="246"/>
      <c r="L424" s="246"/>
      <c r="M424" s="246"/>
      <c r="N424" s="246"/>
      <c r="O424" s="305"/>
      <c r="P424" s="155"/>
      <c r="Q424" s="246"/>
      <c r="R424" s="246"/>
      <c r="S424" s="246"/>
      <c r="T424" s="246"/>
      <c r="U424" s="246"/>
      <c r="V424" s="102" t="s">
        <v>43</v>
      </c>
      <c r="W424" s="286" t="s">
        <v>140</v>
      </c>
      <c r="X424" s="279"/>
      <c r="Y424" s="279"/>
      <c r="Z424" s="280">
        <f>+SUM(START:END!Z424)</f>
        <v>40691.235992106769</v>
      </c>
      <c r="AA424" s="279"/>
      <c r="AB424" s="279">
        <f t="shared" si="130"/>
        <v>0</v>
      </c>
      <c r="AC424" s="280">
        <f>+SUM(START:END!AC424)</f>
        <v>0</v>
      </c>
      <c r="AD424" s="288"/>
      <c r="AE424" s="287"/>
      <c r="AF424" s="280">
        <f>+SUM(START:END!AF424)</f>
        <v>33095.020000000004</v>
      </c>
      <c r="AG424" s="281"/>
      <c r="AH424" s="282">
        <f t="shared" si="115"/>
        <v>-7596.215992106765</v>
      </c>
      <c r="AI424" s="283">
        <f t="shared" si="131"/>
        <v>-0.18667941159566323</v>
      </c>
      <c r="AJ424" s="288"/>
      <c r="AK424" s="279"/>
      <c r="AL424" s="280">
        <f t="shared" si="132"/>
        <v>32469.64</v>
      </c>
      <c r="AM424" s="284"/>
      <c r="AN424" s="282">
        <f t="shared" si="129"/>
        <v>625.38000000000466</v>
      </c>
      <c r="AO424" s="289">
        <f t="shared" si="119"/>
        <v>1.9260453765425324E-2</v>
      </c>
      <c r="AP424" s="246"/>
      <c r="AQ424" s="246"/>
      <c r="AS424" s="475"/>
      <c r="AT424" s="475"/>
      <c r="AU424" s="475"/>
      <c r="AV424" s="475"/>
      <c r="AW424" s="475"/>
      <c r="AX424" s="475"/>
      <c r="AY424" s="475"/>
      <c r="AZ424" s="246"/>
      <c r="BA424" s="246"/>
      <c r="BB424" s="246"/>
      <c r="BC424" s="246"/>
      <c r="BD424" s="246"/>
      <c r="BE424" s="246"/>
      <c r="BF424" s="246"/>
      <c r="BG424" s="246"/>
      <c r="BH424" s="246"/>
      <c r="BI424" s="246"/>
    </row>
    <row r="425" spans="1:61" ht="18" hidden="1" customHeight="1">
      <c r="A425" t="str">
        <f t="shared" si="114"/>
        <v>[...]</v>
      </c>
      <c r="B425" s="7"/>
      <c r="C425" s="246"/>
      <c r="D425" s="246"/>
      <c r="E425" s="246"/>
      <c r="F425" s="246"/>
      <c r="G425" s="246"/>
      <c r="H425" s="246"/>
      <c r="I425" s="246"/>
      <c r="J425" s="246"/>
      <c r="K425" s="246"/>
      <c r="L425" s="246"/>
      <c r="M425" s="246"/>
      <c r="N425" s="246"/>
      <c r="O425" s="305"/>
      <c r="P425" s="155"/>
      <c r="Q425" s="246"/>
      <c r="R425" s="246"/>
      <c r="S425" s="246"/>
      <c r="T425" s="246"/>
      <c r="U425" s="246"/>
      <c r="V425" s="102" t="s">
        <v>19</v>
      </c>
      <c r="W425" s="286"/>
      <c r="X425" s="279"/>
      <c r="Y425" s="279"/>
      <c r="Z425" s="282">
        <f>+SUM(START:END!Z425)</f>
        <v>0</v>
      </c>
      <c r="AA425" s="279"/>
      <c r="AB425" s="279">
        <f t="shared" si="130"/>
        <v>0</v>
      </c>
      <c r="AC425" s="282">
        <f>+SUM(START:END!AC425)</f>
        <v>0</v>
      </c>
      <c r="AD425" s="288"/>
      <c r="AE425" s="287"/>
      <c r="AF425" s="280">
        <f>+SUM(START:END!AF425)</f>
        <v>0</v>
      </c>
      <c r="AG425" s="281"/>
      <c r="AH425" s="282">
        <f t="shared" ref="AH425:AH451" si="133">AF425-Z425</f>
        <v>0</v>
      </c>
      <c r="AI425" s="283">
        <f t="shared" si="131"/>
        <v>0</v>
      </c>
      <c r="AJ425" s="288"/>
      <c r="AK425" s="279"/>
      <c r="AL425" s="280"/>
      <c r="AM425" s="284"/>
      <c r="AN425" s="282">
        <f t="shared" si="129"/>
        <v>0</v>
      </c>
      <c r="AO425" s="289">
        <f t="shared" si="119"/>
        <v>0</v>
      </c>
      <c r="AP425" s="246"/>
      <c r="AQ425" s="246"/>
      <c r="AR425" s="440"/>
      <c r="AS425" s="475"/>
      <c r="AT425" s="475"/>
      <c r="AU425" s="475"/>
      <c r="AV425" s="475"/>
      <c r="AW425" s="475"/>
      <c r="AX425" s="475"/>
      <c r="AY425" s="475"/>
      <c r="AZ425" s="246"/>
      <c r="BA425" s="246"/>
      <c r="BB425" s="246"/>
      <c r="BC425" s="246"/>
      <c r="BD425" s="246"/>
      <c r="BE425" s="246"/>
      <c r="BF425" s="246"/>
      <c r="BG425" s="246"/>
      <c r="BH425" s="246"/>
      <c r="BI425" s="246"/>
    </row>
    <row r="426" spans="1:61" ht="18" hidden="1" customHeight="1">
      <c r="A426" t="str">
        <f t="shared" si="114"/>
        <v>[...]</v>
      </c>
      <c r="B426" s="7"/>
      <c r="C426" s="246"/>
      <c r="D426" s="246"/>
      <c r="E426" s="246"/>
      <c r="F426" s="246"/>
      <c r="G426" s="246"/>
      <c r="H426" s="246"/>
      <c r="I426" s="246"/>
      <c r="J426" s="246"/>
      <c r="K426" s="246"/>
      <c r="L426" s="246"/>
      <c r="M426" s="246"/>
      <c r="N426" s="246"/>
      <c r="O426" s="305"/>
      <c r="P426" s="155"/>
      <c r="Q426" s="246"/>
      <c r="R426" s="246"/>
      <c r="S426" s="246"/>
      <c r="T426" s="246"/>
      <c r="U426" s="246"/>
      <c r="V426" s="102" t="s">
        <v>19</v>
      </c>
      <c r="W426" s="286"/>
      <c r="X426" s="279"/>
      <c r="Y426" s="279"/>
      <c r="Z426" s="282">
        <f>+SUM(START:END!Z426)</f>
        <v>0</v>
      </c>
      <c r="AA426" s="279"/>
      <c r="AB426" s="279">
        <f t="shared" si="130"/>
        <v>0</v>
      </c>
      <c r="AC426" s="282">
        <f>+SUM(START:END!AC426)</f>
        <v>0</v>
      </c>
      <c r="AD426" s="288"/>
      <c r="AE426" s="287"/>
      <c r="AF426" s="280">
        <f>+SUM(START:END!AF426)</f>
        <v>0</v>
      </c>
      <c r="AG426" s="281"/>
      <c r="AH426" s="282">
        <f t="shared" si="133"/>
        <v>0</v>
      </c>
      <c r="AI426" s="283">
        <f t="shared" si="131"/>
        <v>0</v>
      </c>
      <c r="AJ426" s="288"/>
      <c r="AK426" s="279"/>
      <c r="AL426" s="280"/>
      <c r="AM426" s="284"/>
      <c r="AN426" s="282">
        <f t="shared" si="129"/>
        <v>0</v>
      </c>
      <c r="AO426" s="289">
        <f t="shared" si="119"/>
        <v>0</v>
      </c>
      <c r="AP426" s="246"/>
      <c r="AQ426" s="246"/>
      <c r="AS426" s="475"/>
      <c r="AT426" s="475"/>
      <c r="AU426" s="475"/>
      <c r="AV426" s="475"/>
      <c r="AW426" s="475"/>
      <c r="AX426" s="475"/>
      <c r="AY426" s="475"/>
      <c r="AZ426" s="246"/>
      <c r="BA426" s="246"/>
      <c r="BB426" s="246"/>
      <c r="BC426" s="246"/>
      <c r="BD426" s="246"/>
      <c r="BE426" s="246"/>
      <c r="BF426" s="246"/>
      <c r="BG426" s="246"/>
      <c r="BH426" s="246"/>
      <c r="BI426" s="246"/>
    </row>
    <row r="427" spans="1:61" ht="18" hidden="1" customHeight="1">
      <c r="A427" t="str">
        <f t="shared" si="114"/>
        <v>[...]</v>
      </c>
      <c r="B427" s="7"/>
      <c r="C427" s="246"/>
      <c r="D427" s="246"/>
      <c r="E427" s="246"/>
      <c r="F427" s="246"/>
      <c r="G427" s="246"/>
      <c r="H427" s="246"/>
      <c r="I427" s="246"/>
      <c r="J427" s="246"/>
      <c r="K427" s="246"/>
      <c r="L427" s="246"/>
      <c r="M427" s="246"/>
      <c r="N427" s="246"/>
      <c r="O427" s="305"/>
      <c r="P427" s="155"/>
      <c r="Q427" s="246"/>
      <c r="R427" s="246"/>
      <c r="S427" s="246"/>
      <c r="T427" s="246"/>
      <c r="U427" s="246"/>
      <c r="V427" s="102" t="s">
        <v>19</v>
      </c>
      <c r="W427" s="286"/>
      <c r="X427" s="279"/>
      <c r="Y427" s="279"/>
      <c r="Z427" s="282">
        <f>+SUM(START:END!Z427)</f>
        <v>0</v>
      </c>
      <c r="AA427" s="279"/>
      <c r="AB427" s="279">
        <f t="shared" si="130"/>
        <v>0</v>
      </c>
      <c r="AC427" s="282">
        <f>+SUM(START:END!AC427)</f>
        <v>0</v>
      </c>
      <c r="AD427" s="288"/>
      <c r="AE427" s="287"/>
      <c r="AF427" s="280">
        <f>+SUM(START:END!AF427)</f>
        <v>0</v>
      </c>
      <c r="AG427" s="281"/>
      <c r="AH427" s="282">
        <f t="shared" si="133"/>
        <v>0</v>
      </c>
      <c r="AI427" s="283">
        <f t="shared" si="131"/>
        <v>0</v>
      </c>
      <c r="AJ427" s="288"/>
      <c r="AK427" s="279"/>
      <c r="AL427" s="280"/>
      <c r="AM427" s="284"/>
      <c r="AN427" s="282">
        <f t="shared" si="129"/>
        <v>0</v>
      </c>
      <c r="AO427" s="289">
        <f t="shared" si="119"/>
        <v>0</v>
      </c>
      <c r="AP427" s="246"/>
      <c r="AQ427" s="246"/>
      <c r="AS427" s="475"/>
      <c r="AT427" s="475"/>
      <c r="AU427" s="475"/>
      <c r="AV427" s="475"/>
      <c r="AW427" s="475"/>
      <c r="AX427" s="475"/>
      <c r="AY427" s="475"/>
      <c r="AZ427" s="246"/>
      <c r="BA427" s="246"/>
      <c r="BB427" s="246"/>
      <c r="BC427" s="246"/>
      <c r="BD427" s="246"/>
      <c r="BE427" s="246"/>
      <c r="BF427" s="246"/>
      <c r="BG427" s="246"/>
      <c r="BH427" s="246"/>
      <c r="BI427" s="246"/>
    </row>
    <row r="428" spans="1:61" ht="18">
      <c r="A428" t="str">
        <f t="shared" si="114"/>
        <v>Salaires en absences</v>
      </c>
      <c r="B428" s="7"/>
      <c r="C428" s="246"/>
      <c r="D428" s="246"/>
      <c r="E428" s="246"/>
      <c r="F428" s="246"/>
      <c r="G428" s="246"/>
      <c r="H428" s="246"/>
      <c r="I428" s="246"/>
      <c r="J428" s="246"/>
      <c r="K428" s="246"/>
      <c r="L428" s="246"/>
      <c r="M428" s="246"/>
      <c r="N428" s="246"/>
      <c r="O428" s="305"/>
      <c r="P428" s="155"/>
      <c r="Q428" s="246"/>
      <c r="R428" s="246"/>
      <c r="S428" s="246"/>
      <c r="T428" s="246"/>
      <c r="U428" s="246"/>
      <c r="V428" s="103" t="s">
        <v>44</v>
      </c>
      <c r="W428" s="290" t="s">
        <v>141</v>
      </c>
      <c r="X428" s="263"/>
      <c r="Y428" s="263"/>
      <c r="Z428" s="264">
        <f>+SUM(START:END!Z428)</f>
        <v>62184.787047200647</v>
      </c>
      <c r="AA428" s="263"/>
      <c r="AB428" s="263">
        <f t="shared" si="130"/>
        <v>0</v>
      </c>
      <c r="AC428" s="264">
        <f>+SUM(START:END!AC428)</f>
        <v>0</v>
      </c>
      <c r="AD428" s="292"/>
      <c r="AE428" s="291"/>
      <c r="AF428" s="264">
        <f>+SUM(START:END!AF428)</f>
        <v>56049.25</v>
      </c>
      <c r="AG428" s="265"/>
      <c r="AH428" s="266">
        <f t="shared" si="133"/>
        <v>-6135.5370472006471</v>
      </c>
      <c r="AI428" s="293">
        <f t="shared" si="131"/>
        <v>-9.8666206616475793E-2</v>
      </c>
      <c r="AJ428" s="292"/>
      <c r="AK428" s="263"/>
      <c r="AL428" s="264">
        <f t="shared" si="132"/>
        <v>52324.209999999992</v>
      </c>
      <c r="AM428" s="268"/>
      <c r="AN428" s="266">
        <f t="shared" si="129"/>
        <v>3725.0400000000081</v>
      </c>
      <c r="AO428" s="294">
        <f t="shared" si="119"/>
        <v>7.1191519183949628E-2</v>
      </c>
      <c r="AP428" s="475"/>
      <c r="AQ428" s="483"/>
      <c r="AS428" s="475"/>
      <c r="AT428" s="475"/>
      <c r="AU428" s="475"/>
      <c r="AV428" s="475"/>
      <c r="AW428" s="475"/>
      <c r="AX428" s="475"/>
      <c r="AY428" s="475"/>
      <c r="AZ428" s="246"/>
      <c r="BA428" s="246"/>
      <c r="BB428" s="246"/>
      <c r="BC428" s="246"/>
      <c r="BD428" s="246"/>
      <c r="BE428" s="246"/>
      <c r="BF428" s="246"/>
      <c r="BG428" s="246"/>
      <c r="BH428" s="246"/>
      <c r="BI428" s="246"/>
    </row>
    <row r="429" spans="1:61" ht="18">
      <c r="A429" t="str">
        <f t="shared" si="114"/>
        <v>Déduction à la source</v>
      </c>
      <c r="B429" s="7"/>
      <c r="C429" s="246"/>
      <c r="D429" s="246"/>
      <c r="E429" s="246"/>
      <c r="F429" s="246"/>
      <c r="G429" s="246"/>
      <c r="H429" s="246"/>
      <c r="I429" s="246"/>
      <c r="J429" s="246"/>
      <c r="K429" s="246"/>
      <c r="L429" s="246"/>
      <c r="M429" s="246"/>
      <c r="N429" s="246"/>
      <c r="O429" s="305"/>
      <c r="P429" s="155"/>
      <c r="Q429" s="246"/>
      <c r="R429" s="246"/>
      <c r="S429" s="246"/>
      <c r="T429" s="246"/>
      <c r="U429" s="246"/>
      <c r="V429" s="102" t="s">
        <v>45</v>
      </c>
      <c r="W429" s="286" t="s">
        <v>142</v>
      </c>
      <c r="X429" s="279"/>
      <c r="Y429" s="279"/>
      <c r="Z429" s="280">
        <f>+SUM(START:END!Z429)</f>
        <v>82943.457661725901</v>
      </c>
      <c r="AA429" s="279"/>
      <c r="AB429" s="279">
        <f t="shared" si="130"/>
        <v>0</v>
      </c>
      <c r="AC429" s="280">
        <f>+SUM(START:END!AC429)</f>
        <v>0</v>
      </c>
      <c r="AD429" s="288"/>
      <c r="AE429" s="287"/>
      <c r="AF429" s="280">
        <f>+SUM(START:END!AF429)</f>
        <v>66453.829999999987</v>
      </c>
      <c r="AG429" s="281"/>
      <c r="AH429" s="282">
        <f t="shared" si="133"/>
        <v>-16489.627661725914</v>
      </c>
      <c r="AI429" s="283">
        <f t="shared" si="131"/>
        <v>-0.19880564575661547</v>
      </c>
      <c r="AJ429" s="288"/>
      <c r="AK429" s="279"/>
      <c r="AL429" s="280">
        <f t="shared" si="132"/>
        <v>68884.56</v>
      </c>
      <c r="AM429" s="284"/>
      <c r="AN429" s="282">
        <f t="shared" si="129"/>
        <v>-2430.7300000000105</v>
      </c>
      <c r="AO429" s="289">
        <f t="shared" si="119"/>
        <v>-3.5287007712613838E-2</v>
      </c>
      <c r="AP429" s="475"/>
      <c r="AQ429" s="474"/>
      <c r="AR429" s="474"/>
      <c r="AS429" s="475"/>
      <c r="AT429" s="475"/>
      <c r="AU429" s="475"/>
      <c r="AV429" s="246"/>
      <c r="AW429" s="246"/>
      <c r="AX429" s="246"/>
      <c r="AY429" s="246"/>
      <c r="AZ429" s="246"/>
      <c r="BA429" s="246"/>
      <c r="BB429" s="246"/>
      <c r="BC429" s="246"/>
      <c r="BD429" s="246"/>
      <c r="BE429" s="246"/>
      <c r="BF429" s="246"/>
      <c r="BG429" s="246"/>
      <c r="BH429" s="246"/>
      <c r="BI429" s="246"/>
    </row>
    <row r="430" spans="1:61" ht="18">
      <c r="A430" t="str">
        <f t="shared" si="114"/>
        <v>Bénéfices marginaux</v>
      </c>
      <c r="B430" s="7"/>
      <c r="C430" s="246"/>
      <c r="D430" s="246"/>
      <c r="E430" s="246"/>
      <c r="F430" s="246"/>
      <c r="G430" s="246"/>
      <c r="H430" s="246"/>
      <c r="I430" s="246"/>
      <c r="J430" s="246"/>
      <c r="K430" s="246"/>
      <c r="L430" s="246"/>
      <c r="M430" s="246"/>
      <c r="N430" s="246"/>
      <c r="O430" s="305"/>
      <c r="P430" s="155"/>
      <c r="Q430" s="246"/>
      <c r="R430" s="246"/>
      <c r="S430" s="246"/>
      <c r="T430" s="246"/>
      <c r="U430" s="246"/>
      <c r="V430" s="102" t="s">
        <v>46</v>
      </c>
      <c r="W430" s="286" t="s">
        <v>143</v>
      </c>
      <c r="X430" s="279"/>
      <c r="Y430" s="279"/>
      <c r="Z430" s="280">
        <f>+SUM(START:END!Z430)</f>
        <v>38473.830157928256</v>
      </c>
      <c r="AA430" s="279"/>
      <c r="AB430" s="279">
        <f t="shared" si="130"/>
        <v>0</v>
      </c>
      <c r="AC430" s="280">
        <f>+SUM(START:END!AC430)</f>
        <v>0</v>
      </c>
      <c r="AD430" s="288"/>
      <c r="AE430" s="287"/>
      <c r="AF430" s="280">
        <f>+SUM(START:END!AF430)</f>
        <v>38198.980000000003</v>
      </c>
      <c r="AG430" s="281"/>
      <c r="AH430" s="282">
        <f t="shared" si="133"/>
        <v>-274.85015792825288</v>
      </c>
      <c r="AI430" s="283">
        <f t="shared" si="131"/>
        <v>-7.1438210544684964E-3</v>
      </c>
      <c r="AJ430" s="288"/>
      <c r="AK430" s="279"/>
      <c r="AL430" s="280">
        <f t="shared" si="132"/>
        <v>35968.519999999997</v>
      </c>
      <c r="AM430" s="284"/>
      <c r="AN430" s="282">
        <f t="shared" si="129"/>
        <v>2230.4600000000064</v>
      </c>
      <c r="AO430" s="289">
        <f t="shared" si="119"/>
        <v>6.2011447788232782E-2</v>
      </c>
      <c r="AP430" s="475"/>
      <c r="AQ430" s="474"/>
      <c r="AR430" s="474"/>
      <c r="AS430" s="475"/>
      <c r="AT430" s="475"/>
      <c r="AU430" s="475"/>
      <c r="AV430" s="246"/>
      <c r="AW430" s="246"/>
      <c r="AX430" s="246"/>
      <c r="AY430" s="246"/>
      <c r="AZ430" s="246"/>
      <c r="BA430" s="246"/>
      <c r="BB430" s="246"/>
      <c r="BC430" s="246"/>
      <c r="BD430" s="246"/>
      <c r="BE430" s="246"/>
      <c r="BF430" s="246"/>
      <c r="BG430" s="246"/>
      <c r="BH430" s="246"/>
      <c r="BI430" s="246"/>
    </row>
    <row r="431" spans="1:61" ht="18">
      <c r="A431" t="str">
        <f t="shared" si="114"/>
        <v>Csst</v>
      </c>
      <c r="B431" s="7"/>
      <c r="C431" s="246"/>
      <c r="D431" s="246"/>
      <c r="E431" s="246"/>
      <c r="F431" s="246"/>
      <c r="G431" s="246"/>
      <c r="H431" s="246"/>
      <c r="I431" s="246"/>
      <c r="J431" s="246"/>
      <c r="K431" s="246"/>
      <c r="L431" s="246"/>
      <c r="M431" s="246"/>
      <c r="N431" s="246"/>
      <c r="O431" s="305"/>
      <c r="P431" s="155"/>
      <c r="Q431" s="246"/>
      <c r="R431" s="246"/>
      <c r="S431" s="246"/>
      <c r="T431" s="246"/>
      <c r="U431" s="246"/>
      <c r="V431" s="102" t="s">
        <v>47</v>
      </c>
      <c r="W431" s="286"/>
      <c r="X431" s="279"/>
      <c r="Y431" s="279"/>
      <c r="Z431" s="280">
        <f>+SUM(START:END!Z431)</f>
        <v>8687.6390679192846</v>
      </c>
      <c r="AA431" s="279"/>
      <c r="AB431" s="279">
        <f t="shared" ref="AB431:AB432" si="134">IF(AC431=0,0,AC431/(G$13+G$97))</f>
        <v>0</v>
      </c>
      <c r="AC431" s="280">
        <f>+SUM(START:END!AC431)</f>
        <v>0</v>
      </c>
      <c r="AD431" s="288"/>
      <c r="AE431" s="287"/>
      <c r="AF431" s="280">
        <f>+SUM(START:END!AF431)</f>
        <v>4034.48</v>
      </c>
      <c r="AG431" s="281"/>
      <c r="AH431" s="282">
        <f t="shared" si="133"/>
        <v>-4653.159067919285</v>
      </c>
      <c r="AI431" s="306">
        <f t="shared" si="131"/>
        <v>-0.53560685838134503</v>
      </c>
      <c r="AJ431" s="288"/>
      <c r="AK431" s="279"/>
      <c r="AL431" s="280">
        <f t="shared" ref="AL431" si="135">+SUMIF($C:$C,$V431,Q:Q)</f>
        <v>5859.8600000000006</v>
      </c>
      <c r="AM431" s="284"/>
      <c r="AN431" s="282">
        <f t="shared" si="129"/>
        <v>-1825.3800000000006</v>
      </c>
      <c r="AO431" s="294">
        <f t="shared" si="119"/>
        <v>-0.31150573563190936</v>
      </c>
      <c r="AP431" s="475"/>
      <c r="AQ431" s="474"/>
      <c r="AR431" s="474"/>
      <c r="AS431" s="475"/>
      <c r="AT431" s="475"/>
      <c r="AU431" s="475"/>
      <c r="AV431" s="246"/>
      <c r="AW431" s="246"/>
      <c r="AX431" s="246"/>
      <c r="AY431" s="246"/>
      <c r="AZ431" s="246"/>
      <c r="BA431" s="246"/>
      <c r="BB431" s="246"/>
      <c r="BC431" s="246"/>
      <c r="BD431" s="246"/>
      <c r="BE431" s="246"/>
      <c r="BF431" s="246"/>
      <c r="BG431" s="246"/>
      <c r="BH431" s="246"/>
      <c r="BI431" s="246"/>
    </row>
    <row r="432" spans="1:61" ht="20.25" hidden="1" customHeight="1">
      <c r="A432" t="str">
        <f t="shared" si="114"/>
        <v>[...]</v>
      </c>
      <c r="B432" s="7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246"/>
      <c r="U432" s="246"/>
      <c r="V432" s="29" t="s">
        <v>19</v>
      </c>
      <c r="W432" s="286"/>
      <c r="X432" s="279"/>
      <c r="Y432" s="287"/>
      <c r="Z432" s="282">
        <f>+SUM(START:END!Z432)</f>
        <v>0</v>
      </c>
      <c r="AA432" s="279"/>
      <c r="AB432" s="279">
        <f t="shared" si="134"/>
        <v>0</v>
      </c>
      <c r="AC432" s="282">
        <f>+SUM(START:END!AC432)</f>
        <v>0</v>
      </c>
      <c r="AD432" s="288"/>
      <c r="AE432" s="287"/>
      <c r="AF432" s="280">
        <f>+SUM(START:END!AF432)</f>
        <v>0</v>
      </c>
      <c r="AG432" s="281"/>
      <c r="AH432" s="282">
        <f t="shared" si="133"/>
        <v>0</v>
      </c>
      <c r="AI432" s="283">
        <f t="shared" si="131"/>
        <v>0</v>
      </c>
      <c r="AJ432" s="288"/>
      <c r="AK432" s="279">
        <f t="shared" ref="AK432" si="136">AL432/(O$13+O$97)</f>
        <v>0</v>
      </c>
      <c r="AL432" s="280"/>
      <c r="AM432" s="284"/>
      <c r="AN432" s="282"/>
      <c r="AO432" s="294"/>
      <c r="AP432" s="246"/>
      <c r="AQ432" s="246"/>
      <c r="AR432" s="474"/>
      <c r="AS432" s="475"/>
      <c r="AT432" s="475"/>
      <c r="AU432" s="475"/>
      <c r="AV432" s="246"/>
      <c r="AW432" s="246"/>
      <c r="AX432" s="246"/>
      <c r="AY432" s="246"/>
      <c r="AZ432" s="246"/>
      <c r="BA432" s="246"/>
      <c r="BB432" s="246"/>
      <c r="BC432" s="246"/>
      <c r="BD432" s="246"/>
      <c r="BE432" s="246"/>
      <c r="BF432" s="246"/>
      <c r="BG432" s="246"/>
      <c r="BH432" s="246"/>
      <c r="BI432" s="246"/>
    </row>
    <row r="433" spans="1:62" ht="18">
      <c r="A433" t="str">
        <f t="shared" si="114"/>
        <v>TOTAL PERSONNEL</v>
      </c>
      <c r="B433" s="7"/>
      <c r="C433" s="246"/>
      <c r="D433" s="246"/>
      <c r="E433" s="246"/>
      <c r="F433" s="246"/>
      <c r="G433" s="246"/>
      <c r="H433" s="246"/>
      <c r="I433" s="246"/>
      <c r="J433" s="246"/>
      <c r="K433" s="246"/>
      <c r="L433" s="246"/>
      <c r="M433" s="246"/>
      <c r="R433" s="246"/>
      <c r="S433" s="246"/>
      <c r="T433" s="246"/>
      <c r="U433" s="246"/>
      <c r="V433" s="296" t="s">
        <v>48</v>
      </c>
      <c r="W433" s="297"/>
      <c r="X433" s="298">
        <f>Z433/Z407</f>
        <v>0.38577897008618428</v>
      </c>
      <c r="Y433" s="297"/>
      <c r="Z433" s="299">
        <f>SUM(Z420:Z432)</f>
        <v>497164.63313298783</v>
      </c>
      <c r="AA433" s="298" t="e">
        <f>AC433/AC407</f>
        <v>#DIV/0!</v>
      </c>
      <c r="AB433" s="297"/>
      <c r="AC433" s="299">
        <f>SUM(AC420:AC432)</f>
        <v>0</v>
      </c>
      <c r="AD433" s="300">
        <f>AF433/AF407</f>
        <v>0.41799560446877715</v>
      </c>
      <c r="AE433" s="307"/>
      <c r="AF433" s="299">
        <f>SUM(AF420:AF432)</f>
        <v>431886.1</v>
      </c>
      <c r="AG433" s="308"/>
      <c r="AH433" s="302">
        <f t="shared" si="133"/>
        <v>-65278.533132987854</v>
      </c>
      <c r="AI433" s="298">
        <f>AH433/Z433</f>
        <v>-0.13130164292182531</v>
      </c>
      <c r="AJ433" s="300">
        <f>IF($AL$407=0,0,AL433/$AL$407)</f>
        <v>0.34017542228118758</v>
      </c>
      <c r="AK433" s="297"/>
      <c r="AL433" s="299">
        <f>SUM(AL420:AL432)</f>
        <v>434047.48999999993</v>
      </c>
      <c r="AM433" s="309"/>
      <c r="AN433" s="302">
        <f t="shared" ref="AN433:AN447" si="137">AF433-AL433</f>
        <v>-2161.3899999999558</v>
      </c>
      <c r="AO433" s="277">
        <f>IF(AL433=0,0,AN433/AL433)</f>
        <v>-4.9796164009610015E-3</v>
      </c>
      <c r="AP433" s="246"/>
      <c r="AQ433" s="246"/>
      <c r="AR433" s="474"/>
      <c r="AS433" s="475"/>
      <c r="AT433" s="475"/>
      <c r="AU433" s="475"/>
      <c r="AV433" s="246"/>
      <c r="AW433" s="246"/>
      <c r="AX433" s="246"/>
      <c r="AY433" s="246"/>
      <c r="AZ433" s="246"/>
      <c r="BA433" s="246"/>
      <c r="BB433" s="246"/>
      <c r="BC433" s="246"/>
      <c r="BD433" s="246"/>
      <c r="BE433" s="246"/>
      <c r="BF433" s="246"/>
      <c r="BG433" s="246"/>
      <c r="BH433" s="246"/>
      <c r="BI433" s="246"/>
    </row>
    <row r="434" spans="1:62" ht="18">
      <c r="A434" t="str">
        <f t="shared" si="114"/>
        <v>Publicité 2</v>
      </c>
      <c r="B434" s="7"/>
      <c r="C434" s="246"/>
      <c r="D434" s="246"/>
      <c r="E434" s="246"/>
      <c r="F434" s="246"/>
      <c r="G434" s="246"/>
      <c r="H434" s="246"/>
      <c r="I434" s="246"/>
      <c r="J434" s="246"/>
      <c r="K434" s="246"/>
      <c r="L434" s="246"/>
      <c r="M434" s="246"/>
      <c r="N434" s="246"/>
      <c r="O434" s="246"/>
      <c r="P434" s="246"/>
      <c r="Q434" s="310"/>
      <c r="S434" s="246"/>
      <c r="T434" s="246"/>
      <c r="U434" s="246"/>
      <c r="V434" s="211" t="s">
        <v>49</v>
      </c>
      <c r="W434" s="311" t="s">
        <v>133</v>
      </c>
      <c r="X434" s="312"/>
      <c r="Y434" s="312"/>
      <c r="Z434" s="313">
        <f>+SUM(START:END!Z434)</f>
        <v>19400.878253992607</v>
      </c>
      <c r="AA434" s="312"/>
      <c r="AB434" s="312">
        <f t="shared" ref="AB434:AB451" si="138">IF(AC434=0,0,AC434/(G$13+G$97))</f>
        <v>0</v>
      </c>
      <c r="AC434" s="313">
        <f>+SUM(START:END!AC434)</f>
        <v>0</v>
      </c>
      <c r="AD434" s="314"/>
      <c r="AE434" s="315"/>
      <c r="AF434" s="313">
        <f>+SUM(START:END!AF434)</f>
        <v>24311.97</v>
      </c>
      <c r="AG434" s="314"/>
      <c r="AH434" s="316">
        <f t="shared" si="133"/>
        <v>4911.0917460073942</v>
      </c>
      <c r="AI434" s="317">
        <f t="shared" ref="AI434:AI451" si="139">IF(Z434=0,0,AH434/Z434)</f>
        <v>0.25313759932474783</v>
      </c>
      <c r="AJ434" s="314"/>
      <c r="AK434" s="312"/>
      <c r="AL434" s="313">
        <f t="shared" ref="AL434:AL449" si="140">+SUMIF($C:$C,$V434,Q:Q)</f>
        <v>20459.940000000002</v>
      </c>
      <c r="AM434" s="318"/>
      <c r="AN434" s="316">
        <f t="shared" si="137"/>
        <v>3852.0299999999988</v>
      </c>
      <c r="AO434" s="285">
        <f t="shared" ref="AO434:AO447" si="141">IF(AL434=0,0,AN434/AL434)</f>
        <v>0.18827181311382138</v>
      </c>
      <c r="AP434" s="246"/>
      <c r="AQ434" s="246"/>
      <c r="AR434" s="246"/>
      <c r="AS434" s="484"/>
      <c r="AT434" s="475"/>
      <c r="AU434" s="475"/>
      <c r="AV434" s="246"/>
      <c r="AW434" s="246"/>
      <c r="AX434" s="246"/>
      <c r="AY434" s="246"/>
      <c r="AZ434" s="246"/>
      <c r="BA434" s="246"/>
      <c r="BB434" s="246"/>
      <c r="BC434" s="246"/>
      <c r="BD434" s="246"/>
      <c r="BE434" s="246"/>
      <c r="BF434" s="246"/>
      <c r="BG434" s="246"/>
      <c r="BH434" s="246"/>
      <c r="BI434" s="246"/>
    </row>
    <row r="435" spans="1:62" ht="18">
      <c r="A435" t="str">
        <f t="shared" si="114"/>
        <v>Service gratuit 2</v>
      </c>
      <c r="B435" s="7"/>
      <c r="C435" s="246"/>
      <c r="D435" s="246"/>
      <c r="E435" s="246"/>
      <c r="F435" s="246"/>
      <c r="G435" s="246"/>
      <c r="H435" s="246"/>
      <c r="I435" s="246"/>
      <c r="J435" s="246"/>
      <c r="K435" s="246"/>
      <c r="L435" s="246"/>
      <c r="M435" s="246"/>
      <c r="N435" s="246"/>
      <c r="O435" s="246"/>
      <c r="Q435" s="310"/>
      <c r="S435" s="246"/>
      <c r="T435" s="246"/>
      <c r="U435" s="246"/>
      <c r="V435" s="102" t="s">
        <v>50</v>
      </c>
      <c r="W435" s="286" t="s">
        <v>144</v>
      </c>
      <c r="X435" s="279"/>
      <c r="Y435" s="279"/>
      <c r="Z435" s="280">
        <f>+SUM(START:END!Z435)</f>
        <v>11895</v>
      </c>
      <c r="AA435" s="279"/>
      <c r="AB435" s="279">
        <f t="shared" si="138"/>
        <v>0</v>
      </c>
      <c r="AC435" s="280">
        <f>+SUM(START:END!AC435)</f>
        <v>0</v>
      </c>
      <c r="AD435" s="288"/>
      <c r="AE435" s="287"/>
      <c r="AF435" s="280">
        <f>+SUM(START:END!AF435)</f>
        <v>10289.84</v>
      </c>
      <c r="AG435" s="281"/>
      <c r="AH435" s="282">
        <f t="shared" si="133"/>
        <v>-1605.1599999999999</v>
      </c>
      <c r="AI435" s="283">
        <f t="shared" si="139"/>
        <v>-0.1349440941572089</v>
      </c>
      <c r="AJ435" s="288"/>
      <c r="AK435" s="279"/>
      <c r="AL435" s="280">
        <f t="shared" si="140"/>
        <v>17410.54</v>
      </c>
      <c r="AM435" s="284"/>
      <c r="AN435" s="282">
        <f t="shared" si="137"/>
        <v>-7120.7000000000007</v>
      </c>
      <c r="AO435" s="289">
        <f t="shared" si="141"/>
        <v>-0.40898788894543192</v>
      </c>
      <c r="AP435" s="246"/>
      <c r="AQ435" s="246"/>
      <c r="AR435" s="246"/>
      <c r="AS435" s="246"/>
      <c r="AT435" s="246"/>
      <c r="AU435" s="246"/>
      <c r="AV435" s="246"/>
      <c r="AW435" s="246"/>
      <c r="AX435" s="246"/>
      <c r="AY435" s="246"/>
      <c r="AZ435" s="246"/>
      <c r="BA435" s="246"/>
      <c r="BB435" s="246"/>
      <c r="BC435" s="246"/>
      <c r="BD435" s="246"/>
      <c r="BE435" s="246"/>
      <c r="BF435" s="246"/>
      <c r="BG435" s="246"/>
      <c r="BH435" s="246"/>
      <c r="BI435" s="246"/>
    </row>
    <row r="436" spans="1:62" ht="18">
      <c r="A436" t="str">
        <f t="shared" si="114"/>
        <v>Frais véhicules de cie</v>
      </c>
      <c r="B436" s="7"/>
      <c r="C436" s="246"/>
      <c r="D436" s="246"/>
      <c r="E436" s="246"/>
      <c r="F436" s="246"/>
      <c r="G436" s="246"/>
      <c r="H436" s="246"/>
      <c r="I436" s="246"/>
      <c r="J436" s="246"/>
      <c r="K436" s="246"/>
      <c r="L436" s="246"/>
      <c r="M436" s="246"/>
      <c r="N436" s="246"/>
      <c r="O436" s="246"/>
      <c r="P436" s="246"/>
      <c r="Q436" s="310"/>
      <c r="S436" s="246"/>
      <c r="T436" s="246"/>
      <c r="U436" s="246"/>
      <c r="V436" s="103" t="s">
        <v>51</v>
      </c>
      <c r="W436" s="290" t="s">
        <v>145</v>
      </c>
      <c r="X436" s="263"/>
      <c r="Y436" s="263"/>
      <c r="Z436" s="264">
        <f>+SUM(START:END!Z436)</f>
        <v>45910</v>
      </c>
      <c r="AA436" s="263"/>
      <c r="AB436" s="263">
        <f t="shared" si="138"/>
        <v>0</v>
      </c>
      <c r="AC436" s="264">
        <f>+SUM(START:END!AC436)</f>
        <v>0</v>
      </c>
      <c r="AD436" s="292"/>
      <c r="AE436" s="291"/>
      <c r="AF436" s="264">
        <f>+SUM(START:END!AF436)</f>
        <v>58823.32</v>
      </c>
      <c r="AG436" s="265"/>
      <c r="AH436" s="266">
        <f t="shared" si="133"/>
        <v>12913.32</v>
      </c>
      <c r="AI436" s="293">
        <f t="shared" si="139"/>
        <v>0.2812746678283598</v>
      </c>
      <c r="AJ436" s="292"/>
      <c r="AK436" s="263"/>
      <c r="AL436" s="264">
        <f t="shared" si="140"/>
        <v>52689.549999999974</v>
      </c>
      <c r="AM436" s="268"/>
      <c r="AN436" s="266">
        <f t="shared" si="137"/>
        <v>6133.7700000000259</v>
      </c>
      <c r="AO436" s="269">
        <f t="shared" si="141"/>
        <v>0.11641340645346239</v>
      </c>
      <c r="AP436" s="246"/>
      <c r="AQ436" s="246"/>
      <c r="AR436" s="485"/>
      <c r="AS436" s="246"/>
      <c r="AT436" s="246"/>
      <c r="AU436" s="246"/>
      <c r="AV436" s="246"/>
      <c r="AW436" s="246"/>
      <c r="AX436" s="246"/>
      <c r="AY436" s="246"/>
      <c r="AZ436" s="246"/>
      <c r="BA436" s="246"/>
      <c r="BB436" s="246"/>
      <c r="BC436" s="246"/>
      <c r="BD436" s="246"/>
      <c r="BE436" s="246"/>
      <c r="BF436" s="246"/>
      <c r="BG436" s="246"/>
      <c r="BH436" s="246"/>
      <c r="BI436" s="246"/>
      <c r="BJ436" s="246"/>
    </row>
    <row r="437" spans="1:62" ht="18">
      <c r="A437" t="str">
        <f t="shared" si="114"/>
        <v>Informatique</v>
      </c>
      <c r="B437" s="7"/>
      <c r="C437" s="246"/>
      <c r="D437" s="246"/>
      <c r="E437" s="246"/>
      <c r="F437" s="246"/>
      <c r="G437" s="246"/>
      <c r="H437" s="246"/>
      <c r="I437" s="246"/>
      <c r="J437" s="246"/>
      <c r="K437" s="246"/>
      <c r="L437" s="246"/>
      <c r="M437" s="246"/>
      <c r="N437" s="246"/>
      <c r="O437" s="246"/>
      <c r="P437" s="246"/>
      <c r="Q437" s="310"/>
      <c r="S437" s="246"/>
      <c r="T437" s="246"/>
      <c r="U437" s="246"/>
      <c r="V437" s="102" t="s">
        <v>52</v>
      </c>
      <c r="W437" s="286" t="s">
        <v>146</v>
      </c>
      <c r="X437" s="279"/>
      <c r="Y437" s="279"/>
      <c r="Z437" s="280">
        <f>+SUM(START:END!Z437)</f>
        <v>42279</v>
      </c>
      <c r="AA437" s="279"/>
      <c r="AB437" s="279">
        <f t="shared" si="138"/>
        <v>0</v>
      </c>
      <c r="AC437" s="280">
        <f>+SUM(START:END!AC437)</f>
        <v>0</v>
      </c>
      <c r="AD437" s="288"/>
      <c r="AE437" s="287"/>
      <c r="AF437" s="280">
        <f>+SUM(START:END!AF437)</f>
        <v>41224.18</v>
      </c>
      <c r="AG437" s="281"/>
      <c r="AH437" s="282">
        <f>AF437-Z437</f>
        <v>-1054.8199999999997</v>
      </c>
      <c r="AI437" s="283">
        <f t="shared" si="139"/>
        <v>-2.4949029068804838E-2</v>
      </c>
      <c r="AJ437" s="288"/>
      <c r="AK437" s="279"/>
      <c r="AL437" s="280">
        <f t="shared" si="140"/>
        <v>42673.07</v>
      </c>
      <c r="AM437" s="284"/>
      <c r="AN437" s="282">
        <f t="shared" si="137"/>
        <v>-1448.8899999999994</v>
      </c>
      <c r="AO437" s="289">
        <f t="shared" si="141"/>
        <v>-3.3953263732841334E-2</v>
      </c>
      <c r="AP437" s="485"/>
      <c r="AQ437" s="246"/>
      <c r="AR437" s="246"/>
      <c r="AS437" s="485"/>
      <c r="AT437" s="246"/>
      <c r="AU437" s="246"/>
      <c r="AV437" s="246"/>
      <c r="AW437" s="246"/>
      <c r="AX437" s="246"/>
      <c r="AY437" s="246"/>
      <c r="AZ437" s="246"/>
      <c r="BA437" s="246"/>
      <c r="BB437" s="246"/>
      <c r="BC437" s="246"/>
      <c r="BD437" s="246"/>
      <c r="BE437" s="246"/>
      <c r="BF437" s="246"/>
      <c r="BG437" s="246"/>
      <c r="BH437" s="246"/>
      <c r="BI437" s="246"/>
      <c r="BJ437" s="246"/>
    </row>
    <row r="438" spans="1:62" ht="18">
      <c r="A438" t="str">
        <f t="shared" si="114"/>
        <v>Frais de déplacement</v>
      </c>
      <c r="B438" s="7"/>
      <c r="C438" s="246"/>
      <c r="D438" s="246"/>
      <c r="E438" s="246"/>
      <c r="F438" s="246"/>
      <c r="G438" s="246"/>
      <c r="H438" s="246"/>
      <c r="I438" s="246"/>
      <c r="J438" s="246"/>
      <c r="K438" s="246"/>
      <c r="L438" s="246"/>
      <c r="M438" s="246"/>
      <c r="N438" s="246"/>
      <c r="O438" s="246"/>
      <c r="P438" s="246"/>
      <c r="Q438" s="310"/>
      <c r="S438" s="246"/>
      <c r="T438" s="246"/>
      <c r="U438" s="246"/>
      <c r="V438" s="102" t="s">
        <v>53</v>
      </c>
      <c r="W438" s="286" t="s">
        <v>147</v>
      </c>
      <c r="X438" s="279"/>
      <c r="Y438" s="279"/>
      <c r="Z438" s="280">
        <f>+SUM(START:END!Z438)</f>
        <v>5484</v>
      </c>
      <c r="AA438" s="279"/>
      <c r="AB438" s="279">
        <f t="shared" si="138"/>
        <v>0</v>
      </c>
      <c r="AC438" s="280">
        <f>+SUM(START:END!AC438)</f>
        <v>0</v>
      </c>
      <c r="AD438" s="288"/>
      <c r="AE438" s="287"/>
      <c r="AF438" s="280">
        <f>+SUM(START:END!AF438)</f>
        <v>5946.3099999999995</v>
      </c>
      <c r="AG438" s="281"/>
      <c r="AH438" s="282">
        <f t="shared" si="133"/>
        <v>462.30999999999949</v>
      </c>
      <c r="AI438" s="283">
        <f t="shared" si="139"/>
        <v>8.4301604668125363E-2</v>
      </c>
      <c r="AJ438" s="288"/>
      <c r="AK438" s="279"/>
      <c r="AL438" s="280">
        <f t="shared" si="140"/>
        <v>5841.5599999999995</v>
      </c>
      <c r="AM438" s="284"/>
      <c r="AN438" s="282">
        <f t="shared" si="137"/>
        <v>104.75</v>
      </c>
      <c r="AO438" s="289">
        <f t="shared" si="141"/>
        <v>1.7931853819870038E-2</v>
      </c>
      <c r="AP438" s="485"/>
      <c r="AQ438" s="246"/>
      <c r="AR438" s="485"/>
      <c r="AS438" s="246"/>
      <c r="AT438" s="246"/>
      <c r="AU438" s="246"/>
      <c r="AV438" s="246"/>
      <c r="AW438" s="246"/>
      <c r="AX438" s="246"/>
      <c r="AY438" s="246"/>
      <c r="AZ438" s="246"/>
      <c r="BA438" s="246"/>
      <c r="BB438" s="246"/>
      <c r="BC438" s="246"/>
      <c r="BD438" s="246"/>
      <c r="BE438" s="246"/>
      <c r="BF438" s="246"/>
      <c r="BG438" s="246"/>
      <c r="BH438" s="246"/>
      <c r="BI438" s="246"/>
      <c r="BJ438" s="246"/>
    </row>
    <row r="439" spans="1:62" ht="18">
      <c r="A439" t="str">
        <f t="shared" si="114"/>
        <v>Services extérieurs</v>
      </c>
      <c r="B439" s="7"/>
      <c r="C439" s="246"/>
      <c r="D439" s="246"/>
      <c r="E439" s="246"/>
      <c r="F439" s="246"/>
      <c r="G439" s="246"/>
      <c r="H439" s="246"/>
      <c r="I439" s="246"/>
      <c r="J439" s="246"/>
      <c r="K439" s="246"/>
      <c r="L439" s="246"/>
      <c r="M439" s="246"/>
      <c r="N439" s="246"/>
      <c r="O439" s="246"/>
      <c r="P439" s="246"/>
      <c r="Q439" s="310"/>
      <c r="S439" s="246"/>
      <c r="T439" s="246"/>
      <c r="U439" s="246"/>
      <c r="V439" s="102" t="s">
        <v>54</v>
      </c>
      <c r="W439" s="286" t="s">
        <v>148</v>
      </c>
      <c r="X439" s="279"/>
      <c r="Y439" s="279"/>
      <c r="Z439" s="280">
        <f>+SUM(START:END!Z439)</f>
        <v>32898.000000000007</v>
      </c>
      <c r="AA439" s="279"/>
      <c r="AB439" s="279">
        <f t="shared" si="138"/>
        <v>0</v>
      </c>
      <c r="AC439" s="280">
        <f>+SUM(START:END!AC439)</f>
        <v>0</v>
      </c>
      <c r="AD439" s="288"/>
      <c r="AE439" s="287"/>
      <c r="AF439" s="280">
        <f>+SUM(START:END!AF439)</f>
        <v>33830.35</v>
      </c>
      <c r="AG439" s="281"/>
      <c r="AH439" s="282">
        <f t="shared" si="133"/>
        <v>932.34999999999127</v>
      </c>
      <c r="AI439" s="283">
        <f t="shared" si="139"/>
        <v>2.8340628609641653E-2</v>
      </c>
      <c r="AJ439" s="288"/>
      <c r="AK439" s="279"/>
      <c r="AL439" s="280">
        <f t="shared" si="140"/>
        <v>29637.149999999998</v>
      </c>
      <c r="AM439" s="284"/>
      <c r="AN439" s="282">
        <f t="shared" si="137"/>
        <v>4193.2000000000007</v>
      </c>
      <c r="AO439" s="289">
        <f t="shared" si="141"/>
        <v>0.14148458944264211</v>
      </c>
      <c r="AP439" s="246"/>
      <c r="AQ439" s="246"/>
      <c r="AR439" s="246"/>
      <c r="AS439" s="246"/>
      <c r="AT439" s="246"/>
      <c r="AU439" s="246"/>
      <c r="AV439" s="246"/>
      <c r="AW439" s="246"/>
      <c r="AX439" s="246"/>
      <c r="AY439" s="246"/>
      <c r="AZ439" s="246"/>
      <c r="BA439" s="246"/>
      <c r="BB439" s="246"/>
      <c r="BC439" s="246"/>
      <c r="BD439" s="246"/>
      <c r="BE439" s="246"/>
      <c r="BF439" s="246"/>
      <c r="BG439" s="246"/>
      <c r="BH439" s="246"/>
      <c r="BI439" s="246"/>
      <c r="BJ439" s="246"/>
    </row>
    <row r="440" spans="1:62" ht="18">
      <c r="B440" s="7"/>
      <c r="C440" s="246"/>
      <c r="D440" s="246"/>
      <c r="E440" s="246"/>
      <c r="F440" s="246"/>
      <c r="G440" s="246"/>
      <c r="H440" s="246"/>
      <c r="I440" s="246"/>
      <c r="J440" s="246"/>
      <c r="K440" s="246"/>
      <c r="L440" s="246"/>
      <c r="M440" s="246"/>
      <c r="N440" s="246"/>
      <c r="O440" s="246"/>
      <c r="P440" s="246"/>
      <c r="Q440" s="310"/>
      <c r="S440" s="246"/>
      <c r="T440" s="246"/>
      <c r="U440" s="246"/>
      <c r="V440" s="212" t="s">
        <v>93</v>
      </c>
      <c r="W440" s="319"/>
      <c r="X440" s="320"/>
      <c r="Y440" s="320"/>
      <c r="Z440" s="321">
        <f>+SUM(START:END!Z440)</f>
        <v>0</v>
      </c>
      <c r="AA440" s="320"/>
      <c r="AB440" s="320">
        <f t="shared" si="138"/>
        <v>0</v>
      </c>
      <c r="AC440" s="321">
        <f>+SUM(START:END!AC440)</f>
        <v>0</v>
      </c>
      <c r="AD440" s="322"/>
      <c r="AE440" s="323"/>
      <c r="AF440" s="321">
        <f>+SUM(START:END!AF440)</f>
        <v>0</v>
      </c>
      <c r="AG440" s="324"/>
      <c r="AH440" s="325">
        <f t="shared" si="133"/>
        <v>0</v>
      </c>
      <c r="AI440" s="326">
        <f t="shared" si="139"/>
        <v>0</v>
      </c>
      <c r="AJ440" s="322"/>
      <c r="AK440" s="320"/>
      <c r="AL440" s="321">
        <f t="shared" si="140"/>
        <v>0</v>
      </c>
      <c r="AM440" s="327"/>
      <c r="AN440" s="325">
        <f>AF440-AL440</f>
        <v>0</v>
      </c>
      <c r="AO440" s="328">
        <f>IF(AL440=0,0,AN440/AL440)</f>
        <v>0</v>
      </c>
      <c r="AP440" s="246"/>
      <c r="AQ440" s="246"/>
      <c r="AR440" s="246"/>
      <c r="AS440" s="246"/>
      <c r="AT440" s="246"/>
      <c r="AU440" s="246"/>
      <c r="AV440" s="246"/>
      <c r="AW440" s="246"/>
      <c r="AX440" s="246"/>
      <c r="AY440" s="246"/>
      <c r="AZ440" s="246"/>
      <c r="BA440" s="246"/>
      <c r="BB440" s="246"/>
      <c r="BC440" s="246"/>
      <c r="BD440" s="246"/>
      <c r="BE440" s="246"/>
      <c r="BF440" s="246"/>
      <c r="BG440" s="246"/>
      <c r="BH440" s="246"/>
      <c r="BI440" s="246"/>
      <c r="BJ440" s="246"/>
    </row>
    <row r="441" spans="1:62" ht="18">
      <c r="A441" t="str">
        <f t="shared" si="114"/>
        <v>Fournitures autres</v>
      </c>
      <c r="B441" s="7"/>
      <c r="C441" s="246"/>
      <c r="D441" s="246"/>
      <c r="E441" s="246"/>
      <c r="F441" s="246"/>
      <c r="G441" s="246"/>
      <c r="H441" s="246"/>
      <c r="I441" s="246"/>
      <c r="J441" s="246"/>
      <c r="K441" s="246"/>
      <c r="L441" s="246"/>
      <c r="M441" s="246"/>
      <c r="N441" s="246"/>
      <c r="O441" s="246"/>
      <c r="P441" s="329"/>
      <c r="Q441" s="310"/>
      <c r="R441" s="246"/>
      <c r="S441" s="246"/>
      <c r="T441" s="246"/>
      <c r="U441" s="246"/>
      <c r="V441" s="102" t="s">
        <v>55</v>
      </c>
      <c r="W441" s="286" t="s">
        <v>149</v>
      </c>
      <c r="X441" s="279"/>
      <c r="Y441" s="287"/>
      <c r="Z441" s="280">
        <f>+SUM(START:END!Z441)</f>
        <v>4191.0899480274038</v>
      </c>
      <c r="AA441" s="279"/>
      <c r="AB441" s="287">
        <f t="shared" si="138"/>
        <v>0</v>
      </c>
      <c r="AC441" s="280">
        <f>+SUM(START:END!AC441)</f>
        <v>0</v>
      </c>
      <c r="AD441" s="288"/>
      <c r="AE441" s="287"/>
      <c r="AF441" s="280">
        <f>+SUM(START:END!AF441)</f>
        <v>3132.19</v>
      </c>
      <c r="AG441" s="281"/>
      <c r="AH441" s="282">
        <f t="shared" si="133"/>
        <v>-1058.8999480274038</v>
      </c>
      <c r="AI441" s="283">
        <f t="shared" si="139"/>
        <v>-0.25265502796612371</v>
      </c>
      <c r="AJ441" s="288"/>
      <c r="AK441" s="279"/>
      <c r="AL441" s="280">
        <f t="shared" si="140"/>
        <v>4161.79</v>
      </c>
      <c r="AM441" s="284"/>
      <c r="AN441" s="282">
        <f t="shared" si="137"/>
        <v>-1029.5999999999999</v>
      </c>
      <c r="AO441" s="289">
        <f t="shared" si="141"/>
        <v>-0.2473935494102297</v>
      </c>
      <c r="AP441" s="246"/>
      <c r="AQ441" s="246"/>
      <c r="AR441" s="246"/>
      <c r="AS441" s="246"/>
      <c r="AT441" s="246"/>
      <c r="AU441" s="246"/>
      <c r="AV441" s="246"/>
      <c r="AW441" s="246"/>
      <c r="AX441" s="246"/>
      <c r="AY441" s="246"/>
      <c r="AZ441" s="246"/>
      <c r="BA441" s="246"/>
      <c r="BB441" s="246"/>
      <c r="BC441" s="246"/>
      <c r="BD441" s="246"/>
      <c r="BE441" s="246"/>
      <c r="BF441" s="246"/>
      <c r="BG441" s="246"/>
      <c r="BH441" s="246"/>
      <c r="BI441" s="246"/>
      <c r="BJ441" s="246"/>
    </row>
    <row r="442" spans="1:62" ht="18">
      <c r="A442" t="str">
        <f t="shared" si="114"/>
        <v>Uniformes</v>
      </c>
      <c r="B442" s="7"/>
      <c r="C442" s="246"/>
      <c r="D442" s="246"/>
      <c r="E442" s="246"/>
      <c r="F442" s="246"/>
      <c r="G442" s="246"/>
      <c r="H442" s="246"/>
      <c r="I442" s="246"/>
      <c r="J442" s="246"/>
      <c r="K442" s="246"/>
      <c r="L442" s="246"/>
      <c r="M442" s="246"/>
      <c r="N442" s="246"/>
      <c r="O442" s="246"/>
      <c r="Q442" s="310"/>
      <c r="S442" s="246"/>
      <c r="T442" s="246"/>
      <c r="U442" s="246"/>
      <c r="V442" s="102" t="s">
        <v>56</v>
      </c>
      <c r="W442" s="286" t="s">
        <v>150</v>
      </c>
      <c r="X442" s="279"/>
      <c r="Y442" s="279"/>
      <c r="Z442" s="280">
        <f>+SUM(START:END!Z442)</f>
        <v>3009</v>
      </c>
      <c r="AA442" s="279"/>
      <c r="AB442" s="279">
        <f t="shared" si="138"/>
        <v>0</v>
      </c>
      <c r="AC442" s="280">
        <f>+SUM(START:END!AC442)</f>
        <v>0</v>
      </c>
      <c r="AD442" s="288"/>
      <c r="AE442" s="287"/>
      <c r="AF442" s="280">
        <f>+SUM(START:END!AF442)</f>
        <v>4766.09</v>
      </c>
      <c r="AG442" s="281"/>
      <c r="AH442" s="282">
        <f t="shared" si="133"/>
        <v>1757.0900000000001</v>
      </c>
      <c r="AI442" s="306">
        <f t="shared" si="139"/>
        <v>0.58394483217015625</v>
      </c>
      <c r="AJ442" s="288"/>
      <c r="AK442" s="279"/>
      <c r="AL442" s="280">
        <f t="shared" si="140"/>
        <v>2778.37</v>
      </c>
      <c r="AM442" s="284"/>
      <c r="AN442" s="282">
        <f t="shared" si="137"/>
        <v>1987.7200000000003</v>
      </c>
      <c r="AO442" s="289">
        <f t="shared" si="141"/>
        <v>0.71542667103373569</v>
      </c>
      <c r="AP442" s="246"/>
      <c r="AQ442" s="246"/>
      <c r="AR442" s="246"/>
      <c r="AS442" s="246"/>
      <c r="AT442" s="246"/>
      <c r="AU442" s="246"/>
      <c r="AV442" s="246"/>
      <c r="AW442" s="246"/>
      <c r="AX442" s="246"/>
      <c r="AY442" s="246"/>
      <c r="AZ442" s="246"/>
      <c r="BA442" s="246"/>
      <c r="BB442" s="246"/>
      <c r="BC442" s="246"/>
      <c r="BD442" s="246"/>
      <c r="BE442" s="246"/>
      <c r="BF442" s="246"/>
      <c r="BG442" s="246"/>
      <c r="BH442" s="246"/>
      <c r="BI442" s="246"/>
      <c r="BJ442" s="246"/>
    </row>
    <row r="443" spans="1:62" ht="18">
      <c r="A443" t="str">
        <f t="shared" si="114"/>
        <v>Papeterie</v>
      </c>
      <c r="B443" s="7"/>
      <c r="C443" s="246"/>
      <c r="D443" s="246"/>
      <c r="E443" s="246"/>
      <c r="F443" s="246"/>
      <c r="G443" s="246"/>
      <c r="H443" s="246"/>
      <c r="I443" s="246"/>
      <c r="J443" s="246"/>
      <c r="K443" s="246"/>
      <c r="L443" s="246"/>
      <c r="M443" s="246"/>
      <c r="N443" s="246"/>
      <c r="O443" s="246"/>
      <c r="P443" s="329"/>
      <c r="Q443" s="310"/>
      <c r="R443" s="246"/>
      <c r="S443" s="246"/>
      <c r="T443" s="246"/>
      <c r="U443" s="246"/>
      <c r="V443" s="102" t="s">
        <v>57</v>
      </c>
      <c r="W443" s="286" t="s">
        <v>151</v>
      </c>
      <c r="X443" s="279"/>
      <c r="Y443" s="279"/>
      <c r="Z443" s="280">
        <f>+SUM(START:END!Z443)</f>
        <v>5250</v>
      </c>
      <c r="AA443" s="279"/>
      <c r="AB443" s="279">
        <f t="shared" si="138"/>
        <v>0</v>
      </c>
      <c r="AC443" s="280">
        <f>+SUM(START:END!AC443)</f>
        <v>0</v>
      </c>
      <c r="AD443" s="288"/>
      <c r="AE443" s="287"/>
      <c r="AF443" s="280">
        <f>+SUM(START:END!AF443)</f>
        <v>4387.26</v>
      </c>
      <c r="AG443" s="281"/>
      <c r="AH443" s="282">
        <f t="shared" si="133"/>
        <v>-862.73999999999978</v>
      </c>
      <c r="AI443" s="283">
        <f t="shared" si="139"/>
        <v>-0.16433142857142852</v>
      </c>
      <c r="AJ443" s="288"/>
      <c r="AK443" s="279"/>
      <c r="AL443" s="280">
        <f t="shared" si="140"/>
        <v>4232.18</v>
      </c>
      <c r="AM443" s="284"/>
      <c r="AN443" s="282">
        <f t="shared" si="137"/>
        <v>155.07999999999993</v>
      </c>
      <c r="AO443" s="289">
        <f t="shared" si="141"/>
        <v>3.6643053934378951E-2</v>
      </c>
      <c r="AP443" s="246"/>
      <c r="AQ443" s="246"/>
      <c r="AR443" s="246"/>
      <c r="AS443" s="246"/>
      <c r="AT443" s="246"/>
      <c r="AU443" s="246"/>
      <c r="AV443" s="246"/>
      <c r="AW443" s="246"/>
      <c r="AX443" s="246"/>
      <c r="AY443" s="246"/>
      <c r="AZ443" s="246"/>
      <c r="BA443" s="246"/>
      <c r="BB443" s="246"/>
      <c r="BC443" s="246"/>
      <c r="BD443" s="246"/>
      <c r="BE443" s="246"/>
      <c r="BF443" s="246"/>
      <c r="BG443" s="246"/>
      <c r="BH443" s="246"/>
      <c r="BI443" s="246"/>
      <c r="BJ443" s="246"/>
    </row>
    <row r="444" spans="1:62" ht="18">
      <c r="A444" t="str">
        <f t="shared" si="114"/>
        <v>Téléphone</v>
      </c>
      <c r="B444" s="7"/>
      <c r="C444" s="246"/>
      <c r="D444" s="246"/>
      <c r="E444" s="246"/>
      <c r="F444" s="246"/>
      <c r="G444" s="246"/>
      <c r="H444" s="246"/>
      <c r="I444" s="246"/>
      <c r="J444" s="246"/>
      <c r="K444" s="246"/>
      <c r="L444" s="246"/>
      <c r="M444" s="246"/>
      <c r="N444" s="246"/>
      <c r="O444" s="246"/>
      <c r="P444" s="246"/>
      <c r="Q444" s="310"/>
      <c r="S444" s="246"/>
      <c r="T444" s="246"/>
      <c r="U444" s="246"/>
      <c r="V444" s="102" t="s">
        <v>58</v>
      </c>
      <c r="W444" s="286" t="s">
        <v>152</v>
      </c>
      <c r="X444" s="279"/>
      <c r="Y444" s="279"/>
      <c r="Z444" s="280">
        <f>+SUM(START:END!Z444)</f>
        <v>1536</v>
      </c>
      <c r="AA444" s="279"/>
      <c r="AB444" s="279">
        <f t="shared" si="138"/>
        <v>0</v>
      </c>
      <c r="AC444" s="280">
        <f>+SUM(START:END!AC444)</f>
        <v>0</v>
      </c>
      <c r="AD444" s="288"/>
      <c r="AE444" s="287"/>
      <c r="AF444" s="280">
        <f>+SUM(START:END!AF444)</f>
        <v>1385.21</v>
      </c>
      <c r="AG444" s="281"/>
      <c r="AH444" s="282">
        <f t="shared" si="133"/>
        <v>-150.78999999999996</v>
      </c>
      <c r="AI444" s="306">
        <f t="shared" si="139"/>
        <v>-9.8170572916666643E-2</v>
      </c>
      <c r="AJ444" s="288"/>
      <c r="AK444" s="279"/>
      <c r="AL444" s="280">
        <f t="shared" si="140"/>
        <v>1726.92</v>
      </c>
      <c r="AM444" s="284"/>
      <c r="AN444" s="282">
        <f t="shared" si="137"/>
        <v>-341.71000000000004</v>
      </c>
      <c r="AO444" s="289">
        <f t="shared" si="141"/>
        <v>-0.19787251291316332</v>
      </c>
      <c r="AP444" s="246"/>
      <c r="AQ444" s="246"/>
      <c r="AR444" s="246"/>
      <c r="AS444" s="246"/>
      <c r="AT444" s="246"/>
      <c r="AU444" s="246"/>
      <c r="AV444" s="246"/>
      <c r="AW444" s="246"/>
      <c r="AX444" s="246"/>
      <c r="AY444" s="246"/>
      <c r="AZ444" s="246"/>
      <c r="BA444" s="246"/>
      <c r="BB444" s="246"/>
      <c r="BC444" s="246"/>
      <c r="BD444" s="246"/>
      <c r="BE444" s="246"/>
      <c r="BF444" s="246"/>
      <c r="BG444" s="246"/>
      <c r="BH444" s="246"/>
      <c r="BI444" s="246"/>
      <c r="BJ444" s="246"/>
    </row>
    <row r="445" spans="1:62" ht="18">
      <c r="A445" t="str">
        <f t="shared" si="114"/>
        <v>Frais postaux</v>
      </c>
      <c r="B445" s="7"/>
      <c r="C445" s="246"/>
      <c r="D445" s="246"/>
      <c r="E445" s="246"/>
      <c r="F445" s="246"/>
      <c r="G445" s="246"/>
      <c r="H445" s="246"/>
      <c r="I445" s="246"/>
      <c r="J445" s="246"/>
      <c r="K445" s="246"/>
      <c r="L445" s="246"/>
      <c r="M445" s="246"/>
      <c r="N445" s="246"/>
      <c r="O445" s="246"/>
      <c r="P445" s="246"/>
      <c r="Q445" s="310"/>
      <c r="S445" s="246"/>
      <c r="T445" s="246"/>
      <c r="U445" s="246"/>
      <c r="V445" s="102" t="s">
        <v>59</v>
      </c>
      <c r="W445" s="286" t="s">
        <v>153</v>
      </c>
      <c r="X445" s="279"/>
      <c r="Y445" s="279"/>
      <c r="Z445" s="280">
        <f>+SUM(START:END!Z445)</f>
        <v>2625</v>
      </c>
      <c r="AA445" s="279"/>
      <c r="AB445" s="279">
        <f t="shared" si="138"/>
        <v>0</v>
      </c>
      <c r="AC445" s="280">
        <f>+SUM(START:END!AC445)</f>
        <v>0</v>
      </c>
      <c r="AD445" s="288"/>
      <c r="AE445" s="287"/>
      <c r="AF445" s="280">
        <f>+SUM(START:END!AF445)</f>
        <v>1109.79</v>
      </c>
      <c r="AG445" s="281"/>
      <c r="AH445" s="282">
        <f t="shared" si="133"/>
        <v>-1515.21</v>
      </c>
      <c r="AI445" s="283">
        <f t="shared" si="139"/>
        <v>-0.57722285714285715</v>
      </c>
      <c r="AJ445" s="288"/>
      <c r="AK445" s="279"/>
      <c r="AL445" s="280">
        <f t="shared" si="140"/>
        <v>2267.2200000000003</v>
      </c>
      <c r="AM445" s="284"/>
      <c r="AN445" s="282">
        <f t="shared" si="137"/>
        <v>-1157.4300000000003</v>
      </c>
      <c r="AO445" s="289">
        <f t="shared" si="141"/>
        <v>-0.51050625876624245</v>
      </c>
      <c r="AP445" s="246"/>
      <c r="AQ445" s="246"/>
      <c r="AR445" s="246"/>
      <c r="AS445" s="246"/>
      <c r="AT445" s="246"/>
      <c r="AU445" s="246"/>
      <c r="AV445" s="246"/>
      <c r="AW445" s="246"/>
      <c r="AX445" s="246"/>
      <c r="AY445" s="246"/>
      <c r="AZ445" s="246"/>
      <c r="BA445" s="246"/>
      <c r="BB445" s="246"/>
      <c r="BC445" s="246"/>
      <c r="BD445" s="246"/>
      <c r="BE445" s="246"/>
      <c r="BF445" s="246"/>
      <c r="BG445" s="246"/>
      <c r="BH445" s="246"/>
      <c r="BI445" s="246"/>
      <c r="BJ445" s="246"/>
    </row>
    <row r="446" spans="1:62" ht="18">
      <c r="A446" t="str">
        <f t="shared" si="114"/>
        <v>Divers</v>
      </c>
      <c r="B446" s="7"/>
      <c r="C446" s="246"/>
      <c r="D446" s="246"/>
      <c r="E446" s="246"/>
      <c r="F446" s="246"/>
      <c r="G446" s="246"/>
      <c r="H446" s="246"/>
      <c r="I446" s="246"/>
      <c r="J446" s="246"/>
      <c r="K446" s="246"/>
      <c r="L446" s="246"/>
      <c r="M446" s="246"/>
      <c r="N446" s="246"/>
      <c r="O446" s="246"/>
      <c r="P446" s="246"/>
      <c r="Q446" s="310"/>
      <c r="R446" s="246"/>
      <c r="S446" s="246"/>
      <c r="T446" s="246"/>
      <c r="U446" s="246"/>
      <c r="V446" s="102" t="s">
        <v>60</v>
      </c>
      <c r="W446" s="286" t="s">
        <v>154</v>
      </c>
      <c r="X446" s="279"/>
      <c r="Y446" s="287"/>
      <c r="Z446" s="280">
        <f>+SUM(START:END!Z446)</f>
        <v>5574</v>
      </c>
      <c r="AA446" s="279"/>
      <c r="AB446" s="287">
        <f t="shared" si="138"/>
        <v>0</v>
      </c>
      <c r="AC446" s="280">
        <f>+SUM(START:END!AC446)</f>
        <v>0</v>
      </c>
      <c r="AD446" s="288"/>
      <c r="AE446" s="287"/>
      <c r="AF446" s="280">
        <f>+SUM(START:END!AF446)</f>
        <v>5633</v>
      </c>
      <c r="AG446" s="281"/>
      <c r="AH446" s="282">
        <f t="shared" si="133"/>
        <v>59</v>
      </c>
      <c r="AI446" s="306">
        <f t="shared" si="139"/>
        <v>1.0584858270541802E-2</v>
      </c>
      <c r="AJ446" s="288"/>
      <c r="AK446" s="279"/>
      <c r="AL446" s="280">
        <f t="shared" si="140"/>
        <v>5380.6</v>
      </c>
      <c r="AM446" s="284"/>
      <c r="AN446" s="282">
        <f t="shared" si="137"/>
        <v>252.39999999999964</v>
      </c>
      <c r="AO446" s="289">
        <f t="shared" si="141"/>
        <v>4.6909266624539946E-2</v>
      </c>
      <c r="AP446" s="246"/>
      <c r="AQ446" s="246"/>
      <c r="AR446" s="246"/>
      <c r="AS446" s="246"/>
      <c r="AT446" s="246"/>
      <c r="AU446" s="246"/>
      <c r="AV446" s="246"/>
      <c r="AW446" s="246"/>
      <c r="AX446" s="246"/>
      <c r="AY446" s="246"/>
      <c r="AZ446" s="246"/>
      <c r="BA446" s="246"/>
      <c r="BB446" s="246"/>
      <c r="BC446" s="246"/>
      <c r="BD446" s="246"/>
      <c r="BE446" s="246"/>
      <c r="BF446" s="246"/>
      <c r="BG446" s="246"/>
      <c r="BH446" s="246"/>
      <c r="BI446" s="246"/>
      <c r="BJ446" s="246"/>
    </row>
    <row r="447" spans="1:62" ht="18">
      <c r="A447" t="str">
        <f t="shared" si="114"/>
        <v>Formation</v>
      </c>
      <c r="B447" s="7"/>
      <c r="C447" s="246"/>
      <c r="D447" s="246"/>
      <c r="E447" s="246"/>
      <c r="F447" s="246"/>
      <c r="G447" s="246"/>
      <c r="H447" s="246"/>
      <c r="I447" s="246"/>
      <c r="J447" s="246"/>
      <c r="K447" s="246"/>
      <c r="L447" s="246"/>
      <c r="M447" s="246"/>
      <c r="N447" s="246"/>
      <c r="O447" s="246"/>
      <c r="P447" s="246"/>
      <c r="Q447" s="310"/>
      <c r="R447" s="246"/>
      <c r="S447" s="246"/>
      <c r="T447" s="246"/>
      <c r="U447" s="246"/>
      <c r="V447" s="102" t="s">
        <v>61</v>
      </c>
      <c r="W447" s="286" t="s">
        <v>155</v>
      </c>
      <c r="X447" s="279"/>
      <c r="Y447" s="287"/>
      <c r="Z447" s="280">
        <f>+SUM(START:END!Z447)</f>
        <v>7829.703199999999</v>
      </c>
      <c r="AA447" s="279"/>
      <c r="AB447" s="287">
        <f t="shared" si="138"/>
        <v>0</v>
      </c>
      <c r="AC447" s="280">
        <f>+SUM(START:END!AC447)</f>
        <v>0</v>
      </c>
      <c r="AD447" s="288"/>
      <c r="AE447" s="287"/>
      <c r="AF447" s="280">
        <f>+SUM(START:END!AF447)</f>
        <v>5024.0400000000009</v>
      </c>
      <c r="AG447" s="281"/>
      <c r="AH447" s="282">
        <f t="shared" si="133"/>
        <v>-2805.6631999999981</v>
      </c>
      <c r="AI447" s="283">
        <f t="shared" si="139"/>
        <v>-0.35833583066086061</v>
      </c>
      <c r="AJ447" s="288"/>
      <c r="AK447" s="279"/>
      <c r="AL447" s="280">
        <f t="shared" si="140"/>
        <v>8016.7699999999995</v>
      </c>
      <c r="AM447" s="284"/>
      <c r="AN447" s="282">
        <f t="shared" si="137"/>
        <v>-2992.7299999999987</v>
      </c>
      <c r="AO447" s="289">
        <f t="shared" si="141"/>
        <v>-0.37330870163419916</v>
      </c>
      <c r="AP447" s="246"/>
      <c r="AQ447" s="246"/>
      <c r="AR447" s="246"/>
      <c r="AS447" s="246"/>
      <c r="AT447" s="246"/>
      <c r="AU447" s="246"/>
      <c r="AV447" s="246"/>
      <c r="AW447" s="246"/>
      <c r="AX447" s="246"/>
      <c r="AY447" s="246"/>
      <c r="AZ447" s="246"/>
      <c r="BA447" s="246"/>
      <c r="BB447" s="246"/>
      <c r="BC447" s="246"/>
      <c r="BD447" s="246"/>
      <c r="BE447" s="246"/>
      <c r="BF447" s="246"/>
      <c r="BG447" s="246"/>
      <c r="BH447" s="246"/>
      <c r="BI447" s="246"/>
      <c r="BJ447" s="246"/>
    </row>
    <row r="448" spans="1:62" ht="18">
      <c r="A448" t="str">
        <f t="shared" si="114"/>
        <v>Frais bancaires</v>
      </c>
      <c r="B448" s="7"/>
      <c r="C448" s="246"/>
      <c r="D448" s="246"/>
      <c r="E448" s="246"/>
      <c r="F448" s="246"/>
      <c r="G448" s="246"/>
      <c r="H448" s="246"/>
      <c r="I448" s="246"/>
      <c r="J448" s="246"/>
      <c r="K448" s="246"/>
      <c r="L448" s="246"/>
      <c r="M448" s="246"/>
      <c r="N448" s="246"/>
      <c r="O448" s="246"/>
      <c r="P448" s="246"/>
      <c r="Q448" s="310"/>
      <c r="R448" s="246"/>
      <c r="S448" s="246"/>
      <c r="T448" s="246"/>
      <c r="U448" s="246"/>
      <c r="V448" s="102" t="s">
        <v>62</v>
      </c>
      <c r="W448" s="286" t="s">
        <v>156</v>
      </c>
      <c r="X448" s="279"/>
      <c r="Y448" s="287"/>
      <c r="Z448" s="280">
        <f>+SUM(START:END!Z448)</f>
        <v>18355.500070795366</v>
      </c>
      <c r="AA448" s="279"/>
      <c r="AB448" s="287">
        <f t="shared" si="138"/>
        <v>0</v>
      </c>
      <c r="AC448" s="280">
        <f>+SUM(START:END!AC448)</f>
        <v>0</v>
      </c>
      <c r="AD448" s="288"/>
      <c r="AE448" s="287"/>
      <c r="AF448" s="280">
        <f>+SUM(START:END!AF448)</f>
        <v>17013.839999999997</v>
      </c>
      <c r="AG448" s="281"/>
      <c r="AH448" s="282">
        <f t="shared" si="133"/>
        <v>-1341.6600707953694</v>
      </c>
      <c r="AI448" s="283">
        <f t="shared" si="139"/>
        <v>-7.3093081943870666E-2</v>
      </c>
      <c r="AJ448" s="288"/>
      <c r="AK448" s="279"/>
      <c r="AL448" s="280">
        <f>+SUM(START:END!AL448)</f>
        <v>16967.050000000003</v>
      </c>
      <c r="AM448" s="284"/>
      <c r="AN448" s="282">
        <f>AF448-AL448</f>
        <v>46.789999999993597</v>
      </c>
      <c r="AO448" s="289">
        <f>IF(AL448=0,0,AN448/AL448)</f>
        <v>2.7576980087872429E-3</v>
      </c>
      <c r="AP448" s="246"/>
      <c r="AQ448" s="246"/>
      <c r="AR448" s="246"/>
      <c r="AS448" s="246"/>
      <c r="AT448" s="246"/>
      <c r="AU448" s="246"/>
      <c r="AV448" s="246"/>
      <c r="AW448" s="246"/>
      <c r="AX448" s="246"/>
      <c r="AY448" s="246"/>
      <c r="AZ448" s="246"/>
      <c r="BA448" s="246"/>
      <c r="BB448" s="246"/>
      <c r="BC448" s="246"/>
      <c r="BD448" s="246"/>
      <c r="BE448" s="246"/>
      <c r="BF448" s="246"/>
      <c r="BG448" s="246"/>
      <c r="BH448" s="246"/>
      <c r="BI448" s="246"/>
      <c r="BJ448" s="246"/>
    </row>
    <row r="449" spans="1:62" ht="18" hidden="1" customHeight="1">
      <c r="A449" t="str">
        <f t="shared" si="114"/>
        <v>Mitsubishi</v>
      </c>
      <c r="B449" s="7"/>
      <c r="C449" s="246"/>
      <c r="D449" s="246"/>
      <c r="E449" s="246"/>
      <c r="F449" s="246"/>
      <c r="G449" s="246"/>
      <c r="H449" s="246"/>
      <c r="I449" s="246"/>
      <c r="J449" s="246"/>
      <c r="K449" s="246"/>
      <c r="L449" s="246"/>
      <c r="M449" s="246"/>
      <c r="N449" s="246"/>
      <c r="O449" s="246"/>
      <c r="P449" s="246"/>
      <c r="Q449" s="310"/>
      <c r="R449" s="246"/>
      <c r="S449" s="246"/>
      <c r="T449" s="246"/>
      <c r="U449" s="246"/>
      <c r="V449" s="102" t="s">
        <v>202</v>
      </c>
      <c r="W449" s="286"/>
      <c r="X449" s="279"/>
      <c r="Y449" s="287"/>
      <c r="Z449" s="282">
        <f>+SUM(START:END!Z449)</f>
        <v>0</v>
      </c>
      <c r="AA449" s="279"/>
      <c r="AB449" s="279">
        <f t="shared" si="138"/>
        <v>0</v>
      </c>
      <c r="AC449" s="282">
        <f>+SUM(START:END!AC449)</f>
        <v>0</v>
      </c>
      <c r="AD449" s="288"/>
      <c r="AE449" s="287"/>
      <c r="AF449" s="280">
        <f>+SUM(START:END!AF449)</f>
        <v>0</v>
      </c>
      <c r="AG449" s="281"/>
      <c r="AH449" s="282">
        <f t="shared" si="133"/>
        <v>0</v>
      </c>
      <c r="AI449" s="283">
        <f t="shared" si="139"/>
        <v>0</v>
      </c>
      <c r="AJ449" s="288"/>
      <c r="AK449" s="279"/>
      <c r="AL449" s="280">
        <f t="shared" si="140"/>
        <v>0</v>
      </c>
      <c r="AM449" s="284"/>
      <c r="AN449" s="282">
        <f>AF449-AL449</f>
        <v>0</v>
      </c>
      <c r="AO449" s="289">
        <f>IF(AL449=0,0,AN449/AL449)</f>
        <v>0</v>
      </c>
      <c r="AP449" s="246"/>
      <c r="AQ449" s="246"/>
      <c r="AR449" s="246"/>
      <c r="AS449" s="246"/>
      <c r="AT449" s="246"/>
      <c r="AU449" s="246"/>
      <c r="AV449" s="246"/>
      <c r="AW449" s="246"/>
      <c r="AX449" s="246"/>
      <c r="AY449" s="246"/>
      <c r="AZ449" s="246"/>
      <c r="BA449" s="246"/>
      <c r="BB449" s="246"/>
      <c r="BC449" s="246"/>
      <c r="BD449" s="246"/>
      <c r="BE449" s="246"/>
      <c r="BF449" s="246"/>
      <c r="BG449" s="246"/>
      <c r="BH449" s="246"/>
      <c r="BI449" s="246"/>
      <c r="BJ449" s="246"/>
    </row>
    <row r="450" spans="1:62" ht="18" hidden="1" customHeight="1">
      <c r="A450" t="str">
        <f t="shared" si="114"/>
        <v>[...]</v>
      </c>
      <c r="B450" s="7"/>
      <c r="C450" s="246"/>
      <c r="D450" s="246"/>
      <c r="E450" s="246"/>
      <c r="F450" s="246"/>
      <c r="G450" s="246"/>
      <c r="H450" s="246"/>
      <c r="I450" s="246"/>
      <c r="J450" s="246"/>
      <c r="K450" s="246"/>
      <c r="L450" s="246"/>
      <c r="M450" s="246"/>
      <c r="N450" s="246"/>
      <c r="O450" s="246"/>
      <c r="P450" s="246"/>
      <c r="Q450" s="310"/>
      <c r="R450" s="246"/>
      <c r="S450" s="246"/>
      <c r="T450" s="246"/>
      <c r="U450" s="246"/>
      <c r="V450" s="102" t="s">
        <v>19</v>
      </c>
      <c r="W450" s="286"/>
      <c r="X450" s="279"/>
      <c r="Y450" s="287"/>
      <c r="Z450" s="282">
        <f>+SUM(START:END!Z450)</f>
        <v>0</v>
      </c>
      <c r="AA450" s="279"/>
      <c r="AB450" s="279">
        <f t="shared" si="138"/>
        <v>0</v>
      </c>
      <c r="AC450" s="282">
        <f>+SUM(START:END!AC450)</f>
        <v>0</v>
      </c>
      <c r="AD450" s="288"/>
      <c r="AE450" s="287"/>
      <c r="AF450" s="280">
        <f>+SUM(START:END!AF450)</f>
        <v>0</v>
      </c>
      <c r="AG450" s="281"/>
      <c r="AH450" s="282">
        <f t="shared" si="133"/>
        <v>0</v>
      </c>
      <c r="AI450" s="283">
        <f t="shared" si="139"/>
        <v>0</v>
      </c>
      <c r="AJ450" s="288"/>
      <c r="AK450" s="279"/>
      <c r="AL450" s="280"/>
      <c r="AM450" s="284"/>
      <c r="AN450" s="282">
        <f>AF450-AL450</f>
        <v>0</v>
      </c>
      <c r="AO450" s="289">
        <f>IF(AL450=0,0,AN450/AL450)</f>
        <v>0</v>
      </c>
      <c r="AP450" s="246"/>
      <c r="AQ450" s="246"/>
      <c r="AR450" s="246"/>
      <c r="AS450" s="246"/>
      <c r="AT450" s="246"/>
      <c r="AU450" s="246"/>
      <c r="AV450" s="246"/>
      <c r="AW450" s="246"/>
      <c r="AX450" s="246"/>
      <c r="AY450" s="246"/>
      <c r="AZ450" s="246"/>
      <c r="BA450" s="246"/>
      <c r="BB450" s="246"/>
      <c r="BC450" s="246"/>
      <c r="BD450" s="246"/>
      <c r="BE450" s="246"/>
      <c r="BF450" s="246"/>
      <c r="BG450" s="246"/>
      <c r="BH450" s="246"/>
      <c r="BI450" s="246"/>
      <c r="BJ450" s="246"/>
    </row>
    <row r="451" spans="1:62" ht="18" hidden="1" customHeight="1">
      <c r="A451" t="str">
        <f t="shared" si="114"/>
        <v>[...]</v>
      </c>
      <c r="B451" s="7"/>
      <c r="C451" s="246"/>
      <c r="D451" s="246"/>
      <c r="E451" s="246"/>
      <c r="F451" s="246"/>
      <c r="G451" s="246"/>
      <c r="H451" s="246"/>
      <c r="I451" s="246"/>
      <c r="J451" s="246"/>
      <c r="K451" s="246"/>
      <c r="L451" s="246"/>
      <c r="M451" s="246"/>
      <c r="N451" s="246"/>
      <c r="O451" s="246"/>
      <c r="P451" s="329"/>
      <c r="Q451" s="310"/>
      <c r="R451" s="246"/>
      <c r="S451" s="246"/>
      <c r="T451" s="246"/>
      <c r="U451" s="246"/>
      <c r="V451" s="102" t="s">
        <v>19</v>
      </c>
      <c r="W451" s="286"/>
      <c r="X451" s="279"/>
      <c r="Y451" s="287"/>
      <c r="Z451" s="282">
        <f>+SUM(START:END!Z451)</f>
        <v>0</v>
      </c>
      <c r="AA451" s="279"/>
      <c r="AB451" s="279">
        <f t="shared" si="138"/>
        <v>0</v>
      </c>
      <c r="AC451" s="282">
        <f>+SUM(START:END!AC451)</f>
        <v>0</v>
      </c>
      <c r="AD451" s="288"/>
      <c r="AE451" s="287"/>
      <c r="AF451" s="280">
        <f>+SUM(START:END!AF451)</f>
        <v>0</v>
      </c>
      <c r="AG451" s="281"/>
      <c r="AH451" s="282">
        <f t="shared" si="133"/>
        <v>0</v>
      </c>
      <c r="AI451" s="283">
        <f t="shared" si="139"/>
        <v>0</v>
      </c>
      <c r="AJ451" s="288"/>
      <c r="AK451" s="279"/>
      <c r="AL451" s="280"/>
      <c r="AM451" s="284"/>
      <c r="AN451" s="282">
        <f>AF451-AL451</f>
        <v>0</v>
      </c>
      <c r="AO451" s="289">
        <f>IF(AL451=0,0,AN451/AL451)</f>
        <v>0</v>
      </c>
      <c r="AP451" s="246"/>
      <c r="AQ451" s="246"/>
      <c r="AR451" s="246"/>
      <c r="AS451" s="246"/>
      <c r="AT451" s="246"/>
      <c r="AU451" s="246"/>
      <c r="AV451" s="246"/>
      <c r="AW451" s="246"/>
      <c r="AX451" s="246"/>
      <c r="AY451" s="246"/>
      <c r="AZ451" s="246"/>
      <c r="BA451" s="246"/>
      <c r="BB451" s="246"/>
      <c r="BC451" s="246"/>
      <c r="BD451" s="246"/>
      <c r="BE451" s="246"/>
      <c r="BF451" s="246"/>
      <c r="BG451" s="246"/>
      <c r="BH451" s="246"/>
      <c r="BI451" s="246"/>
      <c r="BJ451" s="246"/>
    </row>
    <row r="452" spans="1:62" ht="18">
      <c r="A452" t="str">
        <f t="shared" si="114"/>
        <v>TOTAL SEMI-FIXES</v>
      </c>
      <c r="B452" s="7"/>
      <c r="C452" s="246"/>
      <c r="D452" s="246"/>
      <c r="E452" s="246"/>
      <c r="F452" s="246"/>
      <c r="G452" s="246"/>
      <c r="H452" s="246"/>
      <c r="I452" s="246"/>
      <c r="J452" s="246"/>
      <c r="K452" s="246"/>
      <c r="L452" s="246"/>
      <c r="M452" s="246"/>
      <c r="N452" s="246"/>
      <c r="O452" s="246"/>
      <c r="P452" s="246"/>
      <c r="Q452" s="310"/>
      <c r="R452" s="246"/>
      <c r="S452" s="246"/>
      <c r="T452" s="246"/>
      <c r="U452" s="246"/>
      <c r="V452" s="296" t="s">
        <v>63</v>
      </c>
      <c r="W452" s="330"/>
      <c r="X452" s="298">
        <f>Z452/+Z407</f>
        <v>0.16003142279629587</v>
      </c>
      <c r="Y452" s="297"/>
      <c r="Z452" s="299">
        <f>+SUM(Z434:Z451)</f>
        <v>206237.17147281536</v>
      </c>
      <c r="AA452" s="298" t="e">
        <f>AC452/+AC407</f>
        <v>#DIV/0!</v>
      </c>
      <c r="AB452" s="297"/>
      <c r="AC452" s="299">
        <f>+SUM(START:END!AC451)</f>
        <v>0</v>
      </c>
      <c r="AD452" s="300">
        <f>AF452/AF407</f>
        <v>0.20990209161318399</v>
      </c>
      <c r="AE452" s="297"/>
      <c r="AF452" s="299">
        <f>+SUM(AF434:AF451)</f>
        <v>216877.39</v>
      </c>
      <c r="AG452" s="308"/>
      <c r="AH452" s="302">
        <f>+SUM(AH434:AH451)</f>
        <v>10640.218527184614</v>
      </c>
      <c r="AI452" s="298">
        <f>AH452/Z452</f>
        <v>5.1592147289447908E-2</v>
      </c>
      <c r="AJ452" s="300">
        <f>IF($AL$407=0,0,AL452/$AL$407)</f>
        <v>0.16790813453365669</v>
      </c>
      <c r="AK452" s="298"/>
      <c r="AL452" s="299">
        <f>+SUM(AL434:AL451)</f>
        <v>214242.70999999996</v>
      </c>
      <c r="AM452" s="309"/>
      <c r="AN452" s="302">
        <f>+SUM(AN434:AN451)</f>
        <v>2634.6800000000194</v>
      </c>
      <c r="AO452" s="331">
        <f>IF(AL452=0,0,AN452/AL452)</f>
        <v>1.2297641305974985E-2</v>
      </c>
      <c r="AP452" s="246"/>
      <c r="AQ452" s="246"/>
      <c r="AR452" s="246"/>
      <c r="AS452" s="246"/>
      <c r="AT452" s="246"/>
      <c r="AU452" s="246"/>
      <c r="AV452" s="246"/>
      <c r="AW452" s="246"/>
      <c r="AX452" s="246"/>
      <c r="AY452" s="246"/>
      <c r="AZ452" s="246"/>
      <c r="BA452" s="246"/>
      <c r="BB452" s="246"/>
      <c r="BC452" s="246"/>
      <c r="BD452" s="246"/>
      <c r="BE452" s="246"/>
      <c r="BF452" s="246"/>
      <c r="BG452" s="246"/>
      <c r="BH452" s="246"/>
      <c r="BI452" s="246"/>
      <c r="BJ452" s="246"/>
    </row>
    <row r="453" spans="1:62" ht="18">
      <c r="A453" t="str">
        <f t="shared" si="114"/>
        <v>Loyer</v>
      </c>
      <c r="B453" s="7"/>
      <c r="C453" s="246"/>
      <c r="D453" s="246"/>
      <c r="E453" s="246"/>
      <c r="F453" s="246"/>
      <c r="G453" s="246"/>
      <c r="H453" s="246"/>
      <c r="I453" s="246"/>
      <c r="J453" s="246"/>
      <c r="K453" s="246"/>
      <c r="L453" s="246"/>
      <c r="M453" s="246"/>
      <c r="N453" s="246"/>
      <c r="O453" s="246"/>
      <c r="P453" s="246"/>
      <c r="Q453" s="246"/>
      <c r="R453" s="246"/>
      <c r="S453" s="246"/>
      <c r="T453" s="246"/>
      <c r="U453" s="246"/>
      <c r="V453" s="102" t="s">
        <v>157</v>
      </c>
      <c r="W453" s="286" t="s">
        <v>158</v>
      </c>
      <c r="X453" s="279"/>
      <c r="Y453" s="287"/>
      <c r="Z453" s="280">
        <f>+SUM(START:END!Z453)</f>
        <v>150000</v>
      </c>
      <c r="AA453" s="279"/>
      <c r="AB453" s="287">
        <f t="shared" ref="AB453:AB462" si="142">IF(AC453=0,0,AC453/(G$13+G$97))</f>
        <v>0</v>
      </c>
      <c r="AC453" s="280">
        <f>+SUM(START:END!AC453)</f>
        <v>0</v>
      </c>
      <c r="AD453" s="288"/>
      <c r="AE453" s="287"/>
      <c r="AF453" s="280">
        <f>+SUM(START:END!AF453)</f>
        <v>150000</v>
      </c>
      <c r="AG453" s="281"/>
      <c r="AH453" s="282">
        <f t="shared" ref="AH453:AH461" si="143">AF453-Z453</f>
        <v>0</v>
      </c>
      <c r="AI453" s="283">
        <f t="shared" ref="AI453:AI461" si="144">IF(Z453=0,0,AH453/Z453)</f>
        <v>0</v>
      </c>
      <c r="AJ453" s="288"/>
      <c r="AK453" s="279"/>
      <c r="AL453" s="280">
        <f>+SUM(START:END!AL453)</f>
        <v>150000</v>
      </c>
      <c r="AM453" s="284"/>
      <c r="AN453" s="282">
        <f>AF453-AL453</f>
        <v>0</v>
      </c>
      <c r="AO453" s="289">
        <f t="shared" ref="AO453:AO461" si="145">IF(AL453=0,0,AN453/AL453)</f>
        <v>0</v>
      </c>
      <c r="AP453" s="246"/>
      <c r="AQ453" s="486"/>
      <c r="AR453" s="310"/>
      <c r="AS453" s="246"/>
      <c r="AT453" s="246"/>
      <c r="AU453" s="246"/>
      <c r="AV453" s="246"/>
      <c r="AW453" s="246"/>
      <c r="AX453" s="246"/>
      <c r="AY453" s="246"/>
      <c r="AZ453" s="246"/>
      <c r="BA453" s="246"/>
      <c r="BB453" s="246"/>
      <c r="BC453" s="246"/>
      <c r="BD453" s="246"/>
      <c r="BE453" s="246"/>
      <c r="BF453" s="246"/>
      <c r="BG453" s="246"/>
      <c r="BH453" s="246"/>
      <c r="BI453" s="246"/>
      <c r="BJ453" s="246"/>
    </row>
    <row r="454" spans="1:62" ht="18">
      <c r="A454" t="str">
        <f t="shared" si="114"/>
        <v>Taxes foncières</v>
      </c>
      <c r="B454" s="7"/>
      <c r="C454" s="246"/>
      <c r="D454" s="246"/>
      <c r="E454" s="246"/>
      <c r="F454" s="246"/>
      <c r="G454" s="246"/>
      <c r="H454" s="246"/>
      <c r="I454" s="246"/>
      <c r="J454" s="246"/>
      <c r="K454" s="246"/>
      <c r="L454" s="246"/>
      <c r="M454" s="246"/>
      <c r="N454" s="246"/>
      <c r="O454" s="246"/>
      <c r="P454" s="246"/>
      <c r="Q454" s="246"/>
      <c r="R454" s="246"/>
      <c r="S454" s="246"/>
      <c r="T454" s="246"/>
      <c r="U454" s="246"/>
      <c r="V454" s="102" t="s">
        <v>159</v>
      </c>
      <c r="W454" s="286" t="s">
        <v>160</v>
      </c>
      <c r="X454" s="279"/>
      <c r="Y454" s="287"/>
      <c r="Z454" s="280">
        <f>+SUM(START:END!Z454)</f>
        <v>17616.420000000002</v>
      </c>
      <c r="AA454" s="279"/>
      <c r="AB454" s="287">
        <f t="shared" si="142"/>
        <v>0</v>
      </c>
      <c r="AC454" s="280">
        <f>+SUM(START:END!AC454)</f>
        <v>0</v>
      </c>
      <c r="AD454" s="288"/>
      <c r="AE454" s="287"/>
      <c r="AF454" s="280">
        <f>+SUM(START:END!AF454)</f>
        <v>16606.53</v>
      </c>
      <c r="AG454" s="281"/>
      <c r="AH454" s="282">
        <f t="shared" si="143"/>
        <v>-1009.8900000000031</v>
      </c>
      <c r="AI454" s="283">
        <f t="shared" si="144"/>
        <v>-5.7326630495867094E-2</v>
      </c>
      <c r="AJ454" s="288"/>
      <c r="AK454" s="279"/>
      <c r="AL454" s="280">
        <f>+SUM(START:END!AL454)</f>
        <v>16858.98</v>
      </c>
      <c r="AM454" s="284"/>
      <c r="AN454" s="282">
        <f t="shared" ref="AN454:AN461" si="146">AF454-AL454</f>
        <v>-252.45000000000073</v>
      </c>
      <c r="AO454" s="289">
        <f t="shared" si="145"/>
        <v>-1.4974215521935534E-2</v>
      </c>
      <c r="AP454" s="246"/>
      <c r="AQ454" s="486"/>
      <c r="AR454" s="310"/>
      <c r="AS454" s="246"/>
      <c r="AT454" s="246"/>
      <c r="AU454" s="246"/>
      <c r="AV454" s="246"/>
      <c r="AW454" s="246"/>
      <c r="AX454" s="246"/>
      <c r="AY454" s="246"/>
      <c r="AZ454" s="246"/>
      <c r="BA454" s="246"/>
      <c r="BB454" s="246"/>
      <c r="BC454" s="246"/>
      <c r="BD454" s="246"/>
      <c r="BE454" s="246"/>
      <c r="BF454" s="246"/>
      <c r="BG454" s="246"/>
      <c r="BH454" s="246"/>
      <c r="BI454" s="246"/>
      <c r="BJ454" s="246"/>
    </row>
    <row r="455" spans="1:62" ht="18">
      <c r="A455" t="str">
        <f t="shared" si="114"/>
        <v>Taxes d`affaires</v>
      </c>
      <c r="B455" s="7"/>
      <c r="C455" s="246"/>
      <c r="D455" s="246"/>
      <c r="E455" s="246"/>
      <c r="F455" s="246"/>
      <c r="G455" s="246"/>
      <c r="H455" s="246"/>
      <c r="I455" s="246"/>
      <c r="J455" s="246"/>
      <c r="K455" s="246"/>
      <c r="L455" s="246"/>
      <c r="M455" s="246"/>
      <c r="N455" s="246"/>
      <c r="O455" s="246"/>
      <c r="P455" s="246"/>
      <c r="Q455" s="246"/>
      <c r="R455" s="246"/>
      <c r="S455" s="246"/>
      <c r="T455" s="246"/>
      <c r="U455" s="246"/>
      <c r="V455" s="103" t="s">
        <v>161</v>
      </c>
      <c r="W455" s="290" t="s">
        <v>162</v>
      </c>
      <c r="X455" s="263"/>
      <c r="Y455" s="291"/>
      <c r="Z455" s="264">
        <f>+SUM(START:END!Z455)</f>
        <v>7549.89</v>
      </c>
      <c r="AA455" s="263"/>
      <c r="AB455" s="291">
        <f t="shared" si="142"/>
        <v>0</v>
      </c>
      <c r="AC455" s="264">
        <f>+SUM(START:END!AC455)</f>
        <v>0</v>
      </c>
      <c r="AD455" s="292"/>
      <c r="AE455" s="291"/>
      <c r="AF455" s="264">
        <f>+SUM(START:END!AF455)</f>
        <v>7117.079999999999</v>
      </c>
      <c r="AG455" s="265"/>
      <c r="AH455" s="266">
        <f t="shared" si="143"/>
        <v>-432.81000000000131</v>
      </c>
      <c r="AI455" s="293">
        <f t="shared" si="144"/>
        <v>-5.7326663037474891E-2</v>
      </c>
      <c r="AJ455" s="292"/>
      <c r="AK455" s="263"/>
      <c r="AL455" s="264">
        <f>+SUM(START:END!AL455)</f>
        <v>7225.2899999999991</v>
      </c>
      <c r="AM455" s="268"/>
      <c r="AN455" s="266">
        <f t="shared" si="146"/>
        <v>-108.21000000000004</v>
      </c>
      <c r="AO455" s="269">
        <f t="shared" si="145"/>
        <v>-1.4976561494417532E-2</v>
      </c>
      <c r="AP455" s="246"/>
      <c r="AQ455" s="486"/>
      <c r="AR455" s="310"/>
      <c r="AS455" s="246"/>
      <c r="AT455" s="246"/>
      <c r="AU455" s="246"/>
      <c r="AV455" s="246"/>
      <c r="AW455" s="246"/>
      <c r="AX455" s="246"/>
      <c r="AY455" s="246"/>
      <c r="AZ455" s="246"/>
      <c r="BA455" s="246"/>
      <c r="BB455" s="246"/>
      <c r="BC455" s="246"/>
      <c r="BD455" s="246"/>
      <c r="BE455" s="246"/>
      <c r="BF455" s="246"/>
      <c r="BG455" s="246"/>
      <c r="BH455" s="246"/>
      <c r="BI455" s="246"/>
      <c r="BJ455" s="246"/>
    </row>
    <row r="456" spans="1:62" ht="18">
      <c r="A456" t="str">
        <f t="shared" si="114"/>
        <v>Taxe sur le capital</v>
      </c>
      <c r="B456" s="7"/>
      <c r="C456" s="246"/>
      <c r="D456" s="246"/>
      <c r="E456" s="246"/>
      <c r="F456" s="246"/>
      <c r="G456" s="246"/>
      <c r="H456" s="246"/>
      <c r="I456" s="246"/>
      <c r="J456" s="246"/>
      <c r="K456" s="246"/>
      <c r="L456" s="246"/>
      <c r="M456" s="246"/>
      <c r="N456" s="246"/>
      <c r="O456" s="246"/>
      <c r="P456" s="246"/>
      <c r="Q456" s="246"/>
      <c r="R456" s="246"/>
      <c r="S456" s="246"/>
      <c r="T456" s="246"/>
      <c r="U456" s="246"/>
      <c r="V456" s="102" t="s">
        <v>163</v>
      </c>
      <c r="W456" s="286"/>
      <c r="X456" s="279"/>
      <c r="Y456" s="287"/>
      <c r="Z456" s="280">
        <f>+SUM(START:END!Z456)</f>
        <v>0</v>
      </c>
      <c r="AA456" s="279"/>
      <c r="AB456" s="287">
        <f t="shared" si="142"/>
        <v>0</v>
      </c>
      <c r="AC456" s="280">
        <f>+SUM(START:END!AC456)</f>
        <v>0</v>
      </c>
      <c r="AD456" s="288"/>
      <c r="AE456" s="287"/>
      <c r="AF456" s="280">
        <f>+SUM(START:END!AF456)</f>
        <v>0</v>
      </c>
      <c r="AG456" s="281"/>
      <c r="AH456" s="282">
        <f t="shared" si="143"/>
        <v>0</v>
      </c>
      <c r="AI456" s="283">
        <f t="shared" si="144"/>
        <v>0</v>
      </c>
      <c r="AJ456" s="288"/>
      <c r="AK456" s="279"/>
      <c r="AL456" s="280">
        <f>+SUM(START:END!AL456)</f>
        <v>0</v>
      </c>
      <c r="AM456" s="284"/>
      <c r="AN456" s="282">
        <f t="shared" si="146"/>
        <v>0</v>
      </c>
      <c r="AO456" s="289">
        <f t="shared" si="145"/>
        <v>0</v>
      </c>
      <c r="AP456" s="246"/>
      <c r="AQ456" s="246"/>
      <c r="AR456" s="310"/>
      <c r="AS456" s="246"/>
      <c r="AT456" s="246"/>
      <c r="AU456" s="246"/>
      <c r="AV456" s="246"/>
      <c r="AW456" s="246"/>
      <c r="AX456" s="246"/>
      <c r="AY456" s="246"/>
      <c r="AZ456" s="246"/>
      <c r="BA456" s="246"/>
      <c r="BB456" s="246"/>
      <c r="BC456" s="246"/>
      <c r="BD456" s="246"/>
      <c r="BE456" s="246"/>
      <c r="BF456" s="246"/>
      <c r="BG456" s="246"/>
      <c r="BH456" s="246"/>
      <c r="BI456" s="246"/>
      <c r="BJ456" s="246"/>
    </row>
    <row r="457" spans="1:62" ht="18">
      <c r="A457" t="str">
        <f t="shared" si="114"/>
        <v>Assurances</v>
      </c>
      <c r="B457" s="7"/>
      <c r="C457" s="246"/>
      <c r="D457" s="246"/>
      <c r="E457" s="246"/>
      <c r="F457" s="246"/>
      <c r="G457" s="246"/>
      <c r="H457" s="246"/>
      <c r="I457" s="246"/>
      <c r="J457" s="246"/>
      <c r="K457" s="246"/>
      <c r="L457" s="246"/>
      <c r="M457" s="246"/>
      <c r="N457" s="246"/>
      <c r="O457" s="246"/>
      <c r="P457" s="246"/>
      <c r="Q457" s="246"/>
      <c r="R457" s="246"/>
      <c r="S457" s="246"/>
      <c r="T457" s="246"/>
      <c r="U457" s="246"/>
      <c r="V457" s="103" t="s">
        <v>164</v>
      </c>
      <c r="W457" s="290" t="s">
        <v>165</v>
      </c>
      <c r="X457" s="263"/>
      <c r="Y457" s="291"/>
      <c r="Z457" s="264">
        <f>+SUM(START:END!Z457)</f>
        <v>13049.25</v>
      </c>
      <c r="AA457" s="263"/>
      <c r="AB457" s="291">
        <f t="shared" si="142"/>
        <v>0</v>
      </c>
      <c r="AC457" s="264">
        <f>+SUM(START:END!AC457)</f>
        <v>0</v>
      </c>
      <c r="AD457" s="292"/>
      <c r="AE457" s="291"/>
      <c r="AF457" s="264">
        <f>+SUM(START:END!AF457)</f>
        <v>14362.7</v>
      </c>
      <c r="AG457" s="265"/>
      <c r="AH457" s="266">
        <f t="shared" si="143"/>
        <v>1313.4500000000007</v>
      </c>
      <c r="AI457" s="293">
        <f t="shared" si="144"/>
        <v>0.10065329425062748</v>
      </c>
      <c r="AJ457" s="292"/>
      <c r="AK457" s="263"/>
      <c r="AL457" s="264">
        <f>+SUM(START:END!AL457)</f>
        <v>15051.75</v>
      </c>
      <c r="AM457" s="268"/>
      <c r="AN457" s="266">
        <f t="shared" si="146"/>
        <v>-689.04999999999927</v>
      </c>
      <c r="AO457" s="269">
        <f t="shared" si="145"/>
        <v>-4.5778730048001016E-2</v>
      </c>
      <c r="AP457" s="246"/>
      <c r="AQ457" s="486"/>
      <c r="AR457" s="310"/>
      <c r="AS457" s="246"/>
      <c r="AT457" s="246"/>
      <c r="AU457" s="246"/>
      <c r="AV457" s="246"/>
      <c r="AW457" s="246"/>
      <c r="AX457" s="246"/>
      <c r="AY457" s="246"/>
      <c r="AZ457" s="246"/>
      <c r="BA457" s="246"/>
      <c r="BB457" s="246"/>
      <c r="BC457" s="246"/>
      <c r="BD457" s="246"/>
      <c r="BE457" s="246"/>
      <c r="BF457" s="246"/>
      <c r="BG457" s="246"/>
      <c r="BH457" s="246"/>
      <c r="BI457" s="246"/>
      <c r="BJ457" s="246"/>
    </row>
    <row r="458" spans="1:62" ht="18">
      <c r="A458" t="str">
        <f t="shared" si="114"/>
        <v>Chauffage, éclairage</v>
      </c>
      <c r="B458" s="7"/>
      <c r="C458" s="246"/>
      <c r="D458" s="246"/>
      <c r="E458" s="246"/>
      <c r="F458" s="246"/>
      <c r="G458" s="246"/>
      <c r="H458" s="246"/>
      <c r="I458" s="246"/>
      <c r="J458" s="246"/>
      <c r="K458" s="246"/>
      <c r="L458" s="246"/>
      <c r="M458" s="246"/>
      <c r="N458" s="246"/>
      <c r="O458" s="246"/>
      <c r="P458" s="246"/>
      <c r="Q458" s="246"/>
      <c r="R458" s="246"/>
      <c r="S458" s="246"/>
      <c r="T458" s="246"/>
      <c r="U458" s="246"/>
      <c r="V458" s="102" t="s">
        <v>166</v>
      </c>
      <c r="W458" s="286" t="s">
        <v>167</v>
      </c>
      <c r="X458" s="332"/>
      <c r="Y458" s="333"/>
      <c r="Z458" s="280">
        <f>+SUM(START:END!Z458)</f>
        <v>13800</v>
      </c>
      <c r="AA458" s="332"/>
      <c r="AB458" s="333">
        <f t="shared" si="142"/>
        <v>0</v>
      </c>
      <c r="AC458" s="280">
        <f>+SUM(START:END!AC458)</f>
        <v>0</v>
      </c>
      <c r="AD458" s="288"/>
      <c r="AE458" s="287"/>
      <c r="AF458" s="280">
        <f>+SUM(START:END!AF458)</f>
        <v>12964.74</v>
      </c>
      <c r="AG458" s="281"/>
      <c r="AH458" s="282">
        <f t="shared" si="143"/>
        <v>-835.26000000000022</v>
      </c>
      <c r="AI458" s="283">
        <f t="shared" si="144"/>
        <v>-6.0526086956521757E-2</v>
      </c>
      <c r="AJ458" s="288"/>
      <c r="AK458" s="279"/>
      <c r="AL458" s="280">
        <f>+SUM(START:END!AL458)</f>
        <v>12887.81</v>
      </c>
      <c r="AM458" s="284"/>
      <c r="AN458" s="282">
        <f t="shared" si="146"/>
        <v>76.930000000000291</v>
      </c>
      <c r="AO458" s="289">
        <f t="shared" si="145"/>
        <v>5.9692065603077866E-3</v>
      </c>
      <c r="AP458" s="246"/>
      <c r="AQ458" s="246"/>
      <c r="AR458" s="310"/>
      <c r="AS458" s="246"/>
      <c r="AT458" s="246"/>
      <c r="AU458" s="246"/>
      <c r="AV458" s="246"/>
      <c r="AW458" s="246"/>
      <c r="AX458" s="246"/>
      <c r="AY458" s="246"/>
      <c r="AZ458" s="246"/>
      <c r="BA458" s="246"/>
      <c r="BB458" s="246"/>
      <c r="BC458" s="246"/>
      <c r="BD458" s="246"/>
      <c r="BE458" s="246"/>
      <c r="BF458" s="246"/>
      <c r="BG458" s="246"/>
      <c r="BH458" s="246"/>
      <c r="BI458" s="246"/>
      <c r="BJ458" s="246"/>
    </row>
    <row r="459" spans="1:62" ht="18">
      <c r="A459" t="str">
        <f t="shared" si="114"/>
        <v>Honoraires</v>
      </c>
      <c r="B459" s="7"/>
      <c r="C459" s="246"/>
      <c r="D459" s="246"/>
      <c r="E459" s="246"/>
      <c r="F459" s="246"/>
      <c r="G459" s="246"/>
      <c r="H459" s="246"/>
      <c r="I459" s="246"/>
      <c r="J459" s="246"/>
      <c r="K459" s="246"/>
      <c r="L459" s="246"/>
      <c r="M459" s="246"/>
      <c r="N459" s="246"/>
      <c r="O459" s="246"/>
      <c r="P459" s="246"/>
      <c r="Q459" s="246"/>
      <c r="R459" s="246"/>
      <c r="S459" s="246"/>
      <c r="T459" s="246"/>
      <c r="U459" s="246"/>
      <c r="V459" s="102" t="s">
        <v>168</v>
      </c>
      <c r="W459" s="286" t="s">
        <v>169</v>
      </c>
      <c r="X459" s="279"/>
      <c r="Y459" s="287"/>
      <c r="Z459" s="280">
        <f>+SUM(START:END!Z459)</f>
        <v>19929</v>
      </c>
      <c r="AA459" s="279"/>
      <c r="AB459" s="287">
        <f t="shared" si="142"/>
        <v>0</v>
      </c>
      <c r="AC459" s="280">
        <f>+SUM(START:END!AC459)</f>
        <v>0</v>
      </c>
      <c r="AD459" s="288"/>
      <c r="AE459" s="287"/>
      <c r="AF459" s="280">
        <f>+SUM(START:END!AF459)</f>
        <v>18921.989999999998</v>
      </c>
      <c r="AG459" s="281"/>
      <c r="AH459" s="282">
        <f t="shared" si="143"/>
        <v>-1007.010000000002</v>
      </c>
      <c r="AI459" s="283">
        <f t="shared" si="144"/>
        <v>-5.0529881077826383E-2</v>
      </c>
      <c r="AJ459" s="288"/>
      <c r="AK459" s="279"/>
      <c r="AL459" s="280">
        <f>+SUM(START:END!AL459)</f>
        <v>18921.989999999998</v>
      </c>
      <c r="AM459" s="284"/>
      <c r="AN459" s="282">
        <f t="shared" si="146"/>
        <v>0</v>
      </c>
      <c r="AO459" s="289">
        <f t="shared" si="145"/>
        <v>0</v>
      </c>
      <c r="AP459" s="246"/>
      <c r="AQ459" s="486"/>
      <c r="AR459" s="310"/>
      <c r="AS459" s="246"/>
      <c r="AT459" s="246"/>
      <c r="AU459" s="246"/>
      <c r="AV459" s="246"/>
      <c r="AW459" s="246"/>
      <c r="AX459" s="246"/>
      <c r="AY459" s="246"/>
      <c r="AZ459" s="246"/>
      <c r="BA459" s="246"/>
      <c r="BB459" s="246"/>
      <c r="BC459" s="246"/>
      <c r="BD459" s="246"/>
      <c r="BE459" s="246"/>
      <c r="BF459" s="246"/>
      <c r="BG459" s="246"/>
      <c r="BH459" s="246"/>
      <c r="BI459" s="246"/>
      <c r="BJ459" s="246"/>
    </row>
    <row r="460" spans="1:62" ht="18">
      <c r="A460" t="str">
        <f t="shared" si="114"/>
        <v>Réparation équipement</v>
      </c>
      <c r="B460" s="7"/>
      <c r="C460" s="246"/>
      <c r="D460" s="246"/>
      <c r="E460" s="246"/>
      <c r="F460" s="246"/>
      <c r="G460" s="246"/>
      <c r="H460" s="246"/>
      <c r="I460" s="246"/>
      <c r="J460" s="246"/>
      <c r="K460" s="246"/>
      <c r="L460" s="246"/>
      <c r="M460" s="246"/>
      <c r="N460" s="246"/>
      <c r="O460" s="246"/>
      <c r="P460" s="246"/>
      <c r="Q460" s="246"/>
      <c r="R460" s="246"/>
      <c r="S460" s="246"/>
      <c r="T460" s="246"/>
      <c r="U460" s="246"/>
      <c r="V460" s="103" t="s">
        <v>170</v>
      </c>
      <c r="W460" s="290" t="s">
        <v>171</v>
      </c>
      <c r="X460" s="263"/>
      <c r="Y460" s="291"/>
      <c r="Z460" s="264">
        <f>+SUM(START:END!Z460)</f>
        <v>1500</v>
      </c>
      <c r="AA460" s="263"/>
      <c r="AB460" s="291">
        <f t="shared" si="142"/>
        <v>0</v>
      </c>
      <c r="AC460" s="264">
        <f>+SUM(START:END!AC460)</f>
        <v>0</v>
      </c>
      <c r="AD460" s="292"/>
      <c r="AE460" s="291"/>
      <c r="AF460" s="264">
        <f>+SUM(START:END!AF460)</f>
        <v>868.55</v>
      </c>
      <c r="AG460" s="265"/>
      <c r="AH460" s="266">
        <f t="shared" si="143"/>
        <v>-631.45000000000005</v>
      </c>
      <c r="AI460" s="293">
        <f t="shared" si="144"/>
        <v>-0.42096666666666671</v>
      </c>
      <c r="AJ460" s="292"/>
      <c r="AK460" s="263"/>
      <c r="AL460" s="264">
        <f>+SUM(START:END!AL460)</f>
        <v>1500</v>
      </c>
      <c r="AM460" s="268"/>
      <c r="AN460" s="266">
        <f t="shared" si="146"/>
        <v>-631.45000000000005</v>
      </c>
      <c r="AO460" s="269">
        <f t="shared" si="145"/>
        <v>-0.42096666666666671</v>
      </c>
      <c r="AP460" s="246"/>
      <c r="AQ460" s="246"/>
      <c r="AR460" s="310"/>
      <c r="AS460" s="246"/>
      <c r="AT460" s="246"/>
      <c r="AU460" s="246"/>
      <c r="AV460" s="246"/>
      <c r="AW460" s="246"/>
      <c r="AX460" s="246"/>
      <c r="AY460" s="246"/>
      <c r="AZ460" s="246"/>
      <c r="BA460" s="246"/>
      <c r="BB460" s="246"/>
      <c r="BC460" s="246"/>
      <c r="BD460" s="246"/>
      <c r="BE460" s="246"/>
      <c r="BF460" s="246"/>
      <c r="BG460" s="246"/>
      <c r="BH460" s="246"/>
      <c r="BI460" s="246"/>
      <c r="BJ460" s="246"/>
    </row>
    <row r="461" spans="1:62" ht="18">
      <c r="A461" t="str">
        <f t="shared" si="114"/>
        <v>Location équipement</v>
      </c>
      <c r="B461" s="7"/>
      <c r="C461" s="246"/>
      <c r="D461" s="246"/>
      <c r="E461" s="246"/>
      <c r="F461" s="246"/>
      <c r="G461" s="246"/>
      <c r="H461" s="246"/>
      <c r="I461" s="246"/>
      <c r="J461" s="246"/>
      <c r="K461" s="246"/>
      <c r="L461" s="246"/>
      <c r="M461" s="246"/>
      <c r="N461" s="246"/>
      <c r="O461" s="246"/>
      <c r="P461" s="246"/>
      <c r="Q461" s="246"/>
      <c r="R461" s="246"/>
      <c r="S461" s="246"/>
      <c r="T461" s="246"/>
      <c r="U461" s="334"/>
      <c r="V461" s="102" t="s">
        <v>172</v>
      </c>
      <c r="W461" s="286" t="s">
        <v>173</v>
      </c>
      <c r="X461" s="279"/>
      <c r="Y461" s="287"/>
      <c r="Z461" s="280">
        <f>+SUM(START:END!Z461)</f>
        <v>825</v>
      </c>
      <c r="AA461" s="279"/>
      <c r="AB461" s="287">
        <f t="shared" si="142"/>
        <v>0</v>
      </c>
      <c r="AC461" s="280">
        <f>+SUM(START:END!AC461)</f>
        <v>0</v>
      </c>
      <c r="AD461" s="288"/>
      <c r="AE461" s="287"/>
      <c r="AF461" s="280">
        <f>+SUM(START:END!AF461)</f>
        <v>521.88</v>
      </c>
      <c r="AG461" s="281"/>
      <c r="AH461" s="282">
        <f t="shared" si="143"/>
        <v>-303.12</v>
      </c>
      <c r="AI461" s="335">
        <f t="shared" si="144"/>
        <v>-0.36741818181818181</v>
      </c>
      <c r="AJ461" s="279"/>
      <c r="AK461" s="279"/>
      <c r="AL461" s="280">
        <f>+SUM(START:END!AL461)</f>
        <v>685.87999999999897</v>
      </c>
      <c r="AM461" s="284"/>
      <c r="AN461" s="282">
        <f t="shared" si="146"/>
        <v>-163.99999999999898</v>
      </c>
      <c r="AO461" s="289">
        <f t="shared" si="145"/>
        <v>-0.23910888202017733</v>
      </c>
      <c r="AP461" s="246"/>
      <c r="AQ461" s="246"/>
      <c r="AR461" s="310"/>
      <c r="AS461" s="246"/>
      <c r="AT461" s="246"/>
      <c r="AU461" s="246"/>
      <c r="AV461" s="246"/>
      <c r="AW461" s="246"/>
      <c r="AX461" s="246"/>
      <c r="AY461" s="246"/>
      <c r="AZ461" s="246"/>
      <c r="BA461" s="246"/>
      <c r="BB461" s="246"/>
      <c r="BC461" s="246"/>
      <c r="BD461" s="246"/>
      <c r="BE461" s="246"/>
      <c r="BF461" s="246"/>
      <c r="BG461" s="246"/>
      <c r="BH461" s="246"/>
      <c r="BI461" s="246"/>
      <c r="BJ461" s="246"/>
    </row>
    <row r="462" spans="1:62" ht="18">
      <c r="A462" t="str">
        <f t="shared" si="114"/>
        <v>Dons</v>
      </c>
      <c r="B462" s="7"/>
      <c r="C462" s="246"/>
      <c r="D462" s="246"/>
      <c r="E462" s="246"/>
      <c r="F462" s="246"/>
      <c r="G462" s="246"/>
      <c r="H462" s="246"/>
      <c r="I462" s="246"/>
      <c r="J462" s="246"/>
      <c r="K462" s="246"/>
      <c r="L462" s="246"/>
      <c r="M462" s="246"/>
      <c r="N462" s="246"/>
      <c r="O462" s="246"/>
      <c r="P462" s="246"/>
      <c r="Q462" s="246"/>
      <c r="R462" s="246"/>
      <c r="S462" s="246"/>
      <c r="T462" s="246"/>
      <c r="U462" s="334"/>
      <c r="V462" s="102" t="s">
        <v>174</v>
      </c>
      <c r="W462" s="286" t="s">
        <v>175</v>
      </c>
      <c r="X462" s="279"/>
      <c r="Y462" s="287"/>
      <c r="Z462" s="280">
        <f>+SUM(START:END!Z462)</f>
        <v>0</v>
      </c>
      <c r="AA462" s="279"/>
      <c r="AB462" s="287">
        <f t="shared" si="142"/>
        <v>0</v>
      </c>
      <c r="AC462" s="280">
        <f>+SUM(START:END!AC462)</f>
        <v>0</v>
      </c>
      <c r="AD462" s="288"/>
      <c r="AE462" s="287"/>
      <c r="AF462" s="280">
        <f>+SUM(START:END!AF462)</f>
        <v>0</v>
      </c>
      <c r="AG462" s="281"/>
      <c r="AH462" s="282">
        <v>0</v>
      </c>
      <c r="AI462" s="306">
        <v>0</v>
      </c>
      <c r="AJ462" s="279"/>
      <c r="AK462" s="279"/>
      <c r="AL462" s="280">
        <f>+SUM(START:END!AL462)</f>
        <v>0</v>
      </c>
      <c r="AM462" s="284"/>
      <c r="AN462" s="282">
        <v>0</v>
      </c>
      <c r="AO462" s="289">
        <v>0</v>
      </c>
      <c r="AP462" s="246"/>
      <c r="AQ462" s="246"/>
      <c r="AR462" s="246"/>
      <c r="AS462" s="246"/>
      <c r="AT462" s="246"/>
      <c r="AU462" s="246"/>
      <c r="AV462" s="246"/>
      <c r="AW462" s="246"/>
      <c r="AX462" s="246"/>
      <c r="AY462" s="246"/>
      <c r="AZ462" s="246"/>
      <c r="BA462" s="246"/>
      <c r="BB462" s="246"/>
      <c r="BC462" s="246"/>
      <c r="BD462" s="246"/>
      <c r="BE462" s="246"/>
      <c r="BF462" s="246"/>
      <c r="BG462" s="246"/>
      <c r="BH462" s="246"/>
      <c r="BI462" s="246"/>
      <c r="BJ462" s="246"/>
    </row>
    <row r="463" spans="1:62" ht="18" hidden="1" customHeight="1">
      <c r="A463" t="str">
        <f t="shared" si="114"/>
        <v>[...]</v>
      </c>
      <c r="B463" s="7"/>
      <c r="C463" s="246"/>
      <c r="D463" s="246"/>
      <c r="E463" s="246"/>
      <c r="F463" s="246"/>
      <c r="G463" s="246"/>
      <c r="H463" s="246"/>
      <c r="I463" s="246"/>
      <c r="J463" s="246"/>
      <c r="K463" s="246"/>
      <c r="L463" s="246"/>
      <c r="M463" s="246"/>
      <c r="N463" s="246"/>
      <c r="O463" s="246"/>
      <c r="P463" s="246"/>
      <c r="Q463" s="246"/>
      <c r="R463" s="246"/>
      <c r="S463" s="246"/>
      <c r="T463" s="246"/>
      <c r="U463" s="334"/>
      <c r="V463" s="102" t="s">
        <v>19</v>
      </c>
      <c r="W463" s="286"/>
      <c r="X463" s="279"/>
      <c r="Y463" s="287"/>
      <c r="Z463" s="282">
        <f>+SUM(START:END!Z462)</f>
        <v>0</v>
      </c>
      <c r="AA463" s="279"/>
      <c r="AB463" s="279"/>
      <c r="AC463" s="282">
        <f>+SUM(START:END!AC462)</f>
        <v>0</v>
      </c>
      <c r="AD463" s="288"/>
      <c r="AE463" s="287"/>
      <c r="AF463" s="280">
        <f>+SUM(START:END!AF462)</f>
        <v>0</v>
      </c>
      <c r="AG463" s="281"/>
      <c r="AH463" s="282">
        <f>AF463-Z463</f>
        <v>0</v>
      </c>
      <c r="AI463" s="283">
        <f>IF(Z463=0,0,AH463/Z463)</f>
        <v>0</v>
      </c>
      <c r="AJ463" s="288"/>
      <c r="AK463" s="279"/>
      <c r="AL463" s="280">
        <f>+SUM(START:END!AL463)</f>
        <v>0</v>
      </c>
      <c r="AM463" s="284"/>
      <c r="AN463" s="282">
        <v>0</v>
      </c>
      <c r="AO463" s="289">
        <v>1</v>
      </c>
      <c r="AP463" s="246"/>
      <c r="AQ463" s="246"/>
      <c r="AR463" s="246"/>
      <c r="AS463" s="246"/>
      <c r="AT463" s="246"/>
      <c r="AU463" s="246"/>
      <c r="AV463" s="246"/>
      <c r="AW463" s="246"/>
      <c r="AX463" s="246"/>
      <c r="AY463" s="246"/>
      <c r="AZ463" s="246"/>
      <c r="BA463" s="246"/>
      <c r="BB463" s="246"/>
      <c r="BC463" s="246"/>
      <c r="BD463" s="246"/>
      <c r="BE463" s="246"/>
      <c r="BF463" s="246"/>
      <c r="BG463" s="246"/>
      <c r="BH463" s="246"/>
      <c r="BI463" s="246"/>
      <c r="BJ463" s="246"/>
    </row>
    <row r="464" spans="1:62" ht="18" hidden="1" customHeight="1">
      <c r="A464" t="str">
        <f t="shared" si="114"/>
        <v>[...]</v>
      </c>
      <c r="B464" s="7"/>
      <c r="C464" s="246"/>
      <c r="D464" s="246"/>
      <c r="E464" s="246"/>
      <c r="F464" s="246"/>
      <c r="G464" s="246"/>
      <c r="H464" s="246"/>
      <c r="I464" s="246"/>
      <c r="J464" s="246"/>
      <c r="K464" s="246"/>
      <c r="L464" s="246"/>
      <c r="M464" s="246"/>
      <c r="N464" s="246"/>
      <c r="O464" s="246"/>
      <c r="P464" s="246"/>
      <c r="Q464" s="246"/>
      <c r="R464" s="246"/>
      <c r="S464" s="246"/>
      <c r="T464" s="246"/>
      <c r="U464" s="334"/>
      <c r="V464" s="102" t="s">
        <v>19</v>
      </c>
      <c r="W464" s="286"/>
      <c r="X464" s="279"/>
      <c r="Y464" s="287"/>
      <c r="Z464" s="282">
        <f>+SUM(START:END!Z463)</f>
        <v>0</v>
      </c>
      <c r="AA464" s="279"/>
      <c r="AB464" s="279"/>
      <c r="AC464" s="282">
        <f>+SUM(START:END!AC463)</f>
        <v>0</v>
      </c>
      <c r="AD464" s="288"/>
      <c r="AE464" s="287"/>
      <c r="AF464" s="280">
        <f>+SUM(START:END!AF463)</f>
        <v>0</v>
      </c>
      <c r="AG464" s="281"/>
      <c r="AH464" s="282">
        <f>AF464-Z464</f>
        <v>0</v>
      </c>
      <c r="AI464" s="283">
        <f>IF(Z464=0,0,AH464/Z464)</f>
        <v>0</v>
      </c>
      <c r="AJ464" s="288"/>
      <c r="AK464" s="279"/>
      <c r="AL464" s="280">
        <f>+SUM(START:END!AL464)</f>
        <v>0</v>
      </c>
      <c r="AM464" s="284"/>
      <c r="AN464" s="282">
        <v>0</v>
      </c>
      <c r="AO464" s="289">
        <v>2</v>
      </c>
      <c r="AP464" s="246"/>
      <c r="AQ464" s="246"/>
      <c r="AR464" s="246"/>
      <c r="AS464" s="246"/>
      <c r="AT464" s="246"/>
      <c r="AU464" s="246"/>
      <c r="AV464" s="246"/>
      <c r="AW464" s="246"/>
      <c r="AX464" s="246"/>
      <c r="AY464" s="246"/>
      <c r="AZ464" s="246"/>
      <c r="BA464" s="246"/>
      <c r="BB464" s="246"/>
      <c r="BC464" s="246"/>
      <c r="BD464" s="246"/>
      <c r="BE464" s="246"/>
      <c r="BF464" s="246"/>
      <c r="BG464" s="246"/>
      <c r="BH464" s="246"/>
      <c r="BI464" s="246"/>
      <c r="BJ464" s="246"/>
    </row>
    <row r="465" spans="1:62" ht="18" hidden="1" customHeight="1">
      <c r="A465" t="str">
        <f t="shared" si="114"/>
        <v>[...]</v>
      </c>
      <c r="B465" s="7"/>
      <c r="C465" s="246"/>
      <c r="D465" s="246"/>
      <c r="E465" s="246"/>
      <c r="F465" s="246"/>
      <c r="G465" s="246"/>
      <c r="H465" s="246"/>
      <c r="I465" s="246"/>
      <c r="J465" s="246"/>
      <c r="K465" s="246"/>
      <c r="L465" s="246"/>
      <c r="M465" s="246"/>
      <c r="N465" s="246"/>
      <c r="O465" s="246"/>
      <c r="P465" s="246"/>
      <c r="Q465" s="246"/>
      <c r="R465" s="246"/>
      <c r="S465" s="246"/>
      <c r="T465" s="246"/>
      <c r="U465" s="246"/>
      <c r="V465" s="102" t="s">
        <v>19</v>
      </c>
      <c r="W465" s="286"/>
      <c r="X465" s="279"/>
      <c r="Y465" s="287"/>
      <c r="Z465" s="282">
        <f>+SUM(START:END!Z464)</f>
        <v>0</v>
      </c>
      <c r="AA465" s="279"/>
      <c r="AB465" s="279"/>
      <c r="AC465" s="282">
        <f>+SUM(START:END!AC464)</f>
        <v>0</v>
      </c>
      <c r="AD465" s="288"/>
      <c r="AE465" s="287"/>
      <c r="AF465" s="280">
        <f>+SUM(START:END!AF464)</f>
        <v>0</v>
      </c>
      <c r="AG465" s="281"/>
      <c r="AH465" s="282">
        <f>AF465-Z465</f>
        <v>0</v>
      </c>
      <c r="AI465" s="283">
        <f>IF(Z465=0,0,AH465/Z465)</f>
        <v>0</v>
      </c>
      <c r="AJ465" s="288"/>
      <c r="AK465" s="279"/>
      <c r="AL465" s="280">
        <f>+SUM(START:END!AL465)</f>
        <v>0</v>
      </c>
      <c r="AM465" s="284"/>
      <c r="AN465" s="282">
        <v>0</v>
      </c>
      <c r="AO465" s="289">
        <v>3</v>
      </c>
      <c r="AP465" s="246"/>
      <c r="AQ465" s="246"/>
      <c r="AR465" s="246"/>
      <c r="AS465" s="246"/>
      <c r="AT465" s="246"/>
      <c r="AU465" s="246"/>
      <c r="AV465" s="246"/>
      <c r="AW465" s="246"/>
      <c r="AX465" s="246"/>
      <c r="AY465" s="246"/>
      <c r="AZ465" s="246"/>
      <c r="BA465" s="246"/>
      <c r="BB465" s="246"/>
      <c r="BC465" s="246"/>
      <c r="BD465" s="246"/>
      <c r="BE465" s="246"/>
      <c r="BF465" s="246"/>
      <c r="BG465" s="246"/>
      <c r="BH465" s="246"/>
      <c r="BI465" s="246"/>
      <c r="BJ465" s="246"/>
    </row>
    <row r="466" spans="1:62" ht="18">
      <c r="A466" t="str">
        <f t="shared" si="114"/>
        <v>TOTAL DÉPENSES FIXES</v>
      </c>
      <c r="B466" s="7"/>
      <c r="C466" s="246"/>
      <c r="D466" s="246"/>
      <c r="E466" s="246"/>
      <c r="F466" s="246"/>
      <c r="G466" s="246"/>
      <c r="H466" s="246"/>
      <c r="I466" s="246"/>
      <c r="J466" s="246"/>
      <c r="K466" s="246"/>
      <c r="L466" s="246"/>
      <c r="M466" s="246"/>
      <c r="N466" s="246"/>
      <c r="O466" s="246"/>
      <c r="P466" s="246"/>
      <c r="Q466" s="246"/>
      <c r="R466" s="246"/>
      <c r="S466" s="246"/>
      <c r="T466" s="246"/>
      <c r="U466" s="246"/>
      <c r="V466" s="296" t="s">
        <v>176</v>
      </c>
      <c r="W466" s="297"/>
      <c r="X466" s="298">
        <f>Z466/+Z407</f>
        <v>0.17402380240377774</v>
      </c>
      <c r="Y466" s="297"/>
      <c r="Z466" s="299">
        <f>SUM(Z453:Z465)</f>
        <v>224269.56000000003</v>
      </c>
      <c r="AA466" s="298" t="e">
        <f>AC466/+AC407</f>
        <v>#DIV/0!</v>
      </c>
      <c r="AB466" s="297"/>
      <c r="AC466" s="299">
        <f>SUM(AC453:AC465)</f>
        <v>0</v>
      </c>
      <c r="AD466" s="300">
        <f>AF466/AF407</f>
        <v>0.21424388849272069</v>
      </c>
      <c r="AE466" s="297"/>
      <c r="AF466" s="299">
        <f>SUM(AF453:AF465)</f>
        <v>221363.46999999997</v>
      </c>
      <c r="AG466" s="308"/>
      <c r="AH466" s="302">
        <f>SUM(AH453:AH465)</f>
        <v>-2906.0900000000056</v>
      </c>
      <c r="AI466" s="298">
        <f>IF(Z466=0,0,AH466/Z466)</f>
        <v>-1.2958022479733787E-2</v>
      </c>
      <c r="AJ466" s="300">
        <f>IF($AL$407=0,0,AL466/$AL$407)</f>
        <v>0.17487469002946954</v>
      </c>
      <c r="AK466" s="298"/>
      <c r="AL466" s="299">
        <f>SUM(AL453:AL465)</f>
        <v>223131.7</v>
      </c>
      <c r="AM466" s="309"/>
      <c r="AN466" s="302">
        <f>SUM(AN453:AN465)</f>
        <v>-1768.2299999999987</v>
      </c>
      <c r="AO466" s="331">
        <f t="shared" ref="AO466:AO483" si="147">IF(AL466=0,0,AN466/AL466)</f>
        <v>-7.9246023760855076E-3</v>
      </c>
      <c r="AP466" s="246"/>
      <c r="AQ466" s="246"/>
      <c r="AR466" s="246"/>
      <c r="AS466" s="246"/>
      <c r="AT466" s="246"/>
      <c r="AU466" s="246"/>
      <c r="AV466" s="246"/>
      <c r="AW466" s="246"/>
      <c r="AX466" s="246"/>
      <c r="AY466" s="246"/>
      <c r="AZ466" s="246"/>
      <c r="BA466" s="246"/>
      <c r="BB466" s="246"/>
      <c r="BC466" s="246"/>
      <c r="BD466" s="246"/>
      <c r="BE466" s="246"/>
      <c r="BF466" s="246"/>
      <c r="BG466" s="246"/>
      <c r="BH466" s="246"/>
      <c r="BI466" s="246"/>
      <c r="BJ466" s="246"/>
    </row>
    <row r="467" spans="1:62" ht="18">
      <c r="A467" t="str">
        <f t="shared" si="114"/>
        <v/>
      </c>
      <c r="B467" s="7"/>
      <c r="C467" s="246"/>
      <c r="D467" s="246"/>
      <c r="E467" s="246"/>
      <c r="F467" s="246"/>
      <c r="G467" s="246"/>
      <c r="H467" s="246"/>
      <c r="I467" s="246"/>
      <c r="J467" s="246"/>
      <c r="K467" s="246"/>
      <c r="L467" s="246"/>
      <c r="M467" s="246"/>
      <c r="N467" s="246"/>
      <c r="O467" s="246"/>
      <c r="P467" s="246"/>
      <c r="Q467" s="246"/>
      <c r="R467" s="246"/>
      <c r="S467" s="246"/>
      <c r="T467" s="246"/>
      <c r="U467" s="246"/>
      <c r="V467" s="102"/>
      <c r="W467" s="279"/>
      <c r="X467" s="279"/>
      <c r="Y467" s="279"/>
      <c r="Z467" s="336"/>
      <c r="AA467" s="279"/>
      <c r="AB467" s="279"/>
      <c r="AC467" s="336"/>
      <c r="AD467" s="288"/>
      <c r="AE467" s="279"/>
      <c r="AF467" s="336"/>
      <c r="AG467" s="288"/>
      <c r="AH467" s="282">
        <f t="shared" ref="AH467:AH481" si="148">AF467-Z467</f>
        <v>0</v>
      </c>
      <c r="AI467" s="283"/>
      <c r="AJ467" s="288"/>
      <c r="AK467" s="279"/>
      <c r="AL467" s="336"/>
      <c r="AM467" s="337"/>
      <c r="AN467" s="282">
        <f t="shared" ref="AN467:AN483" si="149">AF467-AL467</f>
        <v>0</v>
      </c>
      <c r="AO467" s="338">
        <f t="shared" si="147"/>
        <v>0</v>
      </c>
      <c r="AP467" s="246"/>
      <c r="AQ467" s="246"/>
      <c r="AR467" s="246"/>
      <c r="AS467" s="246"/>
      <c r="AT467" s="246"/>
      <c r="AU467" s="246"/>
      <c r="AV467" s="246"/>
      <c r="AW467" s="246"/>
      <c r="AX467" s="246"/>
      <c r="AY467" s="246"/>
      <c r="AZ467" s="246"/>
      <c r="BA467" s="246"/>
      <c r="BB467" s="246"/>
      <c r="BC467" s="246"/>
      <c r="BD467" s="246"/>
      <c r="BE467" s="246"/>
      <c r="BF467" s="246"/>
      <c r="BG467" s="246"/>
      <c r="BH467" s="246"/>
      <c r="BI467" s="246"/>
      <c r="BJ467" s="246"/>
    </row>
    <row r="468" spans="1:62" ht="18">
      <c r="A468" t="str">
        <f t="shared" si="114"/>
        <v>TOTAL DES DÉPENSES</v>
      </c>
      <c r="B468" s="7"/>
      <c r="C468" s="246"/>
      <c r="D468" s="246"/>
      <c r="E468" s="246"/>
      <c r="F468" s="246"/>
      <c r="G468" s="246"/>
      <c r="H468" s="246"/>
      <c r="I468" s="246"/>
      <c r="J468" s="246"/>
      <c r="K468" s="246"/>
      <c r="L468" s="246"/>
      <c r="M468" s="246"/>
      <c r="N468" s="246"/>
      <c r="O468" s="246"/>
      <c r="P468" s="246"/>
      <c r="Q468" s="246"/>
      <c r="R468" s="246"/>
      <c r="S468" s="246"/>
      <c r="T468" s="246"/>
      <c r="U468" s="246"/>
      <c r="V468" s="296" t="s">
        <v>64</v>
      </c>
      <c r="W468" s="297"/>
      <c r="X468" s="298">
        <f>Z468/+Z407</f>
        <v>1.0198704207043561</v>
      </c>
      <c r="Y468" s="297"/>
      <c r="Z468" s="299">
        <f>Z419+Z433+Z452+Z466</f>
        <v>1314336.8168549777</v>
      </c>
      <c r="AA468" s="298" t="e">
        <f>AC468/+AC407</f>
        <v>#DIV/0!</v>
      </c>
      <c r="AB468" s="297"/>
      <c r="AC468" s="299">
        <f>AC419+AC433+AC452+AC466</f>
        <v>0</v>
      </c>
      <c r="AD468" s="300">
        <f>AF468/AF407</f>
        <v>1.1818884485873056</v>
      </c>
      <c r="AE468" s="297"/>
      <c r="AF468" s="299">
        <f>AF419+AF433+AF452+AF466</f>
        <v>1221164.02</v>
      </c>
      <c r="AG468" s="308"/>
      <c r="AH468" s="302">
        <f t="shared" si="148"/>
        <v>-93172.796854977729</v>
      </c>
      <c r="AI468" s="298">
        <f>AH468/Z468</f>
        <v>-7.0889589076510134E-2</v>
      </c>
      <c r="AJ468" s="300">
        <f>IF($AL$407=0,0,AL468/$AL$407)</f>
        <v>0.93778792326613913</v>
      </c>
      <c r="AK468" s="298"/>
      <c r="AL468" s="299">
        <f>AL419+AL433+AL452+AL466</f>
        <v>1196572.3199999998</v>
      </c>
      <c r="AM468" s="309"/>
      <c r="AN468" s="302">
        <f t="shared" si="149"/>
        <v>24591.700000000186</v>
      </c>
      <c r="AO468" s="277">
        <f t="shared" si="147"/>
        <v>2.0551787459031468E-2</v>
      </c>
      <c r="AP468" s="310"/>
      <c r="AQ468" s="246"/>
      <c r="AR468" s="246"/>
      <c r="AS468" s="310"/>
      <c r="AT468" s="246"/>
      <c r="AU468" s="246"/>
      <c r="AV468" s="246"/>
      <c r="AW468" s="246"/>
      <c r="AX468" s="246"/>
      <c r="AY468" s="246"/>
      <c r="AZ468" s="246"/>
      <c r="BA468" s="246"/>
      <c r="BB468" s="246"/>
      <c r="BC468" s="246"/>
      <c r="BD468" s="246"/>
      <c r="BE468" s="246"/>
      <c r="BF468" s="246"/>
      <c r="BG468" s="246"/>
      <c r="BH468" s="246"/>
      <c r="BI468" s="246"/>
      <c r="BJ468" s="246"/>
    </row>
    <row r="469" spans="1:62" ht="18">
      <c r="A469" t="str">
        <f t="shared" si="114"/>
        <v>Revenus autres</v>
      </c>
      <c r="B469" s="7"/>
      <c r="C469" s="246"/>
      <c r="D469" s="246"/>
      <c r="E469" s="246"/>
      <c r="F469" s="246"/>
      <c r="G469" s="246"/>
      <c r="H469" s="246"/>
      <c r="I469" s="246"/>
      <c r="J469" s="246"/>
      <c r="K469" s="246"/>
      <c r="L469" s="246"/>
      <c r="M469" s="246"/>
      <c r="N469" s="246"/>
      <c r="O469" s="246"/>
      <c r="P469" s="246"/>
      <c r="Q469" s="246"/>
      <c r="R469" s="246"/>
      <c r="S469" s="246"/>
      <c r="T469" s="246"/>
      <c r="U469" s="246"/>
      <c r="V469" s="102" t="s">
        <v>177</v>
      </c>
      <c r="W469" s="333"/>
      <c r="X469" s="333"/>
      <c r="Y469" s="279"/>
      <c r="Z469" s="313">
        <f>+SUM(START:END!Z469)</f>
        <v>2700</v>
      </c>
      <c r="AA469" s="339"/>
      <c r="AB469" s="340">
        <f t="shared" ref="AB469:AB477" si="150">IF(AC469=0,0,AC469/(G$13+G$97))</f>
        <v>0</v>
      </c>
      <c r="AC469" s="313">
        <f>+SUM(START:END!AC469)</f>
        <v>0</v>
      </c>
      <c r="AD469" s="341"/>
      <c r="AE469" s="340"/>
      <c r="AF469" s="280">
        <f>+SUM(START:END!AF469)</f>
        <v>11062.830000000002</v>
      </c>
      <c r="AG469" s="342"/>
      <c r="AH469" s="282">
        <f t="shared" si="148"/>
        <v>8362.8300000000017</v>
      </c>
      <c r="AI469" s="335">
        <f>IF(AH469=0,0,AH469/Z469)</f>
        <v>3.0973444444444449</v>
      </c>
      <c r="AJ469" s="341"/>
      <c r="AK469" s="339"/>
      <c r="AL469" s="343">
        <f>+SUM(START:END!AL469)</f>
        <v>6999.52</v>
      </c>
      <c r="AM469" s="344"/>
      <c r="AN469" s="282">
        <f t="shared" si="149"/>
        <v>4063.3100000000013</v>
      </c>
      <c r="AO469" s="289">
        <f t="shared" si="147"/>
        <v>0.5805126637255128</v>
      </c>
      <c r="AP469" s="246"/>
      <c r="AQ469" s="246"/>
      <c r="AR469" s="246"/>
      <c r="AS469" s="246"/>
      <c r="AT469" s="246"/>
      <c r="AU469" s="246"/>
      <c r="AV469" s="246"/>
      <c r="AW469" s="246"/>
      <c r="AX469" s="246"/>
      <c r="AY469" s="246"/>
      <c r="AZ469" s="246"/>
      <c r="BA469" s="246"/>
      <c r="BB469" s="246"/>
      <c r="BC469" s="246"/>
      <c r="BD469" s="246"/>
      <c r="BE469" s="246"/>
      <c r="BF469" s="246"/>
      <c r="BG469" s="246"/>
      <c r="BH469" s="246"/>
      <c r="BI469" s="246"/>
      <c r="BJ469" s="246"/>
    </row>
    <row r="470" spans="1:62" ht="18">
      <c r="A470" t="str">
        <f t="shared" si="114"/>
        <v>Holdbacks</v>
      </c>
      <c r="B470" s="7"/>
      <c r="C470" s="246"/>
      <c r="D470" s="246"/>
      <c r="E470" s="246"/>
      <c r="F470" s="246"/>
      <c r="G470" s="246"/>
      <c r="H470" s="246"/>
      <c r="I470" s="246"/>
      <c r="J470" s="246"/>
      <c r="K470" s="246"/>
      <c r="L470" s="246"/>
      <c r="M470" s="246"/>
      <c r="N470" s="246"/>
      <c r="O470" s="246"/>
      <c r="P470" s="246"/>
      <c r="Q470" s="246"/>
      <c r="R470" s="246"/>
      <c r="S470" s="246"/>
      <c r="T470" s="246"/>
      <c r="U470" s="246"/>
      <c r="V470" s="102" t="s">
        <v>66</v>
      </c>
      <c r="W470" s="279"/>
      <c r="X470" s="279"/>
      <c r="Y470" s="279"/>
      <c r="Z470" s="280">
        <f>+SUM(START:END!Z470)</f>
        <v>111491.38092307695</v>
      </c>
      <c r="AA470" s="332"/>
      <c r="AB470" s="333">
        <f t="shared" si="150"/>
        <v>0</v>
      </c>
      <c r="AC470" s="280">
        <f>+SUM(START:END!AC470)</f>
        <v>0</v>
      </c>
      <c r="AD470" s="345"/>
      <c r="AE470" s="333"/>
      <c r="AF470" s="280">
        <f>+SUM(START:END!AF470)</f>
        <v>107698.5</v>
      </c>
      <c r="AG470" s="346"/>
      <c r="AH470" s="282">
        <f t="shared" si="148"/>
        <v>-3792.8809230769548</v>
      </c>
      <c r="AI470" s="306">
        <f>IF(Z470=0,0,AH470/Z470)</f>
        <v>-3.401949901126293E-2</v>
      </c>
      <c r="AJ470" s="345"/>
      <c r="AK470" s="332"/>
      <c r="AL470" s="347">
        <f>+SUM(START:END!AL470)</f>
        <v>118202.6</v>
      </c>
      <c r="AM470" s="348"/>
      <c r="AN470" s="282">
        <f t="shared" si="149"/>
        <v>-10504.100000000006</v>
      </c>
      <c r="AO470" s="289">
        <f t="shared" si="147"/>
        <v>-8.8865219546778201E-2</v>
      </c>
      <c r="AP470" s="246"/>
      <c r="AQ470" s="246"/>
      <c r="AR470" s="246"/>
      <c r="AS470" s="246"/>
      <c r="AT470" s="246"/>
      <c r="AU470" s="246"/>
      <c r="AV470" s="246"/>
      <c r="AW470" s="246"/>
      <c r="AX470" s="246"/>
      <c r="AY470" s="246"/>
      <c r="AZ470" s="246"/>
      <c r="BA470" s="246"/>
      <c r="BB470" s="246"/>
      <c r="BC470" s="246"/>
      <c r="BD470" s="246"/>
      <c r="BE470" s="246"/>
      <c r="BF470" s="246"/>
      <c r="BG470" s="246"/>
      <c r="BH470" s="246"/>
      <c r="BI470" s="246"/>
      <c r="BJ470" s="246"/>
    </row>
    <row r="471" spans="1:62" ht="18">
      <c r="A471" t="str">
        <f t="shared" si="114"/>
        <v>RBSC neuf</v>
      </c>
      <c r="B471" s="7"/>
      <c r="C471" s="246"/>
      <c r="D471" s="246"/>
      <c r="E471" s="246"/>
      <c r="F471" s="246"/>
      <c r="G471" s="246"/>
      <c r="H471" s="246"/>
      <c r="I471" s="246"/>
      <c r="J471" s="246"/>
      <c r="K471" s="246"/>
      <c r="L471" s="246"/>
      <c r="M471" s="246"/>
      <c r="N471" s="246"/>
      <c r="O471" s="246"/>
      <c r="P471" s="246"/>
      <c r="Q471" s="246"/>
      <c r="R471" s="246"/>
      <c r="S471" s="246"/>
      <c r="T471" s="246"/>
      <c r="U471" s="246"/>
      <c r="V471" s="102" t="s">
        <v>216</v>
      </c>
      <c r="W471" s="279"/>
      <c r="X471" s="279"/>
      <c r="Y471" s="279"/>
      <c r="Z471" s="280">
        <f>+SUM(START:END!Z471)</f>
        <v>97554.958307692345</v>
      </c>
      <c r="AA471" s="332"/>
      <c r="AB471" s="333">
        <f t="shared" si="150"/>
        <v>0</v>
      </c>
      <c r="AC471" s="280">
        <f>+SUM(START:END!AC471)</f>
        <v>0</v>
      </c>
      <c r="AD471" s="345"/>
      <c r="AE471" s="333"/>
      <c r="AF471" s="280">
        <f>+SUM(START:END!AF471)</f>
        <v>85982.59</v>
      </c>
      <c r="AG471" s="346"/>
      <c r="AH471" s="282">
        <f t="shared" si="148"/>
        <v>-11572.368307692348</v>
      </c>
      <c r="AI471" s="306">
        <f t="shared" ref="AI471:AI480" si="151">IF(AH471=0,0,AH471/Z471)</f>
        <v>-0.11862409157300466</v>
      </c>
      <c r="AJ471" s="345"/>
      <c r="AK471" s="332"/>
      <c r="AL471" s="347">
        <f>+SUM(START:END!AL471)</f>
        <v>152843.78</v>
      </c>
      <c r="AM471" s="348"/>
      <c r="AN471" s="282">
        <f t="shared" si="149"/>
        <v>-66861.19</v>
      </c>
      <c r="AO471" s="289">
        <f t="shared" si="147"/>
        <v>-0.43744789614598645</v>
      </c>
      <c r="AP471" s="246"/>
      <c r="AQ471" s="246"/>
      <c r="AR471" s="246"/>
      <c r="AS471" s="246"/>
      <c r="AT471" s="246"/>
      <c r="AU471" s="246"/>
      <c r="AV471" s="246"/>
      <c r="AW471" s="246"/>
      <c r="AX471" s="246"/>
      <c r="AY471" s="246"/>
      <c r="AZ471" s="246"/>
      <c r="BA471" s="246"/>
      <c r="BB471" s="246"/>
      <c r="BC471" s="246"/>
      <c r="BD471" s="246"/>
      <c r="BE471" s="246"/>
      <c r="BF471" s="246"/>
      <c r="BG471" s="246"/>
      <c r="BH471" s="246"/>
      <c r="BI471" s="246"/>
      <c r="BJ471" s="246"/>
    </row>
    <row r="472" spans="1:62" ht="18" hidden="1" customHeight="1">
      <c r="A472" t="str">
        <f t="shared" si="114"/>
        <v>Programme neuf 2</v>
      </c>
      <c r="B472" s="7"/>
      <c r="C472" s="246"/>
      <c r="D472" s="246"/>
      <c r="E472" s="246"/>
      <c r="F472" s="246"/>
      <c r="G472" s="246"/>
      <c r="H472" s="246"/>
      <c r="I472" s="246"/>
      <c r="J472" s="246"/>
      <c r="K472" s="246"/>
      <c r="L472" s="246"/>
      <c r="M472" s="246"/>
      <c r="N472" s="246"/>
      <c r="O472" s="246"/>
      <c r="P472" s="246"/>
      <c r="Q472" s="246"/>
      <c r="R472" s="246"/>
      <c r="S472" s="246"/>
      <c r="T472" s="246"/>
      <c r="U472" s="246"/>
      <c r="V472" s="102" t="s">
        <v>188</v>
      </c>
      <c r="W472" s="279"/>
      <c r="X472" s="279"/>
      <c r="Y472" s="279"/>
      <c r="Z472" s="280">
        <f>+SUM(START:END!Z472)</f>
        <v>0</v>
      </c>
      <c r="AA472" s="332"/>
      <c r="AB472" s="333">
        <f t="shared" si="150"/>
        <v>0</v>
      </c>
      <c r="AC472" s="280">
        <f>+SUM(START:END!AC472)</f>
        <v>0</v>
      </c>
      <c r="AD472" s="345"/>
      <c r="AE472" s="333"/>
      <c r="AF472" s="280">
        <f>+SUM(START:END!AF472)</f>
        <v>0</v>
      </c>
      <c r="AG472" s="346"/>
      <c r="AH472" s="282">
        <f t="shared" si="148"/>
        <v>0</v>
      </c>
      <c r="AI472" s="306">
        <f t="shared" si="151"/>
        <v>0</v>
      </c>
      <c r="AJ472" s="345"/>
      <c r="AK472" s="332"/>
      <c r="AL472" s="347">
        <f>+SUM(START:END!AL472)</f>
        <v>0</v>
      </c>
      <c r="AM472" s="348"/>
      <c r="AN472" s="282">
        <f t="shared" si="149"/>
        <v>0</v>
      </c>
      <c r="AO472" s="289">
        <f t="shared" si="147"/>
        <v>0</v>
      </c>
      <c r="AP472" s="246"/>
      <c r="AQ472" s="246"/>
      <c r="AR472" s="246"/>
      <c r="AS472" s="246"/>
      <c r="AT472" s="246"/>
      <c r="AU472" s="246"/>
      <c r="AV472" s="246"/>
      <c r="AW472" s="246"/>
      <c r="AX472" s="246"/>
      <c r="AY472" s="246"/>
      <c r="AZ472" s="246"/>
      <c r="BA472" s="246"/>
      <c r="BB472" s="246"/>
      <c r="BC472" s="246"/>
      <c r="BD472" s="246"/>
      <c r="BE472" s="246"/>
      <c r="BF472" s="246"/>
      <c r="BG472" s="246"/>
      <c r="BH472" s="246"/>
      <c r="BI472" s="246"/>
      <c r="BJ472" s="246"/>
    </row>
    <row r="473" spans="1:62" ht="18" hidden="1" customHeight="1">
      <c r="A473" t="str">
        <f t="shared" si="114"/>
        <v>Programme neuf 3</v>
      </c>
      <c r="B473" s="7"/>
      <c r="C473" s="246"/>
      <c r="D473" s="246"/>
      <c r="E473" s="246"/>
      <c r="F473" s="246"/>
      <c r="G473" s="246"/>
      <c r="H473" s="246"/>
      <c r="I473" s="246"/>
      <c r="J473" s="246"/>
      <c r="K473" s="246"/>
      <c r="L473" s="246"/>
      <c r="M473" s="246"/>
      <c r="N473" s="246"/>
      <c r="O473" s="246"/>
      <c r="P473" s="246"/>
      <c r="Q473" s="246"/>
      <c r="R473" s="246"/>
      <c r="S473" s="246"/>
      <c r="T473" s="246"/>
      <c r="U473" s="246"/>
      <c r="V473" s="102" t="s">
        <v>65</v>
      </c>
      <c r="W473" s="279"/>
      <c r="X473" s="279"/>
      <c r="Y473" s="279"/>
      <c r="Z473" s="280">
        <f>+SUM(START:END!Z473)</f>
        <v>0</v>
      </c>
      <c r="AA473" s="332"/>
      <c r="AB473" s="333">
        <f t="shared" si="150"/>
        <v>0</v>
      </c>
      <c r="AC473" s="280">
        <f>+SUM(START:END!AC473)</f>
        <v>0</v>
      </c>
      <c r="AD473" s="345"/>
      <c r="AE473" s="333"/>
      <c r="AF473" s="280">
        <f>+SUM(START:END!AF473)</f>
        <v>0</v>
      </c>
      <c r="AG473" s="346"/>
      <c r="AH473" s="282">
        <f t="shared" si="148"/>
        <v>0</v>
      </c>
      <c r="AI473" s="306">
        <f t="shared" si="151"/>
        <v>0</v>
      </c>
      <c r="AJ473" s="345"/>
      <c r="AK473" s="332"/>
      <c r="AL473" s="347">
        <f>+SUM(START:END!AL473)</f>
        <v>0</v>
      </c>
      <c r="AM473" s="348"/>
      <c r="AN473" s="282">
        <f t="shared" si="149"/>
        <v>0</v>
      </c>
      <c r="AO473" s="289">
        <f t="shared" si="147"/>
        <v>0</v>
      </c>
      <c r="AP473" s="246"/>
      <c r="AQ473" s="246"/>
      <c r="AR473" s="246"/>
      <c r="AS473" s="246"/>
      <c r="AT473" s="246"/>
      <c r="AU473" s="246"/>
      <c r="AV473" s="246"/>
      <c r="AW473" s="246"/>
      <c r="AX473" s="246"/>
      <c r="AY473" s="246"/>
      <c r="AZ473" s="246"/>
      <c r="BA473" s="246"/>
      <c r="BB473" s="246"/>
      <c r="BC473" s="246"/>
      <c r="BD473" s="246"/>
      <c r="BE473" s="246"/>
      <c r="BF473" s="246"/>
      <c r="BG473" s="246"/>
      <c r="BH473" s="246"/>
      <c r="BI473" s="246"/>
      <c r="BJ473" s="246"/>
    </row>
    <row r="474" spans="1:62" ht="18">
      <c r="A474" t="str">
        <f t="shared" si="114"/>
        <v>RBSC used</v>
      </c>
      <c r="B474" s="7"/>
      <c r="C474" s="246"/>
      <c r="D474" s="246"/>
      <c r="E474" s="246"/>
      <c r="F474" s="246"/>
      <c r="G474" s="246"/>
      <c r="H474" s="246"/>
      <c r="I474" s="246"/>
      <c r="J474" s="246"/>
      <c r="K474" s="246"/>
      <c r="L474" s="246"/>
      <c r="M474" s="246"/>
      <c r="N474" s="246"/>
      <c r="O474" s="246"/>
      <c r="P474" s="246"/>
      <c r="Q474" s="246"/>
      <c r="R474" s="246"/>
      <c r="S474" s="246"/>
      <c r="T474" s="246"/>
      <c r="U474" s="246"/>
      <c r="V474" s="102" t="s">
        <v>218</v>
      </c>
      <c r="W474" s="279"/>
      <c r="X474" s="279"/>
      <c r="Y474" s="279"/>
      <c r="Z474" s="280">
        <f>+SUM(START:END!Z474)</f>
        <v>7875</v>
      </c>
      <c r="AA474" s="332"/>
      <c r="AB474" s="333">
        <f t="shared" si="150"/>
        <v>0</v>
      </c>
      <c r="AC474" s="280">
        <f>+SUM(START:END!AC474)</f>
        <v>0</v>
      </c>
      <c r="AD474" s="345"/>
      <c r="AE474" s="333"/>
      <c r="AF474" s="280">
        <f>+SUM(START:END!AF474)</f>
        <v>0</v>
      </c>
      <c r="AG474" s="346"/>
      <c r="AH474" s="282">
        <f t="shared" si="148"/>
        <v>-7875</v>
      </c>
      <c r="AI474" s="306">
        <f t="shared" si="151"/>
        <v>-1</v>
      </c>
      <c r="AJ474" s="345"/>
      <c r="AK474" s="332"/>
      <c r="AL474" s="347">
        <f>+SUM(START:END!AL474)</f>
        <v>10875</v>
      </c>
      <c r="AM474" s="348"/>
      <c r="AN474" s="282">
        <f t="shared" si="149"/>
        <v>-10875</v>
      </c>
      <c r="AO474" s="289">
        <f t="shared" si="147"/>
        <v>-1</v>
      </c>
      <c r="AP474" s="246"/>
      <c r="AQ474" s="246"/>
      <c r="AR474" s="246"/>
      <c r="AS474" s="246"/>
      <c r="AT474" s="246"/>
      <c r="AU474" s="246"/>
      <c r="AV474" s="246"/>
      <c r="AW474" s="246"/>
      <c r="AX474" s="246"/>
      <c r="AY474" s="246"/>
      <c r="AZ474" s="246"/>
      <c r="BA474" s="246"/>
      <c r="BB474" s="246"/>
      <c r="BC474" s="246"/>
      <c r="BD474" s="246"/>
      <c r="BE474" s="246"/>
      <c r="BF474" s="246"/>
      <c r="BG474" s="246"/>
      <c r="BH474" s="246"/>
      <c r="BI474" s="246"/>
      <c r="BJ474" s="246"/>
    </row>
    <row r="475" spans="1:62" ht="18">
      <c r="A475" t="str">
        <f t="shared" si="114"/>
        <v>Programme 360</v>
      </c>
      <c r="B475" s="7"/>
      <c r="C475" s="246"/>
      <c r="D475" s="246"/>
      <c r="E475" s="246"/>
      <c r="F475" s="246"/>
      <c r="G475" s="246"/>
      <c r="H475" s="246"/>
      <c r="I475" s="246"/>
      <c r="J475" s="246"/>
      <c r="K475" s="246"/>
      <c r="L475" s="246"/>
      <c r="M475" s="246"/>
      <c r="N475" s="246"/>
      <c r="O475" s="246"/>
      <c r="P475" s="246"/>
      <c r="Q475" s="246"/>
      <c r="R475" s="246"/>
      <c r="S475" s="246"/>
      <c r="T475" s="246"/>
      <c r="U475" s="246"/>
      <c r="V475" s="102" t="s">
        <v>219</v>
      </c>
      <c r="W475" s="279"/>
      <c r="X475" s="279"/>
      <c r="Y475" s="279"/>
      <c r="Z475" s="280">
        <f>+SUM(START:END!Z475)</f>
        <v>5292.6470588235297</v>
      </c>
      <c r="AA475" s="332"/>
      <c r="AB475" s="333">
        <f t="shared" si="150"/>
        <v>0</v>
      </c>
      <c r="AC475" s="280">
        <f>+SUM(START:END!AC475)</f>
        <v>0</v>
      </c>
      <c r="AD475" s="345"/>
      <c r="AE475" s="333"/>
      <c r="AF475" s="280">
        <f>+SUM(START:END!AF475)</f>
        <v>0</v>
      </c>
      <c r="AG475" s="346"/>
      <c r="AH475" s="282">
        <f t="shared" si="148"/>
        <v>-5292.6470588235297</v>
      </c>
      <c r="AI475" s="306">
        <f t="shared" si="151"/>
        <v>-1</v>
      </c>
      <c r="AJ475" s="345"/>
      <c r="AK475" s="332"/>
      <c r="AL475" s="347">
        <f>+SUM(START:END!AL475)</f>
        <v>3875</v>
      </c>
      <c r="AM475" s="348"/>
      <c r="AN475" s="282">
        <f t="shared" si="149"/>
        <v>-3875</v>
      </c>
      <c r="AO475" s="289">
        <f t="shared" si="147"/>
        <v>-1</v>
      </c>
      <c r="AP475" s="246"/>
      <c r="AQ475" s="246"/>
      <c r="AR475" s="246"/>
      <c r="AS475" s="246"/>
      <c r="AT475" s="246"/>
      <c r="AU475" s="246"/>
      <c r="AV475" s="246"/>
      <c r="AW475" s="246"/>
      <c r="AX475" s="246"/>
      <c r="AY475" s="246"/>
      <c r="AZ475" s="246"/>
      <c r="BA475" s="246"/>
      <c r="BB475" s="246"/>
      <c r="BC475" s="246"/>
      <c r="BD475" s="246"/>
      <c r="BE475" s="246"/>
      <c r="BF475" s="246"/>
      <c r="BG475" s="246"/>
      <c r="BH475" s="246"/>
      <c r="BI475" s="246"/>
      <c r="BJ475" s="246"/>
    </row>
    <row r="476" spans="1:62" ht="18" hidden="1" customHeight="1">
      <c r="A476" t="str">
        <f t="shared" si="114"/>
        <v>Programme used 3</v>
      </c>
      <c r="B476" s="7"/>
      <c r="C476" s="246"/>
      <c r="D476" s="246"/>
      <c r="E476" s="246"/>
      <c r="F476" s="246"/>
      <c r="G476" s="246"/>
      <c r="H476" s="246"/>
      <c r="I476" s="246"/>
      <c r="J476" s="246"/>
      <c r="K476" s="246"/>
      <c r="L476" s="246"/>
      <c r="M476" s="246"/>
      <c r="N476" s="246"/>
      <c r="O476" s="246"/>
      <c r="P476" s="246"/>
      <c r="Q476" s="246"/>
      <c r="R476" s="246"/>
      <c r="S476" s="246"/>
      <c r="T476" s="246"/>
      <c r="U476" s="246"/>
      <c r="V476" s="102" t="s">
        <v>77</v>
      </c>
      <c r="W476" s="279"/>
      <c r="X476" s="279"/>
      <c r="Y476" s="279"/>
      <c r="Z476" s="280">
        <f>+SUM(START:END!Z476)</f>
        <v>0</v>
      </c>
      <c r="AA476" s="332"/>
      <c r="AB476" s="333">
        <f t="shared" si="150"/>
        <v>0</v>
      </c>
      <c r="AC476" s="280">
        <f>+SUM(START:END!AC476)</f>
        <v>0</v>
      </c>
      <c r="AD476" s="345"/>
      <c r="AE476" s="333"/>
      <c r="AF476" s="280">
        <f>+SUM(START:END!AF476)</f>
        <v>0</v>
      </c>
      <c r="AG476" s="346"/>
      <c r="AH476" s="282">
        <f t="shared" si="148"/>
        <v>0</v>
      </c>
      <c r="AI476" s="306">
        <f t="shared" si="151"/>
        <v>0</v>
      </c>
      <c r="AJ476" s="345"/>
      <c r="AK476" s="332"/>
      <c r="AL476" s="347">
        <f>+SUM(START:END!AL476)</f>
        <v>0</v>
      </c>
      <c r="AM476" s="348"/>
      <c r="AN476" s="282">
        <f t="shared" si="149"/>
        <v>0</v>
      </c>
      <c r="AO476" s="289">
        <f t="shared" si="147"/>
        <v>0</v>
      </c>
      <c r="AP476" s="246"/>
      <c r="AQ476" s="246"/>
      <c r="AR476" s="246"/>
      <c r="AS476" s="246"/>
      <c r="AT476" s="246"/>
      <c r="AU476" s="246"/>
      <c r="AV476" s="246"/>
      <c r="AW476" s="246"/>
      <c r="AX476" s="246"/>
      <c r="AY476" s="246"/>
      <c r="AZ476" s="246"/>
      <c r="BA476" s="246"/>
      <c r="BB476" s="246"/>
      <c r="BC476" s="246"/>
      <c r="BD476" s="246"/>
      <c r="BE476" s="246"/>
      <c r="BF476" s="246"/>
      <c r="BG476" s="246"/>
      <c r="BH476" s="246"/>
      <c r="BI476" s="246"/>
      <c r="BJ476" s="246"/>
    </row>
    <row r="477" spans="1:62" ht="18">
      <c r="A477" t="str">
        <f t="shared" si="114"/>
        <v>Facility Fund</v>
      </c>
      <c r="B477" s="7"/>
      <c r="C477" s="246"/>
      <c r="D477" s="246"/>
      <c r="E477" s="246"/>
      <c r="F477" s="246"/>
      <c r="G477" s="246"/>
      <c r="H477" s="246"/>
      <c r="I477" s="246"/>
      <c r="J477" s="246"/>
      <c r="K477" s="246"/>
      <c r="L477" s="246"/>
      <c r="M477" s="246"/>
      <c r="N477" s="246"/>
      <c r="O477" s="246"/>
      <c r="P477" s="246"/>
      <c r="Q477" s="246"/>
      <c r="R477" s="246"/>
      <c r="S477" s="246"/>
      <c r="T477" s="246"/>
      <c r="U477" s="246"/>
      <c r="V477" s="102" t="s">
        <v>189</v>
      </c>
      <c r="W477" s="279"/>
      <c r="X477" s="279"/>
      <c r="Y477" s="279"/>
      <c r="Z477" s="280">
        <f>+SUM(START:END!Z477)</f>
        <v>58532.974984615401</v>
      </c>
      <c r="AA477" s="332"/>
      <c r="AB477" s="333">
        <f t="shared" si="150"/>
        <v>0</v>
      </c>
      <c r="AC477" s="280">
        <f>+SUM(START:END!AC477)</f>
        <v>0</v>
      </c>
      <c r="AD477" s="345"/>
      <c r="AE477" s="333"/>
      <c r="AF477" s="280">
        <f>+SUM(START:END!AF477)</f>
        <v>53334.92</v>
      </c>
      <c r="AG477" s="346"/>
      <c r="AH477" s="282">
        <f t="shared" si="148"/>
        <v>-5198.0549846154026</v>
      </c>
      <c r="AI477" s="306">
        <f t="shared" si="151"/>
        <v>-8.8805583279880113E-2</v>
      </c>
      <c r="AJ477" s="345"/>
      <c r="AK477" s="332"/>
      <c r="AL477" s="347">
        <f>+SUM(START:END!AL477)</f>
        <v>73493.63</v>
      </c>
      <c r="AM477" s="348"/>
      <c r="AN477" s="282">
        <f t="shared" si="149"/>
        <v>-20158.710000000006</v>
      </c>
      <c r="AO477" s="289">
        <f t="shared" si="147"/>
        <v>-0.27429193523302636</v>
      </c>
      <c r="AP477" s="246"/>
      <c r="AQ477" s="246"/>
      <c r="AR477" s="246"/>
      <c r="AS477" s="246"/>
      <c r="AT477" s="246"/>
      <c r="AU477" s="246"/>
      <c r="AV477" s="246"/>
      <c r="AW477" s="246"/>
      <c r="AX477" s="246"/>
      <c r="AY477" s="246"/>
      <c r="AZ477" s="246"/>
      <c r="BA477" s="246"/>
      <c r="BB477" s="246"/>
      <c r="BC477" s="246"/>
      <c r="BD477" s="246"/>
      <c r="BE477" s="246"/>
      <c r="BF477" s="246"/>
      <c r="BG477" s="246"/>
      <c r="BH477" s="246"/>
      <c r="BI477" s="246"/>
      <c r="BJ477" s="246"/>
    </row>
    <row r="478" spans="1:62" ht="18" hidden="1" customHeight="1">
      <c r="A478" t="str">
        <f t="shared" si="114"/>
        <v>[...]</v>
      </c>
      <c r="B478" s="7"/>
      <c r="C478" s="246"/>
      <c r="D478" s="246"/>
      <c r="E478" s="246"/>
      <c r="F478" s="246"/>
      <c r="G478" s="246"/>
      <c r="H478" s="246"/>
      <c r="I478" s="246"/>
      <c r="J478" s="246"/>
      <c r="K478" s="246"/>
      <c r="L478" s="246"/>
      <c r="M478" s="246"/>
      <c r="N478" s="246"/>
      <c r="O478" s="246"/>
      <c r="P478" s="246"/>
      <c r="Q478" s="246"/>
      <c r="R478" s="246"/>
      <c r="S478" s="246"/>
      <c r="T478" s="246"/>
      <c r="U478" s="246"/>
      <c r="V478" s="102" t="s">
        <v>19</v>
      </c>
      <c r="W478" s="279"/>
      <c r="X478" s="279"/>
      <c r="Y478" s="279"/>
      <c r="Z478" s="282">
        <f>+SUM(START:END!Z478)</f>
        <v>0</v>
      </c>
      <c r="AA478" s="279"/>
      <c r="AB478" s="279">
        <f t="shared" ref="AB478:AB480" si="152">IF(AC478=0,0,AC478/(G$13+G$97))</f>
        <v>0</v>
      </c>
      <c r="AC478" s="282">
        <f>+SUM(START:END!AC478)</f>
        <v>0</v>
      </c>
      <c r="AD478" s="288"/>
      <c r="AE478" s="287"/>
      <c r="AF478" s="280">
        <f>+SUM(START:END!AF478)</f>
        <v>0</v>
      </c>
      <c r="AG478" s="281"/>
      <c r="AH478" s="282">
        <f t="shared" si="148"/>
        <v>0</v>
      </c>
      <c r="AI478" s="283">
        <f t="shared" si="151"/>
        <v>0</v>
      </c>
      <c r="AJ478" s="288"/>
      <c r="AK478" s="279"/>
      <c r="AL478" s="280">
        <f>+SUM(START:END!AL478)</f>
        <v>0</v>
      </c>
      <c r="AM478" s="348"/>
      <c r="AN478" s="282">
        <f t="shared" si="149"/>
        <v>0</v>
      </c>
      <c r="AO478" s="289">
        <f t="shared" si="147"/>
        <v>0</v>
      </c>
      <c r="AP478" s="246"/>
      <c r="AQ478" s="246"/>
      <c r="AR478" s="246"/>
      <c r="AS478" s="246"/>
      <c r="AT478" s="246"/>
      <c r="AU478" s="246"/>
      <c r="AV478" s="246"/>
      <c r="AW478" s="246"/>
      <c r="AX478" s="246"/>
      <c r="AY478" s="246"/>
      <c r="AZ478" s="246"/>
      <c r="BA478" s="246"/>
      <c r="BB478" s="246"/>
      <c r="BC478" s="246"/>
      <c r="BD478" s="246"/>
      <c r="BE478" s="246"/>
      <c r="BF478" s="246"/>
      <c r="BG478" s="246"/>
      <c r="BH478" s="246"/>
      <c r="BI478" s="246"/>
      <c r="BJ478" s="246"/>
    </row>
    <row r="479" spans="1:62" ht="18" hidden="1" customHeight="1">
      <c r="A479" t="str">
        <f t="shared" si="114"/>
        <v>[...]</v>
      </c>
      <c r="B479" s="7"/>
      <c r="C479" s="246"/>
      <c r="D479" s="246"/>
      <c r="E479" s="246"/>
      <c r="F479" s="246"/>
      <c r="G479" s="246"/>
      <c r="H479" s="246"/>
      <c r="I479" s="246"/>
      <c r="J479" s="246"/>
      <c r="K479" s="246"/>
      <c r="L479" s="246"/>
      <c r="M479" s="246"/>
      <c r="N479" s="246"/>
      <c r="O479" s="246"/>
      <c r="P479" s="246"/>
      <c r="Q479" s="246"/>
      <c r="R479" s="246"/>
      <c r="S479" s="246"/>
      <c r="T479" s="246"/>
      <c r="U479" s="246"/>
      <c r="V479" s="102" t="s">
        <v>19</v>
      </c>
      <c r="W479" s="279"/>
      <c r="X479" s="279"/>
      <c r="Y479" s="279"/>
      <c r="Z479" s="282">
        <f>+SUM(START:END!Z479)</f>
        <v>0</v>
      </c>
      <c r="AA479" s="279"/>
      <c r="AB479" s="279">
        <f t="shared" si="152"/>
        <v>0</v>
      </c>
      <c r="AC479" s="282">
        <f>+SUM(START:END!AC479)</f>
        <v>0</v>
      </c>
      <c r="AD479" s="288"/>
      <c r="AE479" s="287"/>
      <c r="AF479" s="280">
        <f>+SUM(START:END!AF479)</f>
        <v>0</v>
      </c>
      <c r="AG479" s="281"/>
      <c r="AH479" s="282">
        <f t="shared" si="148"/>
        <v>0</v>
      </c>
      <c r="AI479" s="283">
        <f t="shared" si="151"/>
        <v>0</v>
      </c>
      <c r="AJ479" s="288"/>
      <c r="AK479" s="279"/>
      <c r="AL479" s="280">
        <f>+SUM(START:END!AL479)</f>
        <v>0</v>
      </c>
      <c r="AM479" s="348"/>
      <c r="AN479" s="282">
        <f t="shared" si="149"/>
        <v>0</v>
      </c>
      <c r="AO479" s="289">
        <f t="shared" si="147"/>
        <v>0</v>
      </c>
      <c r="AP479" s="246"/>
      <c r="AQ479" s="246"/>
      <c r="AR479" s="246"/>
      <c r="AS479" s="246"/>
      <c r="AT479" s="246"/>
      <c r="AU479" s="246"/>
      <c r="AV479" s="246"/>
      <c r="AW479" s="246"/>
      <c r="AX479" s="246"/>
      <c r="AY479" s="246"/>
      <c r="AZ479" s="246"/>
      <c r="BA479" s="246"/>
      <c r="BB479" s="246"/>
      <c r="BC479" s="246"/>
      <c r="BD479" s="246"/>
      <c r="BE479" s="246"/>
      <c r="BF479" s="246"/>
      <c r="BG479" s="246"/>
      <c r="BH479" s="246"/>
      <c r="BI479" s="246"/>
      <c r="BJ479" s="246"/>
    </row>
    <row r="480" spans="1:62" ht="18">
      <c r="A480" t="str">
        <f t="shared" si="114"/>
        <v>Frais administration</v>
      </c>
      <c r="B480" s="7"/>
      <c r="C480" s="246"/>
      <c r="D480" s="246"/>
      <c r="E480" s="246"/>
      <c r="F480" s="246"/>
      <c r="G480" s="246"/>
      <c r="H480" s="246"/>
      <c r="I480" s="246"/>
      <c r="J480" s="246"/>
      <c r="K480" s="246"/>
      <c r="L480" s="246"/>
      <c r="M480" s="246"/>
      <c r="N480" s="246"/>
      <c r="O480" s="246"/>
      <c r="P480" s="246"/>
      <c r="Q480" s="246"/>
      <c r="R480" s="246"/>
      <c r="S480" s="246"/>
      <c r="T480" s="246"/>
      <c r="U480" s="246"/>
      <c r="V480" s="103" t="s">
        <v>67</v>
      </c>
      <c r="W480" s="279"/>
      <c r="X480" s="279"/>
      <c r="Y480" s="279"/>
      <c r="Z480" s="280">
        <f>+SUM(START:END!Z480)</f>
        <v>69728.05</v>
      </c>
      <c r="AA480" s="332"/>
      <c r="AB480" s="333">
        <f t="shared" si="152"/>
        <v>0</v>
      </c>
      <c r="AC480" s="280">
        <f>+SUM(START:END!AC480)</f>
        <v>0</v>
      </c>
      <c r="AD480" s="345"/>
      <c r="AE480" s="333"/>
      <c r="AF480" s="280">
        <f>+SUM(START:END!AF480)</f>
        <v>63070</v>
      </c>
      <c r="AG480" s="346"/>
      <c r="AH480" s="282">
        <f t="shared" si="148"/>
        <v>-6658.0500000000029</v>
      </c>
      <c r="AI480" s="306">
        <f t="shared" si="151"/>
        <v>-9.5485962966123425E-2</v>
      </c>
      <c r="AJ480" s="345"/>
      <c r="AK480" s="332"/>
      <c r="AL480" s="347">
        <f>+SUM(START:END!AL480)</f>
        <v>61880</v>
      </c>
      <c r="AM480" s="348"/>
      <c r="AN480" s="282">
        <f t="shared" si="149"/>
        <v>1190</v>
      </c>
      <c r="AO480" s="289">
        <f t="shared" si="147"/>
        <v>1.9230769230769232E-2</v>
      </c>
      <c r="AP480" s="246"/>
      <c r="AQ480" s="246"/>
      <c r="AR480" s="246"/>
      <c r="AS480" s="246"/>
      <c r="AT480" s="246"/>
      <c r="AU480" s="246"/>
      <c r="AV480" s="246"/>
      <c r="AW480" s="246"/>
      <c r="AX480" s="246"/>
      <c r="AY480" s="246"/>
      <c r="AZ480" s="246"/>
      <c r="BA480" s="246"/>
      <c r="BB480" s="246"/>
      <c r="BC480" s="246"/>
      <c r="BD480" s="246"/>
      <c r="BE480" s="246"/>
      <c r="BF480" s="246"/>
      <c r="BG480" s="246"/>
      <c r="BH480" s="246"/>
      <c r="BI480" s="246"/>
      <c r="BJ480" s="246"/>
    </row>
    <row r="481" spans="1:62" ht="18">
      <c r="A481" t="str">
        <f t="shared" si="114"/>
        <v>TOTAL AUTRES REVENUS</v>
      </c>
      <c r="B481" s="7"/>
      <c r="C481" s="246"/>
      <c r="D481" s="246"/>
      <c r="E481" s="246"/>
      <c r="F481" s="246"/>
      <c r="G481" s="246"/>
      <c r="H481" s="246"/>
      <c r="I481" s="246"/>
      <c r="J481" s="246"/>
      <c r="K481" s="246"/>
      <c r="L481" s="246"/>
      <c r="M481" s="246"/>
      <c r="N481" s="246"/>
      <c r="O481" s="246"/>
      <c r="P481" s="246"/>
      <c r="Q481" s="246"/>
      <c r="R481" s="246"/>
      <c r="S481" s="246"/>
      <c r="T481" s="246"/>
      <c r="U481" s="246"/>
      <c r="V481" s="296" t="s">
        <v>178</v>
      </c>
      <c r="W481" s="297"/>
      <c r="X481" s="298">
        <f>Z481/+Z407</f>
        <v>0.27404904337411989</v>
      </c>
      <c r="Y481" s="330"/>
      <c r="Z481" s="299">
        <f>SUM(Z469:Z480)</f>
        <v>353175.01127420826</v>
      </c>
      <c r="AA481" s="298" t="e">
        <f>AC481/+AC407</f>
        <v>#DIV/0!</v>
      </c>
      <c r="AB481" s="330"/>
      <c r="AC481" s="299">
        <f>SUM(AC469:AC480)</f>
        <v>0</v>
      </c>
      <c r="AD481" s="298">
        <f>AF481/+AF407</f>
        <v>0.31081992103993761</v>
      </c>
      <c r="AE481" s="330"/>
      <c r="AF481" s="299">
        <f>SUM(AF469:AF480)</f>
        <v>321148.83999999997</v>
      </c>
      <c r="AG481" s="308"/>
      <c r="AH481" s="302">
        <f t="shared" si="148"/>
        <v>-32026.171274208289</v>
      </c>
      <c r="AI481" s="298">
        <f>AH481/Z481</f>
        <v>-9.0680739723521614E-2</v>
      </c>
      <c r="AJ481" s="349"/>
      <c r="AK481" s="350"/>
      <c r="AL481" s="299">
        <f>SUM(AL469:AL480)</f>
        <v>428169.53</v>
      </c>
      <c r="AM481" s="351"/>
      <c r="AN481" s="302">
        <f t="shared" si="149"/>
        <v>-107020.69000000006</v>
      </c>
      <c r="AO481" s="331">
        <f t="shared" si="147"/>
        <v>-0.24994933665644087</v>
      </c>
      <c r="AP481" s="246"/>
      <c r="AQ481" s="246"/>
      <c r="AR481" s="246"/>
      <c r="AS481" s="310"/>
      <c r="AT481" s="246"/>
      <c r="AU481" s="246"/>
      <c r="AV481" s="246"/>
      <c r="AW481" s="246"/>
      <c r="AX481" s="246"/>
      <c r="AY481" s="246"/>
      <c r="AZ481" s="246"/>
      <c r="BA481" s="246"/>
      <c r="BB481" s="246"/>
      <c r="BC481" s="246"/>
      <c r="BD481" s="246"/>
      <c r="BE481" s="246"/>
      <c r="BF481" s="246"/>
      <c r="BG481" s="246"/>
      <c r="BH481" s="246"/>
      <c r="BI481" s="246"/>
      <c r="BJ481" s="246"/>
    </row>
    <row r="482" spans="1:62" ht="18.75" thickBot="1">
      <c r="A482" t="str">
        <f t="shared" si="114"/>
        <v/>
      </c>
      <c r="B482" s="7"/>
      <c r="C482" s="246"/>
      <c r="D482" s="246"/>
      <c r="E482" s="246"/>
      <c r="F482" s="246"/>
      <c r="G482" s="246"/>
      <c r="H482" s="246"/>
      <c r="I482" s="246"/>
      <c r="J482" s="246"/>
      <c r="K482" s="246"/>
      <c r="L482" s="246"/>
      <c r="M482" s="246"/>
      <c r="N482" s="246"/>
      <c r="O482" s="246"/>
      <c r="P482" s="246"/>
      <c r="Q482" s="246"/>
      <c r="R482" s="246"/>
      <c r="S482" s="246"/>
      <c r="T482" s="246"/>
      <c r="U482" s="246"/>
      <c r="V482" s="352"/>
      <c r="W482" s="353"/>
      <c r="X482" s="353"/>
      <c r="Y482" s="354"/>
      <c r="Z482" s="355"/>
      <c r="AA482" s="353"/>
      <c r="AB482" s="356"/>
      <c r="AC482" s="355"/>
      <c r="AD482" s="353"/>
      <c r="AE482" s="356"/>
      <c r="AF482" s="357"/>
      <c r="AG482" s="358"/>
      <c r="AH482" s="359"/>
      <c r="AI482" s="360"/>
      <c r="AJ482" s="361"/>
      <c r="AK482" s="362"/>
      <c r="AL482" s="357"/>
      <c r="AM482" s="363"/>
      <c r="AN482" s="359">
        <f t="shared" si="149"/>
        <v>0</v>
      </c>
      <c r="AO482" s="364">
        <f t="shared" si="147"/>
        <v>0</v>
      </c>
      <c r="AP482" s="246"/>
      <c r="AQ482" s="246"/>
      <c r="AR482" s="246"/>
      <c r="AS482" s="246"/>
      <c r="AT482" s="246"/>
      <c r="AU482" s="246"/>
      <c r="AV482" s="246"/>
      <c r="AW482" s="246"/>
      <c r="AX482" s="246"/>
      <c r="AY482" s="246"/>
      <c r="AZ482" s="246"/>
      <c r="BA482" s="246"/>
      <c r="BB482" s="246"/>
      <c r="BC482" s="246"/>
      <c r="BD482" s="246"/>
      <c r="BE482" s="246"/>
      <c r="BF482" s="246"/>
      <c r="BG482" s="246"/>
      <c r="BH482" s="246"/>
      <c r="BI482" s="246"/>
      <c r="BJ482" s="246"/>
    </row>
    <row r="483" spans="1:62" ht="19.5" thickTop="1" thickBot="1">
      <c r="A483" t="str">
        <f t="shared" si="114"/>
        <v>BAIIA OPÉRATIONNEL</v>
      </c>
      <c r="B483" s="7"/>
      <c r="C483" s="246"/>
      <c r="D483" s="246"/>
      <c r="E483" s="246"/>
      <c r="F483" s="246"/>
      <c r="G483" s="246"/>
      <c r="H483" s="246"/>
      <c r="I483" s="246"/>
      <c r="J483" s="246"/>
      <c r="K483" s="246"/>
      <c r="L483" s="246"/>
      <c r="M483" s="246"/>
      <c r="N483" s="246"/>
      <c r="O483" s="246"/>
      <c r="P483" s="246"/>
      <c r="Q483" s="246"/>
      <c r="R483" s="246"/>
      <c r="S483" s="246"/>
      <c r="T483" s="246"/>
      <c r="U483" s="246"/>
      <c r="V483" s="365" t="s">
        <v>179</v>
      </c>
      <c r="W483" s="366"/>
      <c r="X483" s="367" t="s">
        <v>180</v>
      </c>
      <c r="Y483" s="368">
        <f>Z483/Z406</f>
        <v>2.6947062263955667E-2</v>
      </c>
      <c r="Z483" s="369">
        <f>Z407-Z468+Z481</f>
        <v>327567.41939984466</v>
      </c>
      <c r="AA483" s="367" t="s">
        <v>180</v>
      </c>
      <c r="AB483" s="368" t="e">
        <f>AC483/AC406</f>
        <v>#DIV/0!</v>
      </c>
      <c r="AC483" s="369">
        <f>AC407-AC468+AC481</f>
        <v>0</v>
      </c>
      <c r="AD483" s="367" t="s">
        <v>180</v>
      </c>
      <c r="AE483" s="368">
        <f>AF483/AF406</f>
        <v>1.1541384034480689E-2</v>
      </c>
      <c r="AF483" s="370">
        <f>AF407-AF468+AF481</f>
        <v>133216.0199999999</v>
      </c>
      <c r="AG483" s="371"/>
      <c r="AH483" s="370">
        <f>AF483-Z483</f>
        <v>-194351.39939984475</v>
      </c>
      <c r="AI483" s="487">
        <f>AH483/Z483</f>
        <v>-0.59331724673939568</v>
      </c>
      <c r="AJ483" s="373" t="s">
        <v>180</v>
      </c>
      <c r="AK483" s="368">
        <f>IF($AL$406=0,0,AL483/$AL$406)</f>
        <v>4.3374619445616276E-2</v>
      </c>
      <c r="AL483" s="370">
        <f>AL407-AL468+AL481</f>
        <v>507549.14999999851</v>
      </c>
      <c r="AM483" s="374"/>
      <c r="AN483" s="370">
        <f t="shared" si="149"/>
        <v>-374333.12999999861</v>
      </c>
      <c r="AO483" s="375">
        <f t="shared" si="147"/>
        <v>-0.73753079874136274</v>
      </c>
      <c r="AP483" s="246"/>
      <c r="AQ483" s="246"/>
      <c r="AR483" s="310"/>
      <c r="AS483" s="246"/>
      <c r="AT483" s="246"/>
      <c r="AU483" s="246"/>
      <c r="AV483" s="246"/>
      <c r="AW483" s="246"/>
      <c r="AX483" s="246"/>
      <c r="AY483" s="246"/>
      <c r="AZ483" s="246"/>
      <c r="BA483" s="246"/>
      <c r="BB483" s="246"/>
      <c r="BC483" s="246"/>
      <c r="BD483" s="246"/>
      <c r="BE483" s="246"/>
      <c r="BF483" s="246"/>
      <c r="BG483" s="246"/>
      <c r="BH483" s="246"/>
      <c r="BI483" s="246"/>
      <c r="BJ483" s="246"/>
    </row>
    <row r="484" spans="1:62" ht="36" thickTop="1">
      <c r="A484" t="str">
        <f t="shared" si="114"/>
        <v/>
      </c>
      <c r="B484" s="7"/>
      <c r="C484" s="246"/>
      <c r="D484" s="246"/>
      <c r="E484" s="246"/>
      <c r="F484" s="246"/>
      <c r="G484" s="246"/>
      <c r="H484" s="246"/>
      <c r="I484" s="246"/>
      <c r="J484" s="246"/>
      <c r="K484" s="246"/>
      <c r="L484" s="246"/>
      <c r="M484" s="246"/>
      <c r="N484" s="246"/>
      <c r="O484" s="246"/>
      <c r="P484" s="246"/>
      <c r="Q484" s="246"/>
      <c r="R484" s="246"/>
      <c r="S484" s="246"/>
      <c r="T484" s="246"/>
      <c r="U484" s="246"/>
      <c r="V484" s="6"/>
      <c r="W484" s="6"/>
      <c r="X484" s="6"/>
      <c r="Y484" s="6"/>
      <c r="Z484" s="82"/>
      <c r="AA484" s="13"/>
      <c r="AB484" s="13"/>
      <c r="AC484" s="82"/>
      <c r="AD484" s="13"/>
      <c r="AE484" s="13"/>
      <c r="AF484" s="376"/>
      <c r="AG484" s="13"/>
      <c r="AH484" s="13"/>
      <c r="AI484" s="13"/>
      <c r="AJ484" s="13"/>
      <c r="AK484" s="13"/>
      <c r="AL484" s="82"/>
      <c r="AM484" s="13"/>
      <c r="AN484" s="13"/>
      <c r="AO484" s="13"/>
      <c r="AP484" s="246"/>
      <c r="AQ484" s="246"/>
      <c r="AR484" s="246"/>
      <c r="AS484" s="246"/>
      <c r="AT484" s="246"/>
      <c r="AU484" s="246"/>
      <c r="AV484" s="246"/>
      <c r="AW484" s="246"/>
      <c r="AX484" s="246"/>
      <c r="AY484" s="246"/>
      <c r="AZ484" s="246"/>
      <c r="BA484" s="246"/>
      <c r="BB484" s="246"/>
      <c r="BC484" s="246"/>
      <c r="BD484" s="246"/>
      <c r="BE484" s="246"/>
      <c r="BF484" s="246"/>
      <c r="BG484" s="246"/>
      <c r="BH484" s="246"/>
      <c r="BI484" s="246"/>
      <c r="BJ484" s="246"/>
    </row>
    <row r="485" spans="1:62" ht="35.25">
      <c r="A485" t="str">
        <f t="shared" ref="A485:A499" si="153">+U485&amp;V485</f>
        <v>BMW Sherbrooke</v>
      </c>
      <c r="B485" s="7"/>
      <c r="C485" s="246"/>
      <c r="D485" s="246"/>
      <c r="E485" s="246"/>
      <c r="F485" s="246"/>
      <c r="G485" s="246"/>
      <c r="H485" s="246"/>
      <c r="I485" s="246"/>
      <c r="J485" s="246"/>
      <c r="K485" s="246"/>
      <c r="L485" s="246"/>
      <c r="M485" s="246"/>
      <c r="N485" s="246"/>
      <c r="O485" s="246"/>
      <c r="P485" s="246"/>
      <c r="Q485" s="246"/>
      <c r="R485" s="246"/>
      <c r="S485" s="246"/>
      <c r="T485" s="246"/>
      <c r="U485" s="246"/>
      <c r="V485" s="6" t="str">
        <f>C1</f>
        <v>BMW Sherbrooke</v>
      </c>
      <c r="W485" s="6"/>
      <c r="X485" s="6"/>
      <c r="Y485" s="6"/>
      <c r="Z485" s="1"/>
      <c r="AA485" s="1"/>
      <c r="AB485" s="6"/>
      <c r="AC485" s="6"/>
      <c r="AD485" s="1"/>
      <c r="AE485" s="3" t="s">
        <v>181</v>
      </c>
      <c r="AF485" s="6"/>
      <c r="AG485" s="6"/>
      <c r="AH485" s="1"/>
      <c r="AI485" s="1"/>
      <c r="AJ485" s="255"/>
      <c r="AK485" s="2"/>
      <c r="AL485" s="1"/>
      <c r="AM485" s="6"/>
      <c r="AN485" s="6"/>
      <c r="AO485" s="5" t="str">
        <f>$S$1</f>
        <v>Réalisé  Q3 2024</v>
      </c>
      <c r="AP485" s="246"/>
      <c r="AQ485" s="246"/>
      <c r="AR485" s="246"/>
      <c r="AS485" s="246"/>
      <c r="AT485" s="246"/>
      <c r="AU485" s="246"/>
      <c r="AV485" s="246"/>
      <c r="AW485" s="246"/>
      <c r="AX485" s="246"/>
      <c r="AY485" s="246"/>
      <c r="AZ485" s="246"/>
      <c r="BA485" s="246"/>
      <c r="BB485" s="246"/>
      <c r="BC485" s="246"/>
      <c r="BD485" s="246"/>
      <c r="BE485" s="246"/>
      <c r="BF485" s="246"/>
      <c r="BG485" s="246"/>
      <c r="BH485" s="246"/>
      <c r="BI485" s="246"/>
      <c r="BJ485" s="246"/>
    </row>
    <row r="486" spans="1:62" ht="35.25">
      <c r="A486" t="str">
        <f t="shared" si="153"/>
        <v/>
      </c>
      <c r="B486" s="7"/>
      <c r="C486" s="246"/>
      <c r="D486" s="246"/>
      <c r="E486" s="246"/>
      <c r="F486" s="246"/>
      <c r="G486" s="246"/>
      <c r="H486" s="246"/>
      <c r="I486" s="246"/>
      <c r="J486" s="246"/>
      <c r="K486" s="246"/>
      <c r="L486" s="246"/>
      <c r="M486" s="246"/>
      <c r="N486" s="246"/>
      <c r="O486" s="246"/>
      <c r="P486" s="246"/>
      <c r="Q486" s="246"/>
      <c r="R486" s="246"/>
      <c r="S486" s="246"/>
      <c r="T486" s="246"/>
      <c r="U486" s="246"/>
      <c r="V486" s="6"/>
      <c r="W486" s="6"/>
      <c r="X486" s="6"/>
      <c r="Y486" s="6"/>
      <c r="Z486" s="82"/>
      <c r="AA486" s="13"/>
      <c r="AB486" s="13"/>
      <c r="AC486" s="82"/>
      <c r="AD486" s="13"/>
      <c r="AE486" s="13"/>
      <c r="AF486" s="376"/>
      <c r="AG486" s="13"/>
      <c r="AH486" s="13"/>
      <c r="AI486" s="13"/>
      <c r="AJ486" s="13"/>
      <c r="AK486" s="13"/>
      <c r="AL486" s="82"/>
      <c r="AM486" s="13"/>
      <c r="AN486" s="13"/>
      <c r="AO486" s="13"/>
      <c r="AP486" s="246"/>
      <c r="AQ486" s="246"/>
      <c r="AR486" s="246"/>
      <c r="AS486" s="246"/>
      <c r="AT486" s="246"/>
      <c r="AU486" s="246"/>
      <c r="AV486" s="246"/>
      <c r="AW486" s="246"/>
      <c r="AX486" s="246"/>
      <c r="AY486" s="246"/>
      <c r="AZ486" s="246"/>
      <c r="BA486" s="246"/>
      <c r="BB486" s="246"/>
      <c r="BC486" s="246"/>
      <c r="BD486" s="246"/>
      <c r="BE486" s="246"/>
      <c r="BF486" s="246"/>
      <c r="BG486" s="246"/>
      <c r="BH486" s="246"/>
      <c r="BI486" s="246"/>
      <c r="BJ486" s="246"/>
    </row>
    <row r="487" spans="1:62" ht="36" thickBot="1">
      <c r="A487" t="str">
        <f t="shared" si="153"/>
        <v/>
      </c>
      <c r="B487" s="7"/>
      <c r="C487" s="246"/>
      <c r="D487" s="246"/>
      <c r="E487" s="246"/>
      <c r="F487" s="246"/>
      <c r="G487" s="246"/>
      <c r="H487" s="246"/>
      <c r="I487" s="246"/>
      <c r="J487" s="246"/>
      <c r="K487" s="246"/>
      <c r="L487" s="246"/>
      <c r="M487" s="246"/>
      <c r="N487" s="246"/>
      <c r="O487" s="246"/>
      <c r="P487" s="246"/>
      <c r="Q487" s="246"/>
      <c r="R487" s="246"/>
      <c r="S487" s="246"/>
      <c r="T487" s="246"/>
      <c r="U487" s="246"/>
      <c r="V487" s="6"/>
      <c r="W487" s="6"/>
      <c r="X487" s="6"/>
      <c r="Y487" s="6"/>
      <c r="Z487" s="82"/>
      <c r="AA487" s="13"/>
      <c r="AB487" s="13"/>
      <c r="AC487" s="82"/>
      <c r="AD487" s="13"/>
      <c r="AE487" s="13"/>
      <c r="AF487" s="376"/>
      <c r="AG487" s="13"/>
      <c r="AH487" s="13"/>
      <c r="AI487" s="13"/>
      <c r="AJ487" s="13"/>
      <c r="AK487" s="13"/>
      <c r="AL487" s="82"/>
      <c r="AM487" s="13"/>
      <c r="AN487" s="13"/>
      <c r="AO487" s="13"/>
      <c r="AP487" s="246"/>
      <c r="AQ487" s="246"/>
      <c r="AR487" s="246"/>
      <c r="AS487" s="246"/>
      <c r="AT487" s="246"/>
      <c r="AU487" s="246"/>
      <c r="AV487" s="246"/>
      <c r="AW487" s="246"/>
      <c r="AX487" s="246"/>
      <c r="AY487" s="246"/>
      <c r="AZ487" s="246"/>
      <c r="BA487" s="246"/>
      <c r="BB487" s="246"/>
      <c r="BC487" s="246"/>
      <c r="BD487" s="246"/>
      <c r="BE487" s="246"/>
      <c r="BF487" s="246"/>
      <c r="BG487" s="246"/>
      <c r="BH487" s="246"/>
      <c r="BI487" s="246"/>
      <c r="BJ487" s="246"/>
    </row>
    <row r="488" spans="1:62" ht="19.5" thickTop="1" thickBot="1">
      <c r="A488" t="str">
        <f t="shared" si="153"/>
        <v>BAIIA Corpo</v>
      </c>
      <c r="B488" s="7"/>
      <c r="C488" s="246"/>
      <c r="D488" s="246"/>
      <c r="E488" s="246"/>
      <c r="F488" s="246"/>
      <c r="G488" s="246"/>
      <c r="H488" s="246"/>
      <c r="I488" s="246"/>
      <c r="J488" s="246"/>
      <c r="K488" s="246"/>
      <c r="L488" s="246"/>
      <c r="M488" s="246"/>
      <c r="N488" s="246"/>
      <c r="O488" s="246"/>
      <c r="P488" s="246"/>
      <c r="Q488" s="246"/>
      <c r="R488" s="246"/>
      <c r="S488" s="246"/>
      <c r="T488" s="246"/>
      <c r="U488" s="246"/>
      <c r="V488" s="444" t="s">
        <v>209</v>
      </c>
      <c r="W488" s="445"/>
      <c r="X488" s="446" t="s">
        <v>180</v>
      </c>
      <c r="Y488" s="447">
        <f>Z488/Z406</f>
        <v>3.5767255637318508E-2</v>
      </c>
      <c r="Z488" s="449">
        <f>+Z489+Z415</f>
        <v>434785.33998871257</v>
      </c>
      <c r="AA488" s="446"/>
      <c r="AB488" s="447"/>
      <c r="AC488" s="448"/>
      <c r="AD488" s="446" t="s">
        <v>180</v>
      </c>
      <c r="AE488" s="447">
        <f>AF488/AF406</f>
        <v>2.0765064679352029E-2</v>
      </c>
      <c r="AF488" s="449">
        <f>+AF489+AF415</f>
        <v>239680.02999999991</v>
      </c>
      <c r="AG488" s="450"/>
      <c r="AH488" s="450">
        <f t="shared" ref="AH488" si="154">AF488-Z488</f>
        <v>-195105.30998871266</v>
      </c>
      <c r="AI488" s="451">
        <f>AH488/Z488</f>
        <v>-0.44873939400481572</v>
      </c>
      <c r="AJ488" s="446" t="s">
        <v>180</v>
      </c>
      <c r="AK488" s="447">
        <f>AL488/AL406</f>
        <v>4.8148021615088743E-2</v>
      </c>
      <c r="AL488" s="449">
        <f>+AL489+AL415</f>
        <v>563405.22999999847</v>
      </c>
      <c r="AM488" s="452"/>
      <c r="AN488" s="449">
        <f t="shared" ref="AN488" si="155">AF488-AL488</f>
        <v>-323725.19999999856</v>
      </c>
      <c r="AO488" s="453">
        <f t="shared" ref="AO488" si="156">IF(AL488=0,0,AN488/AL488)</f>
        <v>-0.57458678542973307</v>
      </c>
      <c r="AP488" s="246"/>
      <c r="AQ488" s="246"/>
      <c r="AR488" s="246"/>
      <c r="AS488" s="246"/>
      <c r="AT488" s="246"/>
      <c r="AU488" s="246"/>
      <c r="AV488" s="246"/>
      <c r="AW488" s="246"/>
      <c r="AX488" s="246"/>
      <c r="AY488" s="246"/>
      <c r="AZ488" s="246"/>
      <c r="BA488" s="246"/>
      <c r="BB488" s="246"/>
      <c r="BC488" s="246"/>
      <c r="BD488" s="246"/>
      <c r="BE488" s="246"/>
      <c r="BF488" s="246"/>
      <c r="BG488" s="246"/>
      <c r="BH488" s="246"/>
      <c r="BI488" s="246"/>
      <c r="BJ488" s="246"/>
    </row>
    <row r="489" spans="1:62" ht="19.5" hidden="1" customHeight="1" thickTop="1" thickBot="1">
      <c r="A489" t="str">
        <f t="shared" si="153"/>
        <v>BAIIA OPÉRATIONNEL</v>
      </c>
      <c r="B489" s="7"/>
      <c r="C489" s="246"/>
      <c r="D489" s="246"/>
      <c r="E489" s="246"/>
      <c r="F489" s="246"/>
      <c r="G489" s="246"/>
      <c r="H489" s="246"/>
      <c r="I489" s="246"/>
      <c r="J489" s="246"/>
      <c r="K489" s="246"/>
      <c r="L489" s="246"/>
      <c r="M489" s="246"/>
      <c r="N489" s="246"/>
      <c r="O489" s="246"/>
      <c r="P489" s="246"/>
      <c r="Q489" s="246"/>
      <c r="R489" s="246"/>
      <c r="S489" s="246"/>
      <c r="T489" s="246"/>
      <c r="U489" s="246"/>
      <c r="V489" s="377" t="s">
        <v>179</v>
      </c>
      <c r="W489" s="378"/>
      <c r="X489" s="379" t="s">
        <v>180</v>
      </c>
      <c r="Y489" s="380">
        <f>Z489/Z406</f>
        <v>2.6947062263955667E-2</v>
      </c>
      <c r="Z489" s="381">
        <f>Z483</f>
        <v>327567.41939984466</v>
      </c>
      <c r="AA489" s="379" t="s">
        <v>180</v>
      </c>
      <c r="AB489" s="380" t="e">
        <f>AC489/AC406</f>
        <v>#DIV/0!</v>
      </c>
      <c r="AC489" s="381">
        <f>AC483</f>
        <v>0</v>
      </c>
      <c r="AD489" s="379" t="s">
        <v>180</v>
      </c>
      <c r="AE489" s="380">
        <f>AF489/AF406</f>
        <v>1.1541384034480689E-2</v>
      </c>
      <c r="AF489" s="381">
        <f>AF483</f>
        <v>133216.0199999999</v>
      </c>
      <c r="AG489" s="382"/>
      <c r="AH489" s="370">
        <f>AF489-Z489</f>
        <v>-194351.39939984475</v>
      </c>
      <c r="AI489" s="487">
        <f>AH489/Z489</f>
        <v>-0.59331724673939568</v>
      </c>
      <c r="AJ489" s="379" t="s">
        <v>180</v>
      </c>
      <c r="AK489" s="380">
        <f>IF($AL$406=0,0,AL489/$AL$406)</f>
        <v>4.3374619445616276E-2</v>
      </c>
      <c r="AL489" s="383">
        <f>AL483</f>
        <v>507549.14999999851</v>
      </c>
      <c r="AM489" s="384"/>
      <c r="AN489" s="385">
        <f>AF489-AL489</f>
        <v>-374333.12999999861</v>
      </c>
      <c r="AO489" s="386">
        <f>IF(AL489=0,0,AN489/AL489)</f>
        <v>-0.73753079874136274</v>
      </c>
      <c r="AP489" s="246"/>
      <c r="AQ489" s="246"/>
      <c r="AR489" s="246"/>
      <c r="AS489" s="246"/>
      <c r="AT489" s="246"/>
      <c r="AU489" s="246"/>
      <c r="AV489" s="246"/>
      <c r="AW489" s="246"/>
      <c r="AX489" s="246"/>
      <c r="AY489" s="246"/>
      <c r="AZ489" s="246"/>
      <c r="BA489" s="246"/>
      <c r="BB489" s="246"/>
      <c r="BC489" s="246"/>
      <c r="BD489" s="246"/>
      <c r="BE489" s="246"/>
      <c r="BF489" s="246"/>
      <c r="BG489" s="246"/>
      <c r="BH489" s="246"/>
      <c r="BI489" s="246"/>
      <c r="BJ489" s="246"/>
    </row>
    <row r="490" spans="1:62" ht="16.5" thickTop="1">
      <c r="A490" t="str">
        <f t="shared" si="153"/>
        <v/>
      </c>
      <c r="B490" s="7"/>
      <c r="C490" s="246"/>
      <c r="D490" s="246"/>
      <c r="E490" s="246"/>
      <c r="F490" s="310"/>
      <c r="G490" s="246"/>
      <c r="H490" s="246"/>
      <c r="I490" s="310"/>
      <c r="J490" s="246"/>
      <c r="K490" s="246"/>
      <c r="L490" s="246"/>
      <c r="M490" s="310"/>
      <c r="N490" s="246"/>
      <c r="O490" s="246"/>
      <c r="P490" s="246"/>
      <c r="Q490" s="310"/>
      <c r="R490" s="310"/>
      <c r="S490" s="310"/>
      <c r="T490" s="334"/>
      <c r="U490" s="334"/>
      <c r="V490" s="387"/>
      <c r="W490" s="246"/>
      <c r="X490" s="246"/>
      <c r="Y490" s="246"/>
      <c r="Z490" s="388"/>
      <c r="AA490" s="246"/>
      <c r="AB490" s="246"/>
      <c r="AC490" s="389"/>
      <c r="AD490" s="246"/>
      <c r="AE490" s="246"/>
      <c r="AF490" s="389"/>
      <c r="AG490" s="246"/>
      <c r="AH490" s="246"/>
      <c r="AI490" s="389"/>
      <c r="AJ490" s="246"/>
      <c r="AK490" s="246"/>
      <c r="AL490" s="390"/>
      <c r="AM490" s="391"/>
      <c r="AN490" s="246"/>
      <c r="AO490" s="392"/>
      <c r="AP490" s="246"/>
      <c r="AQ490" s="246"/>
      <c r="AR490" s="246"/>
      <c r="AS490" s="246"/>
      <c r="AT490" s="246"/>
      <c r="AU490" s="246"/>
      <c r="AV490" s="246"/>
      <c r="AW490" s="246"/>
      <c r="AX490" s="246"/>
      <c r="AY490" s="246"/>
      <c r="AZ490" s="246"/>
      <c r="BA490" s="246"/>
      <c r="BB490" s="246"/>
      <c r="BC490" s="246"/>
      <c r="BD490" s="246"/>
      <c r="BE490" s="246"/>
      <c r="BF490" s="246"/>
      <c r="BG490" s="246"/>
      <c r="BH490" s="246"/>
      <c r="BI490" s="246"/>
      <c r="BJ490" s="246"/>
    </row>
    <row r="491" spans="1:62" ht="18">
      <c r="A491" t="str">
        <f t="shared" si="153"/>
        <v>Amortissement</v>
      </c>
      <c r="B491" s="7"/>
      <c r="C491" s="246"/>
      <c r="D491" s="246"/>
      <c r="E491" s="246"/>
      <c r="F491" s="246"/>
      <c r="G491" s="246"/>
      <c r="H491" s="246"/>
      <c r="I491" s="246"/>
      <c r="J491" s="246"/>
      <c r="K491" s="246"/>
      <c r="L491" s="246"/>
      <c r="M491" s="246"/>
      <c r="N491" s="246"/>
      <c r="O491" s="246"/>
      <c r="P491" s="246"/>
      <c r="Q491" s="246"/>
      <c r="R491" s="246"/>
      <c r="S491" s="246"/>
      <c r="T491" s="246"/>
      <c r="U491" s="246"/>
      <c r="V491" s="102" t="s">
        <v>182</v>
      </c>
      <c r="W491" s="286"/>
      <c r="X491" s="279"/>
      <c r="Y491" s="287"/>
      <c r="Z491" s="280">
        <f>+SUM(START:END!Z491)</f>
        <v>62910</v>
      </c>
      <c r="AA491" s="279"/>
      <c r="AB491" s="287">
        <f t="shared" ref="AB491:AB497" si="157">IF(AC491=0,0,AC491/(G$13+G$97))</f>
        <v>0</v>
      </c>
      <c r="AC491" s="280">
        <f>+SUM(START:END!AC491)</f>
        <v>0</v>
      </c>
      <c r="AD491" s="279"/>
      <c r="AE491" s="287"/>
      <c r="AF491" s="280">
        <f>+SUM(START:END!AF491)</f>
        <v>62910</v>
      </c>
      <c r="AG491" s="279"/>
      <c r="AH491" s="282">
        <f t="shared" ref="AH491:AH498" si="158">AF491-Z491</f>
        <v>0</v>
      </c>
      <c r="AI491" s="306">
        <f t="shared" ref="AI491:AI497" si="159">IF(Z491=0,0,AH491/Z491)</f>
        <v>0</v>
      </c>
      <c r="AJ491" s="279"/>
      <c r="AK491" s="279"/>
      <c r="AL491" s="280">
        <f>+SUM(START:END!AL491)</f>
        <v>58560</v>
      </c>
      <c r="AM491" s="284"/>
      <c r="AN491" s="282">
        <f t="shared" ref="AN491:AN498" si="160">AF491-AL491</f>
        <v>4350</v>
      </c>
      <c r="AO491" s="289">
        <f t="shared" ref="AO491:AO498" si="161">IF(AL491=0,0,AN491/AL491)</f>
        <v>7.4282786885245908E-2</v>
      </c>
      <c r="AP491" s="246"/>
      <c r="AQ491" s="486"/>
      <c r="AR491" s="246"/>
      <c r="AS491" s="246"/>
      <c r="AT491" s="246"/>
      <c r="AU491" s="246"/>
      <c r="AV491" s="246"/>
      <c r="AW491" s="246"/>
      <c r="AX491" s="246"/>
      <c r="AY491" s="246"/>
      <c r="AZ491" s="246"/>
      <c r="BA491" s="246"/>
      <c r="BB491" s="246"/>
      <c r="BC491" s="246"/>
      <c r="BD491" s="246"/>
      <c r="BE491" s="246"/>
      <c r="BF491" s="246"/>
      <c r="BG491" s="246"/>
      <c r="BH491" s="246"/>
      <c r="BI491" s="246"/>
      <c r="BJ491" s="246"/>
    </row>
    <row r="492" spans="1:62" ht="20.25">
      <c r="A492" t="str">
        <f t="shared" si="153"/>
        <v>Intérêts sur marge</v>
      </c>
      <c r="B492" s="7"/>
      <c r="C492" s="246"/>
      <c r="D492" s="246"/>
      <c r="E492" s="246"/>
      <c r="F492" s="310"/>
      <c r="G492" s="246"/>
      <c r="H492" s="246"/>
      <c r="I492" s="310"/>
      <c r="J492" s="246"/>
      <c r="K492" s="246"/>
      <c r="L492" s="246"/>
      <c r="M492" s="310"/>
      <c r="N492" s="246"/>
      <c r="O492" s="246"/>
      <c r="P492" s="246"/>
      <c r="Q492" s="310"/>
      <c r="R492" s="310"/>
      <c r="S492" s="310"/>
      <c r="T492" s="246"/>
      <c r="U492" s="246"/>
      <c r="V492" s="102" t="s">
        <v>183</v>
      </c>
      <c r="W492" s="10"/>
      <c r="X492" s="10"/>
      <c r="Y492" s="10"/>
      <c r="Z492" s="280">
        <f>+SUM(START:END!Z492)</f>
        <v>0</v>
      </c>
      <c r="AA492" s="10"/>
      <c r="AB492" s="10">
        <f t="shared" si="157"/>
        <v>0</v>
      </c>
      <c r="AC492" s="280">
        <f>+SUM(START:END!AC492)</f>
        <v>0</v>
      </c>
      <c r="AD492" s="10"/>
      <c r="AE492" s="13"/>
      <c r="AF492" s="280">
        <f>+SUM(START:END!AF492)</f>
        <v>0</v>
      </c>
      <c r="AG492" s="10"/>
      <c r="AH492" s="282">
        <f t="shared" si="158"/>
        <v>0</v>
      </c>
      <c r="AI492" s="306">
        <f t="shared" si="159"/>
        <v>0</v>
      </c>
      <c r="AJ492" s="10"/>
      <c r="AK492" s="10"/>
      <c r="AL492" s="280">
        <f>+SUM(START:END!AL492)</f>
        <v>0</v>
      </c>
      <c r="AM492" s="393"/>
      <c r="AN492" s="282">
        <f t="shared" si="160"/>
        <v>0</v>
      </c>
      <c r="AO492" s="289">
        <f t="shared" si="161"/>
        <v>0</v>
      </c>
      <c r="AP492" s="246"/>
      <c r="AQ492" s="246"/>
      <c r="AR492" s="246"/>
      <c r="AS492" s="246"/>
      <c r="AT492" s="246"/>
      <c r="AU492" s="246"/>
      <c r="AV492" s="246"/>
      <c r="AW492" s="246"/>
      <c r="AX492" s="246"/>
      <c r="AY492" s="246"/>
      <c r="AZ492" s="246"/>
      <c r="BA492" s="246"/>
      <c r="BB492" s="246"/>
      <c r="BC492" s="246"/>
      <c r="BD492" s="246"/>
      <c r="BE492" s="246"/>
      <c r="BF492" s="246"/>
      <c r="BG492" s="246"/>
      <c r="BH492" s="246"/>
      <c r="BI492" s="246"/>
      <c r="BJ492" s="246"/>
    </row>
    <row r="493" spans="1:62" ht="20.25">
      <c r="A493" t="str">
        <f t="shared" si="153"/>
        <v>Intérêts sur prêt</v>
      </c>
      <c r="B493" s="7"/>
      <c r="C493" s="246"/>
      <c r="D493" s="246"/>
      <c r="E493" s="246"/>
      <c r="F493" s="310"/>
      <c r="G493" s="246"/>
      <c r="H493" s="246"/>
      <c r="I493" s="310"/>
      <c r="J493" s="246"/>
      <c r="K493" s="246"/>
      <c r="L493" s="246"/>
      <c r="M493" s="310"/>
      <c r="N493" s="246"/>
      <c r="O493" s="246"/>
      <c r="P493" s="246"/>
      <c r="Q493" s="310"/>
      <c r="R493" s="310"/>
      <c r="S493" s="310"/>
      <c r="T493" s="246"/>
      <c r="U493" s="246"/>
      <c r="V493" s="102" t="s">
        <v>184</v>
      </c>
      <c r="W493" s="13"/>
      <c r="X493" s="13"/>
      <c r="Y493" s="13"/>
      <c r="Z493" s="280">
        <f>+SUM(START:END!Z493)</f>
        <v>0</v>
      </c>
      <c r="AA493" s="10"/>
      <c r="AB493" s="10">
        <f t="shared" si="157"/>
        <v>0</v>
      </c>
      <c r="AC493" s="280">
        <f>+SUM(START:END!AC493)</f>
        <v>0</v>
      </c>
      <c r="AD493" s="10"/>
      <c r="AE493" s="13"/>
      <c r="AF493" s="280">
        <f>+SUM(START:END!AF493)</f>
        <v>0</v>
      </c>
      <c r="AG493" s="10"/>
      <c r="AH493" s="282">
        <f t="shared" si="158"/>
        <v>0</v>
      </c>
      <c r="AI493" s="306">
        <f t="shared" si="159"/>
        <v>0</v>
      </c>
      <c r="AJ493" s="10"/>
      <c r="AK493" s="10"/>
      <c r="AL493" s="280">
        <f>+SUM(START:END!AL493)</f>
        <v>0</v>
      </c>
      <c r="AM493" s="393"/>
      <c r="AN493" s="282">
        <f t="shared" si="160"/>
        <v>0</v>
      </c>
      <c r="AO493" s="289">
        <f t="shared" si="161"/>
        <v>0</v>
      </c>
      <c r="AP493" s="246"/>
      <c r="AQ493" s="246"/>
      <c r="AR493" s="246"/>
      <c r="AS493" s="246"/>
      <c r="AT493" s="246"/>
      <c r="AU493" s="246"/>
      <c r="AV493" s="246"/>
      <c r="AW493" s="246"/>
      <c r="AX493" s="246"/>
      <c r="AY493" s="246"/>
      <c r="AZ493" s="246"/>
      <c r="BA493" s="246"/>
      <c r="BB493" s="246"/>
      <c r="BC493" s="246"/>
      <c r="BD493" s="246"/>
      <c r="BE493" s="246"/>
      <c r="BF493" s="246"/>
      <c r="BG493" s="246"/>
      <c r="BH493" s="246"/>
      <c r="BI493" s="246"/>
      <c r="BJ493" s="246"/>
    </row>
    <row r="494" spans="1:62" ht="20.25">
      <c r="A494" t="str">
        <f t="shared" si="153"/>
        <v>Intérêts sur avance</v>
      </c>
      <c r="B494" s="7"/>
      <c r="C494" s="246"/>
      <c r="D494" s="246"/>
      <c r="E494" s="246"/>
      <c r="F494" s="310"/>
      <c r="G494" s="246"/>
      <c r="H494" s="246"/>
      <c r="I494" s="310"/>
      <c r="J494" s="246"/>
      <c r="K494" s="246"/>
      <c r="L494" s="246"/>
      <c r="M494" s="310"/>
      <c r="N494" s="246"/>
      <c r="O494" s="246"/>
      <c r="P494" s="246"/>
      <c r="Q494" s="310"/>
      <c r="R494" s="310"/>
      <c r="S494" s="310"/>
      <c r="T494" s="246"/>
      <c r="U494" s="246"/>
      <c r="V494" s="102" t="s">
        <v>185</v>
      </c>
      <c r="W494" s="13"/>
      <c r="X494" s="13"/>
      <c r="Y494" s="13"/>
      <c r="Z494" s="280">
        <f>+SUM(START:END!Z494)</f>
        <v>0</v>
      </c>
      <c r="AA494" s="10"/>
      <c r="AB494" s="10">
        <f t="shared" si="157"/>
        <v>0</v>
      </c>
      <c r="AC494" s="280">
        <f>+SUM(START:END!AC494)</f>
        <v>0</v>
      </c>
      <c r="AD494" s="10"/>
      <c r="AE494" s="13"/>
      <c r="AF494" s="280">
        <f>+SUM(START:END!AF494)</f>
        <v>0</v>
      </c>
      <c r="AG494" s="10"/>
      <c r="AH494" s="282">
        <f t="shared" si="158"/>
        <v>0</v>
      </c>
      <c r="AI494" s="306">
        <f t="shared" si="159"/>
        <v>0</v>
      </c>
      <c r="AJ494" s="10"/>
      <c r="AK494" s="10"/>
      <c r="AL494" s="280">
        <f>+SUM(START:END!AL494)</f>
        <v>0</v>
      </c>
      <c r="AM494" s="393"/>
      <c r="AN494" s="282">
        <f t="shared" si="160"/>
        <v>0</v>
      </c>
      <c r="AO494" s="289">
        <f t="shared" si="161"/>
        <v>0</v>
      </c>
      <c r="AP494" s="246"/>
      <c r="AQ494" s="246"/>
      <c r="AR494" s="246"/>
      <c r="AS494" s="246"/>
      <c r="AT494" s="246"/>
      <c r="AU494" s="246"/>
      <c r="AV494" s="246"/>
      <c r="AW494" s="246"/>
      <c r="AX494" s="246"/>
      <c r="AY494" s="246"/>
      <c r="AZ494" s="246"/>
      <c r="BA494" s="246"/>
      <c r="BB494" s="246"/>
      <c r="BC494" s="246"/>
      <c r="BD494" s="246"/>
      <c r="BE494" s="246"/>
      <c r="BF494" s="246"/>
      <c r="BG494" s="246"/>
      <c r="BH494" s="246"/>
      <c r="BI494" s="246"/>
      <c r="BJ494" s="246"/>
    </row>
    <row r="495" spans="1:62" ht="20.25" hidden="1">
      <c r="A495" t="str">
        <f t="shared" si="153"/>
        <v>[...]</v>
      </c>
      <c r="B495" s="7"/>
      <c r="C495" s="246"/>
      <c r="D495" s="246"/>
      <c r="E495" s="246"/>
      <c r="F495" s="310"/>
      <c r="G495" s="246"/>
      <c r="H495" s="246"/>
      <c r="I495" s="310"/>
      <c r="J495" s="246"/>
      <c r="K495" s="246"/>
      <c r="L495" s="246"/>
      <c r="M495" s="310"/>
      <c r="N495" s="246"/>
      <c r="O495" s="246"/>
      <c r="P495" s="246"/>
      <c r="Q495" s="310"/>
      <c r="R495" s="310"/>
      <c r="S495" s="310"/>
      <c r="T495" s="246"/>
      <c r="U495" s="246"/>
      <c r="V495" s="102" t="s">
        <v>19</v>
      </c>
      <c r="W495" s="13"/>
      <c r="X495" s="13"/>
      <c r="Y495" s="13"/>
      <c r="Z495" s="282">
        <f>+SUM(START:END!Z495)</f>
        <v>0</v>
      </c>
      <c r="AA495" s="279"/>
      <c r="AB495" s="279">
        <f t="shared" si="157"/>
        <v>0</v>
      </c>
      <c r="AC495" s="282">
        <f>+SUM(START:END!AC495)</f>
        <v>0</v>
      </c>
      <c r="AD495" s="288"/>
      <c r="AE495" s="287"/>
      <c r="AF495" s="280">
        <f>+SUM(START:END!AF495)</f>
        <v>0</v>
      </c>
      <c r="AG495" s="281"/>
      <c r="AH495" s="282">
        <f t="shared" si="158"/>
        <v>0</v>
      </c>
      <c r="AI495" s="283">
        <f t="shared" si="159"/>
        <v>0</v>
      </c>
      <c r="AJ495" s="288"/>
      <c r="AK495" s="279"/>
      <c r="AL495" s="280">
        <f>+SUM(START:END!AL495)</f>
        <v>0</v>
      </c>
      <c r="AM495" s="393"/>
      <c r="AN495" s="282">
        <f t="shared" si="160"/>
        <v>0</v>
      </c>
      <c r="AO495" s="289">
        <f t="shared" si="161"/>
        <v>0</v>
      </c>
      <c r="AP495" s="246"/>
      <c r="AQ495" s="246"/>
      <c r="AR495" s="246"/>
      <c r="AS495" s="246"/>
      <c r="AT495" s="246"/>
      <c r="AU495" s="246"/>
      <c r="AV495" s="246"/>
      <c r="AW495" s="246"/>
      <c r="AX495" s="246"/>
      <c r="AY495" s="246"/>
      <c r="AZ495" s="246"/>
      <c r="BA495" s="246"/>
      <c r="BB495" s="246"/>
      <c r="BC495" s="246"/>
      <c r="BD495" s="246"/>
      <c r="BE495" s="246"/>
      <c r="BF495" s="246"/>
      <c r="BG495" s="246"/>
      <c r="BH495" s="246"/>
      <c r="BI495" s="246"/>
      <c r="BJ495" s="246"/>
    </row>
    <row r="496" spans="1:62" ht="21" thickBot="1">
      <c r="A496" t="str">
        <f t="shared" si="153"/>
        <v>Revenus d'intérêts Floor plan</v>
      </c>
      <c r="B496" s="7"/>
      <c r="C496" s="246"/>
      <c r="D496" s="246"/>
      <c r="E496" s="246"/>
      <c r="F496" s="310"/>
      <c r="G496" s="246"/>
      <c r="H496" s="246"/>
      <c r="I496" s="310"/>
      <c r="J496" s="246"/>
      <c r="K496" s="246"/>
      <c r="L496" s="246"/>
      <c r="M496" s="310"/>
      <c r="N496" s="246"/>
      <c r="O496" s="246"/>
      <c r="P496" s="246"/>
      <c r="Q496" s="310"/>
      <c r="R496" s="310"/>
      <c r="S496" s="310"/>
      <c r="T496" s="246"/>
      <c r="U496" s="246"/>
      <c r="V496" s="102" t="s">
        <v>208</v>
      </c>
      <c r="W496" s="13"/>
      <c r="X496" s="13"/>
      <c r="Y496" s="13"/>
      <c r="Z496" s="282">
        <f>+SUM(START:END!Z496)</f>
        <v>-27273.224043715851</v>
      </c>
      <c r="AA496" s="279"/>
      <c r="AB496" s="279">
        <f t="shared" ref="AB496" si="162">IF(AC496=0,0,AC496/(G$13+G$97))</f>
        <v>0</v>
      </c>
      <c r="AC496" s="282">
        <f>+SUM(START:END!AC496)</f>
        <v>0</v>
      </c>
      <c r="AD496" s="288"/>
      <c r="AE496" s="287"/>
      <c r="AF496" s="280">
        <f>+SUM(START:END!AF496)</f>
        <v>-12619.57</v>
      </c>
      <c r="AG496" s="281"/>
      <c r="AH496" s="282">
        <f t="shared" si="158"/>
        <v>14653.654043715851</v>
      </c>
      <c r="AI496" s="283">
        <f t="shared" si="159"/>
        <v>-0.53729086155079153</v>
      </c>
      <c r="AJ496" s="288"/>
      <c r="AK496" s="279"/>
      <c r="AL496" s="280">
        <f>+SUM(START:END!AL496)</f>
        <v>0</v>
      </c>
      <c r="AM496" s="393"/>
      <c r="AN496" s="282">
        <f t="shared" si="160"/>
        <v>-12619.57</v>
      </c>
      <c r="AO496" s="289">
        <f t="shared" si="161"/>
        <v>0</v>
      </c>
      <c r="AP496" s="246"/>
      <c r="AQ496" s="246"/>
      <c r="AR496" s="246"/>
      <c r="AS496" s="246"/>
      <c r="AT496" s="246"/>
      <c r="AU496" s="246"/>
      <c r="AV496" s="246"/>
      <c r="AW496" s="246"/>
      <c r="AX496" s="246"/>
      <c r="AY496" s="246"/>
      <c r="AZ496" s="246"/>
      <c r="BA496" s="246"/>
      <c r="BB496" s="246"/>
      <c r="BC496" s="246"/>
      <c r="BD496" s="246"/>
      <c r="BE496" s="246"/>
      <c r="BF496" s="246"/>
      <c r="BG496" s="246"/>
      <c r="BH496" s="246"/>
      <c r="BI496" s="246"/>
      <c r="BJ496" s="246"/>
    </row>
    <row r="497" spans="1:62" ht="21" hidden="1" thickBot="1">
      <c r="A497" t="str">
        <f t="shared" si="153"/>
        <v>[...]</v>
      </c>
      <c r="B497" s="7"/>
      <c r="C497" s="246"/>
      <c r="D497" s="246"/>
      <c r="E497" s="246"/>
      <c r="F497" s="310"/>
      <c r="G497" s="246"/>
      <c r="H497" s="246"/>
      <c r="I497" s="310"/>
      <c r="J497" s="246"/>
      <c r="K497" s="246"/>
      <c r="L497" s="246"/>
      <c r="M497" s="310"/>
      <c r="N497" s="246"/>
      <c r="O497" s="246"/>
      <c r="P497" s="246"/>
      <c r="Q497" s="310"/>
      <c r="R497" s="310"/>
      <c r="S497" s="310"/>
      <c r="T497" s="246"/>
      <c r="U497" s="246"/>
      <c r="V497" s="102" t="s">
        <v>19</v>
      </c>
      <c r="W497" s="13"/>
      <c r="X497" s="246"/>
      <c r="Y497" s="13"/>
      <c r="Z497" s="282">
        <f>+SUM(START:END!Z497)</f>
        <v>0</v>
      </c>
      <c r="AA497" s="279"/>
      <c r="AB497" s="279">
        <f t="shared" si="157"/>
        <v>0</v>
      </c>
      <c r="AC497" s="282">
        <f>+SUM(START:END!AC497)</f>
        <v>0</v>
      </c>
      <c r="AD497" s="288"/>
      <c r="AE497" s="287">
        <f t="shared" ref="AE497" si="163">IF(AF497=0,0,AF497/(J$13+J$97))</f>
        <v>0</v>
      </c>
      <c r="AF497" s="280">
        <f>+SUM(START:END!AF497)</f>
        <v>0</v>
      </c>
      <c r="AG497" s="281"/>
      <c r="AH497" s="282">
        <f t="shared" si="158"/>
        <v>0</v>
      </c>
      <c r="AI497" s="283">
        <f t="shared" si="159"/>
        <v>0</v>
      </c>
      <c r="AJ497" s="288"/>
      <c r="AK497" s="279">
        <f t="shared" ref="AK497" si="164">AL497/(O$13+O$97)</f>
        <v>0</v>
      </c>
      <c r="AL497" s="280">
        <f>+SUM(START:END!AL497)</f>
        <v>0</v>
      </c>
      <c r="AM497" s="393"/>
      <c r="AN497" s="282">
        <f t="shared" si="160"/>
        <v>0</v>
      </c>
      <c r="AO497" s="289">
        <f t="shared" si="161"/>
        <v>0</v>
      </c>
      <c r="AP497" s="246"/>
      <c r="AQ497" s="246"/>
      <c r="AR497" s="246"/>
      <c r="AS497" s="246"/>
      <c r="AT497" s="246"/>
      <c r="AU497" s="246"/>
      <c r="AV497" s="246"/>
      <c r="AW497" s="246"/>
      <c r="AX497" s="246"/>
      <c r="AY497" s="246"/>
      <c r="AZ497" s="246"/>
      <c r="BA497" s="246"/>
      <c r="BB497" s="246"/>
      <c r="BC497" s="246"/>
      <c r="BD497" s="246"/>
      <c r="BE497" s="246"/>
      <c r="BF497" s="246"/>
      <c r="BG497" s="246"/>
      <c r="BH497" s="246"/>
      <c r="BI497" s="246"/>
      <c r="BJ497" s="246"/>
    </row>
    <row r="498" spans="1:62" ht="19.5" thickTop="1" thickBot="1">
      <c r="A498" t="str">
        <f t="shared" si="153"/>
        <v>Profit Net</v>
      </c>
      <c r="B498" s="7"/>
      <c r="C498" s="246"/>
      <c r="D498" s="246"/>
      <c r="E498" s="246"/>
      <c r="F498" s="310"/>
      <c r="G498" s="246"/>
      <c r="H498" s="246"/>
      <c r="I498" s="310"/>
      <c r="J498" s="246"/>
      <c r="K498" s="246"/>
      <c r="L498" s="246"/>
      <c r="M498" s="310"/>
      <c r="N498" s="246"/>
      <c r="O498" s="246"/>
      <c r="P498" s="246"/>
      <c r="Q498" s="310"/>
      <c r="R498" s="310"/>
      <c r="S498" s="310"/>
      <c r="T498" s="246"/>
      <c r="U498" s="246"/>
      <c r="V498" s="365" t="s">
        <v>186</v>
      </c>
      <c r="W498" s="366"/>
      <c r="X498" s="367" t="s">
        <v>180</v>
      </c>
      <c r="Y498" s="368">
        <f>Z498/Z406</f>
        <v>2.40154324262262E-2</v>
      </c>
      <c r="Z498" s="369">
        <f>Z489-Z491-Z492-Z493-Z497-Z494-Z495-Z496-Z497</f>
        <v>291930.64344356052</v>
      </c>
      <c r="AA498" s="367" t="s">
        <v>180</v>
      </c>
      <c r="AB498" s="368" t="e">
        <f>AC498/AC406</f>
        <v>#DIV/0!</v>
      </c>
      <c r="AC498" s="369">
        <f>AC489-AC491-AC492-AC493-AC497-AC494-AC495</f>
        <v>0</v>
      </c>
      <c r="AD498" s="367" t="s">
        <v>180</v>
      </c>
      <c r="AE498" s="368">
        <f>AF498/AF406</f>
        <v>7.1843917906862188E-3</v>
      </c>
      <c r="AF498" s="370">
        <f>AF489-AF491-AF492-AF493-AF497-AF494-AF495-AF496-AF497</f>
        <v>82925.589999999909</v>
      </c>
      <c r="AG498" s="371"/>
      <c r="AH498" s="370">
        <f t="shared" si="158"/>
        <v>-209005.05344356061</v>
      </c>
      <c r="AI498" s="487">
        <f>AH498/Z498</f>
        <v>-0.71594078298247554</v>
      </c>
      <c r="AJ498" s="373" t="s">
        <v>180</v>
      </c>
      <c r="AK498" s="368">
        <f>IF($AL$406=0,0,AL498/$AL$406)</f>
        <v>3.8370143101334554E-2</v>
      </c>
      <c r="AL498" s="370">
        <f>AL489-AL491-AL492-AL493-AL497-AL494-AL495-AL496-AL497</f>
        <v>448989.14999999851</v>
      </c>
      <c r="AM498" s="374"/>
      <c r="AN498" s="370">
        <f t="shared" si="160"/>
        <v>-366063.5599999986</v>
      </c>
      <c r="AO498" s="394">
        <f t="shared" si="161"/>
        <v>-0.81530602688283182</v>
      </c>
      <c r="AP498" s="246"/>
      <c r="AQ498" s="246"/>
      <c r="AR498" s="246"/>
      <c r="AS498" s="246"/>
      <c r="AT498" s="246"/>
      <c r="AU498" s="246"/>
      <c r="AV498" s="246"/>
      <c r="AW498" s="246"/>
      <c r="AX498" s="246"/>
      <c r="AY498" s="246"/>
      <c r="AZ498" s="246"/>
      <c r="BA498" s="246"/>
      <c r="BB498" s="246"/>
      <c r="BC498" s="246"/>
      <c r="BD498" s="246"/>
      <c r="BE498" s="246"/>
      <c r="BF498" s="246"/>
      <c r="BG498" s="246"/>
      <c r="BH498" s="246"/>
      <c r="BI498" s="246"/>
      <c r="BJ498" s="246"/>
    </row>
    <row r="499" spans="1:62" ht="16.5" thickTop="1">
      <c r="A499" t="str">
        <f t="shared" si="153"/>
        <v/>
      </c>
      <c r="B499" s="7"/>
      <c r="C499" s="246"/>
      <c r="D499" s="246"/>
      <c r="E499" s="246"/>
      <c r="F499" s="310"/>
      <c r="G499" s="246"/>
      <c r="H499" s="246"/>
      <c r="I499" s="310"/>
      <c r="J499" s="246"/>
      <c r="K499" s="246"/>
      <c r="L499" s="246"/>
      <c r="M499" s="310"/>
      <c r="N499" s="246"/>
      <c r="O499" s="246"/>
      <c r="P499" s="246"/>
      <c r="Q499" s="310"/>
      <c r="R499" s="310"/>
      <c r="S499" s="310"/>
      <c r="T499" s="246"/>
      <c r="U499" s="246"/>
      <c r="AP499" s="246"/>
      <c r="AQ499" s="246"/>
      <c r="AR499" s="246"/>
      <c r="AS499" s="246"/>
      <c r="AT499" s="246"/>
      <c r="AU499" s="246"/>
      <c r="AV499" s="246"/>
      <c r="AW499" s="246"/>
      <c r="AX499" s="246"/>
      <c r="AY499" s="246"/>
      <c r="AZ499" s="246"/>
      <c r="BA499" s="246"/>
      <c r="BB499" s="246"/>
      <c r="BC499" s="246"/>
      <c r="BD499" s="246"/>
      <c r="BE499" s="246"/>
      <c r="BF499" s="246"/>
      <c r="BG499" s="246"/>
      <c r="BH499" s="246"/>
      <c r="BI499" s="246"/>
      <c r="BJ499" s="246"/>
    </row>
    <row r="500" spans="1:62" ht="15.75" customHeight="1" outlineLevel="1">
      <c r="B500" s="7"/>
      <c r="C500" s="246"/>
      <c r="D500" s="246"/>
      <c r="E500" s="246"/>
      <c r="F500" s="310"/>
      <c r="G500" s="246"/>
      <c r="H500" s="246"/>
      <c r="I500" s="310"/>
      <c r="J500" s="246"/>
      <c r="K500" s="246"/>
      <c r="L500" s="246"/>
      <c r="M500" s="310"/>
      <c r="N500" s="246"/>
      <c r="O500" s="246"/>
      <c r="P500" s="246"/>
      <c r="Q500" s="310"/>
      <c r="R500" s="310"/>
      <c r="S500" s="310"/>
      <c r="T500" s="246"/>
      <c r="U500" s="246"/>
      <c r="V500" s="246"/>
      <c r="W500" s="246"/>
      <c r="X500" s="246"/>
      <c r="Y500" s="246"/>
      <c r="Z500" s="246"/>
      <c r="AA500" s="246"/>
      <c r="AB500" s="246"/>
      <c r="AC500" s="246"/>
      <c r="AD500" s="246"/>
      <c r="AE500" s="395"/>
      <c r="AF500" s="280"/>
      <c r="AG500" s="246"/>
      <c r="AH500" s="246"/>
      <c r="AI500" s="246"/>
      <c r="AJ500" s="246"/>
      <c r="AK500" s="246"/>
      <c r="AL500" s="246"/>
      <c r="AM500" s="246"/>
      <c r="AN500" s="246"/>
      <c r="AO500" s="246"/>
      <c r="AP500" s="246"/>
      <c r="AQ500" s="246"/>
      <c r="AR500" s="246"/>
      <c r="AS500" s="246"/>
      <c r="AT500" s="246"/>
      <c r="AU500" s="246"/>
      <c r="AV500" s="246"/>
      <c r="AW500" s="246"/>
      <c r="AX500" s="246"/>
      <c r="AY500" s="246"/>
      <c r="AZ500" s="246"/>
      <c r="BA500" s="246"/>
      <c r="BB500" s="246"/>
      <c r="BC500" s="246"/>
      <c r="BD500" s="246"/>
      <c r="BE500" s="246"/>
      <c r="BF500" s="246"/>
      <c r="BG500" s="246"/>
      <c r="BH500" s="246"/>
      <c r="BI500" s="246"/>
      <c r="BJ500" s="246"/>
    </row>
    <row r="501" spans="1:62" ht="15.75" customHeight="1" outlineLevel="1" thickBot="1">
      <c r="B501" s="7"/>
      <c r="C501" s="246"/>
      <c r="D501" s="246"/>
      <c r="E501" s="246"/>
      <c r="F501" s="310"/>
      <c r="G501" s="246"/>
      <c r="H501" s="246"/>
      <c r="I501" s="310"/>
      <c r="J501" s="246"/>
      <c r="K501" s="246"/>
      <c r="L501" s="246"/>
      <c r="M501" s="310"/>
      <c r="N501" s="246"/>
      <c r="O501" s="246"/>
      <c r="P501" s="246"/>
      <c r="Q501" s="310"/>
      <c r="R501" s="310"/>
      <c r="S501" s="310"/>
      <c r="T501" s="246"/>
      <c r="U501" s="246"/>
      <c r="V501" s="246"/>
      <c r="W501" s="246"/>
      <c r="X501" s="246"/>
      <c r="Y501" s="246"/>
      <c r="Z501" s="246"/>
      <c r="AA501" s="246"/>
      <c r="AB501" s="246"/>
      <c r="AC501" s="246"/>
      <c r="AD501" s="246"/>
      <c r="AE501" s="395"/>
      <c r="AF501" s="396"/>
      <c r="AG501" s="246"/>
      <c r="AH501" s="246"/>
      <c r="AI501" s="246"/>
      <c r="AJ501" s="246"/>
      <c r="AK501" s="246"/>
      <c r="AL501" s="246"/>
      <c r="AM501" s="246"/>
      <c r="AN501" s="246"/>
      <c r="AO501" s="246"/>
      <c r="AP501" s="246"/>
      <c r="AQ501" s="246"/>
      <c r="AR501" s="246"/>
      <c r="AS501" s="246"/>
      <c r="AT501" s="246"/>
      <c r="AU501" s="246"/>
      <c r="AV501" s="246"/>
      <c r="AW501" s="246"/>
      <c r="AX501" s="246"/>
      <c r="AY501" s="246"/>
      <c r="AZ501" s="246"/>
      <c r="BA501" s="246"/>
      <c r="BB501" s="246"/>
      <c r="BC501" s="246"/>
      <c r="BD501" s="246"/>
      <c r="BE501" s="246"/>
      <c r="BF501" s="246"/>
      <c r="BG501" s="246"/>
      <c r="BH501" s="246"/>
      <c r="BI501" s="246"/>
      <c r="BJ501" s="246"/>
    </row>
    <row r="502" spans="1:62" ht="15.75" customHeight="1" outlineLevel="1" thickTop="1" thickBot="1">
      <c r="B502" s="7"/>
      <c r="C502" s="246"/>
      <c r="D502" s="246"/>
      <c r="E502" s="246"/>
      <c r="F502" s="310"/>
      <c r="G502" s="246"/>
      <c r="H502" s="246"/>
      <c r="I502" s="310"/>
      <c r="J502" s="246"/>
      <c r="K502" s="246"/>
      <c r="L502" s="246"/>
      <c r="M502" s="310"/>
      <c r="N502" s="246"/>
      <c r="O502" s="246"/>
      <c r="P502" s="246"/>
      <c r="Q502" s="310"/>
      <c r="R502" s="310"/>
      <c r="S502" s="310"/>
      <c r="T502" s="246"/>
      <c r="U502" s="246"/>
      <c r="V502" s="365"/>
      <c r="W502" s="366"/>
      <c r="X502" s="367"/>
      <c r="Y502" s="368"/>
      <c r="Z502" s="369"/>
      <c r="AA502" s="367"/>
      <c r="AB502" s="368"/>
      <c r="AC502" s="369"/>
      <c r="AD502" s="367"/>
      <c r="AE502" s="368"/>
      <c r="AF502" s="370"/>
      <c r="AG502" s="371"/>
      <c r="AH502" s="371"/>
      <c r="AI502" s="372"/>
      <c r="AJ502" s="373"/>
      <c r="AK502" s="368"/>
      <c r="AL502" s="370"/>
      <c r="AM502" s="374"/>
      <c r="AN502" s="370"/>
      <c r="AO502" s="394"/>
      <c r="AP502" s="246"/>
      <c r="AQ502" s="246"/>
      <c r="AR502" s="310"/>
      <c r="AS502" s="246"/>
      <c r="AT502" s="246"/>
      <c r="AU502" s="246"/>
      <c r="AV502" s="246"/>
      <c r="AW502" s="246"/>
      <c r="AX502" s="246"/>
      <c r="AY502" s="246"/>
      <c r="AZ502" s="246"/>
      <c r="BA502" s="246"/>
      <c r="BB502" s="246"/>
      <c r="BC502" s="246"/>
      <c r="BD502" s="246"/>
      <c r="BE502" s="246"/>
      <c r="BF502" s="246"/>
      <c r="BG502" s="246"/>
      <c r="BH502" s="246"/>
      <c r="BI502" s="246"/>
      <c r="BJ502" s="246"/>
    </row>
    <row r="503" spans="1:62" ht="16.5" thickTop="1">
      <c r="B503" s="7"/>
      <c r="C503" s="246"/>
      <c r="D503" s="246"/>
      <c r="E503" s="246"/>
      <c r="F503" s="310"/>
      <c r="G503" s="246"/>
      <c r="H503" s="246"/>
      <c r="I503" s="310"/>
      <c r="J503" s="246"/>
      <c r="K503" s="246"/>
      <c r="L503" s="246"/>
      <c r="M503" s="310"/>
      <c r="N503" s="246"/>
      <c r="O503" s="246"/>
      <c r="P503" s="246"/>
      <c r="Q503" s="310"/>
      <c r="R503" s="310"/>
      <c r="S503" s="310"/>
      <c r="T503" s="246"/>
      <c r="U503" s="246"/>
      <c r="V503" s="246"/>
      <c r="W503" s="246"/>
      <c r="X503" s="246"/>
      <c r="Y503" s="246"/>
      <c r="Z503" s="246"/>
      <c r="AA503" s="246"/>
      <c r="AB503" s="246"/>
      <c r="AC503" s="246"/>
      <c r="AD503" s="246"/>
      <c r="AE503" s="395"/>
      <c r="AF503" s="396"/>
      <c r="AG503" s="246"/>
      <c r="AH503" s="310"/>
      <c r="AI503" s="246"/>
      <c r="AJ503" s="246"/>
      <c r="AK503" s="246"/>
      <c r="AL503" s="246"/>
      <c r="AM503" s="246"/>
      <c r="AN503" s="246"/>
      <c r="AO503" s="246"/>
      <c r="AP503" s="246"/>
      <c r="AQ503" s="246"/>
      <c r="AR503" s="246"/>
      <c r="AS503" s="246"/>
      <c r="AT503" s="246"/>
      <c r="AU503" s="246"/>
      <c r="AV503" s="246"/>
      <c r="AW503" s="246"/>
      <c r="AX503" s="246"/>
      <c r="AY503" s="246"/>
      <c r="AZ503" s="246"/>
      <c r="BA503" s="246"/>
      <c r="BB503" s="246"/>
      <c r="BC503" s="246"/>
      <c r="BD503" s="246"/>
      <c r="BE503" s="246"/>
      <c r="BF503" s="246"/>
      <c r="BG503" s="246"/>
      <c r="BH503" s="246"/>
      <c r="BI503" s="246"/>
      <c r="BJ503" s="246"/>
    </row>
    <row r="504" spans="1:62" ht="18">
      <c r="B504" s="7"/>
      <c r="C504" s="246"/>
      <c r="D504" s="246"/>
      <c r="E504" s="246"/>
      <c r="F504" s="310"/>
      <c r="G504" s="246"/>
      <c r="H504" s="246"/>
      <c r="I504" s="310"/>
      <c r="J504" s="246"/>
      <c r="K504" s="246"/>
      <c r="L504" s="246"/>
      <c r="M504" s="310"/>
      <c r="N504" s="246"/>
      <c r="O504" s="246"/>
      <c r="P504" s="246"/>
      <c r="Q504" s="310"/>
      <c r="R504" s="310"/>
      <c r="S504" s="310"/>
      <c r="T504" s="246"/>
      <c r="U504" s="246"/>
      <c r="V504" s="246"/>
      <c r="W504" s="246"/>
      <c r="X504" s="246"/>
      <c r="Y504" s="246"/>
      <c r="Z504" s="310"/>
      <c r="AA504" s="246"/>
      <c r="AB504" s="246"/>
      <c r="AC504" s="246"/>
      <c r="AD504" s="246"/>
      <c r="AE504" s="246"/>
      <c r="AF504" s="488"/>
      <c r="AG504" s="246"/>
      <c r="AH504" s="246"/>
      <c r="AI504" s="246"/>
      <c r="AJ504" s="246"/>
      <c r="AK504" s="246"/>
      <c r="AL504" s="246"/>
      <c r="AM504" s="246"/>
      <c r="AN504" s="246"/>
      <c r="AO504" s="246"/>
      <c r="AP504" s="246"/>
      <c r="AQ504" s="246"/>
      <c r="AR504" s="246"/>
      <c r="AS504" s="246"/>
      <c r="AT504" s="246"/>
      <c r="AU504" s="246"/>
      <c r="AV504" s="246"/>
      <c r="AW504" s="246"/>
      <c r="AX504" s="246"/>
      <c r="AY504" s="246"/>
      <c r="AZ504" s="246"/>
      <c r="BA504" s="246"/>
      <c r="BB504" s="246"/>
      <c r="BC504" s="246"/>
      <c r="BD504" s="246"/>
      <c r="BE504" s="246"/>
      <c r="BF504" s="246"/>
      <c r="BG504" s="246"/>
      <c r="BH504" s="246"/>
      <c r="BI504" s="246"/>
      <c r="BJ504" s="246"/>
    </row>
    <row r="505" spans="1:62" ht="15.75">
      <c r="B505" s="7"/>
      <c r="C505" s="246"/>
      <c r="D505" s="246"/>
      <c r="E505" s="246"/>
      <c r="F505" s="310"/>
      <c r="G505" s="246"/>
      <c r="H505" s="246"/>
      <c r="I505" s="310"/>
      <c r="J505" s="246"/>
      <c r="K505" s="246"/>
      <c r="L505" s="246"/>
      <c r="M505" s="310"/>
      <c r="N505" s="246"/>
      <c r="O505" s="246"/>
      <c r="P505" s="246"/>
      <c r="Q505" s="310"/>
      <c r="R505" s="310"/>
      <c r="S505" s="310"/>
      <c r="T505" s="334"/>
      <c r="U505" s="334"/>
      <c r="V505" s="246"/>
      <c r="W505" s="246"/>
      <c r="X505" s="246"/>
      <c r="Y505" s="246"/>
      <c r="Z505" s="310"/>
      <c r="AA505" s="246"/>
      <c r="AB505" s="246"/>
      <c r="AC505" s="246"/>
      <c r="AD505" s="246"/>
      <c r="AE505" s="246"/>
      <c r="AF505" s="246"/>
      <c r="AG505" s="246"/>
      <c r="AH505" s="246"/>
      <c r="AI505" s="246"/>
      <c r="AJ505" s="246"/>
      <c r="AK505" s="246"/>
      <c r="AL505" s="246"/>
      <c r="AM505" s="246"/>
      <c r="AN505" s="246"/>
      <c r="AO505" s="246"/>
      <c r="AP505" s="246"/>
      <c r="AQ505" s="246"/>
      <c r="AR505" s="246"/>
      <c r="AS505" s="246"/>
      <c r="AT505" s="246"/>
      <c r="AU505" s="246"/>
      <c r="AV505" s="246"/>
      <c r="AW505" s="246"/>
      <c r="AX505" s="246"/>
      <c r="AY505" s="246"/>
      <c r="AZ505" s="246"/>
      <c r="BA505" s="246"/>
      <c r="BB505" s="246"/>
      <c r="BC505" s="246"/>
      <c r="BD505" s="246"/>
      <c r="BE505" s="246"/>
      <c r="BF505" s="246"/>
      <c r="BG505" s="246"/>
      <c r="BH505" s="246"/>
      <c r="BI505" s="246"/>
      <c r="BJ505" s="246"/>
    </row>
    <row r="506" spans="1:62" ht="18">
      <c r="B506" s="7"/>
      <c r="C506" s="246"/>
      <c r="D506" s="246"/>
      <c r="E506" s="246"/>
      <c r="F506" s="310"/>
      <c r="G506" s="246"/>
      <c r="H506" s="246"/>
      <c r="I506" s="310"/>
      <c r="J506" s="246"/>
      <c r="K506" s="246"/>
      <c r="L506" s="246"/>
      <c r="M506" s="310"/>
      <c r="N506" s="246"/>
      <c r="O506" s="246"/>
      <c r="P506" s="246"/>
      <c r="Q506" s="310"/>
      <c r="R506" s="310"/>
      <c r="S506" s="310"/>
      <c r="T506" s="334"/>
      <c r="U506" s="334"/>
      <c r="V506" s="246"/>
      <c r="W506" s="246"/>
      <c r="X506" s="246"/>
      <c r="Y506" s="246"/>
      <c r="Z506" s="310"/>
      <c r="AA506" s="246"/>
      <c r="AB506" s="246"/>
      <c r="AC506" s="246"/>
      <c r="AD506" s="246"/>
      <c r="AE506" s="246"/>
      <c r="AF506" s="397"/>
      <c r="AG506" s="246"/>
      <c r="AH506" s="246"/>
      <c r="AI506" s="246"/>
      <c r="AJ506" s="246"/>
      <c r="AK506" s="246"/>
      <c r="AL506" s="246"/>
      <c r="AM506" s="246"/>
      <c r="AN506" s="246"/>
      <c r="AO506" s="246"/>
      <c r="AP506" s="246"/>
      <c r="AQ506" s="246"/>
      <c r="AR506" s="246"/>
      <c r="AS506" s="246"/>
      <c r="AT506" s="246"/>
      <c r="AU506" s="246"/>
      <c r="AV506" s="246"/>
      <c r="AW506" s="246"/>
      <c r="AX506" s="246"/>
      <c r="AY506" s="246"/>
      <c r="AZ506" s="246"/>
      <c r="BA506" s="246"/>
      <c r="BB506" s="246"/>
      <c r="BC506" s="246"/>
      <c r="BD506" s="246"/>
      <c r="BE506" s="246"/>
      <c r="BF506" s="246"/>
      <c r="BG506" s="246"/>
      <c r="BH506" s="246"/>
      <c r="BI506" s="246"/>
      <c r="BJ506" s="246"/>
    </row>
    <row r="507" spans="1:62" ht="15.75">
      <c r="B507" s="7"/>
      <c r="C507" s="246"/>
      <c r="D507" s="246"/>
      <c r="E507" s="246"/>
      <c r="F507" s="310"/>
      <c r="G507" s="246"/>
      <c r="H507" s="246"/>
      <c r="I507" s="310"/>
      <c r="J507" s="246"/>
      <c r="K507" s="246"/>
      <c r="L507" s="246"/>
      <c r="M507" s="310"/>
      <c r="N507" s="246"/>
      <c r="O507" s="246"/>
      <c r="P507" s="246"/>
      <c r="Q507" s="310"/>
      <c r="R507" s="310"/>
      <c r="S507" s="310"/>
      <c r="T507" s="334"/>
      <c r="U507" s="334"/>
      <c r="V507" s="246"/>
      <c r="W507" s="246"/>
      <c r="X507" s="246"/>
      <c r="Y507" s="246"/>
      <c r="Z507" s="246"/>
      <c r="AA507" s="246"/>
      <c r="AB507" s="246"/>
      <c r="AC507" s="246"/>
      <c r="AD507" s="246"/>
      <c r="AE507" s="246"/>
      <c r="AF507" s="310"/>
      <c r="AG507" s="246"/>
      <c r="AH507" s="246"/>
      <c r="AI507" s="246"/>
      <c r="AJ507" s="246"/>
      <c r="AK507" s="246"/>
      <c r="AL507" s="246"/>
      <c r="AM507" s="246"/>
      <c r="AN507" s="246"/>
      <c r="AO507" s="246"/>
      <c r="AP507" s="246"/>
      <c r="AQ507" s="246"/>
      <c r="AR507" s="246"/>
      <c r="AS507" s="246"/>
      <c r="AT507" s="246"/>
      <c r="AU507" s="246"/>
      <c r="AV507" s="246"/>
      <c r="AW507" s="246"/>
      <c r="AX507" s="246"/>
      <c r="AY507" s="246"/>
      <c r="AZ507" s="246"/>
      <c r="BA507" s="246"/>
      <c r="BB507" s="246"/>
      <c r="BC507" s="246"/>
      <c r="BD507" s="246"/>
      <c r="BE507" s="246"/>
      <c r="BF507" s="246"/>
      <c r="BG507" s="246"/>
      <c r="BH507" s="246"/>
      <c r="BI507" s="246"/>
      <c r="BJ507" s="246"/>
    </row>
    <row r="508" spans="1:62" ht="15.75">
      <c r="B508" s="7"/>
      <c r="C508" s="246"/>
      <c r="D508" s="246"/>
      <c r="E508" s="246"/>
      <c r="F508" s="310"/>
      <c r="G508" s="246"/>
      <c r="H508" s="246"/>
      <c r="I508" s="310"/>
      <c r="J508" s="246"/>
      <c r="K508" s="246"/>
      <c r="L508" s="246"/>
      <c r="M508" s="310"/>
      <c r="N508" s="246"/>
      <c r="O508" s="246"/>
      <c r="P508" s="246"/>
      <c r="Q508" s="310"/>
      <c r="R508" s="310"/>
      <c r="S508" s="310"/>
      <c r="T508" s="334"/>
      <c r="U508" s="334"/>
      <c r="V508" s="246"/>
      <c r="W508" s="246"/>
      <c r="X508" s="246"/>
      <c r="Y508" s="246"/>
      <c r="Z508" s="246"/>
      <c r="AA508" s="246"/>
      <c r="AB508" s="246"/>
      <c r="AC508" s="246"/>
      <c r="AD508" s="246"/>
      <c r="AE508" s="246"/>
      <c r="AF508" s="246"/>
      <c r="AG508" s="246"/>
      <c r="AH508" s="246"/>
      <c r="AI508" s="246"/>
      <c r="AJ508" s="246"/>
      <c r="AK508" s="246"/>
      <c r="AL508" s="246"/>
      <c r="AM508" s="246"/>
      <c r="AN508" s="246"/>
      <c r="AO508" s="246"/>
      <c r="AP508" s="246"/>
      <c r="AQ508" s="246"/>
      <c r="AR508" s="246"/>
      <c r="AS508" s="246"/>
      <c r="AT508" s="246"/>
      <c r="AU508" s="246"/>
      <c r="AV508" s="246"/>
      <c r="AW508" s="246"/>
      <c r="AX508" s="246"/>
      <c r="AY508" s="246"/>
      <c r="AZ508" s="246"/>
      <c r="BA508" s="246"/>
      <c r="BB508" s="246"/>
      <c r="BC508" s="246"/>
      <c r="BD508" s="246"/>
      <c r="BE508" s="246"/>
      <c r="BF508" s="246"/>
      <c r="BG508" s="246"/>
      <c r="BH508" s="246"/>
      <c r="BI508" s="246"/>
      <c r="BJ508" s="246"/>
    </row>
    <row r="509" spans="1:62" ht="15.75">
      <c r="B509" s="7"/>
      <c r="C509" s="246"/>
      <c r="D509" s="246"/>
      <c r="E509" s="246"/>
      <c r="F509" s="310"/>
      <c r="G509" s="246"/>
      <c r="H509" s="246"/>
      <c r="I509" s="310"/>
      <c r="J509" s="246"/>
      <c r="K509" s="246"/>
      <c r="L509" s="246"/>
      <c r="M509" s="310"/>
      <c r="N509" s="246"/>
      <c r="O509" s="246"/>
      <c r="P509" s="246"/>
      <c r="Q509" s="310"/>
      <c r="R509" s="310"/>
      <c r="S509" s="310"/>
      <c r="T509" s="334"/>
      <c r="U509" s="334"/>
      <c r="V509" s="246"/>
      <c r="W509" s="246"/>
      <c r="X509" s="246"/>
      <c r="Y509" s="246"/>
      <c r="Z509" s="246"/>
      <c r="AA509" s="246"/>
      <c r="AB509" s="246"/>
      <c r="AC509" s="246"/>
      <c r="AD509" s="246"/>
      <c r="AE509" s="246"/>
      <c r="AF509" s="246"/>
      <c r="AG509" s="246"/>
      <c r="AH509" s="246"/>
      <c r="AI509" s="246"/>
      <c r="AJ509" s="246"/>
      <c r="AK509" s="246"/>
      <c r="AL509" s="246"/>
      <c r="AM509" s="246"/>
      <c r="AN509" s="246"/>
      <c r="AO509" s="246"/>
      <c r="AP509" s="246"/>
      <c r="AQ509" s="246"/>
      <c r="AR509" s="246"/>
      <c r="AS509" s="246"/>
      <c r="AT509" s="246"/>
      <c r="AU509" s="246"/>
      <c r="AV509" s="246"/>
      <c r="AW509" s="246"/>
      <c r="AX509" s="246"/>
      <c r="AY509" s="246"/>
      <c r="AZ509" s="246"/>
      <c r="BA509" s="246"/>
      <c r="BB509" s="246"/>
      <c r="BC509" s="246"/>
      <c r="BD509" s="246"/>
      <c r="BE509" s="246"/>
      <c r="BF509" s="246"/>
      <c r="BG509" s="246"/>
      <c r="BH509" s="246"/>
      <c r="BI509" s="246"/>
      <c r="BJ509" s="246"/>
    </row>
    <row r="510" spans="1:62" ht="15.75">
      <c r="B510" s="7"/>
      <c r="C510" s="246"/>
      <c r="D510" s="246"/>
      <c r="E510" s="246"/>
      <c r="F510" s="310"/>
      <c r="G510" s="246"/>
      <c r="H510" s="246"/>
      <c r="I510" s="310"/>
      <c r="J510" s="246"/>
      <c r="K510" s="246"/>
      <c r="L510" s="246"/>
      <c r="M510" s="310"/>
      <c r="N510" s="246"/>
      <c r="O510" s="246"/>
      <c r="P510" s="246"/>
      <c r="Q510" s="310"/>
      <c r="R510" s="310"/>
      <c r="S510" s="310"/>
      <c r="T510" s="334"/>
      <c r="U510" s="334"/>
      <c r="V510" s="246"/>
      <c r="W510" s="246"/>
      <c r="X510" s="246"/>
      <c r="Y510" s="246"/>
      <c r="Z510" s="246"/>
      <c r="AA510" s="246"/>
      <c r="AB510" s="246"/>
      <c r="AC510" s="246"/>
      <c r="AD510" s="246"/>
      <c r="AE510" s="246"/>
      <c r="AF510" s="246"/>
      <c r="AG510" s="246"/>
      <c r="AH510" s="246"/>
      <c r="AI510" s="246"/>
      <c r="AJ510" s="246"/>
      <c r="AK510" s="246"/>
      <c r="AL510" s="246"/>
      <c r="AM510" s="246"/>
      <c r="AN510" s="246"/>
      <c r="AO510" s="246"/>
      <c r="AP510" s="246"/>
      <c r="AQ510" s="246"/>
      <c r="AR510" s="246"/>
      <c r="AS510" s="246"/>
      <c r="AT510" s="246"/>
      <c r="AU510" s="246"/>
      <c r="AV510" s="246"/>
      <c r="AW510" s="246"/>
      <c r="AX510" s="246"/>
      <c r="AY510" s="246"/>
      <c r="AZ510" s="246"/>
      <c r="BA510" s="246"/>
      <c r="BB510" s="246"/>
      <c r="BC510" s="246"/>
      <c r="BD510" s="246"/>
      <c r="BE510" s="246"/>
      <c r="BF510" s="246"/>
      <c r="BG510" s="246"/>
      <c r="BH510" s="246"/>
      <c r="BI510" s="246"/>
      <c r="BJ510" s="246"/>
    </row>
    <row r="511" spans="1:62" ht="15.75">
      <c r="B511" s="7"/>
      <c r="C511" s="246"/>
      <c r="D511" s="246"/>
      <c r="E511" s="246"/>
      <c r="F511" s="310"/>
      <c r="G511" s="246"/>
      <c r="H511" s="246"/>
      <c r="I511" s="310"/>
      <c r="J511" s="246"/>
      <c r="K511" s="246"/>
      <c r="L511" s="246"/>
      <c r="M511" s="310"/>
      <c r="N511" s="246"/>
      <c r="O511" s="246"/>
      <c r="P511" s="246"/>
      <c r="Q511" s="310"/>
      <c r="R511" s="310"/>
      <c r="S511" s="310"/>
      <c r="T511" s="334"/>
      <c r="U511" s="334"/>
      <c r="V511" s="246"/>
      <c r="W511" s="246"/>
      <c r="X511" s="246"/>
      <c r="Y511" s="246"/>
      <c r="Z511" s="246"/>
      <c r="AA511" s="246"/>
      <c r="AB511" s="246"/>
      <c r="AC511" s="246"/>
      <c r="AD511" s="246"/>
      <c r="AE511" s="246"/>
      <c r="AF511" s="246"/>
      <c r="AG511" s="246"/>
      <c r="AH511" s="246"/>
      <c r="AI511" s="246"/>
      <c r="AJ511" s="246"/>
      <c r="AK511" s="246"/>
      <c r="AL511" s="246"/>
      <c r="AM511" s="246"/>
      <c r="AN511" s="246"/>
      <c r="AO511" s="246"/>
      <c r="AP511" s="246"/>
      <c r="AQ511" s="246"/>
      <c r="AR511" s="246"/>
      <c r="AS511" s="246"/>
      <c r="AT511" s="246"/>
      <c r="AU511" s="246"/>
      <c r="AV511" s="246"/>
      <c r="AW511" s="246"/>
      <c r="AX511" s="246"/>
      <c r="AY511" s="246"/>
      <c r="AZ511" s="246"/>
      <c r="BA511" s="246"/>
      <c r="BB511" s="246"/>
      <c r="BC511" s="246"/>
      <c r="BD511" s="246"/>
      <c r="BE511" s="246"/>
      <c r="BF511" s="246"/>
      <c r="BG511" s="246"/>
      <c r="BH511" s="246"/>
      <c r="BI511" s="246"/>
      <c r="BJ511" s="246"/>
    </row>
    <row r="512" spans="1:62" ht="15.75">
      <c r="B512" s="7"/>
      <c r="C512" s="246"/>
      <c r="D512" s="246"/>
      <c r="E512" s="246"/>
      <c r="F512" s="310"/>
      <c r="G512" s="246"/>
      <c r="H512" s="246"/>
      <c r="I512" s="310"/>
      <c r="J512" s="246"/>
      <c r="K512" s="246"/>
      <c r="L512" s="246"/>
      <c r="M512" s="310"/>
      <c r="N512" s="246"/>
      <c r="O512" s="246"/>
      <c r="P512" s="246"/>
      <c r="Q512" s="310"/>
      <c r="R512" s="310"/>
      <c r="S512" s="310"/>
      <c r="T512" s="334"/>
      <c r="U512" s="334"/>
      <c r="V512" s="246"/>
      <c r="W512" s="334"/>
      <c r="X512" s="334"/>
      <c r="Y512" s="246"/>
      <c r="Z512" s="246"/>
      <c r="AA512" s="246"/>
      <c r="AB512" s="246"/>
      <c r="AC512" s="246"/>
      <c r="AD512" s="246"/>
      <c r="AE512" s="246"/>
      <c r="AF512" s="310"/>
      <c r="AG512" s="246"/>
      <c r="AH512" s="246"/>
      <c r="AI512" s="246"/>
      <c r="AJ512" s="246"/>
      <c r="AK512" s="246"/>
      <c r="AL512" s="246"/>
      <c r="AM512" s="246"/>
      <c r="AN512" s="246"/>
      <c r="AO512" s="246"/>
      <c r="AP512" s="246"/>
      <c r="AQ512" s="246"/>
      <c r="AR512" s="246"/>
      <c r="AS512" s="246"/>
      <c r="AT512" s="246"/>
      <c r="AU512" s="246"/>
      <c r="AV512" s="246"/>
      <c r="AW512" s="246"/>
      <c r="AX512" s="246"/>
      <c r="AY512" s="246"/>
      <c r="AZ512" s="246"/>
      <c r="BA512" s="246"/>
      <c r="BB512" s="246"/>
      <c r="BC512" s="246"/>
      <c r="BD512" s="246"/>
      <c r="BE512" s="246"/>
      <c r="BF512" s="246"/>
      <c r="BG512" s="246"/>
      <c r="BH512" s="246"/>
      <c r="BI512" s="246"/>
      <c r="BJ512" s="246"/>
    </row>
    <row r="513" spans="2:62" ht="15.75">
      <c r="B513" s="7"/>
      <c r="C513" s="246"/>
      <c r="D513" s="246"/>
      <c r="E513" s="246"/>
      <c r="F513" s="310"/>
      <c r="G513" s="246"/>
      <c r="H513" s="246"/>
      <c r="I513" s="310"/>
      <c r="J513" s="246"/>
      <c r="K513" s="246"/>
      <c r="L513" s="246"/>
      <c r="M513" s="310"/>
      <c r="N513" s="246"/>
      <c r="O513" s="246"/>
      <c r="P513" s="246"/>
      <c r="Q513" s="310"/>
      <c r="R513" s="310"/>
      <c r="S513" s="310"/>
      <c r="T513" s="334"/>
      <c r="U513" s="334"/>
      <c r="V513" s="246"/>
      <c r="W513" s="334"/>
      <c r="X513" s="334"/>
      <c r="Y513" s="246"/>
      <c r="Z513" s="246"/>
      <c r="AA513" s="246"/>
      <c r="AB513" s="246"/>
      <c r="AC513" s="246"/>
      <c r="AD513" s="246"/>
      <c r="AE513" s="246"/>
      <c r="AF513" s="246"/>
      <c r="AG513" s="246"/>
      <c r="AH513" s="246"/>
      <c r="AI513" s="246"/>
      <c r="AJ513" s="246"/>
      <c r="AK513" s="246"/>
      <c r="AL513" s="246"/>
      <c r="AM513" s="246"/>
      <c r="AN513" s="246"/>
      <c r="AO513" s="246"/>
      <c r="AP513" s="246"/>
      <c r="AQ513" s="246"/>
      <c r="AR513" s="246"/>
      <c r="AS513" s="246"/>
      <c r="AT513" s="246"/>
      <c r="AU513" s="246"/>
      <c r="AV513" s="246"/>
      <c r="AW513" s="246"/>
      <c r="AX513" s="246"/>
      <c r="AY513" s="246"/>
      <c r="AZ513" s="246"/>
      <c r="BA513" s="246"/>
      <c r="BB513" s="246"/>
      <c r="BC513" s="246"/>
      <c r="BD513" s="246"/>
      <c r="BE513" s="246"/>
      <c r="BF513" s="246"/>
      <c r="BG513" s="246"/>
      <c r="BH513" s="246"/>
      <c r="BI513" s="246"/>
      <c r="BJ513" s="246"/>
    </row>
    <row r="514" spans="2:62" ht="15.75">
      <c r="B514" s="7"/>
      <c r="C514" s="246"/>
      <c r="D514" s="246"/>
      <c r="E514" s="246"/>
      <c r="F514" s="310"/>
      <c r="G514" s="246"/>
      <c r="H514" s="246"/>
      <c r="I514" s="310"/>
      <c r="J514" s="246"/>
      <c r="K514" s="246"/>
      <c r="L514" s="246"/>
      <c r="M514" s="310"/>
      <c r="N514" s="246"/>
      <c r="O514" s="246"/>
      <c r="P514" s="246"/>
      <c r="Q514" s="310"/>
      <c r="R514" s="310"/>
      <c r="S514" s="310"/>
      <c r="T514" s="334"/>
      <c r="U514" s="334"/>
      <c r="V514" s="246"/>
      <c r="W514" s="334"/>
      <c r="X514" s="334"/>
      <c r="Y514" s="246"/>
      <c r="Z514" s="246"/>
      <c r="AA514" s="246"/>
      <c r="AB514" s="246"/>
      <c r="AC514" s="246"/>
      <c r="AD514" s="246"/>
      <c r="AE514" s="246"/>
      <c r="AF514" s="246"/>
      <c r="AG514" s="246"/>
      <c r="AH514" s="246"/>
      <c r="AI514" s="246"/>
      <c r="AJ514" s="246"/>
      <c r="AK514" s="246"/>
      <c r="AL514" s="246"/>
      <c r="AM514" s="246"/>
      <c r="AN514" s="246"/>
      <c r="AO514" s="246"/>
      <c r="AP514" s="246"/>
      <c r="AQ514" s="246"/>
      <c r="AR514" s="246"/>
      <c r="AS514" s="246"/>
      <c r="AT514" s="246"/>
      <c r="AU514" s="246"/>
      <c r="AV514" s="246"/>
      <c r="AW514" s="246"/>
      <c r="AX514" s="246"/>
      <c r="AY514" s="246"/>
      <c r="AZ514" s="246"/>
      <c r="BA514" s="246"/>
      <c r="BB514" s="246"/>
      <c r="BC514" s="246"/>
      <c r="BD514" s="246"/>
      <c r="BE514" s="246"/>
      <c r="BF514" s="246"/>
      <c r="BG514" s="246"/>
      <c r="BH514" s="246"/>
      <c r="BI514" s="246"/>
      <c r="BJ514" s="246"/>
    </row>
    <row r="515" spans="2:62" ht="15.75">
      <c r="B515" s="7"/>
      <c r="C515" s="246"/>
      <c r="D515" s="246"/>
      <c r="E515" s="246"/>
      <c r="F515" s="310"/>
      <c r="G515" s="246"/>
      <c r="H515" s="246"/>
      <c r="I515" s="310"/>
      <c r="J515" s="246"/>
      <c r="K515" s="246"/>
      <c r="L515" s="246"/>
      <c r="M515" s="310"/>
      <c r="N515" s="246"/>
      <c r="O515" s="246"/>
      <c r="P515" s="246"/>
      <c r="Q515" s="310"/>
      <c r="R515" s="310"/>
      <c r="S515" s="310"/>
      <c r="T515" s="334"/>
      <c r="U515" s="334"/>
      <c r="V515" s="246"/>
      <c r="W515" s="334"/>
      <c r="X515" s="334"/>
      <c r="Y515" s="246"/>
      <c r="Z515" s="246"/>
      <c r="AA515" s="246"/>
      <c r="AB515" s="246"/>
      <c r="AC515" s="246"/>
      <c r="AD515" s="246"/>
      <c r="AE515" s="246"/>
      <c r="AF515" s="246"/>
      <c r="AG515" s="246"/>
      <c r="AH515" s="246"/>
      <c r="AI515" s="246"/>
      <c r="AJ515" s="246"/>
      <c r="AK515" s="246"/>
      <c r="AL515" s="246"/>
      <c r="AM515" s="246"/>
      <c r="AN515" s="246"/>
      <c r="AO515" s="246"/>
      <c r="AP515" s="246"/>
      <c r="AQ515" s="246"/>
      <c r="AR515" s="246"/>
      <c r="AS515" s="246"/>
      <c r="AT515" s="246"/>
      <c r="AU515" s="246"/>
      <c r="AV515" s="246"/>
      <c r="AW515" s="246"/>
      <c r="AX515" s="246"/>
      <c r="AY515" s="246"/>
      <c r="AZ515" s="246"/>
      <c r="BA515" s="246"/>
      <c r="BB515" s="246"/>
      <c r="BC515" s="246"/>
      <c r="BD515" s="246"/>
      <c r="BE515" s="246"/>
      <c r="BF515" s="246"/>
      <c r="BG515" s="246"/>
      <c r="BH515" s="246"/>
      <c r="BI515" s="246"/>
      <c r="BJ515" s="246"/>
    </row>
    <row r="516" spans="2:62" ht="15.75">
      <c r="B516" s="7"/>
      <c r="C516" s="246"/>
      <c r="D516" s="246"/>
      <c r="E516" s="246"/>
      <c r="F516" s="310"/>
      <c r="G516" s="246"/>
      <c r="H516" s="246"/>
      <c r="I516" s="310"/>
      <c r="J516" s="246"/>
      <c r="K516" s="246"/>
      <c r="L516" s="246"/>
      <c r="M516" s="310"/>
      <c r="N516" s="246"/>
      <c r="O516" s="246"/>
      <c r="P516" s="246"/>
      <c r="Q516" s="310"/>
      <c r="R516" s="310"/>
      <c r="S516" s="310"/>
      <c r="T516" s="334"/>
      <c r="U516" s="334"/>
      <c r="V516" s="246"/>
      <c r="W516" s="334"/>
      <c r="X516" s="334"/>
      <c r="Y516" s="246"/>
      <c r="Z516" s="246"/>
      <c r="AA516" s="246"/>
      <c r="AB516" s="246"/>
      <c r="AC516" s="246"/>
      <c r="AD516" s="246"/>
      <c r="AE516" s="246"/>
      <c r="AF516" s="310"/>
      <c r="AG516" s="310"/>
      <c r="AH516" s="310"/>
      <c r="AI516" s="246"/>
      <c r="AJ516" s="246"/>
      <c r="AK516" s="246"/>
      <c r="AL516" s="246"/>
      <c r="AM516" s="246"/>
      <c r="AN516" s="246"/>
      <c r="AO516" s="246"/>
      <c r="AP516" s="246"/>
      <c r="AQ516" s="246"/>
      <c r="AR516" s="246"/>
      <c r="AS516" s="246"/>
      <c r="AT516" s="246"/>
      <c r="AU516" s="246"/>
      <c r="AV516" s="246"/>
      <c r="AW516" s="246"/>
      <c r="AX516" s="246"/>
      <c r="AY516" s="246"/>
      <c r="AZ516" s="246"/>
      <c r="BA516" s="246"/>
      <c r="BB516" s="246"/>
      <c r="BC516" s="246"/>
      <c r="BD516" s="246"/>
      <c r="BE516" s="246"/>
      <c r="BF516" s="246"/>
      <c r="BG516" s="246"/>
      <c r="BH516" s="246"/>
      <c r="BI516" s="246"/>
      <c r="BJ516" s="246"/>
    </row>
    <row r="517" spans="2:62" ht="15.75">
      <c r="B517" s="7"/>
      <c r="C517" s="246"/>
      <c r="D517" s="246"/>
      <c r="E517" s="246"/>
      <c r="F517" s="310"/>
      <c r="G517" s="246"/>
      <c r="H517" s="246"/>
      <c r="I517" s="310"/>
      <c r="J517" s="246"/>
      <c r="K517" s="246"/>
      <c r="L517" s="246"/>
      <c r="M517" s="310"/>
      <c r="N517" s="246"/>
      <c r="O517" s="246"/>
      <c r="P517" s="246"/>
      <c r="Q517" s="310"/>
      <c r="R517" s="310"/>
      <c r="S517" s="310"/>
      <c r="T517" s="334"/>
      <c r="U517" s="334"/>
      <c r="V517" s="334"/>
      <c r="W517" s="334"/>
      <c r="X517" s="334"/>
      <c r="Y517" s="246"/>
      <c r="Z517" s="246"/>
      <c r="AA517" s="246"/>
      <c r="AB517" s="246"/>
      <c r="AC517" s="246"/>
      <c r="AD517" s="246"/>
      <c r="AE517" s="246"/>
      <c r="AF517" s="246"/>
      <c r="AG517" s="246"/>
      <c r="AH517" s="246"/>
      <c r="AI517" s="246"/>
      <c r="AJ517" s="246"/>
      <c r="AK517" s="246"/>
      <c r="AL517" s="246"/>
      <c r="AM517" s="246"/>
      <c r="AN517" s="246"/>
      <c r="AO517" s="246"/>
      <c r="AP517" s="246"/>
      <c r="AQ517" s="246"/>
      <c r="AR517" s="246"/>
      <c r="AS517" s="246"/>
      <c r="AT517" s="246"/>
      <c r="AU517" s="246"/>
      <c r="AV517" s="246"/>
      <c r="AW517" s="246"/>
      <c r="AX517" s="246"/>
      <c r="AY517" s="246"/>
      <c r="AZ517" s="246"/>
      <c r="BA517" s="246"/>
      <c r="BB517" s="246"/>
      <c r="BC517" s="246"/>
      <c r="BD517" s="246"/>
      <c r="BE517" s="246"/>
      <c r="BF517" s="246"/>
      <c r="BG517" s="246"/>
      <c r="BH517" s="246"/>
      <c r="BI517" s="246"/>
      <c r="BJ517" s="246"/>
    </row>
    <row r="518" spans="2:62" ht="15.75">
      <c r="B518" s="7"/>
      <c r="C518" s="398"/>
      <c r="D518" s="334"/>
      <c r="E518" s="334"/>
      <c r="F518" s="399"/>
      <c r="G518" s="334"/>
      <c r="H518" s="334"/>
      <c r="I518" s="399"/>
      <c r="J518" s="334"/>
      <c r="K518" s="334"/>
      <c r="L518" s="334"/>
      <c r="M518" s="399"/>
      <c r="N518" s="334"/>
      <c r="O518" s="334"/>
      <c r="P518" s="334"/>
      <c r="Q518" s="399"/>
      <c r="R518" s="399"/>
      <c r="S518" s="399"/>
      <c r="T518" s="334"/>
      <c r="U518" s="334"/>
      <c r="V518" s="334"/>
      <c r="W518" s="334"/>
      <c r="X518" s="334"/>
      <c r="Y518" s="246"/>
      <c r="Z518" s="246"/>
      <c r="AA518" s="246"/>
      <c r="AB518" s="246"/>
      <c r="AC518" s="246"/>
      <c r="AD518" s="246"/>
      <c r="AE518" s="246"/>
      <c r="AF518" s="310"/>
      <c r="AG518" s="246"/>
      <c r="AH518" s="246"/>
      <c r="AI518" s="246"/>
      <c r="AJ518" s="246"/>
      <c r="AK518" s="246"/>
      <c r="AL518" s="246"/>
      <c r="AM518" s="246"/>
      <c r="AN518" s="246"/>
      <c r="AO518" s="246"/>
      <c r="AP518" s="246"/>
      <c r="AQ518" s="246"/>
      <c r="AR518" s="246"/>
      <c r="AS518" s="246"/>
      <c r="AT518" s="246"/>
      <c r="AU518" s="246"/>
      <c r="AV518" s="246"/>
      <c r="AW518" s="246"/>
      <c r="AX518" s="246"/>
      <c r="AY518" s="246"/>
      <c r="AZ518" s="246"/>
      <c r="BA518" s="246"/>
      <c r="BB518" s="246"/>
      <c r="BC518" s="246"/>
      <c r="BD518" s="246"/>
      <c r="BE518" s="246"/>
      <c r="BF518" s="246"/>
      <c r="BG518" s="246"/>
      <c r="BH518" s="246"/>
      <c r="BI518" s="246"/>
      <c r="BJ518" s="246"/>
    </row>
    <row r="519" spans="2:62" ht="15.75">
      <c r="B519" s="7"/>
      <c r="C519" s="400"/>
      <c r="D519" s="334"/>
      <c r="E519" s="334"/>
      <c r="F519" s="399"/>
      <c r="G519" s="334"/>
      <c r="H519" s="334"/>
      <c r="I519" s="399"/>
      <c r="J519" s="334"/>
      <c r="K519" s="334"/>
      <c r="L519" s="334"/>
      <c r="M519" s="399"/>
      <c r="N519" s="334"/>
      <c r="O519" s="334"/>
      <c r="P519" s="334"/>
      <c r="Q519" s="399"/>
      <c r="R519" s="399"/>
      <c r="S519" s="399"/>
      <c r="T519" s="334"/>
      <c r="U519" s="334"/>
      <c r="V519" s="334"/>
      <c r="W519" s="334"/>
      <c r="X519" s="334"/>
      <c r="Y519" s="246"/>
      <c r="Z519" s="246"/>
      <c r="AA519" s="246"/>
      <c r="AB519" s="246"/>
      <c r="AC519" s="246"/>
      <c r="AD519" s="246"/>
      <c r="AE519" s="246"/>
      <c r="AF519" s="310"/>
      <c r="AG519" s="246"/>
      <c r="AH519" s="246"/>
      <c r="AI519" s="246"/>
      <c r="AJ519" s="246"/>
      <c r="AK519" s="246"/>
      <c r="AL519" s="246"/>
      <c r="AM519" s="246"/>
      <c r="AN519" s="246"/>
      <c r="AO519" s="246"/>
      <c r="AP519" s="246"/>
      <c r="AQ519" s="246"/>
      <c r="AR519" s="246"/>
      <c r="AS519" s="246"/>
      <c r="AT519" s="246"/>
      <c r="AU519" s="246"/>
      <c r="AV519" s="246"/>
      <c r="AW519" s="246"/>
      <c r="AX519" s="246"/>
      <c r="AY519" s="246"/>
      <c r="AZ519" s="246"/>
      <c r="BA519" s="246"/>
      <c r="BB519" s="246"/>
      <c r="BC519" s="246"/>
      <c r="BD519" s="246"/>
      <c r="BE519" s="246"/>
      <c r="BF519" s="246"/>
      <c r="BG519" s="246"/>
      <c r="BH519" s="246"/>
      <c r="BI519" s="246"/>
      <c r="BJ519" s="246"/>
    </row>
    <row r="520" spans="2:62" ht="15.75">
      <c r="B520" s="7"/>
      <c r="C520" s="334"/>
      <c r="D520" s="334"/>
      <c r="E520" s="334"/>
      <c r="F520" s="399"/>
      <c r="G520" s="334"/>
      <c r="H520" s="334"/>
      <c r="I520" s="399"/>
      <c r="J520" s="334"/>
      <c r="K520" s="334"/>
      <c r="L520" s="334"/>
      <c r="M520" s="399"/>
      <c r="N520" s="334"/>
      <c r="O520" s="334"/>
      <c r="P520" s="334"/>
      <c r="Q520" s="399"/>
      <c r="R520" s="399"/>
      <c r="S520" s="399"/>
      <c r="T520" s="334"/>
      <c r="U520" s="334"/>
      <c r="V520" s="334"/>
      <c r="W520" s="334"/>
      <c r="X520" s="334"/>
      <c r="Y520" s="246"/>
      <c r="Z520" s="246"/>
      <c r="AA520" s="246"/>
      <c r="AB520" s="246"/>
      <c r="AC520" s="246"/>
      <c r="AD520" s="246"/>
      <c r="AE520" s="246"/>
      <c r="AF520" s="246"/>
      <c r="AG520" s="246"/>
      <c r="AH520" s="246"/>
      <c r="AI520" s="246"/>
      <c r="AJ520" s="246"/>
      <c r="AK520" s="246"/>
      <c r="AL520" s="246"/>
      <c r="AM520" s="246"/>
      <c r="AN520" s="246"/>
      <c r="AO520" s="246"/>
      <c r="AP520" s="246"/>
      <c r="AQ520" s="246"/>
      <c r="AR520" s="246"/>
      <c r="AS520" s="246"/>
      <c r="AT520" s="246"/>
      <c r="AU520" s="246"/>
      <c r="AV520" s="246"/>
      <c r="AW520" s="246"/>
      <c r="AX520" s="246"/>
      <c r="AY520" s="246"/>
      <c r="AZ520" s="246"/>
      <c r="BA520" s="246"/>
      <c r="BB520" s="246"/>
      <c r="BC520" s="246"/>
      <c r="BD520" s="246"/>
      <c r="BE520" s="246"/>
      <c r="BF520" s="246"/>
      <c r="BG520" s="246"/>
      <c r="BH520" s="246"/>
      <c r="BI520" s="246"/>
      <c r="BJ520" s="246"/>
    </row>
    <row r="521" spans="2:62" ht="15.75">
      <c r="B521" s="7"/>
      <c r="C521" s="334"/>
      <c r="D521" s="334"/>
      <c r="E521" s="334"/>
      <c r="F521" s="334"/>
      <c r="G521" s="334"/>
      <c r="H521" s="334"/>
      <c r="I521" s="334"/>
      <c r="J521" s="398"/>
      <c r="K521" s="398"/>
      <c r="L521" s="398"/>
      <c r="M521" s="399"/>
      <c r="N521" s="334"/>
      <c r="O521" s="334"/>
      <c r="P521" s="334"/>
      <c r="Q521" s="334"/>
      <c r="R521" s="334"/>
      <c r="S521" s="399"/>
      <c r="T521" s="334"/>
      <c r="U521" s="334"/>
      <c r="V521" s="334"/>
      <c r="W521" s="334"/>
      <c r="X521" s="334"/>
      <c r="Y521" s="246"/>
      <c r="Z521" s="246"/>
      <c r="AA521" s="246"/>
      <c r="AB521" s="246"/>
      <c r="AC521" s="246"/>
      <c r="AD521" s="246"/>
      <c r="AE521" s="246"/>
      <c r="AF521" s="310"/>
      <c r="AG521" s="246"/>
      <c r="AH521" s="246"/>
      <c r="AI521" s="246"/>
      <c r="AJ521" s="246"/>
      <c r="AK521" s="246"/>
      <c r="AL521" s="246"/>
      <c r="AM521" s="246"/>
      <c r="AN521" s="246"/>
      <c r="AO521" s="246"/>
      <c r="AP521" s="246"/>
      <c r="AQ521" s="246"/>
      <c r="AR521" s="246"/>
      <c r="AS521" s="246"/>
      <c r="AT521" s="246"/>
      <c r="AU521" s="246"/>
      <c r="AV521" s="246"/>
      <c r="AW521" s="246"/>
      <c r="AX521" s="246"/>
      <c r="AY521" s="246"/>
      <c r="AZ521" s="246"/>
      <c r="BA521" s="246"/>
      <c r="BB521" s="246"/>
      <c r="BC521" s="246"/>
      <c r="BD521" s="246"/>
      <c r="BE521" s="246"/>
      <c r="BF521" s="246"/>
      <c r="BG521" s="246"/>
      <c r="BH521" s="246"/>
      <c r="BI521" s="246"/>
      <c r="BJ521" s="246"/>
    </row>
    <row r="522" spans="2:62" ht="15.75">
      <c r="B522" s="7"/>
      <c r="C522" s="334"/>
      <c r="D522" s="334"/>
      <c r="E522" s="334"/>
      <c r="F522" s="334"/>
      <c r="G522" s="334"/>
      <c r="H522" s="334"/>
      <c r="I522" s="334"/>
      <c r="J522" s="334"/>
      <c r="K522" s="334"/>
      <c r="L522" s="334"/>
      <c r="M522" s="399"/>
      <c r="N522" s="334"/>
      <c r="O522" s="334"/>
      <c r="P522" s="334"/>
      <c r="Q522" s="334"/>
      <c r="R522" s="334"/>
      <c r="S522" s="399"/>
      <c r="T522" s="334"/>
      <c r="U522" s="334"/>
      <c r="V522" s="334"/>
      <c r="W522" s="334"/>
      <c r="X522" s="334"/>
      <c r="Y522" s="246"/>
      <c r="Z522" s="246"/>
      <c r="AA522" s="246"/>
      <c r="AB522" s="246"/>
      <c r="AC522" s="246"/>
      <c r="AD522" s="246"/>
      <c r="AE522" s="246"/>
      <c r="AF522" s="246"/>
      <c r="AG522" s="246"/>
      <c r="AH522" s="246"/>
      <c r="AI522" s="246"/>
      <c r="AJ522" s="246"/>
      <c r="AK522" s="246"/>
      <c r="AL522" s="246"/>
      <c r="AM522" s="246"/>
      <c r="AN522" s="246"/>
      <c r="AO522" s="246"/>
      <c r="AP522" s="246"/>
      <c r="AQ522" s="246"/>
      <c r="AR522" s="246"/>
      <c r="AS522" s="246"/>
      <c r="AT522" s="246"/>
      <c r="AU522" s="246"/>
      <c r="AV522" s="246"/>
      <c r="AW522" s="246"/>
      <c r="AX522" s="246"/>
      <c r="AY522" s="246"/>
      <c r="AZ522" s="246"/>
      <c r="BA522" s="246"/>
      <c r="BB522" s="246"/>
      <c r="BC522" s="246"/>
      <c r="BD522" s="246"/>
      <c r="BE522" s="246"/>
      <c r="BF522" s="246"/>
      <c r="BG522" s="246"/>
      <c r="BH522" s="246"/>
      <c r="BI522" s="246"/>
      <c r="BJ522" s="246"/>
    </row>
    <row r="523" spans="2:62" ht="15.75">
      <c r="B523" s="7"/>
      <c r="C523" s="334"/>
      <c r="D523" s="334"/>
      <c r="E523" s="334"/>
      <c r="F523" s="334"/>
      <c r="G523" s="334"/>
      <c r="H523" s="334"/>
      <c r="I523" s="334"/>
      <c r="J523" s="334"/>
      <c r="K523" s="334"/>
      <c r="L523" s="334"/>
      <c r="M523" s="399"/>
      <c r="N523" s="334"/>
      <c r="O523" s="334"/>
      <c r="P523" s="334"/>
      <c r="Q523" s="334"/>
      <c r="R523" s="334"/>
      <c r="S523" s="399"/>
      <c r="T523" s="334"/>
      <c r="U523" s="334"/>
      <c r="V523" s="334"/>
      <c r="W523" s="334"/>
      <c r="X523" s="334"/>
      <c r="Y523" s="246"/>
      <c r="Z523" s="246"/>
      <c r="AA523" s="246"/>
      <c r="AB523" s="246"/>
      <c r="AC523" s="246"/>
      <c r="AD523" s="246"/>
      <c r="AE523" s="246"/>
      <c r="AF523" s="246"/>
      <c r="AG523" s="246"/>
      <c r="AH523" s="246"/>
      <c r="AI523" s="246"/>
      <c r="AJ523" s="246"/>
      <c r="AK523" s="246"/>
      <c r="AL523" s="246"/>
      <c r="AM523" s="246"/>
      <c r="AN523" s="246"/>
      <c r="AO523" s="246"/>
      <c r="AP523" s="246"/>
      <c r="AQ523" s="246"/>
      <c r="AR523" s="246"/>
      <c r="AS523" s="246"/>
      <c r="AT523" s="246"/>
      <c r="AU523" s="246"/>
      <c r="AV523" s="246"/>
      <c r="AW523" s="246"/>
      <c r="AX523" s="246"/>
      <c r="AY523" s="246"/>
      <c r="AZ523" s="246"/>
      <c r="BA523" s="246"/>
      <c r="BB523" s="246"/>
      <c r="BC523" s="246"/>
      <c r="BD523" s="246"/>
      <c r="BE523" s="246"/>
      <c r="BF523" s="246"/>
      <c r="BG523" s="246"/>
      <c r="BH523" s="246"/>
      <c r="BI523" s="246"/>
      <c r="BJ523" s="246"/>
    </row>
    <row r="524" spans="2:62" ht="15.75">
      <c r="B524" s="7"/>
      <c r="C524" s="334"/>
      <c r="D524" s="334"/>
      <c r="E524" s="334"/>
      <c r="F524" s="334"/>
      <c r="G524" s="334"/>
      <c r="H524" s="334"/>
      <c r="I524" s="334"/>
      <c r="J524" s="334"/>
      <c r="K524" s="334"/>
      <c r="L524" s="334"/>
      <c r="M524" s="399"/>
      <c r="N524" s="334"/>
      <c r="O524" s="334"/>
      <c r="P524" s="334"/>
      <c r="Q524" s="334"/>
      <c r="R524" s="334"/>
      <c r="S524" s="399"/>
      <c r="T524" s="334"/>
      <c r="U524" s="334"/>
      <c r="V524" s="334"/>
      <c r="W524" s="334"/>
      <c r="X524" s="334"/>
      <c r="Y524" s="246"/>
      <c r="Z524" s="246"/>
      <c r="AA524" s="246"/>
      <c r="AB524" s="246"/>
      <c r="AC524" s="246"/>
      <c r="AD524" s="246"/>
      <c r="AE524" s="246"/>
      <c r="AF524" s="246"/>
      <c r="AG524" s="246"/>
      <c r="AH524" s="246"/>
      <c r="AI524" s="246"/>
      <c r="AJ524" s="246"/>
      <c r="AK524" s="246"/>
      <c r="AL524" s="246"/>
      <c r="AM524" s="246"/>
      <c r="AN524" s="246"/>
      <c r="AO524" s="246"/>
      <c r="AP524" s="246"/>
      <c r="AQ524" s="246"/>
      <c r="AR524" s="246"/>
      <c r="AS524" s="246"/>
      <c r="AT524" s="246"/>
      <c r="AU524" s="246"/>
      <c r="AV524" s="246"/>
      <c r="AW524" s="246"/>
      <c r="AX524" s="246"/>
      <c r="AY524" s="246"/>
      <c r="AZ524" s="246"/>
      <c r="BA524" s="246"/>
      <c r="BB524" s="246"/>
      <c r="BC524" s="246"/>
      <c r="BD524" s="246"/>
      <c r="BE524" s="246"/>
      <c r="BF524" s="246"/>
      <c r="BG524" s="246"/>
      <c r="BH524" s="246"/>
      <c r="BI524" s="246"/>
      <c r="BJ524" s="246"/>
    </row>
    <row r="525" spans="2:62" ht="15.75">
      <c r="B525" s="7"/>
      <c r="C525" s="334"/>
      <c r="D525" s="334"/>
      <c r="E525" s="334"/>
      <c r="F525" s="334"/>
      <c r="G525" s="334"/>
      <c r="H525" s="334"/>
      <c r="I525" s="334"/>
      <c r="J525" s="334"/>
      <c r="K525" s="334"/>
      <c r="L525" s="334"/>
      <c r="M525" s="399"/>
      <c r="N525" s="334"/>
      <c r="O525" s="334"/>
      <c r="P525" s="334"/>
      <c r="Q525" s="334"/>
      <c r="R525" s="334"/>
      <c r="S525" s="334"/>
      <c r="T525" s="334"/>
      <c r="U525" s="334"/>
      <c r="V525" s="334"/>
      <c r="W525" s="334"/>
      <c r="X525" s="334"/>
      <c r="Y525" s="246"/>
      <c r="Z525" s="246"/>
      <c r="AA525" s="246"/>
      <c r="AB525" s="246"/>
      <c r="AC525" s="246"/>
      <c r="AD525" s="246"/>
      <c r="AE525" s="246"/>
      <c r="AF525" s="246"/>
      <c r="AG525" s="246"/>
      <c r="AH525" s="246"/>
      <c r="AI525" s="246"/>
      <c r="AJ525" s="246"/>
      <c r="AK525" s="246"/>
      <c r="AL525" s="246"/>
      <c r="AM525" s="246"/>
      <c r="AN525" s="246"/>
      <c r="AO525" s="246"/>
      <c r="AP525" s="246"/>
      <c r="AQ525" s="246"/>
      <c r="AR525" s="246"/>
      <c r="AS525" s="246"/>
      <c r="AT525" s="246"/>
      <c r="AU525" s="246"/>
      <c r="AV525" s="246"/>
      <c r="AW525" s="246"/>
      <c r="AX525" s="246"/>
      <c r="AY525" s="246"/>
      <c r="AZ525" s="246"/>
      <c r="BA525" s="246"/>
      <c r="BB525" s="246"/>
      <c r="BC525" s="246"/>
      <c r="BD525" s="246"/>
      <c r="BE525" s="246"/>
      <c r="BF525" s="246"/>
      <c r="BG525" s="246"/>
      <c r="BH525" s="246"/>
      <c r="BI525" s="246"/>
      <c r="BJ525" s="246"/>
    </row>
    <row r="526" spans="2:62" ht="15.75">
      <c r="B526" s="7"/>
      <c r="C526" s="334"/>
      <c r="D526" s="334"/>
      <c r="E526" s="334"/>
      <c r="F526" s="334"/>
      <c r="G526" s="334"/>
      <c r="H526" s="334"/>
      <c r="I526" s="334"/>
      <c r="J526" s="398"/>
      <c r="K526" s="398"/>
      <c r="L526" s="398"/>
      <c r="M526" s="401"/>
      <c r="N526" s="398"/>
      <c r="O526" s="398"/>
      <c r="P526" s="398"/>
      <c r="Q526" s="334"/>
      <c r="R526" s="334"/>
      <c r="S526" s="398"/>
      <c r="T526" s="334"/>
      <c r="U526" s="334"/>
      <c r="V526" s="334"/>
      <c r="W526" s="334"/>
      <c r="X526" s="334"/>
      <c r="Y526" s="246"/>
      <c r="Z526" s="246"/>
      <c r="AA526" s="246"/>
      <c r="AB526" s="246"/>
      <c r="AC526" s="246"/>
      <c r="AD526" s="246"/>
      <c r="AE526" s="246"/>
      <c r="AF526" s="246"/>
      <c r="AG526" s="246"/>
      <c r="AH526" s="246"/>
      <c r="AI526" s="246"/>
      <c r="AJ526" s="246"/>
      <c r="AK526" s="246"/>
      <c r="AL526" s="246"/>
      <c r="AM526" s="246"/>
      <c r="AN526" s="246"/>
      <c r="AO526" s="246"/>
      <c r="AP526" s="246"/>
      <c r="AQ526" s="246"/>
      <c r="AR526" s="246"/>
      <c r="AS526" s="246"/>
      <c r="AT526" s="246"/>
      <c r="AU526" s="246"/>
      <c r="AV526" s="246"/>
      <c r="AW526" s="246"/>
      <c r="AX526" s="246"/>
      <c r="AY526" s="246"/>
      <c r="AZ526" s="246"/>
      <c r="BA526" s="246"/>
      <c r="BB526" s="246"/>
      <c r="BC526" s="246"/>
      <c r="BD526" s="246"/>
      <c r="BE526" s="246"/>
      <c r="BF526" s="246"/>
      <c r="BG526" s="246"/>
      <c r="BH526" s="246"/>
      <c r="BI526" s="246"/>
      <c r="BJ526" s="246"/>
    </row>
    <row r="527" spans="2:62" ht="15.75">
      <c r="B527" s="7"/>
      <c r="C527" s="334"/>
      <c r="D527" s="334"/>
      <c r="E527" s="334"/>
      <c r="F527" s="334"/>
      <c r="G527" s="334"/>
      <c r="H527" s="334"/>
      <c r="I527" s="334"/>
      <c r="J527" s="334"/>
      <c r="K527" s="334"/>
      <c r="L527" s="334"/>
      <c r="M527" s="334"/>
      <c r="N527" s="334"/>
      <c r="O527" s="334"/>
      <c r="P527" s="334"/>
      <c r="Q527" s="334"/>
      <c r="R527" s="334"/>
      <c r="S527" s="334"/>
      <c r="T527" s="334"/>
      <c r="U527" s="334"/>
      <c r="V527" s="334"/>
      <c r="W527" s="334"/>
      <c r="X527" s="334"/>
      <c r="Y527" s="246"/>
      <c r="Z527" s="246"/>
      <c r="AA527" s="246"/>
      <c r="AB527" s="246"/>
      <c r="AC527" s="246"/>
      <c r="AD527" s="246"/>
      <c r="AE527" s="246"/>
      <c r="AF527" s="246"/>
      <c r="AG527" s="246"/>
      <c r="AH527" s="246"/>
      <c r="AI527" s="246"/>
      <c r="AJ527" s="246"/>
      <c r="AK527" s="246"/>
      <c r="AL527" s="246"/>
      <c r="AM527" s="246"/>
      <c r="AN527" s="246"/>
      <c r="AO527" s="246"/>
      <c r="AP527" s="246"/>
      <c r="AQ527" s="246"/>
      <c r="AR527" s="246"/>
      <c r="AS527" s="246"/>
      <c r="AT527" s="246"/>
      <c r="AU527" s="246"/>
      <c r="AV527" s="246"/>
      <c r="AW527" s="246"/>
      <c r="AX527" s="246"/>
      <c r="AY527" s="246"/>
      <c r="AZ527" s="246"/>
      <c r="BA527" s="246"/>
      <c r="BB527" s="246"/>
      <c r="BC527" s="246"/>
      <c r="BD527" s="246"/>
      <c r="BE527" s="246"/>
      <c r="BF527" s="246"/>
      <c r="BG527" s="246"/>
      <c r="BH527" s="246"/>
      <c r="BI527" s="246"/>
      <c r="BJ527" s="246"/>
    </row>
    <row r="528" spans="2:62" ht="15.75">
      <c r="B528" s="7"/>
      <c r="C528" s="334"/>
      <c r="D528" s="334"/>
      <c r="E528" s="334"/>
      <c r="F528" s="334"/>
      <c r="G528" s="334"/>
      <c r="H528" s="334"/>
      <c r="I528" s="334"/>
      <c r="J528" s="334"/>
      <c r="K528" s="334"/>
      <c r="L528" s="334"/>
      <c r="M528" s="334"/>
      <c r="N528" s="334"/>
      <c r="O528" s="334"/>
      <c r="P528" s="334"/>
      <c r="Q528" s="334"/>
      <c r="R528" s="334"/>
      <c r="S528" s="334"/>
      <c r="T528" s="334"/>
      <c r="U528" s="334"/>
      <c r="V528" s="334"/>
      <c r="W528" s="334"/>
      <c r="X528" s="334"/>
      <c r="Y528" s="246"/>
      <c r="Z528" s="246"/>
      <c r="AA528" s="246"/>
      <c r="AB528" s="246"/>
      <c r="AC528" s="246"/>
      <c r="AD528" s="246"/>
      <c r="AE528" s="246"/>
      <c r="AF528" s="246"/>
      <c r="AG528" s="246"/>
      <c r="AH528" s="246"/>
      <c r="AI528" s="246"/>
      <c r="AJ528" s="246"/>
      <c r="AK528" s="246"/>
      <c r="AL528" s="246"/>
      <c r="AM528" s="246"/>
      <c r="AN528" s="246"/>
      <c r="AO528" s="246"/>
      <c r="AP528" s="246"/>
      <c r="AQ528" s="246"/>
      <c r="AR528" s="246"/>
      <c r="AS528" s="246"/>
      <c r="AT528" s="246"/>
      <c r="AU528" s="246"/>
      <c r="AV528" s="246"/>
      <c r="AW528" s="246"/>
      <c r="AX528" s="246"/>
      <c r="AY528" s="246"/>
      <c r="AZ528" s="246"/>
      <c r="BA528" s="246"/>
      <c r="BB528" s="246"/>
      <c r="BC528" s="246"/>
      <c r="BD528" s="246"/>
      <c r="BE528" s="246"/>
      <c r="BF528" s="246"/>
      <c r="BG528" s="246"/>
      <c r="BH528" s="246"/>
      <c r="BI528" s="246"/>
      <c r="BJ528" s="246"/>
    </row>
    <row r="529" spans="2:62" ht="15.75">
      <c r="B529" s="7"/>
      <c r="C529" s="334"/>
      <c r="D529" s="334"/>
      <c r="E529" s="334"/>
      <c r="F529" s="334"/>
      <c r="G529" s="334"/>
      <c r="H529" s="334"/>
      <c r="I529" s="334"/>
      <c r="J529" s="334"/>
      <c r="K529" s="334"/>
      <c r="L529" s="334"/>
      <c r="M529" s="334"/>
      <c r="N529" s="334"/>
      <c r="O529" s="334"/>
      <c r="P529" s="334"/>
      <c r="Q529" s="334"/>
      <c r="R529" s="334"/>
      <c r="S529" s="334"/>
      <c r="T529" s="334"/>
      <c r="U529" s="334"/>
      <c r="V529" s="334"/>
      <c r="W529" s="334"/>
      <c r="X529" s="334"/>
      <c r="Y529" s="246"/>
      <c r="Z529" s="246"/>
      <c r="AA529" s="246"/>
      <c r="AB529" s="246"/>
      <c r="AC529" s="246"/>
      <c r="AD529" s="246"/>
      <c r="AE529" s="246"/>
      <c r="AF529" s="246"/>
      <c r="AG529" s="246"/>
      <c r="AH529" s="246"/>
      <c r="AI529" s="246"/>
      <c r="AJ529" s="246"/>
      <c r="AK529" s="246"/>
      <c r="AL529" s="246"/>
      <c r="AM529" s="246"/>
      <c r="AN529" s="246"/>
      <c r="AO529" s="246"/>
      <c r="AP529" s="246"/>
      <c r="AQ529" s="246"/>
      <c r="AR529" s="246"/>
      <c r="AS529" s="246"/>
      <c r="AT529" s="246"/>
      <c r="AU529" s="246"/>
      <c r="AV529" s="246"/>
      <c r="AW529" s="246"/>
      <c r="AX529" s="246"/>
      <c r="AY529" s="246"/>
      <c r="AZ529" s="246"/>
      <c r="BA529" s="246"/>
      <c r="BB529" s="246"/>
      <c r="BC529" s="246"/>
      <c r="BD529" s="246"/>
      <c r="BE529" s="246"/>
      <c r="BF529" s="246"/>
      <c r="BG529" s="246"/>
      <c r="BH529" s="246"/>
      <c r="BI529" s="246"/>
      <c r="BJ529" s="246"/>
    </row>
    <row r="530" spans="2:62" ht="18.75">
      <c r="B530" s="7"/>
      <c r="C530" s="402"/>
      <c r="D530" s="403"/>
      <c r="E530" s="403"/>
      <c r="F530" s="403"/>
      <c r="G530" s="403"/>
      <c r="H530" s="403"/>
      <c r="I530" s="403"/>
      <c r="J530" s="403"/>
      <c r="K530" s="403"/>
      <c r="L530" s="403"/>
      <c r="M530" s="403"/>
      <c r="N530" s="403"/>
      <c r="O530" s="403"/>
      <c r="P530" s="403"/>
      <c r="Q530" s="403"/>
      <c r="R530" s="403"/>
      <c r="S530" s="403"/>
      <c r="T530" s="334"/>
      <c r="U530" s="334"/>
      <c r="V530" s="334"/>
      <c r="W530" s="334"/>
      <c r="X530" s="334"/>
      <c r="Y530" s="246"/>
      <c r="Z530" s="246"/>
      <c r="AA530" s="246"/>
      <c r="AB530" s="246"/>
      <c r="AC530" s="246"/>
      <c r="AD530" s="246"/>
      <c r="AE530" s="246"/>
      <c r="AF530" s="246"/>
      <c r="AG530" s="246"/>
      <c r="AH530" s="246"/>
      <c r="AI530" s="246"/>
      <c r="AJ530" s="246"/>
      <c r="AK530" s="246"/>
      <c r="AL530" s="246"/>
      <c r="AM530" s="246"/>
      <c r="AN530" s="246"/>
      <c r="AO530" s="246"/>
      <c r="AP530" s="246"/>
      <c r="AQ530" s="246"/>
      <c r="AR530" s="246"/>
      <c r="AS530" s="246"/>
      <c r="AT530" s="246"/>
      <c r="AU530" s="246"/>
      <c r="AV530" s="246"/>
      <c r="AW530" s="246"/>
      <c r="AX530" s="246"/>
      <c r="AY530" s="246"/>
      <c r="AZ530" s="246"/>
      <c r="BA530" s="246"/>
      <c r="BB530" s="246"/>
      <c r="BC530" s="246"/>
      <c r="BD530" s="246"/>
      <c r="BE530" s="246"/>
      <c r="BF530" s="246"/>
      <c r="BG530" s="246"/>
      <c r="BH530" s="246"/>
      <c r="BI530" s="246"/>
      <c r="BJ530" s="246"/>
    </row>
    <row r="531" spans="2:62" ht="15.75">
      <c r="B531" s="7"/>
      <c r="C531" s="334"/>
      <c r="D531" s="334"/>
      <c r="E531" s="334"/>
      <c r="F531" s="334"/>
      <c r="G531" s="334"/>
      <c r="H531" s="334"/>
      <c r="I531" s="334"/>
      <c r="J531" s="334"/>
      <c r="K531" s="334"/>
      <c r="L531" s="334"/>
      <c r="M531" s="334"/>
      <c r="N531" s="334"/>
      <c r="O531" s="334"/>
      <c r="P531" s="334"/>
      <c r="Q531" s="404"/>
      <c r="R531" s="334"/>
      <c r="S531" s="334"/>
      <c r="T531" s="334"/>
      <c r="U531" s="334"/>
      <c r="V531" s="334"/>
      <c r="W531" s="334"/>
      <c r="X531" s="334"/>
      <c r="Y531" s="246"/>
      <c r="Z531" s="246"/>
      <c r="AA531" s="246"/>
      <c r="AB531" s="246"/>
      <c r="AC531" s="246"/>
      <c r="AD531" s="246"/>
      <c r="AE531" s="246"/>
      <c r="AF531" s="246"/>
      <c r="AG531" s="246"/>
      <c r="AH531" s="246"/>
      <c r="AI531" s="246"/>
      <c r="AJ531" s="246"/>
      <c r="AK531" s="246"/>
      <c r="AL531" s="246"/>
      <c r="AM531" s="246"/>
      <c r="AN531" s="246"/>
      <c r="AO531" s="246"/>
      <c r="AP531" s="246"/>
      <c r="AQ531" s="246"/>
      <c r="AR531" s="246"/>
      <c r="AS531" s="246"/>
      <c r="AT531" s="246"/>
      <c r="AU531" s="246"/>
      <c r="AV531" s="246"/>
      <c r="AW531" s="246"/>
      <c r="AX531" s="246"/>
      <c r="AY531" s="246"/>
      <c r="AZ531" s="246"/>
      <c r="BA531" s="246"/>
      <c r="BB531" s="246"/>
      <c r="BC531" s="246"/>
      <c r="BD531" s="246"/>
      <c r="BE531" s="246"/>
      <c r="BF531" s="246"/>
      <c r="BG531" s="246"/>
      <c r="BH531" s="246"/>
      <c r="BI531" s="246"/>
      <c r="BJ531" s="246"/>
    </row>
    <row r="532" spans="2:62" ht="15.75">
      <c r="B532" s="7"/>
      <c r="C532" s="334"/>
      <c r="D532" s="334"/>
      <c r="E532" s="334"/>
      <c r="F532" s="334"/>
      <c r="G532" s="334"/>
      <c r="H532" s="334"/>
      <c r="I532" s="334"/>
      <c r="J532" s="334"/>
      <c r="K532" s="334"/>
      <c r="L532" s="405"/>
      <c r="M532" s="406"/>
      <c r="N532" s="406"/>
      <c r="O532" s="334"/>
      <c r="P532" s="405"/>
      <c r="Q532" s="406"/>
      <c r="R532" s="406"/>
      <c r="S532" s="405"/>
      <c r="T532" s="334"/>
      <c r="U532" s="334"/>
      <c r="V532" s="334"/>
      <c r="W532" s="334"/>
      <c r="X532" s="334"/>
      <c r="Y532" s="246"/>
      <c r="Z532" s="246"/>
      <c r="AA532" s="246"/>
      <c r="AB532" s="246"/>
      <c r="AC532" s="246"/>
      <c r="AD532" s="246"/>
      <c r="AE532" s="246"/>
      <c r="AF532" s="246"/>
      <c r="AG532" s="246"/>
      <c r="AH532" s="246"/>
      <c r="AI532" s="246"/>
      <c r="AJ532" s="246"/>
      <c r="AK532" s="246"/>
      <c r="AL532" s="246"/>
      <c r="AM532" s="246"/>
      <c r="AN532" s="246"/>
      <c r="AO532" s="246"/>
      <c r="AP532" s="246"/>
      <c r="AQ532" s="246"/>
      <c r="AR532" s="246"/>
      <c r="AS532" s="246"/>
      <c r="AT532" s="246"/>
      <c r="AU532" s="246"/>
      <c r="AV532" s="246"/>
      <c r="AW532" s="246"/>
      <c r="AX532" s="246"/>
      <c r="AY532" s="246"/>
      <c r="AZ532" s="246"/>
      <c r="BA532" s="246"/>
      <c r="BB532" s="246"/>
      <c r="BC532" s="246"/>
      <c r="BD532" s="246"/>
      <c r="BE532" s="246"/>
      <c r="BF532" s="246"/>
      <c r="BG532" s="246"/>
      <c r="BH532" s="246"/>
      <c r="BI532" s="246"/>
      <c r="BJ532" s="246"/>
    </row>
    <row r="533" spans="2:62" ht="15.75">
      <c r="B533" s="7"/>
      <c r="C533" s="334"/>
      <c r="D533" s="334"/>
      <c r="E533" s="405"/>
      <c r="F533" s="407"/>
      <c r="G533" s="334"/>
      <c r="H533" s="405"/>
      <c r="I533" s="407"/>
      <c r="J533" s="406"/>
      <c r="K533" s="398"/>
      <c r="L533" s="405"/>
      <c r="M533" s="406"/>
      <c r="N533" s="406"/>
      <c r="O533" s="398"/>
      <c r="P533" s="405"/>
      <c r="Q533" s="406"/>
      <c r="R533" s="406"/>
      <c r="S533" s="405"/>
      <c r="T533" s="334"/>
      <c r="U533" s="334"/>
      <c r="V533" s="334"/>
      <c r="W533" s="334"/>
      <c r="X533" s="334"/>
      <c r="Y533" s="246"/>
      <c r="Z533" s="246"/>
      <c r="AA533" s="246"/>
      <c r="AB533" s="246"/>
      <c r="AC533" s="246"/>
      <c r="AD533" s="246"/>
      <c r="AE533" s="246"/>
      <c r="AF533" s="246"/>
      <c r="AG533" s="246"/>
      <c r="AH533" s="246"/>
      <c r="AI533" s="246"/>
      <c r="AJ533" s="246"/>
      <c r="AK533" s="246"/>
      <c r="AL533" s="246"/>
      <c r="AM533" s="246"/>
      <c r="AN533" s="246"/>
      <c r="AO533" s="246"/>
      <c r="AP533" s="246"/>
      <c r="AQ533" s="246"/>
      <c r="AR533" s="246"/>
      <c r="AS533" s="246"/>
      <c r="AT533" s="246"/>
      <c r="AU533" s="246"/>
      <c r="AV533" s="246"/>
      <c r="AW533" s="246"/>
      <c r="AX533" s="246"/>
      <c r="AY533" s="246"/>
      <c r="AZ533" s="246"/>
      <c r="BA533" s="246"/>
      <c r="BB533" s="246"/>
      <c r="BC533" s="246"/>
      <c r="BD533" s="246"/>
      <c r="BE533" s="246"/>
      <c r="BF533" s="246"/>
      <c r="BG533" s="246"/>
      <c r="BH533" s="246"/>
      <c r="BI533" s="246"/>
      <c r="BJ533" s="246"/>
    </row>
    <row r="534" spans="2:62" ht="15.75">
      <c r="B534" s="7"/>
      <c r="C534" s="334"/>
      <c r="D534" s="408"/>
      <c r="E534" s="407"/>
      <c r="F534" s="407"/>
      <c r="G534" s="408"/>
      <c r="H534" s="407"/>
      <c r="I534" s="407"/>
      <c r="J534" s="407"/>
      <c r="K534" s="407"/>
      <c r="L534" s="407"/>
      <c r="M534" s="407"/>
      <c r="N534" s="407"/>
      <c r="O534" s="407"/>
      <c r="P534" s="407"/>
      <c r="Q534" s="407"/>
      <c r="R534" s="407"/>
      <c r="S534" s="407"/>
      <c r="T534" s="334"/>
      <c r="U534" s="334"/>
      <c r="V534" s="334"/>
      <c r="W534" s="334"/>
      <c r="X534" s="334"/>
      <c r="Y534" s="246"/>
      <c r="Z534" s="246"/>
      <c r="AA534" s="246"/>
      <c r="AB534" s="246"/>
      <c r="AC534" s="246"/>
      <c r="AD534" s="246"/>
      <c r="AE534" s="246"/>
      <c r="AF534" s="246"/>
      <c r="AG534" s="246"/>
      <c r="AH534" s="246"/>
      <c r="AI534" s="246"/>
      <c r="AJ534" s="246"/>
      <c r="AK534" s="246"/>
      <c r="AL534" s="246"/>
      <c r="AM534" s="246"/>
      <c r="AN534" s="246"/>
      <c r="AO534" s="246"/>
      <c r="AP534" s="246"/>
      <c r="AQ534" s="246"/>
      <c r="AR534" s="246"/>
      <c r="AS534" s="246"/>
      <c r="AT534" s="246"/>
      <c r="AU534" s="246"/>
      <c r="AV534" s="246"/>
      <c r="AW534" s="246"/>
      <c r="AX534" s="246"/>
      <c r="AY534" s="246"/>
      <c r="AZ534" s="246"/>
      <c r="BA534" s="246"/>
      <c r="BB534" s="246"/>
      <c r="BC534" s="246"/>
      <c r="BD534" s="246"/>
      <c r="BE534" s="246"/>
      <c r="BF534" s="246"/>
      <c r="BG534" s="246"/>
      <c r="BH534" s="246"/>
      <c r="BI534" s="246"/>
      <c r="BJ534" s="246"/>
    </row>
    <row r="535" spans="2:62" ht="15.75">
      <c r="B535" s="7"/>
      <c r="C535" s="398"/>
      <c r="D535" s="334"/>
      <c r="E535" s="334"/>
      <c r="F535" s="334"/>
      <c r="G535" s="334"/>
      <c r="H535" s="334"/>
      <c r="I535" s="334"/>
      <c r="J535" s="334"/>
      <c r="K535" s="334"/>
      <c r="L535" s="334"/>
      <c r="M535" s="334"/>
      <c r="N535" s="334"/>
      <c r="O535" s="334"/>
      <c r="P535" s="334"/>
      <c r="Q535" s="334"/>
      <c r="R535" s="334"/>
      <c r="S535" s="334"/>
      <c r="T535" s="334"/>
      <c r="U535" s="334"/>
      <c r="V535" s="334"/>
      <c r="W535" s="334"/>
      <c r="X535" s="334"/>
      <c r="Y535" s="246"/>
      <c r="Z535" s="246"/>
      <c r="AA535" s="246"/>
      <c r="AB535" s="246"/>
      <c r="AC535" s="246"/>
      <c r="AD535" s="246"/>
      <c r="AE535" s="246"/>
      <c r="AF535" s="246"/>
      <c r="AG535" s="246"/>
      <c r="AH535" s="246"/>
      <c r="AI535" s="246"/>
      <c r="AJ535" s="246"/>
      <c r="AK535" s="246"/>
      <c r="AL535" s="246"/>
      <c r="AM535" s="246"/>
      <c r="AN535" s="246"/>
      <c r="AO535" s="246"/>
      <c r="AP535" s="246"/>
      <c r="AQ535" s="246"/>
      <c r="AR535" s="246"/>
      <c r="AS535" s="246"/>
      <c r="AT535" s="246"/>
      <c r="AU535" s="246"/>
      <c r="AV535" s="246"/>
      <c r="AW535" s="246"/>
      <c r="AX535" s="246"/>
      <c r="AY535" s="246"/>
      <c r="AZ535" s="246"/>
      <c r="BA535" s="246"/>
      <c r="BB535" s="246"/>
      <c r="BC535" s="246"/>
      <c r="BD535" s="246"/>
      <c r="BE535" s="246"/>
      <c r="BF535" s="246"/>
      <c r="BG535" s="246"/>
      <c r="BH535" s="246"/>
      <c r="BI535" s="246"/>
      <c r="BJ535" s="246"/>
    </row>
    <row r="536" spans="2:62" ht="15.75">
      <c r="B536" s="7"/>
      <c r="C536" s="334"/>
      <c r="D536" s="334"/>
      <c r="E536" s="334"/>
      <c r="F536" s="334"/>
      <c r="G536" s="334"/>
      <c r="H536" s="334"/>
      <c r="I536" s="334"/>
      <c r="J536" s="334"/>
      <c r="K536" s="334"/>
      <c r="L536" s="334"/>
      <c r="M536" s="334"/>
      <c r="N536" s="334"/>
      <c r="O536" s="334"/>
      <c r="P536" s="334"/>
      <c r="Q536" s="334"/>
      <c r="R536" s="334"/>
      <c r="S536" s="334"/>
      <c r="T536" s="334"/>
      <c r="U536" s="334"/>
      <c r="V536" s="334"/>
      <c r="W536" s="334"/>
      <c r="X536" s="334"/>
      <c r="Y536" s="246"/>
      <c r="Z536" s="246"/>
      <c r="AA536" s="246"/>
      <c r="AB536" s="246"/>
      <c r="AC536" s="246"/>
      <c r="AD536" s="246"/>
      <c r="AE536" s="246"/>
      <c r="AF536" s="246"/>
      <c r="AG536" s="246"/>
      <c r="AH536" s="246"/>
      <c r="AI536" s="246"/>
      <c r="AJ536" s="246"/>
      <c r="AK536" s="246"/>
      <c r="AL536" s="246"/>
      <c r="AM536" s="246"/>
      <c r="AN536" s="246"/>
      <c r="AO536" s="246"/>
      <c r="AP536" s="246"/>
      <c r="AQ536" s="246"/>
      <c r="AR536" s="246"/>
      <c r="AS536" s="246"/>
      <c r="AT536" s="246"/>
      <c r="AU536" s="246"/>
      <c r="AV536" s="246"/>
      <c r="AW536" s="246"/>
      <c r="AX536" s="246"/>
      <c r="AY536" s="246"/>
      <c r="AZ536" s="246"/>
      <c r="BA536" s="246"/>
      <c r="BB536" s="246"/>
      <c r="BC536" s="246"/>
      <c r="BD536" s="246"/>
      <c r="BE536" s="246"/>
      <c r="BF536" s="246"/>
      <c r="BG536" s="246"/>
      <c r="BH536" s="246"/>
      <c r="BI536" s="246"/>
      <c r="BJ536" s="246"/>
    </row>
    <row r="537" spans="2:62" ht="15.75">
      <c r="B537" s="7"/>
      <c r="C537" s="334"/>
      <c r="D537" s="334"/>
      <c r="E537" s="399"/>
      <c r="F537" s="409"/>
      <c r="G537" s="334"/>
      <c r="H537" s="399"/>
      <c r="I537" s="409"/>
      <c r="J537" s="409"/>
      <c r="K537" s="399"/>
      <c r="L537" s="409"/>
      <c r="M537" s="399"/>
      <c r="N537" s="409"/>
      <c r="O537" s="399"/>
      <c r="P537" s="409"/>
      <c r="Q537" s="399"/>
      <c r="R537" s="399"/>
      <c r="S537" s="399"/>
      <c r="T537" s="334"/>
      <c r="U537" s="334"/>
      <c r="V537" s="334"/>
      <c r="W537" s="334"/>
      <c r="X537" s="334"/>
      <c r="Y537" s="246"/>
      <c r="Z537" s="246"/>
      <c r="AA537" s="246"/>
      <c r="AB537" s="246"/>
      <c r="AC537" s="246"/>
      <c r="AD537" s="246"/>
      <c r="AE537" s="246"/>
      <c r="AF537" s="246"/>
      <c r="AG537" s="246"/>
      <c r="AH537" s="246"/>
      <c r="AI537" s="246"/>
      <c r="AJ537" s="246"/>
      <c r="AK537" s="246"/>
      <c r="AL537" s="246"/>
      <c r="AM537" s="246"/>
      <c r="AN537" s="246"/>
      <c r="AO537" s="246"/>
      <c r="AP537" s="246"/>
      <c r="AQ537" s="246"/>
      <c r="AR537" s="246"/>
      <c r="AS537" s="246"/>
      <c r="AT537" s="246"/>
      <c r="AU537" s="246"/>
      <c r="AV537" s="246"/>
      <c r="AW537" s="246"/>
      <c r="AX537" s="246"/>
      <c r="AY537" s="246"/>
      <c r="AZ537" s="246"/>
      <c r="BA537" s="246"/>
      <c r="BB537" s="246"/>
      <c r="BC537" s="246"/>
      <c r="BD537" s="246"/>
      <c r="BE537" s="246"/>
      <c r="BF537" s="246"/>
      <c r="BG537" s="246"/>
      <c r="BH537" s="246"/>
      <c r="BI537" s="246"/>
      <c r="BJ537" s="246"/>
    </row>
    <row r="538" spans="2:62" ht="15.75">
      <c r="B538" s="7"/>
      <c r="C538" s="334"/>
      <c r="D538" s="334"/>
      <c r="E538" s="399"/>
      <c r="F538" s="409"/>
      <c r="G538" s="334"/>
      <c r="H538" s="399"/>
      <c r="I538" s="409"/>
      <c r="J538" s="409"/>
      <c r="K538" s="399"/>
      <c r="L538" s="409"/>
      <c r="M538" s="399"/>
      <c r="N538" s="409"/>
      <c r="O538" s="399"/>
      <c r="P538" s="409"/>
      <c r="Q538" s="399"/>
      <c r="R538" s="399"/>
      <c r="S538" s="399"/>
      <c r="T538" s="334"/>
      <c r="U538" s="334"/>
      <c r="V538" s="334"/>
      <c r="W538" s="334"/>
      <c r="X538" s="334"/>
      <c r="Y538" s="246"/>
      <c r="Z538" s="246"/>
      <c r="AA538" s="246"/>
      <c r="AB538" s="246"/>
      <c r="AC538" s="246"/>
      <c r="AD538" s="246"/>
      <c r="AE538" s="246"/>
      <c r="AF538" s="246"/>
      <c r="AG538" s="246"/>
      <c r="AH538" s="246"/>
      <c r="AI538" s="246"/>
      <c r="AJ538" s="246"/>
      <c r="AK538" s="246"/>
      <c r="AL538" s="246"/>
      <c r="AM538" s="246"/>
      <c r="AN538" s="246"/>
      <c r="AO538" s="246"/>
      <c r="AP538" s="246"/>
      <c r="AQ538" s="246"/>
      <c r="AR538" s="246"/>
      <c r="AS538" s="246"/>
      <c r="AT538" s="246"/>
      <c r="AU538" s="246"/>
      <c r="AV538" s="246"/>
      <c r="AW538" s="246"/>
      <c r="AX538" s="246"/>
      <c r="AY538" s="246"/>
      <c r="AZ538" s="246"/>
      <c r="BA538" s="246"/>
      <c r="BB538" s="246"/>
      <c r="BC538" s="246"/>
      <c r="BD538" s="246"/>
      <c r="BE538" s="246"/>
      <c r="BF538" s="246"/>
      <c r="BG538" s="246"/>
      <c r="BH538" s="246"/>
      <c r="BI538" s="246"/>
      <c r="BJ538" s="246"/>
    </row>
    <row r="539" spans="2:62" ht="15.75">
      <c r="B539" s="7"/>
      <c r="C539" s="334"/>
      <c r="D539" s="334"/>
      <c r="E539" s="399"/>
      <c r="F539" s="409"/>
      <c r="G539" s="334"/>
      <c r="H539" s="399"/>
      <c r="I539" s="409"/>
      <c r="J539" s="409"/>
      <c r="K539" s="399"/>
      <c r="L539" s="409"/>
      <c r="M539" s="399"/>
      <c r="N539" s="409"/>
      <c r="O539" s="399"/>
      <c r="P539" s="409"/>
      <c r="Q539" s="399"/>
      <c r="R539" s="399"/>
      <c r="S539" s="399"/>
      <c r="T539" s="334"/>
      <c r="U539" s="334"/>
      <c r="V539" s="334"/>
      <c r="W539" s="334"/>
      <c r="X539" s="334"/>
      <c r="Y539" s="246"/>
      <c r="Z539" s="246"/>
      <c r="AA539" s="246"/>
      <c r="AB539" s="246"/>
      <c r="AC539" s="246"/>
      <c r="AD539" s="246"/>
      <c r="AE539" s="246"/>
      <c r="AF539" s="246"/>
      <c r="AG539" s="246"/>
      <c r="AH539" s="246"/>
      <c r="AI539" s="246"/>
      <c r="AJ539" s="246"/>
      <c r="AK539" s="246"/>
      <c r="AL539" s="246"/>
      <c r="AM539" s="246"/>
      <c r="AN539" s="246"/>
      <c r="AO539" s="246"/>
      <c r="AP539" s="246"/>
      <c r="AQ539" s="246"/>
      <c r="AR539" s="246"/>
      <c r="AS539" s="246"/>
      <c r="AT539" s="246"/>
      <c r="AU539" s="246"/>
      <c r="AV539" s="246"/>
      <c r="AW539" s="246"/>
      <c r="AX539" s="246"/>
      <c r="AY539" s="246"/>
      <c r="AZ539" s="246"/>
      <c r="BA539" s="246"/>
      <c r="BB539" s="246"/>
      <c r="BC539" s="246"/>
      <c r="BD539" s="246"/>
      <c r="BE539" s="246"/>
      <c r="BF539" s="246"/>
      <c r="BG539" s="246"/>
      <c r="BH539" s="246"/>
      <c r="BI539" s="246"/>
      <c r="BJ539" s="246"/>
    </row>
    <row r="540" spans="2:62" ht="15.75">
      <c r="B540" s="7"/>
      <c r="C540" s="334"/>
      <c r="D540" s="334"/>
      <c r="E540" s="399"/>
      <c r="F540" s="409"/>
      <c r="G540" s="334"/>
      <c r="H540" s="399"/>
      <c r="I540" s="409"/>
      <c r="J540" s="409"/>
      <c r="K540" s="399"/>
      <c r="L540" s="409"/>
      <c r="M540" s="399"/>
      <c r="N540" s="409"/>
      <c r="O540" s="399"/>
      <c r="P540" s="409"/>
      <c r="Q540" s="399"/>
      <c r="R540" s="399"/>
      <c r="S540" s="399"/>
      <c r="T540" s="334"/>
      <c r="U540" s="334"/>
      <c r="V540" s="334"/>
      <c r="W540" s="334"/>
      <c r="X540" s="334"/>
      <c r="Y540" s="246"/>
      <c r="Z540" s="246"/>
      <c r="AA540" s="246"/>
      <c r="AB540" s="246"/>
      <c r="AC540" s="246"/>
      <c r="AD540" s="246"/>
      <c r="AE540" s="246"/>
      <c r="AF540" s="246"/>
      <c r="AG540" s="246"/>
      <c r="AH540" s="246"/>
      <c r="AI540" s="246"/>
      <c r="AJ540" s="246"/>
      <c r="AK540" s="246"/>
      <c r="AL540" s="246"/>
      <c r="AM540" s="246"/>
      <c r="AN540" s="246"/>
      <c r="AO540" s="246"/>
      <c r="AP540" s="246"/>
      <c r="AQ540" s="246"/>
      <c r="AR540" s="246"/>
      <c r="AS540" s="246"/>
      <c r="AT540" s="246"/>
      <c r="AU540" s="246"/>
      <c r="AV540" s="246"/>
      <c r="AW540" s="246"/>
      <c r="AX540" s="246"/>
      <c r="AY540" s="246"/>
      <c r="AZ540" s="246"/>
      <c r="BA540" s="246"/>
      <c r="BB540" s="246"/>
      <c r="BC540" s="246"/>
      <c r="BD540" s="246"/>
      <c r="BE540" s="246"/>
      <c r="BF540" s="246"/>
      <c r="BG540" s="246"/>
      <c r="BH540" s="246"/>
      <c r="BI540" s="246"/>
      <c r="BJ540" s="246"/>
    </row>
    <row r="541" spans="2:62" ht="15.75">
      <c r="B541" s="7"/>
      <c r="C541" s="334"/>
      <c r="D541" s="334"/>
      <c r="E541" s="399"/>
      <c r="F541" s="409"/>
      <c r="G541" s="334"/>
      <c r="H541" s="399"/>
      <c r="I541" s="409"/>
      <c r="J541" s="409"/>
      <c r="K541" s="399"/>
      <c r="L541" s="409"/>
      <c r="M541" s="399"/>
      <c r="N541" s="409"/>
      <c r="O541" s="399"/>
      <c r="P541" s="409"/>
      <c r="Q541" s="399"/>
      <c r="R541" s="399"/>
      <c r="S541" s="334"/>
      <c r="T541" s="334"/>
      <c r="U541" s="334"/>
      <c r="V541" s="334"/>
      <c r="W541" s="334"/>
      <c r="X541" s="334"/>
      <c r="Y541" s="246"/>
      <c r="Z541" s="246"/>
      <c r="AA541" s="246"/>
      <c r="AB541" s="246"/>
      <c r="AC541" s="246"/>
      <c r="AD541" s="246"/>
      <c r="AE541" s="246"/>
      <c r="AF541" s="246"/>
      <c r="AG541" s="246"/>
      <c r="AH541" s="246"/>
      <c r="AI541" s="246"/>
      <c r="AJ541" s="246"/>
      <c r="AK541" s="246"/>
      <c r="AL541" s="246"/>
      <c r="AM541" s="246"/>
      <c r="AN541" s="246"/>
      <c r="AO541" s="246"/>
      <c r="AP541" s="246"/>
      <c r="AQ541" s="246"/>
      <c r="AR541" s="246"/>
      <c r="AS541" s="246"/>
      <c r="AT541" s="246"/>
      <c r="AU541" s="246"/>
      <c r="AV541" s="246"/>
      <c r="AW541" s="246"/>
      <c r="AX541" s="246"/>
      <c r="AY541" s="246"/>
      <c r="AZ541" s="246"/>
      <c r="BA541" s="246"/>
      <c r="BB541" s="246"/>
      <c r="BC541" s="246"/>
      <c r="BD541" s="246"/>
      <c r="BE541" s="246"/>
      <c r="BF541" s="246"/>
      <c r="BG541" s="246"/>
      <c r="BH541" s="246"/>
      <c r="BI541" s="246"/>
      <c r="BJ541" s="246"/>
    </row>
    <row r="542" spans="2:62" ht="15.75">
      <c r="B542" s="7"/>
      <c r="C542" s="334"/>
      <c r="D542" s="334"/>
      <c r="E542" s="399"/>
      <c r="F542" s="409"/>
      <c r="G542" s="334"/>
      <c r="H542" s="399"/>
      <c r="I542" s="409"/>
      <c r="J542" s="409"/>
      <c r="K542" s="399"/>
      <c r="L542" s="409"/>
      <c r="M542" s="399"/>
      <c r="N542" s="409"/>
      <c r="O542" s="399"/>
      <c r="P542" s="409"/>
      <c r="Q542" s="399"/>
      <c r="R542" s="399"/>
      <c r="S542" s="399"/>
      <c r="T542" s="334"/>
      <c r="U542" s="334"/>
      <c r="V542" s="334"/>
      <c r="W542" s="334"/>
      <c r="X542" s="334"/>
      <c r="Y542" s="246"/>
      <c r="Z542" s="246"/>
      <c r="AA542" s="246"/>
      <c r="AB542" s="246"/>
      <c r="AC542" s="246"/>
      <c r="AD542" s="246"/>
      <c r="AE542" s="246"/>
      <c r="AF542" s="246"/>
      <c r="AG542" s="246"/>
      <c r="AH542" s="246"/>
      <c r="AI542" s="246"/>
      <c r="AJ542" s="246"/>
      <c r="AK542" s="246"/>
      <c r="AL542" s="246"/>
      <c r="AM542" s="246"/>
      <c r="AN542" s="246"/>
      <c r="AO542" s="246"/>
      <c r="AP542" s="246"/>
      <c r="AQ542" s="246"/>
      <c r="AR542" s="246"/>
      <c r="AS542" s="246"/>
      <c r="AT542" s="246"/>
      <c r="AU542" s="246"/>
      <c r="AV542" s="246"/>
      <c r="AW542" s="246"/>
      <c r="AX542" s="246"/>
      <c r="AY542" s="246"/>
      <c r="AZ542" s="246"/>
      <c r="BA542" s="246"/>
      <c r="BB542" s="246"/>
      <c r="BC542" s="246"/>
      <c r="BD542" s="246"/>
      <c r="BE542" s="246"/>
      <c r="BF542" s="246"/>
      <c r="BG542" s="246"/>
      <c r="BH542" s="246"/>
      <c r="BI542" s="246"/>
      <c r="BJ542" s="246"/>
    </row>
    <row r="543" spans="2:62" ht="15.75">
      <c r="B543" s="7"/>
      <c r="C543" s="334"/>
      <c r="D543" s="334"/>
      <c r="E543" s="399"/>
      <c r="F543" s="410"/>
      <c r="G543" s="334"/>
      <c r="H543" s="399"/>
      <c r="I543" s="410"/>
      <c r="J543" s="409"/>
      <c r="K543" s="399"/>
      <c r="L543" s="409"/>
      <c r="M543" s="399"/>
      <c r="N543" s="409"/>
      <c r="O543" s="399"/>
      <c r="P543" s="334"/>
      <c r="Q543" s="334"/>
      <c r="R543" s="399"/>
      <c r="S543" s="399"/>
      <c r="T543" s="334"/>
      <c r="U543" s="334"/>
      <c r="V543" s="334"/>
      <c r="W543" s="334"/>
      <c r="X543" s="334"/>
      <c r="Y543" s="246"/>
      <c r="Z543" s="246"/>
      <c r="AA543" s="246"/>
      <c r="AB543" s="246"/>
      <c r="AC543" s="246"/>
      <c r="AD543" s="246"/>
      <c r="AE543" s="246"/>
      <c r="AF543" s="246"/>
      <c r="AG543" s="246"/>
      <c r="AH543" s="246"/>
      <c r="AI543" s="246"/>
      <c r="AJ543" s="246"/>
      <c r="AK543" s="246"/>
      <c r="AL543" s="246"/>
      <c r="AM543" s="246"/>
      <c r="AN543" s="246"/>
      <c r="AO543" s="246"/>
      <c r="AP543" s="246"/>
      <c r="AQ543" s="246"/>
      <c r="AR543" s="246"/>
      <c r="AS543" s="246"/>
      <c r="AT543" s="246"/>
      <c r="AU543" s="246"/>
      <c r="AV543" s="246"/>
      <c r="AW543" s="246"/>
      <c r="AX543" s="246"/>
      <c r="AY543" s="246"/>
      <c r="AZ543" s="246"/>
      <c r="BA543" s="246"/>
      <c r="BB543" s="246"/>
      <c r="BC543" s="246"/>
      <c r="BD543" s="246"/>
      <c r="BE543" s="246"/>
      <c r="BF543" s="246"/>
      <c r="BG543" s="246"/>
      <c r="BH543" s="246"/>
      <c r="BI543" s="246"/>
      <c r="BJ543" s="246"/>
    </row>
    <row r="544" spans="2:62" ht="15.75">
      <c r="B544" s="7"/>
      <c r="C544" s="398"/>
      <c r="D544" s="398"/>
      <c r="E544" s="401"/>
      <c r="F544" s="411"/>
      <c r="G544" s="398"/>
      <c r="H544" s="401"/>
      <c r="I544" s="411"/>
      <c r="J544" s="411"/>
      <c r="K544" s="401"/>
      <c r="L544" s="411"/>
      <c r="M544" s="401"/>
      <c r="N544" s="411"/>
      <c r="O544" s="401"/>
      <c r="P544" s="411"/>
      <c r="Q544" s="401"/>
      <c r="R544" s="401"/>
      <c r="S544" s="398"/>
      <c r="T544" s="334"/>
      <c r="U544" s="334"/>
      <c r="V544" s="334"/>
      <c r="W544" s="334"/>
      <c r="X544" s="334"/>
      <c r="Y544" s="246"/>
      <c r="Z544" s="246"/>
      <c r="AA544" s="246"/>
      <c r="AB544" s="246"/>
      <c r="AC544" s="246"/>
      <c r="AD544" s="246"/>
      <c r="AE544" s="246"/>
      <c r="AF544" s="246"/>
      <c r="AG544" s="246"/>
      <c r="AH544" s="246"/>
      <c r="AI544" s="246"/>
      <c r="AJ544" s="246"/>
      <c r="AK544" s="246"/>
      <c r="AL544" s="246"/>
      <c r="AM544" s="246"/>
      <c r="AN544" s="246"/>
      <c r="AO544" s="246"/>
      <c r="AP544" s="246"/>
      <c r="AQ544" s="246"/>
      <c r="AR544" s="246"/>
      <c r="AS544" s="246"/>
      <c r="AT544" s="246"/>
      <c r="AU544" s="246"/>
      <c r="AV544" s="246"/>
      <c r="AW544" s="246"/>
      <c r="AX544" s="246"/>
      <c r="AY544" s="246"/>
      <c r="AZ544" s="246"/>
      <c r="BA544" s="246"/>
      <c r="BB544" s="246"/>
      <c r="BC544" s="246"/>
      <c r="BD544" s="246"/>
      <c r="BE544" s="246"/>
      <c r="BF544" s="246"/>
      <c r="BG544" s="246"/>
      <c r="BH544" s="246"/>
      <c r="BI544" s="246"/>
      <c r="BJ544" s="246"/>
    </row>
    <row r="545" spans="2:62" ht="15.75">
      <c r="B545" s="7"/>
      <c r="C545" s="334"/>
      <c r="D545" s="334"/>
      <c r="E545" s="399"/>
      <c r="F545" s="334"/>
      <c r="G545" s="334"/>
      <c r="H545" s="399"/>
      <c r="I545" s="334"/>
      <c r="J545" s="409"/>
      <c r="K545" s="399"/>
      <c r="L545" s="409"/>
      <c r="M545" s="399"/>
      <c r="N545" s="409"/>
      <c r="O545" s="399"/>
      <c r="P545" s="398"/>
      <c r="Q545" s="411"/>
      <c r="R545" s="411"/>
      <c r="S545" s="334"/>
      <c r="T545" s="334"/>
      <c r="U545" s="334"/>
      <c r="V545" s="334"/>
      <c r="W545" s="334"/>
      <c r="X545" s="334"/>
      <c r="Y545" s="246"/>
      <c r="Z545" s="246"/>
      <c r="AA545" s="246"/>
      <c r="AB545" s="246"/>
      <c r="AC545" s="246"/>
      <c r="AD545" s="246"/>
      <c r="AE545" s="246"/>
      <c r="AF545" s="246"/>
      <c r="AG545" s="246"/>
      <c r="AH545" s="246"/>
      <c r="AI545" s="246"/>
      <c r="AJ545" s="246"/>
      <c r="AK545" s="246"/>
      <c r="AL545" s="246"/>
      <c r="AM545" s="246"/>
      <c r="AN545" s="246"/>
      <c r="AO545" s="246"/>
      <c r="AP545" s="246"/>
      <c r="AQ545" s="246"/>
      <c r="AR545" s="246"/>
      <c r="AS545" s="246"/>
      <c r="AT545" s="246"/>
      <c r="AU545" s="246"/>
      <c r="AV545" s="246"/>
      <c r="AW545" s="246"/>
      <c r="AX545" s="246"/>
      <c r="AY545" s="246"/>
      <c r="AZ545" s="246"/>
      <c r="BA545" s="246"/>
      <c r="BB545" s="246"/>
      <c r="BC545" s="246"/>
      <c r="BD545" s="246"/>
      <c r="BE545" s="246"/>
      <c r="BF545" s="246"/>
      <c r="BG545" s="246"/>
      <c r="BH545" s="246"/>
      <c r="BI545" s="246"/>
      <c r="BJ545" s="246"/>
    </row>
    <row r="546" spans="2:62" ht="15.75">
      <c r="B546" s="7"/>
      <c r="C546" s="334"/>
      <c r="D546" s="334"/>
      <c r="E546" s="399"/>
      <c r="F546" s="334"/>
      <c r="G546" s="334"/>
      <c r="H546" s="399"/>
      <c r="I546" s="334"/>
      <c r="J546" s="409"/>
      <c r="K546" s="399"/>
      <c r="L546" s="409"/>
      <c r="M546" s="399"/>
      <c r="N546" s="409"/>
      <c r="O546" s="399"/>
      <c r="P546" s="334"/>
      <c r="Q546" s="334"/>
      <c r="R546" s="399"/>
      <c r="S546" s="334"/>
      <c r="T546" s="334"/>
      <c r="U546" s="334"/>
      <c r="V546" s="334"/>
      <c r="W546" s="334"/>
      <c r="X546" s="334"/>
      <c r="Y546" s="246"/>
      <c r="Z546" s="246"/>
      <c r="AA546" s="246"/>
      <c r="AB546" s="246"/>
      <c r="AC546" s="246"/>
      <c r="AD546" s="246"/>
      <c r="AE546" s="246"/>
      <c r="AF546" s="246"/>
      <c r="AG546" s="246"/>
      <c r="AH546" s="246"/>
      <c r="AI546" s="246"/>
      <c r="AJ546" s="246"/>
      <c r="AK546" s="246"/>
      <c r="AL546" s="246"/>
      <c r="AM546" s="246"/>
      <c r="AN546" s="246"/>
      <c r="AO546" s="246"/>
      <c r="AP546" s="246"/>
      <c r="AQ546" s="246"/>
      <c r="AR546" s="246"/>
      <c r="AS546" s="246"/>
      <c r="AT546" s="246"/>
      <c r="AU546" s="246"/>
      <c r="AV546" s="246"/>
      <c r="AW546" s="246"/>
      <c r="AX546" s="246"/>
      <c r="AY546" s="246"/>
      <c r="AZ546" s="246"/>
      <c r="BA546" s="246"/>
      <c r="BB546" s="246"/>
      <c r="BC546" s="246"/>
      <c r="BD546" s="246"/>
      <c r="BE546" s="246"/>
      <c r="BF546" s="246"/>
      <c r="BG546" s="246"/>
      <c r="BH546" s="246"/>
      <c r="BI546" s="246"/>
      <c r="BJ546" s="246"/>
    </row>
    <row r="547" spans="2:62" ht="15.75">
      <c r="B547" s="7"/>
      <c r="C547" s="398"/>
      <c r="D547" s="334"/>
      <c r="E547" s="399"/>
      <c r="F547" s="334"/>
      <c r="G547" s="334"/>
      <c r="H547" s="399"/>
      <c r="I547" s="334"/>
      <c r="J547" s="409"/>
      <c r="K547" s="399"/>
      <c r="L547" s="409"/>
      <c r="M547" s="399"/>
      <c r="N547" s="409"/>
      <c r="O547" s="399"/>
      <c r="P547" s="334"/>
      <c r="Q547" s="334"/>
      <c r="R547" s="399"/>
      <c r="S547" s="334"/>
      <c r="T547" s="334"/>
      <c r="U547" s="334"/>
      <c r="V547" s="334"/>
      <c r="W547" s="334"/>
      <c r="X547" s="334"/>
      <c r="Y547" s="246"/>
      <c r="Z547" s="246"/>
      <c r="AA547" s="246"/>
      <c r="AB547" s="246"/>
      <c r="AC547" s="246"/>
      <c r="AD547" s="246"/>
      <c r="AE547" s="246"/>
      <c r="AF547" s="246"/>
      <c r="AG547" s="246"/>
      <c r="AH547" s="246"/>
      <c r="AI547" s="246"/>
      <c r="AJ547" s="246"/>
      <c r="AK547" s="246"/>
      <c r="AL547" s="246"/>
      <c r="AM547" s="246"/>
      <c r="AN547" s="246"/>
      <c r="AO547" s="246"/>
      <c r="AP547" s="246"/>
      <c r="AQ547" s="246"/>
      <c r="AR547" s="246"/>
      <c r="AS547" s="246"/>
      <c r="AT547" s="246"/>
      <c r="AU547" s="246"/>
      <c r="AV547" s="246"/>
      <c r="AW547" s="246"/>
      <c r="AX547" s="246"/>
      <c r="AY547" s="246"/>
      <c r="AZ547" s="246"/>
      <c r="BA547" s="246"/>
      <c r="BB547" s="246"/>
      <c r="BC547" s="246"/>
      <c r="BD547" s="246"/>
      <c r="BE547" s="246"/>
      <c r="BF547" s="246"/>
      <c r="BG547" s="246"/>
      <c r="BH547" s="246"/>
      <c r="BI547" s="246"/>
      <c r="BJ547" s="246"/>
    </row>
    <row r="548" spans="2:62" ht="15.75">
      <c r="B548" s="7"/>
      <c r="C548" s="334"/>
      <c r="D548" s="334"/>
      <c r="E548" s="334"/>
      <c r="F548" s="334"/>
      <c r="G548" s="334"/>
      <c r="H548" s="334"/>
      <c r="I548" s="334"/>
      <c r="J548" s="334"/>
      <c r="K548" s="334"/>
      <c r="L548" s="334"/>
      <c r="M548" s="334"/>
      <c r="N548" s="334"/>
      <c r="O548" s="334"/>
      <c r="P548" s="334"/>
      <c r="Q548" s="334"/>
      <c r="R548" s="334"/>
      <c r="S548" s="334"/>
      <c r="T548" s="334"/>
      <c r="U548" s="334"/>
      <c r="V548" s="334"/>
      <c r="W548" s="334"/>
      <c r="X548" s="334"/>
      <c r="Y548" s="246"/>
      <c r="Z548" s="246"/>
      <c r="AA548" s="246"/>
      <c r="AB548" s="246"/>
      <c r="AC548" s="246"/>
      <c r="AD548" s="246"/>
      <c r="AE548" s="246"/>
      <c r="AF548" s="246"/>
      <c r="AG548" s="246"/>
      <c r="AH548" s="246"/>
      <c r="AI548" s="246"/>
      <c r="AJ548" s="246"/>
      <c r="AK548" s="246"/>
      <c r="AL548" s="246"/>
      <c r="AM548" s="246"/>
      <c r="AN548" s="246"/>
      <c r="AO548" s="246"/>
      <c r="AP548" s="246"/>
      <c r="AQ548" s="246"/>
      <c r="AR548" s="246"/>
      <c r="AS548" s="246"/>
      <c r="AT548" s="246"/>
      <c r="AU548" s="246"/>
      <c r="AV548" s="246"/>
      <c r="AW548" s="246"/>
      <c r="AX548" s="246"/>
      <c r="AY548" s="246"/>
      <c r="AZ548" s="246"/>
      <c r="BA548" s="246"/>
      <c r="BB548" s="246"/>
      <c r="BC548" s="246"/>
      <c r="BD548" s="246"/>
      <c r="BE548" s="246"/>
      <c r="BF548" s="246"/>
      <c r="BG548" s="246"/>
      <c r="BH548" s="246"/>
      <c r="BI548" s="246"/>
      <c r="BJ548" s="246"/>
    </row>
    <row r="549" spans="2:62" ht="15.75">
      <c r="B549" s="7"/>
      <c r="C549" s="334"/>
      <c r="D549" s="334"/>
      <c r="E549" s="399"/>
      <c r="F549" s="409"/>
      <c r="G549" s="334"/>
      <c r="H549" s="399"/>
      <c r="I549" s="409"/>
      <c r="J549" s="409"/>
      <c r="K549" s="334"/>
      <c r="L549" s="409"/>
      <c r="M549" s="334"/>
      <c r="N549" s="409"/>
      <c r="O549" s="334"/>
      <c r="P549" s="409"/>
      <c r="Q549" s="399"/>
      <c r="R549" s="399"/>
      <c r="S549" s="334"/>
      <c r="T549" s="334"/>
      <c r="U549" s="334"/>
      <c r="V549" s="334"/>
      <c r="W549" s="334"/>
      <c r="X549" s="334"/>
      <c r="Y549" s="246"/>
      <c r="Z549" s="246"/>
      <c r="AA549" s="246"/>
      <c r="AB549" s="246"/>
      <c r="AC549" s="246"/>
      <c r="AD549" s="246"/>
      <c r="AE549" s="246"/>
      <c r="AF549" s="246"/>
      <c r="AG549" s="246"/>
      <c r="AH549" s="246"/>
      <c r="AI549" s="246"/>
      <c r="AJ549" s="246"/>
      <c r="AK549" s="246"/>
      <c r="AL549" s="246"/>
      <c r="AM549" s="246"/>
      <c r="AN549" s="246"/>
      <c r="AO549" s="246"/>
      <c r="AP549" s="246"/>
      <c r="AQ549" s="246"/>
      <c r="AR549" s="246"/>
      <c r="AS549" s="246"/>
      <c r="AT549" s="246"/>
      <c r="AU549" s="246"/>
      <c r="AV549" s="246"/>
      <c r="AW549" s="246"/>
      <c r="AX549" s="246"/>
      <c r="AY549" s="246"/>
      <c r="AZ549" s="246"/>
      <c r="BA549" s="246"/>
      <c r="BB549" s="246"/>
      <c r="BC549" s="246"/>
      <c r="BD549" s="246"/>
      <c r="BE549" s="246"/>
      <c r="BF549" s="246"/>
      <c r="BG549" s="246"/>
      <c r="BH549" s="246"/>
      <c r="BI549" s="246"/>
      <c r="BJ549" s="246"/>
    </row>
    <row r="550" spans="2:62" ht="15.75">
      <c r="B550" s="7"/>
      <c r="C550" s="334"/>
      <c r="D550" s="334"/>
      <c r="E550" s="399"/>
      <c r="F550" s="410"/>
      <c r="G550" s="334"/>
      <c r="H550" s="399"/>
      <c r="I550" s="410"/>
      <c r="J550" s="409"/>
      <c r="K550" s="399"/>
      <c r="L550" s="409"/>
      <c r="M550" s="399"/>
      <c r="N550" s="409"/>
      <c r="O550" s="399"/>
      <c r="P550" s="334"/>
      <c r="Q550" s="409"/>
      <c r="R550" s="409"/>
      <c r="S550" s="399"/>
      <c r="T550" s="334"/>
      <c r="U550" s="334"/>
      <c r="V550" s="334"/>
      <c r="W550" s="334"/>
      <c r="X550" s="334"/>
      <c r="Y550" s="246"/>
      <c r="Z550" s="246"/>
      <c r="AA550" s="246"/>
      <c r="AB550" s="246"/>
      <c r="AC550" s="246"/>
      <c r="AD550" s="246"/>
      <c r="AE550" s="246"/>
      <c r="AF550" s="246"/>
      <c r="AG550" s="246"/>
      <c r="AH550" s="246"/>
      <c r="AI550" s="246"/>
      <c r="AJ550" s="246"/>
      <c r="AK550" s="246"/>
      <c r="AL550" s="246"/>
      <c r="AM550" s="246"/>
      <c r="AN550" s="246"/>
      <c r="AO550" s="246"/>
      <c r="AP550" s="246"/>
      <c r="AQ550" s="246"/>
      <c r="AR550" s="246"/>
      <c r="AS550" s="246"/>
      <c r="AT550" s="246"/>
      <c r="AU550" s="246"/>
      <c r="AV550" s="246"/>
      <c r="AW550" s="246"/>
      <c r="AX550" s="246"/>
      <c r="AY550" s="246"/>
      <c r="AZ550" s="246"/>
      <c r="BA550" s="246"/>
      <c r="BB550" s="246"/>
      <c r="BC550" s="246"/>
      <c r="BD550" s="246"/>
      <c r="BE550" s="246"/>
      <c r="BF550" s="246"/>
      <c r="BG550" s="246"/>
      <c r="BH550" s="246"/>
      <c r="BI550" s="246"/>
      <c r="BJ550" s="246"/>
    </row>
    <row r="551" spans="2:62" ht="15.75">
      <c r="B551" s="7"/>
      <c r="C551" s="334"/>
      <c r="D551" s="334"/>
      <c r="E551" s="399"/>
      <c r="F551" s="410"/>
      <c r="G551" s="334"/>
      <c r="H551" s="399"/>
      <c r="I551" s="410"/>
      <c r="J551" s="409"/>
      <c r="K551" s="399"/>
      <c r="L551" s="409"/>
      <c r="M551" s="399"/>
      <c r="N551" s="409"/>
      <c r="O551" s="399"/>
      <c r="P551" s="334"/>
      <c r="Q551" s="334"/>
      <c r="R551" s="399"/>
      <c r="S551" s="399"/>
      <c r="T551" s="334"/>
      <c r="U551" s="334"/>
      <c r="V551" s="334"/>
      <c r="W551" s="334"/>
      <c r="X551" s="334"/>
      <c r="Y551" s="246"/>
      <c r="Z551" s="246"/>
      <c r="AA551" s="246"/>
      <c r="AB551" s="246"/>
      <c r="AC551" s="246"/>
      <c r="AD551" s="246"/>
      <c r="AE551" s="246"/>
      <c r="AF551" s="246"/>
      <c r="AG551" s="246"/>
      <c r="AH551" s="246"/>
      <c r="AI551" s="246"/>
      <c r="AJ551" s="246"/>
      <c r="AK551" s="246"/>
      <c r="AL551" s="246"/>
      <c r="AM551" s="246"/>
      <c r="AN551" s="246"/>
      <c r="AO551" s="246"/>
      <c r="AP551" s="246"/>
      <c r="AQ551" s="246"/>
      <c r="AR551" s="246"/>
      <c r="AS551" s="246"/>
      <c r="AT551" s="246"/>
      <c r="AU551" s="246"/>
      <c r="AV551" s="246"/>
      <c r="AW551" s="246"/>
      <c r="AX551" s="246"/>
      <c r="AY551" s="246"/>
      <c r="AZ551" s="246"/>
      <c r="BA551" s="246"/>
      <c r="BB551" s="246"/>
      <c r="BC551" s="246"/>
      <c r="BD551" s="246"/>
      <c r="BE551" s="246"/>
      <c r="BF551" s="246"/>
      <c r="BG551" s="246"/>
      <c r="BH551" s="246"/>
      <c r="BI551" s="246"/>
      <c r="BJ551" s="246"/>
    </row>
    <row r="552" spans="2:62" ht="15.75">
      <c r="B552" s="7"/>
      <c r="C552" s="334"/>
      <c r="D552" s="334"/>
      <c r="E552" s="399"/>
      <c r="F552" s="409"/>
      <c r="G552" s="334"/>
      <c r="H552" s="399"/>
      <c r="I552" s="409"/>
      <c r="J552" s="409"/>
      <c r="K552" s="399"/>
      <c r="L552" s="409"/>
      <c r="M552" s="399"/>
      <c r="N552" s="409"/>
      <c r="O552" s="399"/>
      <c r="P552" s="334"/>
      <c r="Q552" s="334"/>
      <c r="R552" s="399"/>
      <c r="S552" s="334"/>
      <c r="T552" s="334"/>
      <c r="U552" s="334"/>
      <c r="V552" s="334"/>
      <c r="W552" s="334"/>
      <c r="X552" s="334"/>
      <c r="Y552" s="246"/>
      <c r="Z552" s="246"/>
      <c r="AA552" s="246"/>
      <c r="AB552" s="246"/>
      <c r="AC552" s="246"/>
      <c r="AD552" s="246"/>
      <c r="AE552" s="246"/>
      <c r="AF552" s="246"/>
      <c r="AG552" s="246"/>
      <c r="AH552" s="246"/>
      <c r="AI552" s="246"/>
      <c r="AJ552" s="246"/>
      <c r="AK552" s="246"/>
      <c r="AL552" s="246"/>
      <c r="AM552" s="246"/>
      <c r="AN552" s="246"/>
      <c r="AO552" s="246"/>
      <c r="AP552" s="246"/>
      <c r="AQ552" s="246"/>
      <c r="AR552" s="246"/>
      <c r="AS552" s="246"/>
      <c r="AT552" s="246"/>
      <c r="AU552" s="246"/>
      <c r="AV552" s="246"/>
      <c r="AW552" s="246"/>
      <c r="AX552" s="246"/>
      <c r="AY552" s="246"/>
      <c r="AZ552" s="246"/>
      <c r="BA552" s="246"/>
      <c r="BB552" s="246"/>
      <c r="BC552" s="246"/>
      <c r="BD552" s="246"/>
      <c r="BE552" s="246"/>
      <c r="BF552" s="246"/>
      <c r="BG552" s="246"/>
      <c r="BH552" s="246"/>
      <c r="BI552" s="246"/>
      <c r="BJ552" s="246"/>
    </row>
    <row r="553" spans="2:62" ht="15.75">
      <c r="B553" s="7"/>
      <c r="C553" s="398"/>
      <c r="D553" s="398"/>
      <c r="E553" s="401"/>
      <c r="F553" s="411"/>
      <c r="G553" s="398"/>
      <c r="H553" s="401"/>
      <c r="I553" s="411"/>
      <c r="J553" s="411"/>
      <c r="K553" s="401"/>
      <c r="L553" s="411"/>
      <c r="M553" s="401"/>
      <c r="N553" s="411"/>
      <c r="O553" s="401"/>
      <c r="P553" s="411"/>
      <c r="Q553" s="398"/>
      <c r="R553" s="401"/>
      <c r="S553" s="398"/>
      <c r="T553" s="334"/>
      <c r="U553" s="334"/>
      <c r="V553" s="334"/>
      <c r="W553" s="334"/>
      <c r="X553" s="334"/>
      <c r="Y553" s="246"/>
      <c r="Z553" s="246"/>
      <c r="AA553" s="246"/>
      <c r="AB553" s="246"/>
      <c r="AC553" s="246"/>
      <c r="AD553" s="246"/>
      <c r="AE553" s="246"/>
      <c r="AF553" s="246"/>
      <c r="AG553" s="246"/>
      <c r="AH553" s="246"/>
      <c r="AI553" s="246"/>
      <c r="AJ553" s="246"/>
      <c r="AK553" s="246"/>
      <c r="AL553" s="246"/>
      <c r="AM553" s="246"/>
      <c r="AN553" s="246"/>
      <c r="AO553" s="246"/>
      <c r="AP553" s="246"/>
      <c r="AQ553" s="246"/>
      <c r="AR553" s="246"/>
      <c r="AS553" s="246"/>
      <c r="AT553" s="246"/>
      <c r="AU553" s="246"/>
      <c r="AV553" s="246"/>
      <c r="AW553" s="246"/>
      <c r="AX553" s="246"/>
      <c r="AY553" s="246"/>
      <c r="AZ553" s="246"/>
      <c r="BA553" s="246"/>
      <c r="BB553" s="246"/>
      <c r="BC553" s="246"/>
      <c r="BD553" s="246"/>
      <c r="BE553" s="246"/>
      <c r="BF553" s="246"/>
      <c r="BG553" s="246"/>
      <c r="BH553" s="246"/>
      <c r="BI553" s="246"/>
      <c r="BJ553" s="246"/>
    </row>
    <row r="554" spans="2:62" ht="15.75">
      <c r="B554" s="7"/>
      <c r="C554" s="334"/>
      <c r="D554" s="334"/>
      <c r="E554" s="334"/>
      <c r="F554" s="334"/>
      <c r="G554" s="334"/>
      <c r="H554" s="334"/>
      <c r="I554" s="334"/>
      <c r="J554" s="334"/>
      <c r="K554" s="334"/>
      <c r="L554" s="334"/>
      <c r="M554" s="334"/>
      <c r="N554" s="334"/>
      <c r="O554" s="334"/>
      <c r="P554" s="398"/>
      <c r="Q554" s="411"/>
      <c r="R554" s="411"/>
      <c r="S554" s="334"/>
      <c r="T554" s="334"/>
      <c r="U554" s="334"/>
      <c r="V554" s="334"/>
      <c r="W554" s="334"/>
      <c r="X554" s="334"/>
      <c r="Y554" s="246"/>
      <c r="Z554" s="246"/>
      <c r="AA554" s="246"/>
      <c r="AB554" s="246"/>
      <c r="AC554" s="246"/>
      <c r="AD554" s="246"/>
      <c r="AE554" s="246"/>
      <c r="AF554" s="246"/>
      <c r="AG554" s="246"/>
      <c r="AH554" s="246"/>
      <c r="AI554" s="246"/>
      <c r="AJ554" s="246"/>
      <c r="AK554" s="246"/>
      <c r="AL554" s="246"/>
      <c r="AM554" s="246"/>
      <c r="AN554" s="246"/>
      <c r="AO554" s="246"/>
      <c r="AP554" s="246"/>
      <c r="AQ554" s="246"/>
      <c r="AR554" s="246"/>
      <c r="AS554" s="246"/>
      <c r="AT554" s="246"/>
      <c r="AU554" s="246"/>
      <c r="AV554" s="246"/>
      <c r="AW554" s="246"/>
      <c r="AX554" s="246"/>
      <c r="AY554" s="246"/>
      <c r="AZ554" s="246"/>
      <c r="BA554" s="246"/>
      <c r="BB554" s="246"/>
      <c r="BC554" s="246"/>
      <c r="BD554" s="246"/>
      <c r="BE554" s="246"/>
      <c r="BF554" s="246"/>
      <c r="BG554" s="246"/>
      <c r="BH554" s="246"/>
      <c r="BI554" s="246"/>
      <c r="BJ554" s="246"/>
    </row>
    <row r="555" spans="2:62" ht="15.75">
      <c r="B555" s="7"/>
      <c r="C555" s="334"/>
      <c r="D555" s="334"/>
      <c r="E555" s="399"/>
      <c r="F555" s="409"/>
      <c r="G555" s="334"/>
      <c r="H555" s="399"/>
      <c r="I555" s="409"/>
      <c r="J555" s="409"/>
      <c r="K555" s="399"/>
      <c r="L555" s="409"/>
      <c r="M555" s="399"/>
      <c r="N555" s="409"/>
      <c r="O555" s="399"/>
      <c r="P555" s="334"/>
      <c r="Q555" s="334"/>
      <c r="R555" s="399"/>
      <c r="S555" s="334"/>
      <c r="T555" s="334"/>
      <c r="U555" s="334"/>
      <c r="V555" s="334"/>
      <c r="W555" s="334"/>
      <c r="X555" s="334"/>
      <c r="Y555" s="246"/>
      <c r="Z555" s="246"/>
      <c r="AA555" s="246"/>
      <c r="AB555" s="246"/>
      <c r="AC555" s="246"/>
      <c r="AD555" s="246"/>
      <c r="AE555" s="246"/>
      <c r="AF555" s="246"/>
      <c r="AG555" s="246"/>
      <c r="AH555" s="246"/>
      <c r="AI555" s="246"/>
      <c r="AJ555" s="246"/>
      <c r="AK555" s="246"/>
      <c r="AL555" s="246"/>
      <c r="AM555" s="246"/>
      <c r="AN555" s="246"/>
      <c r="AO555" s="246"/>
      <c r="AP555" s="246"/>
      <c r="AQ555" s="246"/>
      <c r="AR555" s="246"/>
      <c r="AS555" s="246"/>
      <c r="AT555" s="246"/>
      <c r="AU555" s="246"/>
      <c r="AV555" s="246"/>
      <c r="AW555" s="246"/>
      <c r="AX555" s="246"/>
      <c r="AY555" s="246"/>
      <c r="AZ555" s="246"/>
      <c r="BA555" s="246"/>
      <c r="BB555" s="246"/>
      <c r="BC555" s="246"/>
      <c r="BD555" s="246"/>
      <c r="BE555" s="246"/>
      <c r="BF555" s="246"/>
      <c r="BG555" s="246"/>
      <c r="BH555" s="246"/>
      <c r="BI555" s="246"/>
      <c r="BJ555" s="246"/>
    </row>
    <row r="556" spans="2:62" ht="15.75">
      <c r="B556" s="7"/>
      <c r="C556" s="398"/>
      <c r="D556" s="334"/>
      <c r="E556" s="399"/>
      <c r="F556" s="409"/>
      <c r="G556" s="334"/>
      <c r="H556" s="399"/>
      <c r="I556" s="409"/>
      <c r="J556" s="409"/>
      <c r="K556" s="399"/>
      <c r="L556" s="409"/>
      <c r="M556" s="399"/>
      <c r="N556" s="409"/>
      <c r="O556" s="399"/>
      <c r="P556" s="334"/>
      <c r="Q556" s="334"/>
      <c r="R556" s="399"/>
      <c r="S556" s="334"/>
      <c r="T556" s="334"/>
      <c r="U556" s="334"/>
      <c r="V556" s="334"/>
      <c r="W556" s="334"/>
      <c r="X556" s="334"/>
      <c r="Y556" s="246"/>
      <c r="Z556" s="246"/>
      <c r="AA556" s="246"/>
      <c r="AB556" s="246"/>
      <c r="AC556" s="246"/>
      <c r="AD556" s="246"/>
      <c r="AE556" s="246"/>
      <c r="AF556" s="246"/>
      <c r="AG556" s="246"/>
      <c r="AH556" s="246"/>
      <c r="AI556" s="246"/>
      <c r="AJ556" s="246"/>
      <c r="AK556" s="246"/>
      <c r="AL556" s="246"/>
      <c r="AM556" s="246"/>
      <c r="AN556" s="246"/>
      <c r="AO556" s="246"/>
      <c r="AP556" s="246"/>
      <c r="AQ556" s="246"/>
      <c r="AR556" s="246"/>
      <c r="AS556" s="246"/>
      <c r="AT556" s="246"/>
      <c r="AU556" s="246"/>
      <c r="AV556" s="246"/>
      <c r="AW556" s="246"/>
      <c r="AX556" s="246"/>
      <c r="AY556" s="246"/>
      <c r="AZ556" s="246"/>
      <c r="BA556" s="246"/>
      <c r="BB556" s="246"/>
      <c r="BC556" s="246"/>
      <c r="BD556" s="246"/>
      <c r="BE556" s="246"/>
      <c r="BF556" s="246"/>
      <c r="BG556" s="246"/>
      <c r="BH556" s="246"/>
      <c r="BI556" s="246"/>
      <c r="BJ556" s="246"/>
    </row>
    <row r="557" spans="2:62" ht="15.75">
      <c r="B557" s="7"/>
      <c r="C557" s="334"/>
      <c r="D557" s="334"/>
      <c r="E557" s="399"/>
      <c r="F557" s="409"/>
      <c r="G557" s="334"/>
      <c r="H557" s="399"/>
      <c r="I557" s="409"/>
      <c r="J557" s="409"/>
      <c r="K557" s="399"/>
      <c r="L557" s="409"/>
      <c r="M557" s="399"/>
      <c r="N557" s="409"/>
      <c r="O557" s="399"/>
      <c r="P557" s="334"/>
      <c r="Q557" s="334"/>
      <c r="R557" s="399"/>
      <c r="S557" s="334"/>
      <c r="T557" s="334"/>
      <c r="U557" s="334"/>
      <c r="V557" s="334"/>
      <c r="W557" s="334"/>
      <c r="X557" s="334"/>
      <c r="Y557" s="246"/>
      <c r="Z557" s="246"/>
      <c r="AA557" s="246"/>
      <c r="AB557" s="246"/>
      <c r="AC557" s="246"/>
      <c r="AD557" s="246"/>
      <c r="AE557" s="246"/>
      <c r="AF557" s="246"/>
      <c r="AG557" s="246"/>
      <c r="AH557" s="246"/>
      <c r="AI557" s="246"/>
      <c r="AJ557" s="246"/>
      <c r="AK557" s="246"/>
      <c r="AL557" s="246"/>
      <c r="AM557" s="246"/>
      <c r="AN557" s="246"/>
      <c r="AO557" s="246"/>
      <c r="AP557" s="246"/>
      <c r="AQ557" s="246"/>
      <c r="AR557" s="246"/>
      <c r="AS557" s="246"/>
      <c r="AT557" s="246"/>
      <c r="AU557" s="246"/>
      <c r="AV557" s="246"/>
      <c r="AW557" s="246"/>
      <c r="AX557" s="246"/>
      <c r="AY557" s="246"/>
      <c r="AZ557" s="246"/>
      <c r="BA557" s="246"/>
      <c r="BB557" s="246"/>
      <c r="BC557" s="246"/>
      <c r="BD557" s="246"/>
      <c r="BE557" s="246"/>
      <c r="BF557" s="246"/>
      <c r="BG557" s="246"/>
      <c r="BH557" s="246"/>
      <c r="BI557" s="246"/>
      <c r="BJ557" s="246"/>
    </row>
    <row r="558" spans="2:62" ht="15.75">
      <c r="B558" s="7"/>
      <c r="C558" s="334"/>
      <c r="D558" s="334"/>
      <c r="E558" s="334"/>
      <c r="F558" s="334"/>
      <c r="G558" s="334"/>
      <c r="H558" s="334"/>
      <c r="I558" s="334"/>
      <c r="J558" s="334"/>
      <c r="K558" s="334"/>
      <c r="L558" s="334"/>
      <c r="M558" s="334"/>
      <c r="N558" s="334"/>
      <c r="O558" s="334"/>
      <c r="P558" s="409"/>
      <c r="Q558" s="399"/>
      <c r="R558" s="334"/>
      <c r="S558" s="399"/>
      <c r="T558" s="334"/>
      <c r="U558" s="334"/>
      <c r="V558" s="334"/>
      <c r="W558" s="334"/>
      <c r="X558" s="334"/>
      <c r="Y558" s="246"/>
      <c r="Z558" s="246"/>
      <c r="AA558" s="246"/>
      <c r="AB558" s="246"/>
      <c r="AC558" s="246"/>
      <c r="AD558" s="246"/>
      <c r="AE558" s="246"/>
      <c r="AF558" s="246"/>
      <c r="AG558" s="246"/>
      <c r="AH558" s="246"/>
      <c r="AI558" s="246"/>
      <c r="AJ558" s="246"/>
      <c r="AK558" s="246"/>
      <c r="AL558" s="246"/>
      <c r="AM558" s="246"/>
      <c r="AN558" s="246"/>
      <c r="AO558" s="246"/>
      <c r="AP558" s="246"/>
      <c r="AQ558" s="246"/>
      <c r="AR558" s="246"/>
      <c r="AS558" s="246"/>
      <c r="AT558" s="246"/>
      <c r="AU558" s="246"/>
      <c r="AV558" s="246"/>
      <c r="AW558" s="246"/>
      <c r="AX558" s="246"/>
      <c r="AY558" s="246"/>
      <c r="AZ558" s="246"/>
      <c r="BA558" s="246"/>
      <c r="BB558" s="246"/>
      <c r="BC558" s="246"/>
      <c r="BD558" s="246"/>
      <c r="BE558" s="246"/>
      <c r="BF558" s="246"/>
      <c r="BG558" s="246"/>
      <c r="BH558" s="246"/>
      <c r="BI558" s="246"/>
      <c r="BJ558" s="246"/>
    </row>
    <row r="559" spans="2:62" ht="15.75">
      <c r="B559" s="7"/>
      <c r="C559" s="334"/>
      <c r="D559" s="334"/>
      <c r="E559" s="334"/>
      <c r="F559" s="334"/>
      <c r="G559" s="334"/>
      <c r="H559" s="334"/>
      <c r="I559" s="334"/>
      <c r="J559" s="334"/>
      <c r="K559" s="334"/>
      <c r="L559" s="334"/>
      <c r="M559" s="334"/>
      <c r="N559" s="334"/>
      <c r="O559" s="334"/>
      <c r="P559" s="409"/>
      <c r="Q559" s="399"/>
      <c r="R559" s="334"/>
      <c r="S559" s="399"/>
      <c r="T559" s="334"/>
      <c r="U559" s="334"/>
      <c r="V559" s="334"/>
      <c r="W559" s="334"/>
      <c r="X559" s="334"/>
      <c r="Y559" s="246"/>
      <c r="Z559" s="246"/>
      <c r="AA559" s="246"/>
      <c r="AB559" s="246"/>
      <c r="AC559" s="246"/>
      <c r="AD559" s="246"/>
      <c r="AE559" s="246"/>
      <c r="AF559" s="246"/>
      <c r="AG559" s="246"/>
      <c r="AH559" s="246"/>
      <c r="AI559" s="246"/>
      <c r="AJ559" s="246"/>
      <c r="AK559" s="246"/>
      <c r="AL559" s="246"/>
      <c r="AM559" s="246"/>
      <c r="AN559" s="246"/>
      <c r="AO559" s="246"/>
      <c r="AP559" s="246"/>
      <c r="AQ559" s="246"/>
      <c r="AR559" s="246"/>
      <c r="AS559" s="246"/>
      <c r="AT559" s="246"/>
      <c r="AU559" s="246"/>
      <c r="AV559" s="246"/>
      <c r="AW559" s="246"/>
      <c r="AX559" s="246"/>
      <c r="AY559" s="246"/>
      <c r="AZ559" s="246"/>
      <c r="BA559" s="246"/>
      <c r="BB559" s="246"/>
      <c r="BC559" s="246"/>
      <c r="BD559" s="246"/>
      <c r="BE559" s="246"/>
      <c r="BF559" s="246"/>
      <c r="BG559" s="246"/>
      <c r="BH559" s="246"/>
      <c r="BI559" s="246"/>
      <c r="BJ559" s="246"/>
    </row>
    <row r="560" spans="2:62" ht="15.75">
      <c r="B560" s="7"/>
      <c r="C560" s="334"/>
      <c r="D560" s="334"/>
      <c r="E560" s="334"/>
      <c r="F560" s="334"/>
      <c r="G560" s="334"/>
      <c r="H560" s="334"/>
      <c r="I560" s="334"/>
      <c r="J560" s="334"/>
      <c r="K560" s="334"/>
      <c r="L560" s="334"/>
      <c r="M560" s="334"/>
      <c r="N560" s="334"/>
      <c r="O560" s="334"/>
      <c r="P560" s="409"/>
      <c r="Q560" s="399"/>
      <c r="R560" s="334"/>
      <c r="S560" s="399"/>
      <c r="T560" s="334"/>
      <c r="U560" s="334"/>
      <c r="V560" s="334"/>
      <c r="W560" s="334"/>
      <c r="X560" s="334"/>
      <c r="Y560" s="246"/>
      <c r="Z560" s="246"/>
      <c r="AA560" s="246"/>
      <c r="AB560" s="246"/>
      <c r="AC560" s="246"/>
      <c r="AD560" s="246"/>
      <c r="AE560" s="246"/>
      <c r="AF560" s="246"/>
      <c r="AG560" s="246"/>
      <c r="AH560" s="246"/>
      <c r="AI560" s="246"/>
      <c r="AJ560" s="246"/>
      <c r="AK560" s="246"/>
      <c r="AL560" s="246"/>
      <c r="AM560" s="246"/>
      <c r="AN560" s="246"/>
      <c r="AO560" s="246"/>
      <c r="AP560" s="246"/>
      <c r="AQ560" s="246"/>
      <c r="AR560" s="246"/>
      <c r="AS560" s="246"/>
      <c r="AT560" s="246"/>
      <c r="AU560" s="246"/>
      <c r="AV560" s="246"/>
      <c r="AW560" s="246"/>
      <c r="AX560" s="246"/>
      <c r="AY560" s="246"/>
      <c r="AZ560" s="246"/>
      <c r="BA560" s="246"/>
      <c r="BB560" s="246"/>
      <c r="BC560" s="246"/>
      <c r="BD560" s="246"/>
      <c r="BE560" s="246"/>
      <c r="BF560" s="246"/>
      <c r="BG560" s="246"/>
      <c r="BH560" s="246"/>
      <c r="BI560" s="246"/>
      <c r="BJ560" s="246"/>
    </row>
    <row r="561" spans="2:62" ht="15.75">
      <c r="B561" s="7"/>
      <c r="C561" s="334"/>
      <c r="D561" s="334"/>
      <c r="E561" s="334"/>
      <c r="F561" s="334"/>
      <c r="G561" s="334"/>
      <c r="H561" s="334"/>
      <c r="I561" s="334"/>
      <c r="J561" s="334"/>
      <c r="K561" s="334"/>
      <c r="L561" s="334"/>
      <c r="M561" s="334"/>
      <c r="N561" s="334"/>
      <c r="O561" s="334"/>
      <c r="P561" s="409"/>
      <c r="Q561" s="399"/>
      <c r="R561" s="334"/>
      <c r="S561" s="399"/>
      <c r="T561" s="334"/>
      <c r="U561" s="334"/>
      <c r="V561" s="334"/>
      <c r="W561" s="334"/>
      <c r="X561" s="334"/>
      <c r="Y561" s="246"/>
      <c r="Z561" s="246"/>
      <c r="AA561" s="246"/>
      <c r="AB561" s="246"/>
      <c r="AC561" s="246"/>
      <c r="AD561" s="246"/>
      <c r="AE561" s="246"/>
      <c r="AF561" s="246"/>
      <c r="AG561" s="246"/>
      <c r="AH561" s="246"/>
      <c r="AI561" s="246"/>
      <c r="AJ561" s="246"/>
      <c r="AK561" s="246"/>
      <c r="AL561" s="246"/>
      <c r="AM561" s="246"/>
      <c r="AN561" s="246"/>
      <c r="AO561" s="246"/>
      <c r="AP561" s="246"/>
      <c r="AQ561" s="246"/>
      <c r="AR561" s="246"/>
      <c r="AS561" s="246"/>
      <c r="AT561" s="246"/>
      <c r="AU561" s="246"/>
      <c r="AV561" s="246"/>
      <c r="AW561" s="246"/>
      <c r="AX561" s="246"/>
      <c r="AY561" s="246"/>
      <c r="AZ561" s="246"/>
      <c r="BA561" s="246"/>
      <c r="BB561" s="246"/>
      <c r="BC561" s="246"/>
      <c r="BD561" s="246"/>
      <c r="BE561" s="246"/>
      <c r="BF561" s="246"/>
      <c r="BG561" s="246"/>
      <c r="BH561" s="246"/>
      <c r="BI561" s="246"/>
      <c r="BJ561" s="246"/>
    </row>
    <row r="562" spans="2:62" ht="15.75">
      <c r="B562" s="7"/>
      <c r="C562" s="334"/>
      <c r="D562" s="334"/>
      <c r="E562" s="334"/>
      <c r="F562" s="334"/>
      <c r="G562" s="334"/>
      <c r="H562" s="334"/>
      <c r="I562" s="334"/>
      <c r="J562" s="334"/>
      <c r="K562" s="334"/>
      <c r="L562" s="334"/>
      <c r="M562" s="334"/>
      <c r="N562" s="334"/>
      <c r="O562" s="334"/>
      <c r="P562" s="409"/>
      <c r="Q562" s="399"/>
      <c r="R562" s="334"/>
      <c r="S562" s="399"/>
      <c r="T562" s="334"/>
      <c r="U562" s="334"/>
      <c r="V562" s="334"/>
      <c r="W562" s="334"/>
      <c r="X562" s="334"/>
      <c r="Y562" s="246"/>
      <c r="Z562" s="246"/>
      <c r="AA562" s="246"/>
      <c r="AB562" s="246"/>
      <c r="AC562" s="246"/>
      <c r="AD562" s="246"/>
      <c r="AE562" s="246"/>
      <c r="AF562" s="246"/>
      <c r="AG562" s="246"/>
      <c r="AH562" s="246"/>
      <c r="AI562" s="246"/>
      <c r="AJ562" s="246"/>
      <c r="AK562" s="246"/>
      <c r="AL562" s="246"/>
      <c r="AM562" s="246"/>
      <c r="AN562" s="246"/>
      <c r="AO562" s="246"/>
      <c r="AP562" s="246"/>
      <c r="AQ562" s="246"/>
      <c r="AR562" s="246"/>
      <c r="AS562" s="246"/>
      <c r="AT562" s="246"/>
      <c r="AU562" s="246"/>
      <c r="AV562" s="246"/>
      <c r="AW562" s="246"/>
      <c r="AX562" s="246"/>
      <c r="AY562" s="246"/>
      <c r="AZ562" s="246"/>
      <c r="BA562" s="246"/>
      <c r="BB562" s="246"/>
      <c r="BC562" s="246"/>
      <c r="BD562" s="246"/>
      <c r="BE562" s="246"/>
      <c r="BF562" s="246"/>
      <c r="BG562" s="246"/>
      <c r="BH562" s="246"/>
      <c r="BI562" s="246"/>
      <c r="BJ562" s="246"/>
    </row>
    <row r="563" spans="2:62" ht="15.75">
      <c r="B563" s="7"/>
      <c r="C563" s="334"/>
      <c r="D563" s="334"/>
      <c r="E563" s="334"/>
      <c r="F563" s="334"/>
      <c r="G563" s="334"/>
      <c r="H563" s="334"/>
      <c r="I563" s="334"/>
      <c r="J563" s="334"/>
      <c r="K563" s="334"/>
      <c r="L563" s="334"/>
      <c r="M563" s="334"/>
      <c r="N563" s="334"/>
      <c r="O563" s="334"/>
      <c r="P563" s="409"/>
      <c r="Q563" s="399"/>
      <c r="R563" s="334"/>
      <c r="S563" s="399"/>
      <c r="T563" s="334"/>
      <c r="U563" s="334"/>
      <c r="V563" s="334"/>
      <c r="W563" s="334"/>
      <c r="X563" s="334"/>
      <c r="Y563" s="246"/>
      <c r="Z563" s="246"/>
      <c r="AA563" s="246"/>
      <c r="AB563" s="246"/>
      <c r="AC563" s="246"/>
      <c r="AD563" s="246"/>
      <c r="AE563" s="246"/>
      <c r="AF563" s="246"/>
      <c r="AG563" s="246"/>
      <c r="AH563" s="246"/>
      <c r="AI563" s="246"/>
      <c r="AJ563" s="246"/>
      <c r="AK563" s="246"/>
      <c r="AL563" s="246"/>
      <c r="AM563" s="246"/>
      <c r="AN563" s="246"/>
      <c r="AO563" s="246"/>
      <c r="AP563" s="246"/>
      <c r="AQ563" s="246"/>
      <c r="AR563" s="246"/>
      <c r="AS563" s="246"/>
      <c r="AT563" s="246"/>
      <c r="AU563" s="246"/>
      <c r="AV563" s="246"/>
      <c r="AW563" s="246"/>
      <c r="AX563" s="246"/>
      <c r="AY563" s="246"/>
      <c r="AZ563" s="246"/>
      <c r="BA563" s="246"/>
      <c r="BB563" s="246"/>
      <c r="BC563" s="246"/>
      <c r="BD563" s="246"/>
      <c r="BE563" s="246"/>
      <c r="BF563" s="246"/>
      <c r="BG563" s="246"/>
      <c r="BH563" s="246"/>
      <c r="BI563" s="246"/>
      <c r="BJ563" s="246"/>
    </row>
    <row r="564" spans="2:62" ht="15.75">
      <c r="B564" s="7"/>
      <c r="C564" s="334"/>
      <c r="D564" s="334"/>
      <c r="E564" s="334"/>
      <c r="F564" s="334"/>
      <c r="G564" s="334"/>
      <c r="H564" s="334"/>
      <c r="I564" s="334"/>
      <c r="J564" s="334"/>
      <c r="K564" s="334"/>
      <c r="L564" s="334"/>
      <c r="M564" s="334"/>
      <c r="N564" s="334"/>
      <c r="O564" s="334"/>
      <c r="P564" s="409"/>
      <c r="Q564" s="399"/>
      <c r="R564" s="334"/>
      <c r="S564" s="399"/>
      <c r="T564" s="334"/>
      <c r="U564" s="334"/>
      <c r="V564" s="334"/>
      <c r="W564" s="334"/>
      <c r="X564" s="334"/>
      <c r="Y564" s="246"/>
      <c r="Z564" s="246"/>
      <c r="AA564" s="246"/>
      <c r="AB564" s="246"/>
      <c r="AC564" s="246"/>
      <c r="AD564" s="246"/>
      <c r="AE564" s="246"/>
      <c r="AF564" s="246"/>
      <c r="AG564" s="246"/>
      <c r="AH564" s="246"/>
      <c r="AI564" s="246"/>
      <c r="AJ564" s="246"/>
      <c r="AK564" s="246"/>
      <c r="AL564" s="246"/>
      <c r="AM564" s="246"/>
      <c r="AN564" s="246"/>
      <c r="AO564" s="246"/>
      <c r="AP564" s="246"/>
      <c r="AQ564" s="246"/>
      <c r="AR564" s="246"/>
      <c r="AS564" s="246"/>
      <c r="AT564" s="246"/>
      <c r="AU564" s="246"/>
      <c r="AV564" s="246"/>
      <c r="AW564" s="246"/>
      <c r="AX564" s="246"/>
      <c r="AY564" s="246"/>
      <c r="AZ564" s="246"/>
      <c r="BA564" s="246"/>
      <c r="BB564" s="246"/>
      <c r="BC564" s="246"/>
      <c r="BD564" s="246"/>
      <c r="BE564" s="246"/>
      <c r="BF564" s="246"/>
      <c r="BG564" s="246"/>
      <c r="BH564" s="246"/>
      <c r="BI564" s="246"/>
      <c r="BJ564" s="246"/>
    </row>
    <row r="565" spans="2:62" ht="15.75">
      <c r="B565" s="7"/>
      <c r="C565" s="334"/>
      <c r="D565" s="334"/>
      <c r="E565" s="334"/>
      <c r="F565" s="334"/>
      <c r="G565" s="334"/>
      <c r="H565" s="334"/>
      <c r="I565" s="334"/>
      <c r="J565" s="334"/>
      <c r="K565" s="334"/>
      <c r="L565" s="334"/>
      <c r="M565" s="334"/>
      <c r="N565" s="334"/>
      <c r="O565" s="334"/>
      <c r="P565" s="409"/>
      <c r="Q565" s="399"/>
      <c r="R565" s="334"/>
      <c r="S565" s="399"/>
      <c r="T565" s="334"/>
      <c r="U565" s="334"/>
      <c r="V565" s="334"/>
      <c r="W565" s="334"/>
      <c r="X565" s="334"/>
      <c r="Y565" s="246"/>
      <c r="Z565" s="246"/>
      <c r="AA565" s="246"/>
      <c r="AB565" s="246"/>
      <c r="AC565" s="246"/>
      <c r="AD565" s="246"/>
      <c r="AE565" s="246"/>
      <c r="AF565" s="246"/>
      <c r="AG565" s="246"/>
      <c r="AH565" s="246"/>
      <c r="AI565" s="246"/>
      <c r="AJ565" s="246"/>
      <c r="AK565" s="246"/>
      <c r="AL565" s="246"/>
      <c r="AM565" s="246"/>
      <c r="AN565" s="246"/>
      <c r="AO565" s="246"/>
      <c r="AP565" s="246"/>
      <c r="AQ565" s="246"/>
      <c r="AR565" s="246"/>
      <c r="AS565" s="246"/>
      <c r="AT565" s="246"/>
      <c r="AU565" s="246"/>
      <c r="AV565" s="246"/>
      <c r="AW565" s="246"/>
      <c r="AX565" s="246"/>
      <c r="AY565" s="246"/>
      <c r="AZ565" s="246"/>
      <c r="BA565" s="246"/>
      <c r="BB565" s="246"/>
      <c r="BC565" s="246"/>
      <c r="BD565" s="246"/>
      <c r="BE565" s="246"/>
      <c r="BF565" s="246"/>
      <c r="BG565" s="246"/>
      <c r="BH565" s="246"/>
      <c r="BI565" s="246"/>
      <c r="BJ565" s="246"/>
    </row>
    <row r="566" spans="2:62" ht="15.75">
      <c r="B566" s="7"/>
      <c r="C566" s="398"/>
      <c r="D566" s="398"/>
      <c r="E566" s="334"/>
      <c r="F566" s="334"/>
      <c r="G566" s="398"/>
      <c r="H566" s="334"/>
      <c r="I566" s="334"/>
      <c r="J566" s="334"/>
      <c r="K566" s="334"/>
      <c r="L566" s="334"/>
      <c r="M566" s="334"/>
      <c r="N566" s="334"/>
      <c r="O566" s="334"/>
      <c r="P566" s="411"/>
      <c r="Q566" s="401"/>
      <c r="R566" s="334"/>
      <c r="S566" s="401"/>
      <c r="T566" s="334"/>
      <c r="U566" s="334"/>
      <c r="V566" s="334"/>
      <c r="W566" s="334"/>
      <c r="X566" s="334"/>
      <c r="Y566" s="246"/>
      <c r="Z566" s="246"/>
      <c r="AA566" s="246"/>
      <c r="AB566" s="246"/>
      <c r="AC566" s="246"/>
      <c r="AD566" s="246"/>
      <c r="AE566" s="246"/>
      <c r="AF566" s="246"/>
      <c r="AG566" s="246"/>
      <c r="AH566" s="246"/>
      <c r="AI566" s="246"/>
      <c r="AJ566" s="246"/>
      <c r="AK566" s="246"/>
      <c r="AL566" s="246"/>
      <c r="AM566" s="246"/>
      <c r="AN566" s="246"/>
      <c r="AO566" s="246"/>
      <c r="AP566" s="246"/>
      <c r="AQ566" s="246"/>
      <c r="AR566" s="246"/>
      <c r="AS566" s="246"/>
      <c r="AT566" s="246"/>
      <c r="AU566" s="246"/>
      <c r="AV566" s="246"/>
      <c r="AW566" s="246"/>
      <c r="AX566" s="246"/>
      <c r="AY566" s="246"/>
      <c r="AZ566" s="246"/>
      <c r="BA566" s="246"/>
      <c r="BB566" s="246"/>
      <c r="BC566" s="246"/>
      <c r="BD566" s="246"/>
      <c r="BE566" s="246"/>
      <c r="BF566" s="246"/>
      <c r="BG566" s="246"/>
      <c r="BH566" s="246"/>
      <c r="BI566" s="246"/>
      <c r="BJ566" s="246"/>
    </row>
    <row r="567" spans="2:62" ht="15.75">
      <c r="B567" s="7"/>
      <c r="C567" s="334"/>
      <c r="D567" s="334"/>
      <c r="E567" s="334"/>
      <c r="F567" s="334"/>
      <c r="G567" s="334"/>
      <c r="H567" s="334"/>
      <c r="I567" s="334"/>
      <c r="J567" s="334"/>
      <c r="K567" s="334"/>
      <c r="L567" s="334"/>
      <c r="M567" s="334"/>
      <c r="N567" s="334"/>
      <c r="O567" s="334"/>
      <c r="P567" s="411"/>
      <c r="Q567" s="411"/>
      <c r="R567" s="334"/>
      <c r="S567" s="334"/>
      <c r="T567" s="334"/>
      <c r="U567" s="334"/>
      <c r="V567" s="334"/>
      <c r="W567" s="334"/>
      <c r="X567" s="334"/>
      <c r="Y567" s="246"/>
      <c r="Z567" s="246"/>
      <c r="AA567" s="246"/>
      <c r="AB567" s="246"/>
      <c r="AC567" s="246"/>
      <c r="AD567" s="246"/>
      <c r="AE567" s="246"/>
      <c r="AF567" s="246"/>
      <c r="AG567" s="246"/>
      <c r="AH567" s="246"/>
      <c r="AI567" s="246"/>
      <c r="AJ567" s="246"/>
      <c r="AK567" s="246"/>
      <c r="AL567" s="246"/>
      <c r="AM567" s="246"/>
      <c r="AN567" s="246"/>
      <c r="AO567" s="246"/>
      <c r="AP567" s="246"/>
      <c r="AQ567" s="246"/>
      <c r="AR567" s="246"/>
      <c r="AS567" s="246"/>
      <c r="AT567" s="246"/>
      <c r="AU567" s="246"/>
      <c r="AV567" s="246"/>
      <c r="AW567" s="246"/>
      <c r="AX567" s="246"/>
      <c r="AY567" s="246"/>
      <c r="AZ567" s="246"/>
      <c r="BA567" s="246"/>
      <c r="BB567" s="246"/>
      <c r="BC567" s="246"/>
      <c r="BD567" s="246"/>
      <c r="BE567" s="246"/>
      <c r="BF567" s="246"/>
      <c r="BG567" s="246"/>
      <c r="BH567" s="246"/>
      <c r="BI567" s="246"/>
      <c r="BJ567" s="246"/>
    </row>
    <row r="568" spans="2:62" ht="15.75">
      <c r="B568" s="7"/>
      <c r="C568" s="334"/>
      <c r="D568" s="334"/>
      <c r="E568" s="334"/>
      <c r="F568" s="334"/>
      <c r="G568" s="334"/>
      <c r="H568" s="334"/>
      <c r="I568" s="334"/>
      <c r="J568" s="334"/>
      <c r="K568" s="334"/>
      <c r="L568" s="334"/>
      <c r="M568" s="334"/>
      <c r="N568" s="334"/>
      <c r="O568" s="334"/>
      <c r="P568" s="409"/>
      <c r="Q568" s="399"/>
      <c r="R568" s="334"/>
      <c r="S568" s="399"/>
      <c r="T568" s="334"/>
      <c r="U568" s="334"/>
      <c r="V568" s="334"/>
      <c r="W568" s="334"/>
      <c r="X568" s="334"/>
      <c r="Y568" s="246"/>
      <c r="Z568" s="246"/>
      <c r="AA568" s="246"/>
      <c r="AB568" s="246"/>
      <c r="AC568" s="246"/>
      <c r="AD568" s="246"/>
      <c r="AE568" s="246"/>
      <c r="AF568" s="246"/>
      <c r="AG568" s="246"/>
      <c r="AH568" s="246"/>
      <c r="AI568" s="246"/>
      <c r="AJ568" s="246"/>
      <c r="AK568" s="246"/>
      <c r="AL568" s="246"/>
      <c r="AM568" s="246"/>
      <c r="AN568" s="246"/>
      <c r="AO568" s="246"/>
      <c r="AP568" s="246"/>
      <c r="AQ568" s="246"/>
      <c r="AR568" s="246"/>
      <c r="AS568" s="246"/>
      <c r="AT568" s="246"/>
      <c r="AU568" s="246"/>
      <c r="AV568" s="246"/>
      <c r="AW568" s="246"/>
      <c r="AX568" s="246"/>
      <c r="AY568" s="246"/>
      <c r="AZ568" s="246"/>
      <c r="BA568" s="246"/>
      <c r="BB568" s="246"/>
      <c r="BC568" s="246"/>
      <c r="BD568" s="246"/>
      <c r="BE568" s="246"/>
      <c r="BF568" s="246"/>
      <c r="BG568" s="246"/>
      <c r="BH568" s="246"/>
      <c r="BI568" s="246"/>
      <c r="BJ568" s="246"/>
    </row>
    <row r="569" spans="2:62" ht="15.75">
      <c r="B569" s="7"/>
      <c r="C569" s="334"/>
      <c r="D569" s="334"/>
      <c r="E569" s="334"/>
      <c r="F569" s="334"/>
      <c r="G569" s="334"/>
      <c r="H569" s="334"/>
      <c r="I569" s="334"/>
      <c r="J569" s="334"/>
      <c r="K569" s="334"/>
      <c r="L569" s="334"/>
      <c r="M569" s="334"/>
      <c r="N569" s="334"/>
      <c r="O569" s="334"/>
      <c r="P569" s="409"/>
      <c r="Q569" s="399"/>
      <c r="R569" s="334"/>
      <c r="S569" s="399"/>
      <c r="T569" s="334"/>
      <c r="U569" s="334"/>
      <c r="V569" s="334"/>
      <c r="W569" s="334"/>
      <c r="X569" s="334"/>
      <c r="Y569" s="246"/>
      <c r="Z569" s="246"/>
      <c r="AA569" s="246"/>
      <c r="AB569" s="246"/>
      <c r="AC569" s="246"/>
      <c r="AD569" s="246"/>
      <c r="AE569" s="246"/>
      <c r="AF569" s="246"/>
      <c r="AG569" s="246"/>
      <c r="AH569" s="246"/>
      <c r="AI569" s="246"/>
      <c r="AJ569" s="246"/>
      <c r="AK569" s="246"/>
      <c r="AL569" s="246"/>
      <c r="AM569" s="246"/>
      <c r="AN569" s="246"/>
      <c r="AO569" s="246"/>
      <c r="AP569" s="246"/>
      <c r="AQ569" s="246"/>
      <c r="AR569" s="246"/>
      <c r="AS569" s="246"/>
      <c r="AT569" s="246"/>
      <c r="AU569" s="246"/>
      <c r="AV569" s="246"/>
      <c r="AW569" s="246"/>
      <c r="AX569" s="246"/>
      <c r="AY569" s="246"/>
      <c r="AZ569" s="246"/>
      <c r="BA569" s="246"/>
      <c r="BB569" s="246"/>
      <c r="BC569" s="246"/>
      <c r="BD569" s="246"/>
      <c r="BE569" s="246"/>
      <c r="BF569" s="246"/>
      <c r="BG569" s="246"/>
      <c r="BH569" s="246"/>
      <c r="BI569" s="246"/>
      <c r="BJ569" s="246"/>
    </row>
    <row r="570" spans="2:62" ht="15.75">
      <c r="B570" s="7"/>
      <c r="C570" s="398"/>
      <c r="D570" s="334"/>
      <c r="E570" s="334"/>
      <c r="F570" s="334"/>
      <c r="G570" s="334"/>
      <c r="H570" s="334"/>
      <c r="I570" s="334"/>
      <c r="J570" s="334"/>
      <c r="K570" s="334"/>
      <c r="L570" s="334"/>
      <c r="M570" s="334"/>
      <c r="N570" s="334"/>
      <c r="O570" s="334"/>
      <c r="P570" s="411"/>
      <c r="Q570" s="401"/>
      <c r="R570" s="334"/>
      <c r="S570" s="401"/>
      <c r="T570" s="334"/>
      <c r="U570" s="334"/>
      <c r="V570" s="334"/>
      <c r="W570" s="334"/>
      <c r="X570" s="334"/>
      <c r="Y570" s="246"/>
      <c r="Z570" s="246"/>
      <c r="AA570" s="246"/>
      <c r="AB570" s="246"/>
      <c r="AC570" s="246"/>
      <c r="AD570" s="246"/>
      <c r="AE570" s="246"/>
      <c r="AF570" s="246"/>
      <c r="AG570" s="246"/>
      <c r="AH570" s="246"/>
      <c r="AI570" s="246"/>
      <c r="AJ570" s="246"/>
      <c r="AK570" s="246"/>
      <c r="AL570" s="246"/>
      <c r="AM570" s="246"/>
      <c r="AN570" s="246"/>
      <c r="AO570" s="246"/>
      <c r="AP570" s="246"/>
      <c r="AQ570" s="246"/>
      <c r="AR570" s="246"/>
      <c r="AS570" s="246"/>
      <c r="AT570" s="246"/>
      <c r="AU570" s="246"/>
      <c r="AV570" s="246"/>
      <c r="AW570" s="246"/>
      <c r="AX570" s="246"/>
      <c r="AY570" s="246"/>
      <c r="AZ570" s="246"/>
      <c r="BA570" s="246"/>
      <c r="BB570" s="246"/>
      <c r="BC570" s="246"/>
      <c r="BD570" s="246"/>
      <c r="BE570" s="246"/>
      <c r="BF570" s="246"/>
      <c r="BG570" s="246"/>
      <c r="BH570" s="246"/>
      <c r="BI570" s="246"/>
      <c r="BJ570" s="246"/>
    </row>
    <row r="571" spans="2:62" ht="15.75">
      <c r="B571" s="7"/>
      <c r="C571" s="334"/>
      <c r="D571" s="334"/>
      <c r="E571" s="334"/>
      <c r="F571" s="334"/>
      <c r="G571" s="334"/>
      <c r="H571" s="334"/>
      <c r="I571" s="334"/>
      <c r="J571" s="334"/>
      <c r="K571" s="334"/>
      <c r="L571" s="334"/>
      <c r="M571" s="334"/>
      <c r="N571" s="334"/>
      <c r="O571" s="334"/>
      <c r="P571" s="411"/>
      <c r="Q571" s="411"/>
      <c r="R571" s="334"/>
      <c r="S571" s="334"/>
      <c r="T571" s="334"/>
      <c r="U571" s="334"/>
      <c r="V571" s="334"/>
      <c r="W571" s="334"/>
      <c r="X571" s="334"/>
      <c r="Y571" s="246"/>
      <c r="Z571" s="246"/>
      <c r="AA571" s="246"/>
      <c r="AB571" s="246"/>
      <c r="AC571" s="246"/>
      <c r="AD571" s="246"/>
      <c r="AE571" s="246"/>
      <c r="AF571" s="246"/>
      <c r="AG571" s="246"/>
      <c r="AH571" s="246"/>
      <c r="AI571" s="246"/>
      <c r="AJ571" s="246"/>
      <c r="AK571" s="246"/>
      <c r="AL571" s="246"/>
      <c r="AM571" s="246"/>
      <c r="AN571" s="246"/>
      <c r="AO571" s="246"/>
      <c r="AP571" s="246"/>
      <c r="AQ571" s="246"/>
      <c r="AR571" s="246"/>
      <c r="AS571" s="246"/>
      <c r="AT571" s="246"/>
      <c r="AU571" s="246"/>
      <c r="AV571" s="246"/>
      <c r="AW571" s="246"/>
      <c r="AX571" s="246"/>
      <c r="AY571" s="246"/>
      <c r="AZ571" s="246"/>
      <c r="BA571" s="246"/>
      <c r="BB571" s="246"/>
      <c r="BC571" s="246"/>
      <c r="BD571" s="246"/>
      <c r="BE571" s="246"/>
      <c r="BF571" s="246"/>
      <c r="BG571" s="246"/>
      <c r="BH571" s="246"/>
      <c r="BI571" s="246"/>
      <c r="BJ571" s="246"/>
    </row>
    <row r="572" spans="2:62" ht="15.75">
      <c r="B572" s="7"/>
      <c r="C572" s="334"/>
      <c r="D572" s="334"/>
      <c r="E572" s="334"/>
      <c r="F572" s="334"/>
      <c r="G572" s="334"/>
      <c r="H572" s="334"/>
      <c r="I572" s="334"/>
      <c r="J572" s="334"/>
      <c r="K572" s="334"/>
      <c r="L572" s="334"/>
      <c r="M572" s="334"/>
      <c r="N572" s="334"/>
      <c r="O572" s="334"/>
      <c r="P572" s="409"/>
      <c r="Q572" s="399"/>
      <c r="R572" s="334"/>
      <c r="S572" s="399"/>
      <c r="T572" s="334"/>
      <c r="U572" s="334"/>
      <c r="V572" s="334"/>
      <c r="W572" s="334"/>
      <c r="X572" s="334"/>
      <c r="Y572" s="246"/>
      <c r="Z572" s="246"/>
      <c r="AA572" s="246"/>
      <c r="AB572" s="246"/>
      <c r="AC572" s="246"/>
      <c r="AD572" s="246"/>
      <c r="AE572" s="246"/>
      <c r="AF572" s="246"/>
      <c r="AG572" s="246"/>
      <c r="AH572" s="246"/>
      <c r="AI572" s="246"/>
      <c r="AJ572" s="246"/>
      <c r="AK572" s="246"/>
      <c r="AL572" s="246"/>
      <c r="AM572" s="246"/>
      <c r="AN572" s="246"/>
      <c r="AO572" s="246"/>
      <c r="AP572" s="246"/>
      <c r="AQ572" s="246"/>
      <c r="AR572" s="246"/>
      <c r="AS572" s="246"/>
      <c r="AT572" s="246"/>
      <c r="AU572" s="246"/>
      <c r="AV572" s="246"/>
      <c r="AW572" s="246"/>
      <c r="AX572" s="246"/>
      <c r="AY572" s="246"/>
      <c r="AZ572" s="246"/>
      <c r="BA572" s="246"/>
      <c r="BB572" s="246"/>
      <c r="BC572" s="246"/>
      <c r="BD572" s="246"/>
      <c r="BE572" s="246"/>
      <c r="BF572" s="246"/>
      <c r="BG572" s="246"/>
      <c r="BH572" s="246"/>
      <c r="BI572" s="246"/>
      <c r="BJ572" s="246"/>
    </row>
    <row r="573" spans="2:62" ht="15.75">
      <c r="B573" s="7"/>
      <c r="C573" s="398"/>
      <c r="D573" s="398"/>
      <c r="E573" s="334"/>
      <c r="F573" s="334"/>
      <c r="G573" s="398"/>
      <c r="H573" s="334"/>
      <c r="I573" s="334"/>
      <c r="J573" s="334"/>
      <c r="K573" s="334"/>
      <c r="L573" s="334"/>
      <c r="M573" s="334"/>
      <c r="N573" s="334"/>
      <c r="O573" s="334"/>
      <c r="P573" s="411"/>
      <c r="Q573" s="401"/>
      <c r="R573" s="334"/>
      <c r="S573" s="401"/>
      <c r="T573" s="334"/>
      <c r="U573" s="334"/>
      <c r="V573" s="334"/>
      <c r="W573" s="334"/>
      <c r="X573" s="334"/>
      <c r="Y573" s="246"/>
      <c r="Z573" s="246"/>
      <c r="AA573" s="246"/>
      <c r="AB573" s="246"/>
      <c r="AC573" s="246"/>
      <c r="AD573" s="246"/>
      <c r="AE573" s="246"/>
      <c r="AF573" s="246"/>
      <c r="AG573" s="246"/>
      <c r="AH573" s="246"/>
      <c r="AI573" s="246"/>
      <c r="AJ573" s="246"/>
      <c r="AK573" s="246"/>
      <c r="AL573" s="246"/>
      <c r="AM573" s="246"/>
      <c r="AN573" s="246"/>
      <c r="AO573" s="246"/>
      <c r="AP573" s="246"/>
      <c r="AQ573" s="246"/>
      <c r="AR573" s="246"/>
      <c r="AS573" s="246"/>
      <c r="AT573" s="246"/>
      <c r="AU573" s="246"/>
      <c r="AV573" s="246"/>
      <c r="AW573" s="246"/>
      <c r="AX573" s="246"/>
      <c r="AY573" s="246"/>
      <c r="AZ573" s="246"/>
      <c r="BA573" s="246"/>
      <c r="BB573" s="246"/>
      <c r="BC573" s="246"/>
      <c r="BD573" s="246"/>
      <c r="BE573" s="246"/>
      <c r="BF573" s="246"/>
      <c r="BG573" s="246"/>
      <c r="BH573" s="246"/>
      <c r="BI573" s="246"/>
      <c r="BJ573" s="246"/>
    </row>
    <row r="574" spans="2:62" ht="15.75">
      <c r="B574" s="7"/>
      <c r="C574" s="334"/>
      <c r="D574" s="334"/>
      <c r="E574" s="334"/>
      <c r="F574" s="334"/>
      <c r="G574" s="334"/>
      <c r="H574" s="334"/>
      <c r="I574" s="334"/>
      <c r="J574" s="334"/>
      <c r="K574" s="334"/>
      <c r="L574" s="334"/>
      <c r="M574" s="334"/>
      <c r="N574" s="334"/>
      <c r="O574" s="334"/>
      <c r="P574" s="411"/>
      <c r="Q574" s="411"/>
      <c r="R574" s="334"/>
      <c r="S574" s="334"/>
      <c r="T574" s="334"/>
      <c r="U574" s="334"/>
      <c r="V574" s="334"/>
      <c r="W574" s="334"/>
      <c r="X574" s="334"/>
      <c r="Y574" s="246"/>
      <c r="Z574" s="246"/>
      <c r="AA574" s="246"/>
      <c r="AB574" s="246"/>
      <c r="AC574" s="246"/>
      <c r="AD574" s="246"/>
      <c r="AE574" s="246"/>
      <c r="AF574" s="246"/>
      <c r="AG574" s="246"/>
      <c r="AH574" s="246"/>
      <c r="AI574" s="246"/>
      <c r="AJ574" s="246"/>
      <c r="AK574" s="246"/>
      <c r="AL574" s="246"/>
      <c r="AM574" s="246"/>
      <c r="AN574" s="246"/>
      <c r="AO574" s="246"/>
      <c r="AP574" s="246"/>
      <c r="AQ574" s="246"/>
      <c r="AR574" s="246"/>
      <c r="AS574" s="246"/>
      <c r="AT574" s="246"/>
      <c r="AU574" s="246"/>
      <c r="AV574" s="246"/>
      <c r="AW574" s="246"/>
      <c r="AX574" s="246"/>
      <c r="AY574" s="246"/>
      <c r="AZ574" s="246"/>
      <c r="BA574" s="246"/>
      <c r="BB574" s="246"/>
      <c r="BC574" s="246"/>
      <c r="BD574" s="246"/>
      <c r="BE574" s="246"/>
      <c r="BF574" s="246"/>
      <c r="BG574" s="246"/>
      <c r="BH574" s="246"/>
      <c r="BI574" s="246"/>
      <c r="BJ574" s="246"/>
    </row>
    <row r="575" spans="2:62" ht="15.75">
      <c r="B575" s="7"/>
      <c r="C575" s="334"/>
      <c r="D575" s="334"/>
      <c r="E575" s="399"/>
      <c r="F575" s="409"/>
      <c r="G575" s="334"/>
      <c r="H575" s="399"/>
      <c r="I575" s="409"/>
      <c r="J575" s="409"/>
      <c r="K575" s="399"/>
      <c r="L575" s="409"/>
      <c r="M575" s="399"/>
      <c r="N575" s="409"/>
      <c r="O575" s="399"/>
      <c r="P575" s="409"/>
      <c r="Q575" s="399"/>
      <c r="R575" s="399"/>
      <c r="S575" s="334"/>
      <c r="T575" s="334"/>
      <c r="U575" s="334"/>
      <c r="V575" s="334"/>
      <c r="W575" s="334"/>
      <c r="X575" s="334"/>
      <c r="Y575" s="246"/>
      <c r="Z575" s="246"/>
      <c r="AA575" s="246"/>
      <c r="AB575" s="246"/>
      <c r="AC575" s="246"/>
      <c r="AD575" s="246"/>
      <c r="AE575" s="246"/>
      <c r="AF575" s="246"/>
      <c r="AG575" s="246"/>
      <c r="AH575" s="246"/>
      <c r="AI575" s="246"/>
      <c r="AJ575" s="246"/>
      <c r="AK575" s="246"/>
      <c r="AL575" s="246"/>
      <c r="AM575" s="246"/>
      <c r="AN575" s="246"/>
      <c r="AO575" s="246"/>
      <c r="AP575" s="246"/>
      <c r="AQ575" s="246"/>
      <c r="AR575" s="246"/>
      <c r="AS575" s="246"/>
      <c r="AT575" s="246"/>
      <c r="AU575" s="246"/>
      <c r="AV575" s="246"/>
      <c r="AW575" s="246"/>
      <c r="AX575" s="246"/>
      <c r="AY575" s="246"/>
      <c r="AZ575" s="246"/>
      <c r="BA575" s="246"/>
      <c r="BB575" s="246"/>
      <c r="BC575" s="246"/>
      <c r="BD575" s="246"/>
      <c r="BE575" s="246"/>
      <c r="BF575" s="246"/>
      <c r="BG575" s="246"/>
      <c r="BH575" s="246"/>
      <c r="BI575" s="246"/>
      <c r="BJ575" s="246"/>
    </row>
    <row r="576" spans="2:62" ht="15.75">
      <c r="B576" s="7"/>
      <c r="C576" s="398"/>
      <c r="D576" s="398"/>
      <c r="E576" s="401"/>
      <c r="F576" s="411"/>
      <c r="G576" s="398"/>
      <c r="H576" s="401"/>
      <c r="I576" s="411"/>
      <c r="J576" s="411"/>
      <c r="K576" s="401"/>
      <c r="L576" s="411"/>
      <c r="M576" s="401"/>
      <c r="N576" s="411"/>
      <c r="O576" s="401"/>
      <c r="P576" s="411"/>
      <c r="Q576" s="401"/>
      <c r="R576" s="401"/>
      <c r="S576" s="401"/>
      <c r="T576" s="334"/>
      <c r="U576" s="334"/>
      <c r="V576" s="334"/>
      <c r="W576" s="334"/>
      <c r="X576" s="334"/>
      <c r="Y576" s="246"/>
      <c r="Z576" s="246"/>
      <c r="AA576" s="246"/>
      <c r="AB576" s="246"/>
      <c r="AC576" s="246"/>
      <c r="AD576" s="246"/>
      <c r="AE576" s="246"/>
      <c r="AF576" s="246"/>
      <c r="AG576" s="246"/>
      <c r="AH576" s="246"/>
      <c r="AI576" s="246"/>
      <c r="AJ576" s="246"/>
      <c r="AK576" s="246"/>
      <c r="AL576" s="246"/>
      <c r="AM576" s="246"/>
      <c r="AN576" s="246"/>
      <c r="AO576" s="246"/>
      <c r="AP576" s="246"/>
      <c r="AQ576" s="246"/>
      <c r="AR576" s="246"/>
      <c r="AS576" s="246"/>
      <c r="AT576" s="246"/>
      <c r="AU576" s="246"/>
      <c r="AV576" s="246"/>
      <c r="AW576" s="246"/>
      <c r="AX576" s="246"/>
      <c r="AY576" s="246"/>
      <c r="AZ576" s="246"/>
      <c r="BA576" s="246"/>
      <c r="BB576" s="246"/>
      <c r="BC576" s="246"/>
      <c r="BD576" s="246"/>
      <c r="BE576" s="246"/>
      <c r="BF576" s="246"/>
      <c r="BG576" s="246"/>
      <c r="BH576" s="246"/>
      <c r="BI576" s="246"/>
      <c r="BJ576" s="246"/>
    </row>
    <row r="577" spans="2:62" ht="15.75">
      <c r="B577" s="7"/>
      <c r="C577" s="334"/>
      <c r="D577" s="334"/>
      <c r="E577" s="399"/>
      <c r="F577" s="409"/>
      <c r="G577" s="334"/>
      <c r="H577" s="399"/>
      <c r="I577" s="409"/>
      <c r="J577" s="399"/>
      <c r="K577" s="409"/>
      <c r="L577" s="399"/>
      <c r="M577" s="334"/>
      <c r="N577" s="399"/>
      <c r="O577" s="409"/>
      <c r="P577" s="401"/>
      <c r="Q577" s="411"/>
      <c r="R577" s="411"/>
      <c r="S577" s="399"/>
      <c r="T577" s="334"/>
      <c r="U577" s="334"/>
      <c r="V577" s="334"/>
      <c r="W577" s="334"/>
      <c r="X577" s="334"/>
      <c r="Y577" s="246"/>
      <c r="Z577" s="246"/>
      <c r="AA577" s="246"/>
      <c r="AB577" s="246"/>
      <c r="AC577" s="246"/>
      <c r="AD577" s="246"/>
      <c r="AE577" s="246"/>
      <c r="AF577" s="246"/>
      <c r="AG577" s="246"/>
      <c r="AH577" s="246"/>
      <c r="AI577" s="246"/>
      <c r="AJ577" s="246"/>
      <c r="AK577" s="246"/>
      <c r="AL577" s="246"/>
      <c r="AM577" s="246"/>
      <c r="AN577" s="246"/>
      <c r="AO577" s="246"/>
      <c r="AP577" s="246"/>
      <c r="AQ577" s="246"/>
      <c r="AR577" s="246"/>
      <c r="AS577" s="246"/>
      <c r="AT577" s="246"/>
      <c r="AU577" s="246"/>
      <c r="AV577" s="246"/>
      <c r="AW577" s="246"/>
      <c r="AX577" s="246"/>
      <c r="AY577" s="246"/>
      <c r="AZ577" s="246"/>
      <c r="BA577" s="246"/>
      <c r="BB577" s="246"/>
      <c r="BC577" s="246"/>
      <c r="BD577" s="246"/>
      <c r="BE577" s="246"/>
      <c r="BF577" s="246"/>
      <c r="BG577" s="246"/>
      <c r="BH577" s="246"/>
      <c r="BI577" s="246"/>
      <c r="BJ577" s="246"/>
    </row>
    <row r="578" spans="2:62" ht="15.75">
      <c r="B578" s="7"/>
      <c r="C578" s="334"/>
      <c r="D578" s="334"/>
      <c r="E578" s="399"/>
      <c r="F578" s="409"/>
      <c r="G578" s="334"/>
      <c r="H578" s="399"/>
      <c r="I578" s="409"/>
      <c r="J578" s="399"/>
      <c r="K578" s="409"/>
      <c r="L578" s="399"/>
      <c r="M578" s="334"/>
      <c r="N578" s="399"/>
      <c r="O578" s="409"/>
      <c r="P578" s="399"/>
      <c r="Q578" s="334"/>
      <c r="R578" s="409"/>
      <c r="S578" s="399"/>
      <c r="T578" s="334"/>
      <c r="U578" s="334"/>
      <c r="V578" s="334"/>
      <c r="W578" s="334"/>
      <c r="X578" s="334"/>
      <c r="Y578" s="246"/>
      <c r="Z578" s="246"/>
      <c r="AA578" s="246"/>
      <c r="AB578" s="246"/>
      <c r="AC578" s="246"/>
      <c r="AD578" s="246"/>
      <c r="AE578" s="246"/>
      <c r="AF578" s="246"/>
      <c r="AG578" s="246"/>
      <c r="AH578" s="246"/>
      <c r="AI578" s="246"/>
      <c r="AJ578" s="246"/>
      <c r="AK578" s="246"/>
      <c r="AL578" s="246"/>
      <c r="AM578" s="246"/>
      <c r="AN578" s="246"/>
      <c r="AO578" s="246"/>
      <c r="AP578" s="246"/>
      <c r="AQ578" s="246"/>
      <c r="AR578" s="246"/>
      <c r="AS578" s="246"/>
      <c r="AT578" s="246"/>
      <c r="AU578" s="246"/>
      <c r="AV578" s="246"/>
      <c r="AW578" s="246"/>
      <c r="AX578" s="246"/>
      <c r="AY578" s="246"/>
      <c r="AZ578" s="246"/>
      <c r="BA578" s="246"/>
      <c r="BB578" s="246"/>
      <c r="BC578" s="246"/>
      <c r="BD578" s="246"/>
      <c r="BE578" s="246"/>
      <c r="BF578" s="246"/>
      <c r="BG578" s="246"/>
      <c r="BH578" s="246"/>
      <c r="BI578" s="246"/>
      <c r="BJ578" s="246"/>
    </row>
    <row r="579" spans="2:62" ht="15.75">
      <c r="B579" s="7"/>
      <c r="C579" s="334"/>
      <c r="D579" s="334"/>
      <c r="E579" s="334"/>
      <c r="F579" s="334"/>
      <c r="G579" s="334"/>
      <c r="H579" s="334"/>
      <c r="I579" s="334"/>
      <c r="J579" s="334"/>
      <c r="K579" s="334"/>
      <c r="L579" s="334"/>
      <c r="M579" s="334"/>
      <c r="N579" s="334"/>
      <c r="O579" s="334"/>
      <c r="P579" s="334"/>
      <c r="Q579" s="334"/>
      <c r="R579" s="409"/>
      <c r="S579" s="399"/>
      <c r="T579" s="334"/>
      <c r="U579" s="334"/>
      <c r="V579" s="334"/>
      <c r="W579" s="334"/>
      <c r="X579" s="334"/>
      <c r="Y579" s="246"/>
      <c r="Z579" s="246"/>
      <c r="AA579" s="246"/>
      <c r="AB579" s="246"/>
      <c r="AC579" s="246"/>
      <c r="AD579" s="246"/>
      <c r="AE579" s="246"/>
      <c r="AF579" s="246"/>
      <c r="AG579" s="246"/>
      <c r="AH579" s="246"/>
      <c r="AI579" s="246"/>
      <c r="AJ579" s="246"/>
      <c r="AK579" s="246"/>
      <c r="AL579" s="246"/>
      <c r="AM579" s="246"/>
      <c r="AN579" s="246"/>
      <c r="AO579" s="246"/>
      <c r="AP579" s="246"/>
      <c r="AQ579" s="246"/>
      <c r="AR579" s="246"/>
      <c r="AS579" s="246"/>
      <c r="AT579" s="246"/>
      <c r="AU579" s="246"/>
      <c r="AV579" s="246"/>
      <c r="AW579" s="246"/>
      <c r="AX579" s="246"/>
      <c r="AY579" s="246"/>
      <c r="AZ579" s="246"/>
      <c r="BA579" s="246"/>
      <c r="BB579" s="246"/>
      <c r="BC579" s="246"/>
      <c r="BD579" s="246"/>
      <c r="BE579" s="246"/>
      <c r="BF579" s="246"/>
      <c r="BG579" s="246"/>
      <c r="BH579" s="246"/>
      <c r="BI579" s="246"/>
      <c r="BJ579" s="246"/>
    </row>
    <row r="580" spans="2:62" ht="15.75">
      <c r="B580" s="7"/>
      <c r="C580" s="334"/>
      <c r="D580" s="334"/>
      <c r="E580" s="399"/>
      <c r="F580" s="409"/>
      <c r="G580" s="334"/>
      <c r="H580" s="399"/>
      <c r="I580" s="409"/>
      <c r="J580" s="399"/>
      <c r="K580" s="409"/>
      <c r="L580" s="399"/>
      <c r="M580" s="334"/>
      <c r="N580" s="399"/>
      <c r="O580" s="409"/>
      <c r="P580" s="399"/>
      <c r="Q580" s="334"/>
      <c r="R580" s="409"/>
      <c r="S580" s="399"/>
      <c r="T580" s="334"/>
      <c r="U580" s="334"/>
      <c r="V580" s="334"/>
      <c r="W580" s="334"/>
      <c r="X580" s="334"/>
      <c r="Y580" s="246"/>
      <c r="Z580" s="246"/>
      <c r="AA580" s="246"/>
      <c r="AB580" s="246"/>
      <c r="AC580" s="246"/>
      <c r="AD580" s="246"/>
      <c r="AE580" s="246"/>
      <c r="AF580" s="246"/>
      <c r="AG580" s="246"/>
      <c r="AH580" s="246"/>
      <c r="AI580" s="246"/>
      <c r="AJ580" s="246"/>
      <c r="AK580" s="246"/>
      <c r="AL580" s="246"/>
      <c r="AM580" s="246"/>
      <c r="AN580" s="246"/>
      <c r="AO580" s="246"/>
      <c r="AP580" s="246"/>
      <c r="AQ580" s="246"/>
      <c r="AR580" s="246"/>
      <c r="AS580" s="246"/>
      <c r="AT580" s="246"/>
      <c r="AU580" s="246"/>
      <c r="AV580" s="246"/>
      <c r="AW580" s="246"/>
      <c r="AX580" s="246"/>
      <c r="AY580" s="246"/>
      <c r="AZ580" s="246"/>
      <c r="BA580" s="246"/>
      <c r="BB580" s="246"/>
      <c r="BC580" s="246"/>
      <c r="BD580" s="246"/>
      <c r="BE580" s="246"/>
      <c r="BF580" s="246"/>
      <c r="BG580" s="246"/>
      <c r="BH580" s="246"/>
      <c r="BI580" s="246"/>
      <c r="BJ580" s="246"/>
    </row>
    <row r="581" spans="2:62" ht="15.75">
      <c r="B581" s="7"/>
      <c r="C581" s="334"/>
      <c r="D581" s="334"/>
      <c r="E581" s="399"/>
      <c r="F581" s="409"/>
      <c r="G581" s="334"/>
      <c r="H581" s="399"/>
      <c r="I581" s="409"/>
      <c r="J581" s="399"/>
      <c r="K581" s="409"/>
      <c r="L581" s="399"/>
      <c r="M581" s="334"/>
      <c r="N581" s="399"/>
      <c r="O581" s="409"/>
      <c r="P581" s="399"/>
      <c r="Q581" s="334"/>
      <c r="R581" s="409"/>
      <c r="S581" s="399"/>
      <c r="T581" s="334"/>
      <c r="U581" s="334"/>
      <c r="V581" s="334"/>
      <c r="W581" s="334"/>
      <c r="X581" s="334"/>
      <c r="Y581" s="246"/>
      <c r="Z581" s="246"/>
      <c r="AA581" s="246"/>
      <c r="AB581" s="246"/>
      <c r="AC581" s="246"/>
      <c r="AD581" s="246"/>
      <c r="AE581" s="246"/>
      <c r="AF581" s="246"/>
      <c r="AG581" s="246"/>
      <c r="AH581" s="246"/>
      <c r="AI581" s="246"/>
      <c r="AJ581" s="246"/>
      <c r="AK581" s="246"/>
      <c r="AL581" s="246"/>
      <c r="AM581" s="246"/>
      <c r="AN581" s="246"/>
      <c r="AO581" s="246"/>
      <c r="AP581" s="246"/>
      <c r="AQ581" s="246"/>
      <c r="AR581" s="246"/>
      <c r="AS581" s="246"/>
      <c r="AT581" s="246"/>
      <c r="AU581" s="246"/>
      <c r="AV581" s="246"/>
      <c r="AW581" s="246"/>
      <c r="AX581" s="246"/>
      <c r="AY581" s="246"/>
      <c r="AZ581" s="246"/>
      <c r="BA581" s="246"/>
      <c r="BB581" s="246"/>
      <c r="BC581" s="246"/>
      <c r="BD581" s="246"/>
      <c r="BE581" s="246"/>
      <c r="BF581" s="246"/>
      <c r="BG581" s="246"/>
      <c r="BH581" s="246"/>
      <c r="BI581" s="246"/>
      <c r="BJ581" s="246"/>
    </row>
    <row r="582" spans="2:62" ht="15.75">
      <c r="B582" s="7"/>
      <c r="C582" s="334"/>
      <c r="D582" s="334"/>
      <c r="E582" s="399"/>
      <c r="F582" s="409"/>
      <c r="G582" s="334"/>
      <c r="H582" s="399"/>
      <c r="I582" s="409"/>
      <c r="J582" s="399"/>
      <c r="K582" s="409"/>
      <c r="L582" s="399"/>
      <c r="M582" s="334"/>
      <c r="N582" s="399"/>
      <c r="O582" s="409"/>
      <c r="P582" s="399"/>
      <c r="Q582" s="334"/>
      <c r="R582" s="409"/>
      <c r="S582" s="399"/>
      <c r="T582" s="334"/>
      <c r="U582" s="334"/>
      <c r="V582" s="334"/>
      <c r="W582" s="334"/>
      <c r="X582" s="334"/>
      <c r="Y582" s="246"/>
      <c r="Z582" s="246"/>
      <c r="AA582" s="246"/>
      <c r="AB582" s="246"/>
      <c r="AC582" s="246"/>
      <c r="AD582" s="246"/>
      <c r="AE582" s="246"/>
      <c r="AF582" s="246"/>
      <c r="AG582" s="246"/>
      <c r="AH582" s="246"/>
      <c r="AI582" s="246"/>
      <c r="AJ582" s="246"/>
      <c r="AK582" s="246"/>
      <c r="AL582" s="246"/>
      <c r="AM582" s="246"/>
      <c r="AN582" s="246"/>
      <c r="AO582" s="246"/>
      <c r="AP582" s="246"/>
      <c r="AQ582" s="246"/>
      <c r="AR582" s="246"/>
      <c r="AS582" s="246"/>
      <c r="AT582" s="246"/>
      <c r="AU582" s="246"/>
      <c r="AV582" s="246"/>
      <c r="AW582" s="246"/>
      <c r="AX582" s="246"/>
      <c r="AY582" s="246"/>
      <c r="AZ582" s="246"/>
      <c r="BA582" s="246"/>
      <c r="BB582" s="246"/>
      <c r="BC582" s="246"/>
      <c r="BD582" s="246"/>
      <c r="BE582" s="246"/>
      <c r="BF582" s="246"/>
      <c r="BG582" s="246"/>
      <c r="BH582" s="246"/>
      <c r="BI582" s="246"/>
      <c r="BJ582" s="246"/>
    </row>
    <row r="583" spans="2:62" ht="15.75">
      <c r="B583" s="7"/>
      <c r="C583" s="334"/>
      <c r="D583" s="334"/>
      <c r="E583" s="399"/>
      <c r="F583" s="409"/>
      <c r="G583" s="334"/>
      <c r="H583" s="399"/>
      <c r="I583" s="409"/>
      <c r="J583" s="399"/>
      <c r="K583" s="409"/>
      <c r="L583" s="399"/>
      <c r="M583" s="334"/>
      <c r="N583" s="399"/>
      <c r="O583" s="409"/>
      <c r="P583" s="399"/>
      <c r="Q583" s="334"/>
      <c r="R583" s="409"/>
      <c r="S583" s="399"/>
      <c r="T583" s="334"/>
      <c r="U583" s="334"/>
      <c r="V583" s="334"/>
      <c r="W583" s="334"/>
      <c r="X583" s="334"/>
      <c r="Y583" s="246"/>
      <c r="Z583" s="246"/>
      <c r="AA583" s="246"/>
      <c r="AB583" s="246"/>
      <c r="AC583" s="246"/>
      <c r="AD583" s="246"/>
      <c r="AE583" s="246"/>
      <c r="AF583" s="246"/>
      <c r="AG583" s="246"/>
      <c r="AH583" s="246"/>
      <c r="AI583" s="246"/>
      <c r="AJ583" s="246"/>
      <c r="AK583" s="246"/>
      <c r="AL583" s="246"/>
      <c r="AM583" s="246"/>
      <c r="AN583" s="246"/>
      <c r="AO583" s="246"/>
      <c r="AP583" s="246"/>
      <c r="AQ583" s="246"/>
      <c r="AR583" s="246"/>
      <c r="AS583" s="246"/>
      <c r="AT583" s="246"/>
      <c r="AU583" s="246"/>
      <c r="AV583" s="246"/>
      <c r="AW583" s="246"/>
      <c r="AX583" s="246"/>
      <c r="AY583" s="246"/>
      <c r="AZ583" s="246"/>
      <c r="BA583" s="246"/>
      <c r="BB583" s="246"/>
      <c r="BC583" s="246"/>
      <c r="BD583" s="246"/>
      <c r="BE583" s="246"/>
      <c r="BF583" s="246"/>
      <c r="BG583" s="246"/>
      <c r="BH583" s="246"/>
      <c r="BI583" s="246"/>
      <c r="BJ583" s="246"/>
    </row>
    <row r="584" spans="2:62" ht="15.75">
      <c r="B584" s="7"/>
      <c r="C584" s="334"/>
      <c r="D584" s="334"/>
      <c r="E584" s="399"/>
      <c r="F584" s="409"/>
      <c r="G584" s="334"/>
      <c r="H584" s="399"/>
      <c r="I584" s="409"/>
      <c r="J584" s="399"/>
      <c r="K584" s="409"/>
      <c r="L584" s="399"/>
      <c r="M584" s="334"/>
      <c r="N584" s="399"/>
      <c r="O584" s="409"/>
      <c r="P584" s="399"/>
      <c r="Q584" s="334"/>
      <c r="R584" s="409"/>
      <c r="S584" s="399"/>
      <c r="T584" s="334"/>
      <c r="U584" s="334"/>
      <c r="V584" s="334"/>
      <c r="W584" s="334"/>
      <c r="X584" s="334"/>
      <c r="Y584" s="246"/>
      <c r="Z584" s="246"/>
      <c r="AA584" s="246"/>
      <c r="AB584" s="246"/>
      <c r="AC584" s="246"/>
      <c r="AD584" s="246"/>
      <c r="AE584" s="246"/>
      <c r="AF584" s="246"/>
      <c r="AG584" s="246"/>
      <c r="AH584" s="246"/>
      <c r="AI584" s="246"/>
      <c r="AJ584" s="246"/>
      <c r="AK584" s="246"/>
      <c r="AL584" s="246"/>
      <c r="AM584" s="246"/>
      <c r="AN584" s="246"/>
      <c r="AO584" s="246"/>
      <c r="AP584" s="246"/>
      <c r="AQ584" s="246"/>
      <c r="AR584" s="246"/>
      <c r="AS584" s="246"/>
      <c r="AT584" s="246"/>
      <c r="AU584" s="246"/>
      <c r="AV584" s="246"/>
      <c r="AW584" s="246"/>
      <c r="AX584" s="246"/>
      <c r="AY584" s="246"/>
      <c r="AZ584" s="246"/>
      <c r="BA584" s="246"/>
      <c r="BB584" s="246"/>
      <c r="BC584" s="246"/>
      <c r="BD584" s="246"/>
      <c r="BE584" s="246"/>
      <c r="BF584" s="246"/>
      <c r="BG584" s="246"/>
      <c r="BH584" s="246"/>
      <c r="BI584" s="246"/>
      <c r="BJ584" s="246"/>
    </row>
    <row r="585" spans="2:62" ht="15.75">
      <c r="B585" s="7"/>
      <c r="C585" s="334"/>
      <c r="D585" s="334"/>
      <c r="E585" s="399"/>
      <c r="F585" s="409"/>
      <c r="G585" s="334"/>
      <c r="H585" s="399"/>
      <c r="I585" s="409"/>
      <c r="J585" s="399"/>
      <c r="K585" s="409"/>
      <c r="L585" s="399"/>
      <c r="M585" s="334"/>
      <c r="N585" s="399"/>
      <c r="O585" s="409"/>
      <c r="P585" s="399"/>
      <c r="Q585" s="334"/>
      <c r="R585" s="409"/>
      <c r="S585" s="399"/>
      <c r="T585" s="334"/>
      <c r="U585" s="334"/>
      <c r="V585" s="334"/>
      <c r="W585" s="334"/>
      <c r="X585" s="334"/>
      <c r="Y585" s="246"/>
      <c r="Z585" s="246"/>
      <c r="AA585" s="246"/>
      <c r="AB585" s="246"/>
      <c r="AC585" s="246"/>
      <c r="AD585" s="246"/>
      <c r="AE585" s="246"/>
      <c r="AF585" s="246"/>
      <c r="AG585" s="246"/>
      <c r="AH585" s="246"/>
      <c r="AI585" s="246"/>
      <c r="AJ585" s="246"/>
      <c r="AK585" s="246"/>
      <c r="AL585" s="246"/>
      <c r="AM585" s="246"/>
      <c r="AN585" s="246"/>
      <c r="AO585" s="246"/>
      <c r="AP585" s="246"/>
      <c r="AQ585" s="246"/>
      <c r="AR585" s="246"/>
      <c r="AS585" s="246"/>
      <c r="AT585" s="246"/>
      <c r="AU585" s="246"/>
      <c r="AV585" s="246"/>
      <c r="AW585" s="246"/>
      <c r="AX585" s="246"/>
      <c r="AY585" s="246"/>
      <c r="AZ585" s="246"/>
      <c r="BA585" s="246"/>
      <c r="BB585" s="246"/>
      <c r="BC585" s="246"/>
      <c r="BD585" s="246"/>
      <c r="BE585" s="246"/>
      <c r="BF585" s="246"/>
      <c r="BG585" s="246"/>
      <c r="BH585" s="246"/>
      <c r="BI585" s="246"/>
      <c r="BJ585" s="246"/>
    </row>
    <row r="586" spans="2:62" ht="15.75">
      <c r="B586" s="7"/>
      <c r="C586" s="334"/>
      <c r="D586" s="334"/>
      <c r="E586" s="399"/>
      <c r="F586" s="409"/>
      <c r="G586" s="334"/>
      <c r="H586" s="399"/>
      <c r="I586" s="409"/>
      <c r="J586" s="399"/>
      <c r="K586" s="409"/>
      <c r="L586" s="399"/>
      <c r="M586" s="334"/>
      <c r="N586" s="399"/>
      <c r="O586" s="409"/>
      <c r="P586" s="399"/>
      <c r="Q586" s="334"/>
      <c r="R586" s="409"/>
      <c r="S586" s="399"/>
      <c r="T586" s="334"/>
      <c r="U586" s="334"/>
      <c r="V586" s="334"/>
      <c r="W586" s="334"/>
      <c r="X586" s="334"/>
      <c r="Y586" s="246"/>
      <c r="Z586" s="246"/>
      <c r="AA586" s="246"/>
      <c r="AB586" s="246"/>
      <c r="AC586" s="246"/>
      <c r="AD586" s="246"/>
      <c r="AE586" s="246"/>
      <c r="AF586" s="246"/>
      <c r="AG586" s="246"/>
      <c r="AH586" s="246"/>
      <c r="AI586" s="246"/>
      <c r="AJ586" s="246"/>
      <c r="AK586" s="246"/>
      <c r="AL586" s="246"/>
      <c r="AM586" s="246"/>
      <c r="AN586" s="246"/>
      <c r="AO586" s="246"/>
      <c r="AP586" s="246"/>
      <c r="AQ586" s="246"/>
      <c r="AR586" s="246"/>
      <c r="AS586" s="246"/>
      <c r="AT586" s="246"/>
      <c r="AU586" s="246"/>
      <c r="AV586" s="246"/>
      <c r="AW586" s="246"/>
      <c r="AX586" s="246"/>
      <c r="AY586" s="246"/>
      <c r="AZ586" s="246"/>
      <c r="BA586" s="246"/>
      <c r="BB586" s="246"/>
      <c r="BC586" s="246"/>
      <c r="BD586" s="246"/>
      <c r="BE586" s="246"/>
      <c r="BF586" s="246"/>
      <c r="BG586" s="246"/>
      <c r="BH586" s="246"/>
      <c r="BI586" s="246"/>
      <c r="BJ586" s="246"/>
    </row>
    <row r="587" spans="2:62" ht="15.75">
      <c r="B587" s="7"/>
      <c r="C587" s="334"/>
      <c r="D587" s="334"/>
      <c r="E587" s="334"/>
      <c r="F587" s="334"/>
      <c r="G587" s="334"/>
      <c r="H587" s="334"/>
      <c r="I587" s="334"/>
      <c r="J587" s="334"/>
      <c r="K587" s="334"/>
      <c r="L587" s="334"/>
      <c r="M587" s="334"/>
      <c r="N587" s="334"/>
      <c r="O587" s="334"/>
      <c r="P587" s="334"/>
      <c r="Q587" s="334"/>
      <c r="R587" s="334"/>
      <c r="S587" s="334"/>
      <c r="T587" s="334"/>
      <c r="U587" s="334"/>
      <c r="V587" s="334"/>
      <c r="W587" s="334"/>
      <c r="X587" s="334"/>
      <c r="Y587" s="246"/>
      <c r="Z587" s="246"/>
      <c r="AA587" s="246"/>
      <c r="AB587" s="246"/>
      <c r="AC587" s="246"/>
      <c r="AD587" s="246"/>
      <c r="AE587" s="246"/>
      <c r="AF587" s="246"/>
      <c r="AG587" s="246"/>
      <c r="AH587" s="246"/>
      <c r="AI587" s="246"/>
      <c r="AJ587" s="246"/>
      <c r="AK587" s="246"/>
      <c r="AL587" s="246"/>
      <c r="AM587" s="246"/>
      <c r="AN587" s="246"/>
      <c r="AO587" s="246"/>
      <c r="AP587" s="246"/>
      <c r="AQ587" s="246"/>
      <c r="AR587" s="246"/>
      <c r="AS587" s="246"/>
      <c r="AT587" s="246"/>
      <c r="AU587" s="246"/>
      <c r="AV587" s="246"/>
      <c r="AW587" s="246"/>
      <c r="AX587" s="246"/>
      <c r="AY587" s="246"/>
      <c r="AZ587" s="246"/>
      <c r="BA587" s="246"/>
      <c r="BB587" s="246"/>
      <c r="BC587" s="246"/>
      <c r="BD587" s="246"/>
      <c r="BE587" s="246"/>
      <c r="BF587" s="246"/>
      <c r="BG587" s="246"/>
      <c r="BH587" s="246"/>
      <c r="BI587" s="246"/>
      <c r="BJ587" s="246"/>
    </row>
    <row r="588" spans="2:62" ht="15.75">
      <c r="B588" s="7"/>
      <c r="C588" s="334"/>
      <c r="D588" s="334"/>
      <c r="E588" s="334"/>
      <c r="F588" s="334"/>
      <c r="G588" s="334"/>
      <c r="H588" s="334"/>
      <c r="I588" s="334"/>
      <c r="J588" s="334"/>
      <c r="K588" s="334"/>
      <c r="L588" s="334"/>
      <c r="M588" s="334"/>
      <c r="N588" s="334"/>
      <c r="O588" s="334"/>
      <c r="P588" s="334"/>
      <c r="Q588" s="334"/>
      <c r="R588" s="334"/>
      <c r="S588" s="334"/>
      <c r="T588" s="334"/>
      <c r="U588" s="334"/>
      <c r="V588" s="334"/>
      <c r="W588" s="334"/>
      <c r="X588" s="334"/>
      <c r="Y588" s="246"/>
      <c r="Z588" s="246"/>
      <c r="AA588" s="246"/>
      <c r="AB588" s="246"/>
      <c r="AC588" s="246"/>
      <c r="AD588" s="246"/>
      <c r="AE588" s="246"/>
      <c r="AF588" s="246"/>
      <c r="AG588" s="246"/>
      <c r="AH588" s="246"/>
      <c r="AI588" s="246"/>
      <c r="AJ588" s="246"/>
      <c r="AK588" s="246"/>
      <c r="AL588" s="246"/>
      <c r="AM588" s="246"/>
      <c r="AN588" s="246"/>
      <c r="AO588" s="246"/>
      <c r="AP588" s="246"/>
      <c r="AQ588" s="246"/>
      <c r="AR588" s="246"/>
      <c r="AS588" s="246"/>
      <c r="AT588" s="246"/>
      <c r="AU588" s="246"/>
      <c r="AV588" s="246"/>
      <c r="AW588" s="246"/>
      <c r="AX588" s="246"/>
      <c r="AY588" s="246"/>
      <c r="AZ588" s="246"/>
      <c r="BA588" s="246"/>
      <c r="BB588" s="246"/>
      <c r="BC588" s="246"/>
      <c r="BD588" s="246"/>
      <c r="BE588" s="246"/>
      <c r="BF588" s="246"/>
      <c r="BG588" s="246"/>
      <c r="BH588" s="246"/>
      <c r="BI588" s="246"/>
      <c r="BJ588" s="246"/>
    </row>
    <row r="589" spans="2:62" ht="15.75">
      <c r="B589" s="7"/>
      <c r="C589" s="334"/>
      <c r="D589" s="334"/>
      <c r="E589" s="334"/>
      <c r="F589" s="334"/>
      <c r="G589" s="334"/>
      <c r="H589" s="334"/>
      <c r="I589" s="334"/>
      <c r="J589" s="334"/>
      <c r="K589" s="334"/>
      <c r="L589" s="334"/>
      <c r="M589" s="334"/>
      <c r="N589" s="334"/>
      <c r="O589" s="334"/>
      <c r="P589" s="334"/>
      <c r="Q589" s="334"/>
      <c r="R589" s="334"/>
      <c r="S589" s="334"/>
      <c r="T589" s="334"/>
      <c r="U589" s="334"/>
      <c r="V589" s="334"/>
      <c r="W589" s="334"/>
      <c r="X589" s="334"/>
      <c r="Y589" s="246"/>
      <c r="Z589" s="246"/>
      <c r="AA589" s="246"/>
      <c r="AB589" s="246"/>
      <c r="AC589" s="246"/>
      <c r="AD589" s="246"/>
      <c r="AE589" s="246"/>
      <c r="AF589" s="246"/>
      <c r="AG589" s="246"/>
      <c r="AH589" s="246"/>
      <c r="AI589" s="246"/>
      <c r="AJ589" s="246"/>
      <c r="AK589" s="246"/>
      <c r="AL589" s="246"/>
      <c r="AM589" s="246"/>
      <c r="AN589" s="246"/>
      <c r="AO589" s="246"/>
      <c r="AP589" s="246"/>
      <c r="AQ589" s="246"/>
      <c r="AR589" s="246"/>
      <c r="AS589" s="246"/>
      <c r="AT589" s="246"/>
      <c r="AU589" s="246"/>
      <c r="AV589" s="246"/>
      <c r="AW589" s="246"/>
      <c r="AX589" s="246"/>
      <c r="AY589" s="246"/>
      <c r="AZ589" s="246"/>
      <c r="BA589" s="246"/>
      <c r="BB589" s="246"/>
      <c r="BC589" s="246"/>
      <c r="BD589" s="246"/>
      <c r="BE589" s="246"/>
      <c r="BF589" s="246"/>
      <c r="BG589" s="246"/>
      <c r="BH589" s="246"/>
      <c r="BI589" s="246"/>
      <c r="BJ589" s="246"/>
    </row>
    <row r="590" spans="2:62" ht="15.75">
      <c r="B590" s="7"/>
      <c r="C590" s="334"/>
      <c r="D590" s="334"/>
      <c r="E590" s="334"/>
      <c r="F590" s="334"/>
      <c r="G590" s="334"/>
      <c r="H590" s="334"/>
      <c r="I590" s="334"/>
      <c r="J590" s="334"/>
      <c r="K590" s="334"/>
      <c r="L590" s="334"/>
      <c r="M590" s="334"/>
      <c r="N590" s="334"/>
      <c r="O590" s="334"/>
      <c r="P590" s="334"/>
      <c r="Q590" s="334"/>
      <c r="R590" s="334"/>
      <c r="S590" s="334"/>
      <c r="T590" s="334"/>
      <c r="U590" s="334"/>
      <c r="V590" s="334"/>
      <c r="W590" s="334"/>
      <c r="X590" s="334"/>
      <c r="Y590" s="246"/>
      <c r="Z590" s="246"/>
      <c r="AA590" s="246"/>
      <c r="AB590" s="246"/>
      <c r="AC590" s="246"/>
      <c r="AD590" s="246"/>
      <c r="AE590" s="246"/>
      <c r="AF590" s="246"/>
      <c r="AG590" s="246"/>
      <c r="AH590" s="246"/>
      <c r="AI590" s="246"/>
      <c r="AJ590" s="246"/>
      <c r="AK590" s="246"/>
      <c r="AL590" s="246"/>
      <c r="AM590" s="246"/>
      <c r="AN590" s="246"/>
      <c r="AO590" s="246"/>
      <c r="AP590" s="246"/>
      <c r="AQ590" s="246"/>
      <c r="AR590" s="246"/>
      <c r="AS590" s="246"/>
      <c r="AT590" s="246"/>
      <c r="AU590" s="246"/>
      <c r="AV590" s="246"/>
      <c r="AW590" s="246"/>
      <c r="AX590" s="246"/>
      <c r="AY590" s="246"/>
      <c r="AZ590" s="246"/>
      <c r="BA590" s="246"/>
      <c r="BB590" s="246"/>
      <c r="BC590" s="246"/>
      <c r="BD590" s="246"/>
      <c r="BE590" s="246"/>
      <c r="BF590" s="246"/>
      <c r="BG590" s="246"/>
      <c r="BH590" s="246"/>
      <c r="BI590" s="246"/>
      <c r="BJ590" s="246"/>
    </row>
    <row r="591" spans="2:62" ht="15.75">
      <c r="B591" s="7"/>
      <c r="C591" s="334"/>
      <c r="D591" s="334"/>
      <c r="E591" s="334"/>
      <c r="F591" s="334"/>
      <c r="G591" s="334"/>
      <c r="H591" s="334"/>
      <c r="I591" s="334"/>
      <c r="J591" s="334"/>
      <c r="K591" s="334"/>
      <c r="L591" s="334"/>
      <c r="M591" s="334"/>
      <c r="N591" s="334"/>
      <c r="O591" s="334"/>
      <c r="P591" s="334"/>
      <c r="Q591" s="334"/>
      <c r="R591" s="334"/>
      <c r="S591" s="334"/>
      <c r="T591" s="334"/>
      <c r="U591" s="334"/>
      <c r="V591" s="334"/>
      <c r="W591" s="334"/>
      <c r="X591" s="334"/>
      <c r="Y591" s="246"/>
      <c r="Z591" s="246"/>
      <c r="AA591" s="246"/>
      <c r="AB591" s="246"/>
      <c r="AC591" s="246"/>
      <c r="AD591" s="246"/>
      <c r="AE591" s="246"/>
      <c r="AF591" s="246"/>
      <c r="AG591" s="246"/>
      <c r="AH591" s="246"/>
      <c r="AI591" s="246"/>
      <c r="AJ591" s="246"/>
      <c r="AK591" s="246"/>
      <c r="AL591" s="246"/>
      <c r="AM591" s="246"/>
      <c r="AN591" s="246"/>
      <c r="AO591" s="246"/>
      <c r="AP591" s="246"/>
      <c r="AQ591" s="246"/>
      <c r="AR591" s="246"/>
      <c r="AS591" s="246"/>
      <c r="AT591" s="246"/>
      <c r="AU591" s="246"/>
      <c r="AV591" s="246"/>
      <c r="AW591" s="246"/>
      <c r="AX591" s="246"/>
      <c r="AY591" s="246"/>
      <c r="AZ591" s="246"/>
      <c r="BA591" s="246"/>
      <c r="BB591" s="246"/>
      <c r="BC591" s="246"/>
      <c r="BD591" s="246"/>
      <c r="BE591" s="246"/>
      <c r="BF591" s="246"/>
      <c r="BG591" s="246"/>
      <c r="BH591" s="246"/>
      <c r="BI591" s="246"/>
      <c r="BJ591" s="246"/>
    </row>
    <row r="592" spans="2:62" ht="15.75">
      <c r="B592" s="7"/>
      <c r="C592" s="334"/>
      <c r="D592" s="334"/>
      <c r="E592" s="334"/>
      <c r="F592" s="334"/>
      <c r="G592" s="334"/>
      <c r="H592" s="334"/>
      <c r="I592" s="334"/>
      <c r="J592" s="334"/>
      <c r="K592" s="334"/>
      <c r="L592" s="334"/>
      <c r="M592" s="334"/>
      <c r="N592" s="334"/>
      <c r="O592" s="334"/>
      <c r="P592" s="334"/>
      <c r="Q592" s="334"/>
      <c r="R592" s="334"/>
      <c r="S592" s="334"/>
      <c r="T592" s="334"/>
      <c r="U592" s="334"/>
      <c r="V592" s="334"/>
      <c r="W592" s="334"/>
      <c r="X592" s="334"/>
      <c r="Y592" s="246"/>
      <c r="Z592" s="246"/>
      <c r="AA592" s="246"/>
      <c r="AB592" s="246"/>
      <c r="AC592" s="246"/>
      <c r="AD592" s="246"/>
      <c r="AE592" s="246"/>
      <c r="AF592" s="246"/>
      <c r="AG592" s="246"/>
      <c r="AH592" s="246"/>
      <c r="AI592" s="246"/>
      <c r="AJ592" s="246"/>
      <c r="AK592" s="246"/>
      <c r="AL592" s="246"/>
      <c r="AM592" s="246"/>
      <c r="AN592" s="246"/>
      <c r="AO592" s="246"/>
      <c r="AP592" s="246"/>
      <c r="AQ592" s="246"/>
      <c r="AR592" s="246"/>
      <c r="AS592" s="246"/>
      <c r="AT592" s="246"/>
      <c r="AU592" s="246"/>
      <c r="AV592" s="246"/>
      <c r="AW592" s="246"/>
      <c r="AX592" s="246"/>
      <c r="AY592" s="246"/>
      <c r="AZ592" s="246"/>
      <c r="BA592" s="246"/>
      <c r="BB592" s="246"/>
      <c r="BC592" s="246"/>
      <c r="BD592" s="246"/>
      <c r="BE592" s="246"/>
      <c r="BF592" s="246"/>
      <c r="BG592" s="246"/>
      <c r="BH592" s="246"/>
      <c r="BI592" s="246"/>
      <c r="BJ592" s="246"/>
    </row>
    <row r="593" spans="2:62" ht="15.75">
      <c r="B593" s="7"/>
      <c r="C593" s="334"/>
      <c r="D593" s="334"/>
      <c r="E593" s="334"/>
      <c r="F593" s="334"/>
      <c r="G593" s="334"/>
      <c r="H593" s="334"/>
      <c r="I593" s="334"/>
      <c r="J593" s="334"/>
      <c r="K593" s="334"/>
      <c r="L593" s="334"/>
      <c r="M593" s="334"/>
      <c r="N593" s="334"/>
      <c r="O593" s="334"/>
      <c r="P593" s="334"/>
      <c r="Q593" s="334"/>
      <c r="R593" s="334"/>
      <c r="S593" s="334"/>
      <c r="T593" s="334"/>
      <c r="U593" s="334"/>
      <c r="V593" s="334"/>
      <c r="W593" s="334"/>
      <c r="X593" s="334"/>
      <c r="Y593" s="246"/>
      <c r="Z593" s="246"/>
      <c r="AA593" s="246"/>
      <c r="AB593" s="246"/>
      <c r="AC593" s="246"/>
      <c r="AD593" s="246"/>
      <c r="AE593" s="246"/>
      <c r="AF593" s="246"/>
      <c r="AG593" s="246"/>
      <c r="AH593" s="246"/>
      <c r="AI593" s="246"/>
      <c r="AJ593" s="246"/>
      <c r="AK593" s="246"/>
      <c r="AL593" s="246"/>
      <c r="AM593" s="246"/>
      <c r="AN593" s="246"/>
      <c r="AO593" s="246"/>
      <c r="AP593" s="246"/>
      <c r="AQ593" s="246"/>
      <c r="AR593" s="246"/>
      <c r="AS593" s="246"/>
      <c r="AT593" s="246"/>
      <c r="AU593" s="246"/>
      <c r="AV593" s="246"/>
      <c r="AW593" s="246"/>
      <c r="AX593" s="246"/>
      <c r="AY593" s="246"/>
      <c r="AZ593" s="246"/>
      <c r="BA593" s="246"/>
      <c r="BB593" s="246"/>
      <c r="BC593" s="246"/>
      <c r="BD593" s="246"/>
      <c r="BE593" s="246"/>
      <c r="BF593" s="246"/>
      <c r="BG593" s="246"/>
      <c r="BH593" s="246"/>
      <c r="BI593" s="246"/>
      <c r="BJ593" s="246"/>
    </row>
    <row r="594" spans="2:62" ht="15.75">
      <c r="B594" s="7"/>
      <c r="C594" s="334"/>
      <c r="D594" s="334"/>
      <c r="E594" s="334"/>
      <c r="F594" s="334"/>
      <c r="G594" s="334"/>
      <c r="H594" s="334"/>
      <c r="I594" s="334"/>
      <c r="J594" s="334"/>
      <c r="K594" s="334"/>
      <c r="L594" s="334"/>
      <c r="M594" s="334"/>
      <c r="N594" s="334"/>
      <c r="O594" s="334"/>
      <c r="P594" s="334"/>
      <c r="Q594" s="334"/>
      <c r="R594" s="334"/>
      <c r="S594" s="334"/>
      <c r="T594" s="334"/>
      <c r="U594" s="334"/>
      <c r="V594" s="334"/>
      <c r="W594" s="334"/>
      <c r="X594" s="334"/>
      <c r="Y594" s="246"/>
      <c r="Z594" s="246"/>
      <c r="AA594" s="246"/>
      <c r="AB594" s="246"/>
      <c r="AC594" s="246"/>
      <c r="AD594" s="246"/>
      <c r="AE594" s="246"/>
      <c r="AF594" s="246"/>
      <c r="AG594" s="246"/>
      <c r="AH594" s="246"/>
      <c r="AI594" s="246"/>
      <c r="AJ594" s="246"/>
      <c r="AK594" s="246"/>
      <c r="AL594" s="246"/>
      <c r="AM594" s="246"/>
      <c r="AN594" s="246"/>
      <c r="AO594" s="246"/>
      <c r="AP594" s="246"/>
      <c r="AQ594" s="246"/>
      <c r="AR594" s="246"/>
      <c r="AS594" s="246"/>
      <c r="AT594" s="246"/>
      <c r="AU594" s="246"/>
      <c r="AV594" s="246"/>
      <c r="AW594" s="246"/>
      <c r="AX594" s="246"/>
      <c r="AY594" s="246"/>
      <c r="AZ594" s="246"/>
      <c r="BA594" s="246"/>
      <c r="BB594" s="246"/>
      <c r="BC594" s="246"/>
      <c r="BD594" s="246"/>
      <c r="BE594" s="246"/>
      <c r="BF594" s="246"/>
      <c r="BG594" s="246"/>
      <c r="BH594" s="246"/>
      <c r="BI594" s="246"/>
      <c r="BJ594" s="246"/>
    </row>
    <row r="595" spans="2:62" ht="15.75">
      <c r="B595" s="7"/>
      <c r="C595" s="334"/>
      <c r="D595" s="334"/>
      <c r="E595" s="334"/>
      <c r="F595" s="334"/>
      <c r="G595" s="334"/>
      <c r="H595" s="334"/>
      <c r="I595" s="334"/>
      <c r="J595" s="334"/>
      <c r="K595" s="334"/>
      <c r="L595" s="334"/>
      <c r="M595" s="334"/>
      <c r="N595" s="334"/>
      <c r="O595" s="334"/>
      <c r="P595" s="334"/>
      <c r="Q595" s="334"/>
      <c r="R595" s="334"/>
      <c r="S595" s="334"/>
      <c r="T595" s="334"/>
      <c r="U595" s="334"/>
      <c r="V595" s="334"/>
      <c r="W595" s="334"/>
      <c r="X595" s="334"/>
      <c r="Y595" s="246"/>
      <c r="Z595" s="246"/>
      <c r="AA595" s="246"/>
      <c r="AB595" s="246"/>
      <c r="AC595" s="246"/>
      <c r="AD595" s="246"/>
      <c r="AE595" s="246"/>
      <c r="AF595" s="246"/>
      <c r="AG595" s="246"/>
      <c r="AH595" s="246"/>
      <c r="AI595" s="246"/>
      <c r="AJ595" s="246"/>
      <c r="AK595" s="246"/>
      <c r="AL595" s="246"/>
      <c r="AM595" s="246"/>
      <c r="AN595" s="246"/>
      <c r="AO595" s="246"/>
      <c r="AP595" s="246"/>
      <c r="AQ595" s="246"/>
      <c r="AR595" s="246"/>
      <c r="AS595" s="246"/>
      <c r="AT595" s="246"/>
      <c r="AU595" s="246"/>
      <c r="AV595" s="246"/>
      <c r="AW595" s="246"/>
      <c r="AX595" s="246"/>
      <c r="AY595" s="246"/>
      <c r="AZ595" s="246"/>
      <c r="BA595" s="246"/>
      <c r="BB595" s="246"/>
      <c r="BC595" s="246"/>
      <c r="BD595" s="246"/>
      <c r="BE595" s="246"/>
      <c r="BF595" s="246"/>
      <c r="BG595" s="246"/>
      <c r="BH595" s="246"/>
      <c r="BI595" s="246"/>
      <c r="BJ595" s="246"/>
    </row>
    <row r="596" spans="2:62" ht="15.75">
      <c r="B596" s="7"/>
      <c r="C596" s="334"/>
      <c r="D596" s="334"/>
      <c r="E596" s="334"/>
      <c r="F596" s="334"/>
      <c r="G596" s="334"/>
      <c r="H596" s="334"/>
      <c r="I596" s="334"/>
      <c r="J596" s="334"/>
      <c r="K596" s="334"/>
      <c r="L596" s="334"/>
      <c r="M596" s="334"/>
      <c r="N596" s="334"/>
      <c r="O596" s="334"/>
      <c r="P596" s="334"/>
      <c r="Q596" s="334"/>
      <c r="R596" s="334"/>
      <c r="S596" s="334"/>
      <c r="T596" s="334"/>
      <c r="U596" s="334"/>
      <c r="V596" s="334"/>
      <c r="W596" s="334"/>
      <c r="X596" s="334"/>
      <c r="Y596" s="246"/>
      <c r="Z596" s="246"/>
      <c r="AA596" s="246"/>
      <c r="AB596" s="246"/>
      <c r="AC596" s="246"/>
      <c r="AD596" s="246"/>
      <c r="AE596" s="246"/>
      <c r="AF596" s="246"/>
      <c r="AG596" s="246"/>
      <c r="AH596" s="246"/>
      <c r="AI596" s="246"/>
      <c r="AJ596" s="246"/>
      <c r="AK596" s="246"/>
      <c r="AL596" s="246"/>
      <c r="AM596" s="246"/>
      <c r="AN596" s="246"/>
      <c r="AO596" s="246"/>
      <c r="AP596" s="246"/>
      <c r="AQ596" s="246"/>
      <c r="AR596" s="246"/>
      <c r="AS596" s="246"/>
      <c r="AT596" s="246"/>
      <c r="AU596" s="246"/>
      <c r="AV596" s="246"/>
      <c r="AW596" s="246"/>
      <c r="AX596" s="246"/>
      <c r="AY596" s="246"/>
      <c r="AZ596" s="246"/>
      <c r="BA596" s="246"/>
      <c r="BB596" s="246"/>
      <c r="BC596" s="246"/>
      <c r="BD596" s="246"/>
      <c r="BE596" s="246"/>
      <c r="BF596" s="246"/>
      <c r="BG596" s="246"/>
      <c r="BH596" s="246"/>
      <c r="BI596" s="246"/>
      <c r="BJ596" s="246"/>
    </row>
    <row r="597" spans="2:62" ht="15.75">
      <c r="B597" s="7"/>
      <c r="C597" s="334"/>
      <c r="D597" s="334"/>
      <c r="E597" s="334"/>
      <c r="F597" s="334"/>
      <c r="G597" s="334"/>
      <c r="H597" s="334"/>
      <c r="I597" s="334"/>
      <c r="J597" s="334"/>
      <c r="K597" s="334"/>
      <c r="L597" s="334"/>
      <c r="M597" s="334"/>
      <c r="N597" s="334"/>
      <c r="O597" s="334"/>
      <c r="P597" s="334"/>
      <c r="Q597" s="334"/>
      <c r="R597" s="334"/>
      <c r="S597" s="334"/>
      <c r="T597" s="334"/>
      <c r="U597" s="334"/>
      <c r="V597" s="334"/>
      <c r="W597" s="334"/>
      <c r="X597" s="334"/>
      <c r="Y597" s="246"/>
      <c r="Z597" s="246"/>
      <c r="AA597" s="246"/>
      <c r="AB597" s="246"/>
      <c r="AC597" s="246"/>
      <c r="AD597" s="246"/>
      <c r="AE597" s="246"/>
      <c r="AF597" s="246"/>
      <c r="AG597" s="246"/>
      <c r="AH597" s="246"/>
      <c r="AI597" s="246"/>
      <c r="AJ597" s="246"/>
      <c r="AK597" s="246"/>
      <c r="AL597" s="246"/>
      <c r="AM597" s="246"/>
      <c r="AN597" s="246"/>
      <c r="AO597" s="246"/>
      <c r="AP597" s="246"/>
      <c r="AQ597" s="246"/>
      <c r="AR597" s="246"/>
      <c r="AS597" s="246"/>
      <c r="AT597" s="246"/>
      <c r="AU597" s="246"/>
      <c r="AV597" s="246"/>
      <c r="AW597" s="246"/>
      <c r="AX597" s="246"/>
      <c r="AY597" s="246"/>
      <c r="AZ597" s="246"/>
      <c r="BA597" s="246"/>
      <c r="BB597" s="246"/>
      <c r="BC597" s="246"/>
      <c r="BD597" s="246"/>
      <c r="BE597" s="246"/>
      <c r="BF597" s="246"/>
      <c r="BG597" s="246"/>
      <c r="BH597" s="246"/>
      <c r="BI597" s="246"/>
      <c r="BJ597" s="246"/>
    </row>
    <row r="598" spans="2:62" ht="15.75">
      <c r="B598" s="7"/>
      <c r="C598" s="334"/>
      <c r="D598" s="334"/>
      <c r="E598" s="334"/>
      <c r="F598" s="334"/>
      <c r="G598" s="334"/>
      <c r="H598" s="334"/>
      <c r="I598" s="334"/>
      <c r="J598" s="334"/>
      <c r="K598" s="334"/>
      <c r="L598" s="334"/>
      <c r="M598" s="334"/>
      <c r="N598" s="334"/>
      <c r="O598" s="334"/>
      <c r="P598" s="334"/>
      <c r="Q598" s="334"/>
      <c r="R598" s="334"/>
      <c r="S598" s="334"/>
      <c r="T598" s="334"/>
      <c r="U598" s="334"/>
      <c r="V598" s="334"/>
      <c r="W598" s="334"/>
      <c r="X598" s="334"/>
      <c r="Y598" s="246"/>
      <c r="Z598" s="246"/>
      <c r="AA598" s="246"/>
      <c r="AB598" s="246"/>
      <c r="AC598" s="246"/>
      <c r="AD598" s="246"/>
      <c r="AE598" s="246"/>
      <c r="AF598" s="246"/>
      <c r="AG598" s="246"/>
      <c r="AH598" s="246"/>
      <c r="AI598" s="246"/>
      <c r="AJ598" s="246"/>
      <c r="AK598" s="246"/>
      <c r="AL598" s="246"/>
      <c r="AM598" s="246"/>
      <c r="AN598" s="246"/>
      <c r="AO598" s="246"/>
      <c r="AP598" s="246"/>
      <c r="AQ598" s="246"/>
      <c r="AR598" s="246"/>
      <c r="AS598" s="246"/>
      <c r="AT598" s="246"/>
      <c r="AU598" s="246"/>
      <c r="AV598" s="246"/>
      <c r="AW598" s="246"/>
      <c r="AX598" s="246"/>
      <c r="AY598" s="246"/>
      <c r="AZ598" s="246"/>
      <c r="BA598" s="246"/>
      <c r="BB598" s="246"/>
      <c r="BC598" s="246"/>
      <c r="BD598" s="246"/>
      <c r="BE598" s="246"/>
      <c r="BF598" s="246"/>
      <c r="BG598" s="246"/>
      <c r="BH598" s="246"/>
      <c r="BI598" s="246"/>
      <c r="BJ598" s="246"/>
    </row>
    <row r="599" spans="2:62" ht="15.75">
      <c r="B599" s="7"/>
      <c r="C599" s="334"/>
      <c r="D599" s="334"/>
      <c r="E599" s="334"/>
      <c r="F599" s="334"/>
      <c r="G599" s="334"/>
      <c r="H599" s="334"/>
      <c r="I599" s="334"/>
      <c r="J599" s="334"/>
      <c r="K599" s="334"/>
      <c r="L599" s="334"/>
      <c r="M599" s="334"/>
      <c r="N599" s="334"/>
      <c r="O599" s="334"/>
      <c r="P599" s="334"/>
      <c r="Q599" s="334"/>
      <c r="R599" s="334"/>
      <c r="S599" s="334"/>
      <c r="T599" s="334"/>
      <c r="U599" s="334"/>
      <c r="V599" s="334"/>
      <c r="W599" s="334"/>
      <c r="X599" s="334"/>
      <c r="Y599" s="246"/>
      <c r="Z599" s="246"/>
      <c r="AA599" s="246"/>
      <c r="AB599" s="246"/>
      <c r="AC599" s="246"/>
      <c r="AD599" s="246"/>
      <c r="AE599" s="246"/>
      <c r="AF599" s="246"/>
      <c r="AG599" s="246"/>
      <c r="AH599" s="246"/>
      <c r="AI599" s="246"/>
      <c r="AJ599" s="246"/>
      <c r="AK599" s="246"/>
      <c r="AL599" s="246"/>
      <c r="AM599" s="246"/>
      <c r="AN599" s="246"/>
      <c r="AO599" s="246"/>
      <c r="AP599" s="246"/>
      <c r="AQ599" s="246"/>
      <c r="AR599" s="246"/>
      <c r="AS599" s="246"/>
      <c r="AT599" s="246"/>
      <c r="AU599" s="246"/>
      <c r="AV599" s="246"/>
      <c r="AW599" s="246"/>
      <c r="AX599" s="246"/>
      <c r="AY599" s="246"/>
      <c r="AZ599" s="246"/>
      <c r="BA599" s="246"/>
      <c r="BB599" s="246"/>
      <c r="BC599" s="246"/>
      <c r="BD599" s="246"/>
      <c r="BE599" s="246"/>
      <c r="BF599" s="246"/>
      <c r="BG599" s="246"/>
      <c r="BH599" s="246"/>
      <c r="BI599" s="246"/>
      <c r="BJ599" s="246"/>
    </row>
    <row r="600" spans="2:62" ht="15.75">
      <c r="B600" s="7"/>
      <c r="C600" s="334"/>
      <c r="D600" s="334"/>
      <c r="E600" s="334"/>
      <c r="F600" s="334"/>
      <c r="G600" s="334"/>
      <c r="H600" s="334"/>
      <c r="I600" s="334"/>
      <c r="J600" s="334"/>
      <c r="K600" s="334"/>
      <c r="L600" s="334"/>
      <c r="M600" s="334"/>
      <c r="N600" s="334"/>
      <c r="O600" s="334"/>
      <c r="P600" s="334"/>
      <c r="Q600" s="334"/>
      <c r="R600" s="334"/>
      <c r="S600" s="334"/>
      <c r="T600" s="334"/>
      <c r="U600" s="334"/>
      <c r="V600" s="334"/>
      <c r="W600" s="334"/>
      <c r="X600" s="334"/>
      <c r="Y600" s="246"/>
      <c r="Z600" s="246"/>
      <c r="AA600" s="246"/>
      <c r="AB600" s="246"/>
      <c r="AC600" s="246"/>
      <c r="AD600" s="246"/>
      <c r="AE600" s="246"/>
      <c r="AF600" s="246"/>
      <c r="AG600" s="246"/>
      <c r="AH600" s="246"/>
      <c r="AI600" s="246"/>
      <c r="AJ600" s="246"/>
      <c r="AK600" s="246"/>
      <c r="AL600" s="246"/>
      <c r="AM600" s="246"/>
      <c r="AN600" s="246"/>
      <c r="AO600" s="246"/>
      <c r="AP600" s="246"/>
      <c r="AQ600" s="246"/>
      <c r="AR600" s="246"/>
      <c r="AS600" s="246"/>
      <c r="AT600" s="246"/>
      <c r="AU600" s="246"/>
      <c r="AV600" s="246"/>
      <c r="AW600" s="246"/>
      <c r="AX600" s="246"/>
      <c r="AY600" s="246"/>
      <c r="AZ600" s="246"/>
      <c r="BA600" s="246"/>
      <c r="BB600" s="246"/>
      <c r="BC600" s="246"/>
      <c r="BD600" s="246"/>
      <c r="BE600" s="246"/>
      <c r="BF600" s="246"/>
      <c r="BG600" s="246"/>
      <c r="BH600" s="246"/>
      <c r="BI600" s="246"/>
      <c r="BJ600" s="246"/>
    </row>
    <row r="601" spans="2:62" ht="15.75">
      <c r="B601" s="7"/>
      <c r="C601" s="334"/>
      <c r="D601" s="334"/>
      <c r="E601" s="334"/>
      <c r="F601" s="334"/>
      <c r="G601" s="334"/>
      <c r="H601" s="334"/>
      <c r="I601" s="334"/>
      <c r="J601" s="334"/>
      <c r="K601" s="334"/>
      <c r="L601" s="334"/>
      <c r="M601" s="334"/>
      <c r="N601" s="334"/>
      <c r="O601" s="334"/>
      <c r="P601" s="334"/>
      <c r="Q601" s="334"/>
      <c r="R601" s="334"/>
      <c r="S601" s="334"/>
      <c r="T601" s="334"/>
      <c r="U601" s="334"/>
      <c r="V601" s="334"/>
      <c r="W601" s="334"/>
      <c r="X601" s="334"/>
      <c r="Y601" s="246"/>
      <c r="Z601" s="246"/>
      <c r="AA601" s="246"/>
      <c r="AB601" s="246"/>
      <c r="AC601" s="246"/>
      <c r="AD601" s="246"/>
      <c r="AE601" s="246"/>
      <c r="AF601" s="246"/>
      <c r="AG601" s="246"/>
      <c r="AH601" s="246"/>
      <c r="AI601" s="246"/>
      <c r="AJ601" s="246"/>
      <c r="AK601" s="246"/>
      <c r="AL601" s="246"/>
      <c r="AM601" s="246"/>
      <c r="AN601" s="246"/>
      <c r="AO601" s="246"/>
      <c r="AP601" s="246"/>
      <c r="AQ601" s="246"/>
      <c r="AR601" s="246"/>
      <c r="AS601" s="246"/>
      <c r="AT601" s="246"/>
      <c r="AU601" s="246"/>
      <c r="AV601" s="246"/>
      <c r="AW601" s="246"/>
      <c r="AX601" s="246"/>
      <c r="AY601" s="246"/>
      <c r="AZ601" s="246"/>
      <c r="BA601" s="246"/>
      <c r="BB601" s="246"/>
      <c r="BC601" s="246"/>
      <c r="BD601" s="246"/>
      <c r="BE601" s="246"/>
      <c r="BF601" s="246"/>
      <c r="BG601" s="246"/>
      <c r="BH601" s="246"/>
      <c r="BI601" s="246"/>
      <c r="BJ601" s="246"/>
    </row>
    <row r="602" spans="2:62" ht="15.75">
      <c r="B602" s="7"/>
      <c r="C602" s="334"/>
      <c r="D602" s="334"/>
      <c r="E602" s="334"/>
      <c r="F602" s="334"/>
      <c r="G602" s="334"/>
      <c r="H602" s="334"/>
      <c r="I602" s="334"/>
      <c r="J602" s="334"/>
      <c r="K602" s="334"/>
      <c r="L602" s="334"/>
      <c r="M602" s="334"/>
      <c r="N602" s="334"/>
      <c r="O602" s="334"/>
      <c r="P602" s="334"/>
      <c r="Q602" s="334"/>
      <c r="R602" s="334"/>
      <c r="S602" s="334"/>
      <c r="T602" s="334"/>
      <c r="U602" s="334"/>
      <c r="V602" s="334"/>
      <c r="W602" s="334"/>
      <c r="X602" s="334"/>
      <c r="Y602" s="246"/>
      <c r="Z602" s="246"/>
      <c r="AA602" s="246"/>
      <c r="AB602" s="246"/>
      <c r="AC602" s="246"/>
      <c r="AD602" s="246"/>
      <c r="AE602" s="246"/>
      <c r="AF602" s="246"/>
      <c r="AG602" s="246"/>
      <c r="AH602" s="246"/>
      <c r="AI602" s="246"/>
      <c r="AJ602" s="246"/>
      <c r="AK602" s="246"/>
      <c r="AL602" s="246"/>
      <c r="AM602" s="246"/>
      <c r="AN602" s="246"/>
      <c r="AO602" s="246"/>
      <c r="AP602" s="246"/>
      <c r="AQ602" s="246"/>
      <c r="AR602" s="246"/>
      <c r="AS602" s="246"/>
      <c r="AT602" s="246"/>
      <c r="AU602" s="246"/>
      <c r="AV602" s="246"/>
      <c r="AW602" s="246"/>
      <c r="AX602" s="246"/>
      <c r="AY602" s="246"/>
      <c r="AZ602" s="246"/>
      <c r="BA602" s="246"/>
      <c r="BB602" s="246"/>
      <c r="BC602" s="246"/>
      <c r="BD602" s="246"/>
      <c r="BE602" s="246"/>
      <c r="BF602" s="246"/>
      <c r="BG602" s="246"/>
      <c r="BH602" s="246"/>
      <c r="BI602" s="246"/>
      <c r="BJ602" s="246"/>
    </row>
    <row r="603" spans="2:62" ht="15.75">
      <c r="B603" s="7"/>
      <c r="C603" s="334"/>
      <c r="D603" s="334"/>
      <c r="E603" s="334"/>
      <c r="F603" s="334"/>
      <c r="G603" s="334"/>
      <c r="H603" s="334"/>
      <c r="I603" s="334"/>
      <c r="J603" s="334"/>
      <c r="K603" s="334"/>
      <c r="L603" s="334"/>
      <c r="M603" s="334"/>
      <c r="N603" s="334"/>
      <c r="O603" s="334"/>
      <c r="P603" s="334"/>
      <c r="Q603" s="334"/>
      <c r="R603" s="334"/>
      <c r="S603" s="334"/>
      <c r="T603" s="334"/>
      <c r="U603" s="334"/>
      <c r="V603" s="334"/>
      <c r="W603" s="334"/>
      <c r="X603" s="334"/>
      <c r="Y603" s="246"/>
      <c r="Z603" s="246"/>
      <c r="AA603" s="246"/>
      <c r="AB603" s="246"/>
      <c r="AC603" s="246"/>
      <c r="AD603" s="246"/>
      <c r="AE603" s="246"/>
      <c r="AF603" s="246"/>
      <c r="AG603" s="246"/>
      <c r="AH603" s="246"/>
      <c r="AI603" s="246"/>
      <c r="AJ603" s="246"/>
      <c r="AK603" s="246"/>
      <c r="AL603" s="246"/>
      <c r="AM603" s="246"/>
      <c r="AN603" s="246"/>
      <c r="AO603" s="246"/>
      <c r="AP603" s="246"/>
      <c r="AQ603" s="246"/>
      <c r="AR603" s="246"/>
      <c r="AS603" s="246"/>
      <c r="AT603" s="246"/>
      <c r="AU603" s="246"/>
      <c r="AV603" s="246"/>
      <c r="AW603" s="246"/>
      <c r="AX603" s="246"/>
      <c r="AY603" s="246"/>
      <c r="AZ603" s="246"/>
      <c r="BA603" s="246"/>
      <c r="BB603" s="246"/>
      <c r="BC603" s="246"/>
      <c r="BD603" s="246"/>
      <c r="BE603" s="246"/>
      <c r="BF603" s="246"/>
      <c r="BG603" s="246"/>
      <c r="BH603" s="246"/>
      <c r="BI603" s="246"/>
      <c r="BJ603" s="246"/>
    </row>
    <row r="604" spans="2:62" ht="15.75">
      <c r="B604" s="7"/>
      <c r="C604" s="334"/>
      <c r="D604" s="334"/>
      <c r="E604" s="334"/>
      <c r="F604" s="334"/>
      <c r="G604" s="334"/>
      <c r="H604" s="334"/>
      <c r="I604" s="334"/>
      <c r="J604" s="334"/>
      <c r="K604" s="334"/>
      <c r="L604" s="334"/>
      <c r="M604" s="334"/>
      <c r="N604" s="334"/>
      <c r="O604" s="334"/>
      <c r="P604" s="334"/>
      <c r="Q604" s="334"/>
      <c r="R604" s="334"/>
      <c r="S604" s="334"/>
      <c r="T604" s="334"/>
      <c r="U604" s="334"/>
      <c r="V604" s="334"/>
      <c r="W604" s="334"/>
      <c r="X604" s="334"/>
      <c r="Y604" s="246"/>
      <c r="Z604" s="246"/>
      <c r="AA604" s="246"/>
      <c r="AB604" s="246"/>
      <c r="AC604" s="246"/>
      <c r="AD604" s="246"/>
      <c r="AE604" s="246"/>
      <c r="AF604" s="246"/>
      <c r="AG604" s="246"/>
      <c r="AH604" s="246"/>
      <c r="AI604" s="246"/>
      <c r="AJ604" s="246"/>
      <c r="AK604" s="246"/>
      <c r="AL604" s="246"/>
      <c r="AM604" s="246"/>
      <c r="AN604" s="246"/>
      <c r="AO604" s="246"/>
      <c r="AP604" s="246"/>
      <c r="AQ604" s="246"/>
      <c r="AR604" s="246"/>
      <c r="AS604" s="246"/>
      <c r="AT604" s="246"/>
      <c r="AU604" s="246"/>
      <c r="AV604" s="246"/>
      <c r="AW604" s="246"/>
      <c r="AX604" s="246"/>
      <c r="AY604" s="246"/>
      <c r="AZ604" s="246"/>
      <c r="BA604" s="246"/>
      <c r="BB604" s="246"/>
      <c r="BC604" s="246"/>
      <c r="BD604" s="246"/>
      <c r="BE604" s="246"/>
      <c r="BF604" s="246"/>
      <c r="BG604" s="246"/>
      <c r="BH604" s="246"/>
      <c r="BI604" s="246"/>
      <c r="BJ604" s="246"/>
    </row>
    <row r="605" spans="2:62" ht="15.75">
      <c r="B605" s="7"/>
      <c r="C605" s="334"/>
      <c r="D605" s="334"/>
      <c r="E605" s="334"/>
      <c r="F605" s="334"/>
      <c r="G605" s="334"/>
      <c r="H605" s="334"/>
      <c r="I605" s="334"/>
      <c r="J605" s="334"/>
      <c r="K605" s="334"/>
      <c r="L605" s="334"/>
      <c r="M605" s="334"/>
      <c r="N605" s="334"/>
      <c r="O605" s="334"/>
      <c r="P605" s="334"/>
      <c r="Q605" s="334"/>
      <c r="R605" s="334"/>
      <c r="S605" s="334"/>
      <c r="T605" s="334"/>
      <c r="U605" s="334"/>
      <c r="V605" s="334"/>
      <c r="W605" s="334"/>
      <c r="X605" s="334"/>
      <c r="Y605" s="246"/>
      <c r="Z605" s="246"/>
      <c r="AA605" s="246"/>
      <c r="AB605" s="246"/>
      <c r="AC605" s="246"/>
      <c r="AD605" s="246"/>
      <c r="AE605" s="246"/>
      <c r="AF605" s="246"/>
      <c r="AG605" s="246"/>
      <c r="AH605" s="246"/>
      <c r="AI605" s="246"/>
      <c r="AJ605" s="246"/>
      <c r="AK605" s="246"/>
      <c r="AL605" s="246"/>
      <c r="AM605" s="246"/>
      <c r="AN605" s="246"/>
      <c r="AO605" s="246"/>
      <c r="AP605" s="246"/>
      <c r="AQ605" s="246"/>
      <c r="AR605" s="246"/>
      <c r="AS605" s="246"/>
      <c r="AT605" s="246"/>
      <c r="AU605" s="246"/>
      <c r="AV605" s="246"/>
      <c r="AW605" s="246"/>
      <c r="AX605" s="246"/>
      <c r="AY605" s="246"/>
      <c r="AZ605" s="246"/>
      <c r="BA605" s="246"/>
      <c r="BB605" s="246"/>
      <c r="BC605" s="246"/>
      <c r="BD605" s="246"/>
      <c r="BE605" s="246"/>
      <c r="BF605" s="246"/>
      <c r="BG605" s="246"/>
      <c r="BH605" s="246"/>
      <c r="BI605" s="246"/>
      <c r="BJ605" s="246"/>
    </row>
    <row r="606" spans="2:62" ht="15.75">
      <c r="B606" s="7"/>
      <c r="C606" s="334"/>
      <c r="D606" s="334"/>
      <c r="E606" s="334"/>
      <c r="F606" s="334"/>
      <c r="G606" s="334"/>
      <c r="H606" s="334"/>
      <c r="I606" s="334"/>
      <c r="J606" s="334"/>
      <c r="K606" s="334"/>
      <c r="L606" s="334"/>
      <c r="M606" s="334"/>
      <c r="N606" s="334"/>
      <c r="O606" s="334"/>
      <c r="P606" s="334"/>
      <c r="Q606" s="334"/>
      <c r="R606" s="334"/>
      <c r="S606" s="334"/>
      <c r="T606" s="334"/>
      <c r="U606" s="334"/>
      <c r="V606" s="334"/>
      <c r="W606" s="334"/>
      <c r="X606" s="334"/>
      <c r="Y606" s="246"/>
      <c r="Z606" s="246"/>
      <c r="AA606" s="246"/>
      <c r="AB606" s="246"/>
      <c r="AC606" s="246"/>
      <c r="AD606" s="246"/>
      <c r="AE606" s="246"/>
      <c r="AF606" s="246"/>
      <c r="AG606" s="246"/>
      <c r="AH606" s="246"/>
      <c r="AI606" s="246"/>
      <c r="AJ606" s="246"/>
      <c r="AK606" s="246"/>
      <c r="AL606" s="246"/>
      <c r="AM606" s="246"/>
      <c r="AN606" s="246"/>
      <c r="AO606" s="246"/>
      <c r="AP606" s="246"/>
      <c r="AQ606" s="246"/>
      <c r="AR606" s="246"/>
      <c r="AS606" s="246"/>
      <c r="AT606" s="246"/>
      <c r="AU606" s="246"/>
      <c r="AV606" s="246"/>
      <c r="AW606" s="246"/>
      <c r="AX606" s="246"/>
      <c r="AY606" s="246"/>
      <c r="AZ606" s="246"/>
      <c r="BA606" s="246"/>
      <c r="BB606" s="246"/>
      <c r="BC606" s="246"/>
      <c r="BD606" s="246"/>
      <c r="BE606" s="246"/>
      <c r="BF606" s="246"/>
      <c r="BG606" s="246"/>
      <c r="BH606" s="246"/>
      <c r="BI606" s="246"/>
      <c r="BJ606" s="246"/>
    </row>
    <row r="607" spans="2:62" ht="15.75">
      <c r="B607" s="7"/>
      <c r="C607" s="334"/>
      <c r="D607" s="334"/>
      <c r="E607" s="334"/>
      <c r="F607" s="334"/>
      <c r="G607" s="334"/>
      <c r="H607" s="334"/>
      <c r="I607" s="334"/>
      <c r="J607" s="334"/>
      <c r="K607" s="334"/>
      <c r="L607" s="334"/>
      <c r="M607" s="334"/>
      <c r="N607" s="334"/>
      <c r="O607" s="334"/>
      <c r="P607" s="334"/>
      <c r="Q607" s="334"/>
      <c r="R607" s="334"/>
      <c r="S607" s="334"/>
      <c r="T607" s="334"/>
      <c r="U607" s="334"/>
      <c r="V607" s="334"/>
      <c r="W607" s="334"/>
      <c r="X607" s="334"/>
      <c r="Y607" s="246"/>
      <c r="Z607" s="246"/>
      <c r="AA607" s="246"/>
      <c r="AB607" s="246"/>
      <c r="AC607" s="246"/>
      <c r="AD607" s="246"/>
      <c r="AE607" s="246"/>
      <c r="AF607" s="246"/>
      <c r="AG607" s="246"/>
      <c r="AH607" s="246"/>
      <c r="AI607" s="246"/>
      <c r="AJ607" s="246"/>
      <c r="AK607" s="246"/>
      <c r="AL607" s="246"/>
      <c r="AM607" s="246"/>
      <c r="AN607" s="246"/>
      <c r="AO607" s="246"/>
      <c r="AP607" s="246"/>
      <c r="AQ607" s="246"/>
      <c r="AR607" s="246"/>
      <c r="AS607" s="246"/>
      <c r="AT607" s="246"/>
      <c r="AU607" s="246"/>
      <c r="AV607" s="246"/>
      <c r="AW607" s="246"/>
      <c r="AX607" s="246"/>
      <c r="AY607" s="246"/>
      <c r="AZ607" s="246"/>
      <c r="BA607" s="246"/>
      <c r="BB607" s="246"/>
      <c r="BC607" s="246"/>
      <c r="BD607" s="246"/>
      <c r="BE607" s="246"/>
      <c r="BF607" s="246"/>
      <c r="BG607" s="246"/>
      <c r="BH607" s="246"/>
      <c r="BI607" s="246"/>
      <c r="BJ607" s="246"/>
    </row>
    <row r="608" spans="2:62" ht="15.75">
      <c r="B608" s="7"/>
      <c r="C608" s="334"/>
      <c r="D608" s="334"/>
      <c r="E608" s="334"/>
      <c r="F608" s="334"/>
      <c r="G608" s="334"/>
      <c r="H608" s="334"/>
      <c r="I608" s="334"/>
      <c r="J608" s="334"/>
      <c r="K608" s="334"/>
      <c r="L608" s="334"/>
      <c r="M608" s="334"/>
      <c r="N608" s="334"/>
      <c r="O608" s="334"/>
      <c r="P608" s="334"/>
      <c r="Q608" s="334"/>
      <c r="R608" s="334"/>
      <c r="S608" s="334"/>
      <c r="T608" s="334"/>
      <c r="U608" s="334"/>
      <c r="V608" s="334"/>
      <c r="W608" s="334"/>
      <c r="X608" s="334"/>
      <c r="Y608" s="246"/>
      <c r="Z608" s="246"/>
      <c r="AA608" s="246"/>
      <c r="AB608" s="246"/>
      <c r="AC608" s="246"/>
      <c r="AD608" s="246"/>
      <c r="AE608" s="246"/>
      <c r="AF608" s="246"/>
      <c r="AG608" s="246"/>
      <c r="AH608" s="246"/>
      <c r="AI608" s="246"/>
      <c r="AJ608" s="246"/>
      <c r="AK608" s="246"/>
      <c r="AL608" s="246"/>
      <c r="AM608" s="246"/>
      <c r="AN608" s="246"/>
      <c r="AO608" s="246"/>
      <c r="AP608" s="246"/>
      <c r="AQ608" s="246"/>
      <c r="AR608" s="246"/>
      <c r="AS608" s="246"/>
      <c r="AT608" s="246"/>
      <c r="AU608" s="246"/>
      <c r="AV608" s="246"/>
      <c r="AW608" s="246"/>
      <c r="AX608" s="246"/>
      <c r="AY608" s="246"/>
      <c r="AZ608" s="246"/>
      <c r="BA608" s="246"/>
      <c r="BB608" s="246"/>
      <c r="BC608" s="246"/>
      <c r="BD608" s="246"/>
      <c r="BE608" s="246"/>
      <c r="BF608" s="246"/>
      <c r="BG608" s="246"/>
      <c r="BH608" s="246"/>
      <c r="BI608" s="246"/>
      <c r="BJ608" s="246"/>
    </row>
    <row r="609" spans="2:62" ht="15.75">
      <c r="B609" s="7"/>
      <c r="C609" s="334"/>
      <c r="D609" s="334"/>
      <c r="E609" s="334"/>
      <c r="F609" s="334"/>
      <c r="G609" s="334"/>
      <c r="H609" s="334"/>
      <c r="I609" s="334"/>
      <c r="J609" s="334"/>
      <c r="K609" s="334"/>
      <c r="L609" s="334"/>
      <c r="M609" s="334"/>
      <c r="N609" s="334"/>
      <c r="O609" s="334"/>
      <c r="P609" s="334"/>
      <c r="Q609" s="334"/>
      <c r="R609" s="334"/>
      <c r="S609" s="334"/>
      <c r="T609" s="334"/>
      <c r="U609" s="334"/>
      <c r="V609" s="334"/>
      <c r="W609" s="334"/>
      <c r="X609" s="334"/>
      <c r="Y609" s="246"/>
      <c r="Z609" s="246"/>
      <c r="AA609" s="246"/>
      <c r="AB609" s="246"/>
      <c r="AC609" s="246"/>
      <c r="AD609" s="246"/>
      <c r="AE609" s="246"/>
      <c r="AF609" s="246"/>
      <c r="AG609" s="246"/>
      <c r="AH609" s="246"/>
      <c r="AI609" s="246"/>
      <c r="AJ609" s="246"/>
      <c r="AK609" s="246"/>
      <c r="AL609" s="246"/>
      <c r="AM609" s="246"/>
      <c r="AN609" s="246"/>
      <c r="AO609" s="246"/>
      <c r="AP609" s="246"/>
      <c r="AQ609" s="246"/>
      <c r="AR609" s="246"/>
      <c r="AS609" s="246"/>
      <c r="AT609" s="246"/>
      <c r="AU609" s="246"/>
      <c r="AV609" s="246"/>
      <c r="AW609" s="246"/>
      <c r="AX609" s="246"/>
      <c r="AY609" s="246"/>
      <c r="AZ609" s="246"/>
      <c r="BA609" s="246"/>
      <c r="BB609" s="246"/>
      <c r="BC609" s="246"/>
      <c r="BD609" s="246"/>
      <c r="BE609" s="246"/>
      <c r="BF609" s="246"/>
      <c r="BG609" s="246"/>
      <c r="BH609" s="246"/>
      <c r="BI609" s="246"/>
      <c r="BJ609" s="246"/>
    </row>
    <row r="610" spans="2:62" ht="15.75">
      <c r="B610" s="7"/>
      <c r="C610" s="334"/>
      <c r="D610" s="334"/>
      <c r="E610" s="334"/>
      <c r="F610" s="334"/>
      <c r="G610" s="334"/>
      <c r="H610" s="334"/>
      <c r="I610" s="334"/>
      <c r="J610" s="334"/>
      <c r="K610" s="334"/>
      <c r="L610" s="334"/>
      <c r="M610" s="334"/>
      <c r="N610" s="334"/>
      <c r="O610" s="334"/>
      <c r="P610" s="334"/>
      <c r="Q610" s="334"/>
      <c r="R610" s="334"/>
      <c r="S610" s="334"/>
      <c r="T610" s="334"/>
      <c r="U610" s="334"/>
      <c r="V610" s="334"/>
      <c r="W610" s="334"/>
      <c r="X610" s="334"/>
      <c r="Y610" s="246"/>
      <c r="Z610" s="246"/>
      <c r="AA610" s="246"/>
      <c r="AB610" s="246"/>
      <c r="AC610" s="246"/>
      <c r="AD610" s="246"/>
      <c r="AE610" s="246"/>
      <c r="AF610" s="246"/>
      <c r="AG610" s="246"/>
      <c r="AH610" s="246"/>
      <c r="AI610" s="246"/>
      <c r="AJ610" s="246"/>
      <c r="AK610" s="246"/>
      <c r="AL610" s="246"/>
      <c r="AM610" s="246"/>
      <c r="AN610" s="246"/>
      <c r="AO610" s="246"/>
      <c r="AP610" s="246"/>
      <c r="AQ610" s="246"/>
      <c r="AR610" s="246"/>
      <c r="AS610" s="246"/>
      <c r="AT610" s="246"/>
      <c r="AU610" s="246"/>
      <c r="AV610" s="246"/>
      <c r="AW610" s="246"/>
      <c r="AX610" s="246"/>
      <c r="AY610" s="246"/>
      <c r="AZ610" s="246"/>
      <c r="BA610" s="246"/>
      <c r="BB610" s="246"/>
      <c r="BC610" s="246"/>
      <c r="BD610" s="246"/>
      <c r="BE610" s="246"/>
      <c r="BF610" s="246"/>
      <c r="BG610" s="246"/>
      <c r="BH610" s="246"/>
      <c r="BI610" s="246"/>
      <c r="BJ610" s="246"/>
    </row>
    <row r="611" spans="2:62" ht="15.75">
      <c r="B611" s="7"/>
      <c r="C611" s="334"/>
      <c r="D611" s="334"/>
      <c r="E611" s="334"/>
      <c r="F611" s="334"/>
      <c r="G611" s="334"/>
      <c r="H611" s="334"/>
      <c r="I611" s="334"/>
      <c r="J611" s="334"/>
      <c r="K611" s="334"/>
      <c r="L611" s="334"/>
      <c r="M611" s="334"/>
      <c r="N611" s="334"/>
      <c r="O611" s="334"/>
      <c r="P611" s="334"/>
      <c r="Q611" s="334"/>
      <c r="R611" s="334"/>
      <c r="S611" s="334"/>
      <c r="T611" s="334"/>
      <c r="U611" s="334"/>
      <c r="V611" s="334"/>
      <c r="W611" s="334"/>
      <c r="X611" s="334"/>
      <c r="Y611" s="246"/>
      <c r="Z611" s="246"/>
      <c r="AA611" s="246"/>
      <c r="AB611" s="246"/>
      <c r="AC611" s="246"/>
      <c r="AD611" s="246"/>
      <c r="AE611" s="246"/>
      <c r="AF611" s="246"/>
      <c r="AG611" s="246"/>
      <c r="AH611" s="246"/>
      <c r="AI611" s="246"/>
      <c r="AJ611" s="246"/>
      <c r="AK611" s="246"/>
      <c r="AL611" s="246"/>
      <c r="AM611" s="246"/>
      <c r="AN611" s="246"/>
      <c r="AO611" s="246"/>
      <c r="AP611" s="246"/>
      <c r="AQ611" s="246"/>
      <c r="AR611" s="246"/>
      <c r="AS611" s="246"/>
      <c r="AT611" s="246"/>
      <c r="AU611" s="246"/>
      <c r="AV611" s="246"/>
      <c r="AW611" s="246"/>
      <c r="AX611" s="246"/>
      <c r="AY611" s="246"/>
      <c r="AZ611" s="246"/>
      <c r="BA611" s="246"/>
      <c r="BB611" s="246"/>
      <c r="BC611" s="246"/>
      <c r="BD611" s="246"/>
      <c r="BE611" s="246"/>
      <c r="BF611" s="246"/>
      <c r="BG611" s="246"/>
      <c r="BH611" s="246"/>
      <c r="BI611" s="246"/>
      <c r="BJ611" s="246"/>
    </row>
    <row r="612" spans="2:62" ht="15.75">
      <c r="B612" s="7"/>
      <c r="C612" s="334"/>
      <c r="D612" s="334"/>
      <c r="E612" s="334"/>
      <c r="F612" s="334"/>
      <c r="G612" s="334"/>
      <c r="H612" s="334"/>
      <c r="I612" s="334"/>
      <c r="J612" s="334"/>
      <c r="K612" s="334"/>
      <c r="L612" s="334"/>
      <c r="M612" s="334"/>
      <c r="N612" s="334"/>
      <c r="O612" s="334"/>
      <c r="P612" s="334"/>
      <c r="Q612" s="334"/>
      <c r="R612" s="334"/>
      <c r="S612" s="334"/>
      <c r="T612" s="334"/>
      <c r="U612" s="334"/>
      <c r="V612" s="334"/>
      <c r="W612" s="334"/>
      <c r="X612" s="334"/>
      <c r="Y612" s="246"/>
      <c r="Z612" s="246"/>
      <c r="AA612" s="246"/>
      <c r="AB612" s="246"/>
      <c r="AC612" s="246"/>
      <c r="AD612" s="246"/>
      <c r="AE612" s="246"/>
      <c r="AF612" s="246"/>
      <c r="AG612" s="246"/>
      <c r="AH612" s="246"/>
      <c r="AI612" s="246"/>
      <c r="AJ612" s="246"/>
      <c r="AK612" s="246"/>
      <c r="AL612" s="246"/>
      <c r="AM612" s="246"/>
      <c r="AN612" s="246"/>
      <c r="AO612" s="246"/>
      <c r="AP612" s="246"/>
      <c r="AQ612" s="246"/>
      <c r="AR612" s="246"/>
      <c r="AS612" s="246"/>
      <c r="AT612" s="246"/>
      <c r="AU612" s="246"/>
      <c r="AV612" s="246"/>
      <c r="AW612" s="246"/>
      <c r="AX612" s="246"/>
      <c r="AY612" s="246"/>
      <c r="AZ612" s="246"/>
      <c r="BA612" s="246"/>
      <c r="BB612" s="246"/>
      <c r="BC612" s="246"/>
      <c r="BD612" s="246"/>
      <c r="BE612" s="246"/>
      <c r="BF612" s="246"/>
      <c r="BG612" s="246"/>
      <c r="BH612" s="246"/>
      <c r="BI612" s="246"/>
      <c r="BJ612" s="246"/>
    </row>
    <row r="613" spans="2:62" ht="15.75">
      <c r="B613" s="7"/>
      <c r="C613" s="334"/>
      <c r="D613" s="334"/>
      <c r="E613" s="334"/>
      <c r="F613" s="334"/>
      <c r="G613" s="334"/>
      <c r="H613" s="334"/>
      <c r="I613" s="334"/>
      <c r="J613" s="334"/>
      <c r="K613" s="334"/>
      <c r="L613" s="334"/>
      <c r="M613" s="334"/>
      <c r="N613" s="334"/>
      <c r="O613" s="334"/>
      <c r="P613" s="334"/>
      <c r="Q613" s="334"/>
      <c r="R613" s="334"/>
      <c r="S613" s="334"/>
      <c r="T613" s="334"/>
      <c r="U613" s="334"/>
      <c r="V613" s="334"/>
      <c r="W613" s="334"/>
      <c r="X613" s="334"/>
      <c r="Y613" s="246"/>
      <c r="Z613" s="246"/>
      <c r="AA613" s="246"/>
      <c r="AB613" s="246"/>
      <c r="AC613" s="246"/>
      <c r="AD613" s="246"/>
      <c r="AE613" s="246"/>
      <c r="AF613" s="246"/>
      <c r="AG613" s="246"/>
      <c r="AH613" s="246"/>
      <c r="AI613" s="246"/>
      <c r="AJ613" s="246"/>
      <c r="AK613" s="246"/>
      <c r="AL613" s="246"/>
      <c r="AM613" s="246"/>
      <c r="AN613" s="246"/>
      <c r="AO613" s="246"/>
      <c r="AP613" s="246"/>
      <c r="AQ613" s="246"/>
      <c r="AR613" s="246"/>
      <c r="AS613" s="246"/>
      <c r="AT613" s="246"/>
      <c r="AU613" s="246"/>
      <c r="AV613" s="246"/>
      <c r="AW613" s="246"/>
      <c r="AX613" s="246"/>
      <c r="AY613" s="246"/>
      <c r="AZ613" s="246"/>
      <c r="BA613" s="246"/>
      <c r="BB613" s="246"/>
      <c r="BC613" s="246"/>
      <c r="BD613" s="246"/>
      <c r="BE613" s="246"/>
      <c r="BF613" s="246"/>
      <c r="BG613" s="246"/>
      <c r="BH613" s="246"/>
      <c r="BI613" s="246"/>
      <c r="BJ613" s="246"/>
    </row>
    <row r="614" spans="2:62" ht="15.75">
      <c r="B614" s="7"/>
      <c r="C614" s="334"/>
      <c r="D614" s="334"/>
      <c r="E614" s="334"/>
      <c r="F614" s="334"/>
      <c r="G614" s="334"/>
      <c r="H614" s="334"/>
      <c r="I614" s="334"/>
      <c r="J614" s="334"/>
      <c r="K614" s="334"/>
      <c r="L614" s="334"/>
      <c r="M614" s="334"/>
      <c r="N614" s="334"/>
      <c r="O614" s="334"/>
      <c r="P614" s="334"/>
      <c r="Q614" s="334"/>
      <c r="R614" s="334"/>
      <c r="S614" s="334"/>
      <c r="T614" s="334"/>
      <c r="U614" s="334"/>
      <c r="V614" s="334"/>
      <c r="W614" s="334"/>
      <c r="X614" s="334"/>
      <c r="Y614" s="246"/>
      <c r="Z614" s="246"/>
      <c r="AA614" s="246"/>
      <c r="AB614" s="246"/>
      <c r="AC614" s="246"/>
      <c r="AD614" s="246"/>
      <c r="AE614" s="246"/>
      <c r="AF614" s="246"/>
      <c r="AG614" s="246"/>
      <c r="AH614" s="246"/>
      <c r="AI614" s="246"/>
      <c r="AJ614" s="246"/>
      <c r="AK614" s="246"/>
      <c r="AL614" s="246"/>
      <c r="AM614" s="246"/>
      <c r="AN614" s="246"/>
      <c r="AO614" s="246"/>
      <c r="AP614" s="246"/>
      <c r="AQ614" s="246"/>
      <c r="AR614" s="246"/>
      <c r="AS614" s="246"/>
      <c r="AT614" s="246"/>
      <c r="AU614" s="246"/>
      <c r="AV614" s="246"/>
      <c r="AW614" s="246"/>
      <c r="AX614" s="246"/>
      <c r="AY614" s="246"/>
      <c r="AZ614" s="246"/>
      <c r="BA614" s="246"/>
      <c r="BB614" s="246"/>
      <c r="BC614" s="246"/>
      <c r="BD614" s="246"/>
      <c r="BE614" s="246"/>
      <c r="BF614" s="246"/>
      <c r="BG614" s="246"/>
      <c r="BH614" s="246"/>
      <c r="BI614" s="246"/>
      <c r="BJ614" s="246"/>
    </row>
    <row r="615" spans="2:62" ht="15.75">
      <c r="B615" s="7"/>
      <c r="C615" s="334"/>
      <c r="D615" s="334"/>
      <c r="E615" s="334"/>
      <c r="F615" s="334"/>
      <c r="G615" s="334"/>
      <c r="H615" s="334"/>
      <c r="I615" s="334"/>
      <c r="J615" s="334"/>
      <c r="K615" s="334"/>
      <c r="L615" s="334"/>
      <c r="M615" s="334"/>
      <c r="N615" s="334"/>
      <c r="O615" s="334"/>
      <c r="P615" s="334"/>
      <c r="Q615" s="334"/>
      <c r="R615" s="334"/>
      <c r="S615" s="334"/>
      <c r="T615" s="334"/>
      <c r="U615" s="334"/>
      <c r="V615" s="334"/>
      <c r="W615" s="334"/>
      <c r="X615" s="334"/>
      <c r="Y615" s="246"/>
      <c r="Z615" s="246"/>
      <c r="AA615" s="246"/>
      <c r="AB615" s="246"/>
      <c r="AC615" s="246"/>
      <c r="AD615" s="246"/>
      <c r="AE615" s="246"/>
      <c r="AF615" s="246"/>
      <c r="AG615" s="246"/>
      <c r="AH615" s="246"/>
      <c r="AI615" s="246"/>
      <c r="AJ615" s="246"/>
      <c r="AK615" s="246"/>
      <c r="AL615" s="246"/>
      <c r="AM615" s="246"/>
      <c r="AN615" s="246"/>
      <c r="AO615" s="246"/>
      <c r="AP615" s="246"/>
      <c r="AQ615" s="246"/>
      <c r="AR615" s="246"/>
      <c r="AS615" s="246"/>
      <c r="AT615" s="246"/>
      <c r="AU615" s="246"/>
      <c r="AV615" s="246"/>
      <c r="AW615" s="246"/>
      <c r="AX615" s="246"/>
      <c r="AY615" s="246"/>
      <c r="AZ615" s="246"/>
      <c r="BA615" s="246"/>
      <c r="BB615" s="246"/>
      <c r="BC615" s="246"/>
      <c r="BD615" s="246"/>
      <c r="BE615" s="246"/>
      <c r="BF615" s="246"/>
      <c r="BG615" s="246"/>
      <c r="BH615" s="246"/>
      <c r="BI615" s="246"/>
      <c r="BJ615" s="246"/>
    </row>
    <row r="616" spans="2:62" ht="15.75">
      <c r="B616" s="7"/>
      <c r="C616" s="334"/>
      <c r="D616" s="334"/>
      <c r="E616" s="334"/>
      <c r="F616" s="334"/>
      <c r="G616" s="334"/>
      <c r="H616" s="334"/>
      <c r="I616" s="334"/>
      <c r="J616" s="334"/>
      <c r="K616" s="334"/>
      <c r="L616" s="334"/>
      <c r="M616" s="334"/>
      <c r="N616" s="334"/>
      <c r="O616" s="334"/>
      <c r="P616" s="334"/>
      <c r="Q616" s="334"/>
      <c r="R616" s="334"/>
      <c r="S616" s="334"/>
      <c r="T616" s="334"/>
      <c r="U616" s="334"/>
      <c r="V616" s="334"/>
      <c r="W616" s="334"/>
      <c r="X616" s="334"/>
      <c r="Y616" s="246"/>
      <c r="Z616" s="246"/>
      <c r="AA616" s="246"/>
      <c r="AB616" s="246"/>
      <c r="AC616" s="246"/>
      <c r="AD616" s="246"/>
      <c r="AE616" s="246"/>
      <c r="AF616" s="246"/>
      <c r="AG616" s="246"/>
      <c r="AH616" s="246"/>
      <c r="AI616" s="246"/>
      <c r="AJ616" s="246"/>
      <c r="AK616" s="246"/>
      <c r="AL616" s="246"/>
      <c r="AM616" s="246"/>
      <c r="AN616" s="246"/>
      <c r="AO616" s="246"/>
      <c r="AP616" s="246"/>
      <c r="AQ616" s="246"/>
      <c r="AR616" s="246"/>
      <c r="AS616" s="246"/>
      <c r="AT616" s="246"/>
      <c r="AU616" s="246"/>
      <c r="AV616" s="246"/>
      <c r="AW616" s="246"/>
      <c r="AX616" s="246"/>
      <c r="AY616" s="246"/>
      <c r="AZ616" s="246"/>
      <c r="BA616" s="246"/>
      <c r="BB616" s="246"/>
      <c r="BC616" s="246"/>
      <c r="BD616" s="246"/>
      <c r="BE616" s="246"/>
      <c r="BF616" s="246"/>
      <c r="BG616" s="246"/>
      <c r="BH616" s="246"/>
      <c r="BI616" s="246"/>
      <c r="BJ616" s="246"/>
    </row>
    <row r="617" spans="2:62" ht="15.75">
      <c r="B617" s="7"/>
      <c r="C617" s="334"/>
      <c r="D617" s="334"/>
      <c r="E617" s="334"/>
      <c r="F617" s="334"/>
      <c r="G617" s="334"/>
      <c r="H617" s="334"/>
      <c r="I617" s="334"/>
      <c r="J617" s="334"/>
      <c r="K617" s="334"/>
      <c r="L617" s="334"/>
      <c r="M617" s="334"/>
      <c r="N617" s="334"/>
      <c r="O617" s="334"/>
      <c r="P617" s="334"/>
      <c r="Q617" s="334"/>
      <c r="R617" s="334"/>
      <c r="S617" s="334"/>
      <c r="T617" s="334"/>
      <c r="U617" s="334"/>
      <c r="V617" s="334"/>
      <c r="W617" s="334"/>
      <c r="X617" s="334"/>
      <c r="Y617" s="246"/>
      <c r="Z617" s="246"/>
      <c r="AA617" s="246"/>
      <c r="AB617" s="246"/>
      <c r="AC617" s="246"/>
      <c r="AD617" s="246"/>
      <c r="AE617" s="246"/>
      <c r="AF617" s="246"/>
      <c r="AG617" s="246"/>
      <c r="AH617" s="246"/>
      <c r="AI617" s="246"/>
      <c r="AJ617" s="246"/>
      <c r="AK617" s="246"/>
      <c r="AL617" s="246"/>
      <c r="AM617" s="246"/>
      <c r="AN617" s="246"/>
      <c r="AO617" s="246"/>
      <c r="AP617" s="246"/>
      <c r="AQ617" s="246"/>
      <c r="AR617" s="246"/>
      <c r="AS617" s="246"/>
      <c r="AT617" s="246"/>
      <c r="AU617" s="246"/>
      <c r="AV617" s="246"/>
      <c r="AW617" s="246"/>
      <c r="AX617" s="246"/>
      <c r="AY617" s="246"/>
      <c r="AZ617" s="246"/>
      <c r="BA617" s="246"/>
      <c r="BB617" s="246"/>
      <c r="BC617" s="246"/>
      <c r="BD617" s="246"/>
      <c r="BE617" s="246"/>
      <c r="BF617" s="246"/>
      <c r="BG617" s="246"/>
      <c r="BH617" s="246"/>
      <c r="BI617" s="246"/>
      <c r="BJ617" s="246"/>
    </row>
    <row r="618" spans="2:62" ht="15.75">
      <c r="B618" s="7"/>
      <c r="C618" s="334"/>
      <c r="D618" s="334"/>
      <c r="E618" s="334"/>
      <c r="F618" s="334"/>
      <c r="G618" s="334"/>
      <c r="H618" s="334"/>
      <c r="I618" s="334"/>
      <c r="J618" s="334"/>
      <c r="K618" s="334"/>
      <c r="L618" s="334"/>
      <c r="M618" s="334"/>
      <c r="N618" s="334"/>
      <c r="O618" s="334"/>
      <c r="P618" s="334"/>
      <c r="Q618" s="334"/>
      <c r="R618" s="334"/>
      <c r="S618" s="334"/>
      <c r="T618" s="334"/>
      <c r="U618" s="334"/>
      <c r="V618" s="334"/>
      <c r="W618" s="334"/>
      <c r="X618" s="334"/>
      <c r="Y618" s="246"/>
      <c r="Z618" s="246"/>
      <c r="AA618" s="246"/>
      <c r="AB618" s="246"/>
      <c r="AC618" s="246"/>
      <c r="AD618" s="246"/>
      <c r="AE618" s="246"/>
      <c r="AF618" s="246"/>
      <c r="AG618" s="246"/>
      <c r="AH618" s="246"/>
      <c r="AI618" s="246"/>
      <c r="AJ618" s="246"/>
      <c r="AK618" s="246"/>
      <c r="AL618" s="246"/>
      <c r="AM618" s="246"/>
      <c r="AN618" s="246"/>
      <c r="AO618" s="246"/>
      <c r="AP618" s="246"/>
      <c r="AQ618" s="246"/>
      <c r="AR618" s="246"/>
      <c r="AS618" s="246"/>
      <c r="AT618" s="246"/>
      <c r="AU618" s="246"/>
      <c r="AV618" s="246"/>
      <c r="AW618" s="246"/>
      <c r="AX618" s="246"/>
      <c r="AY618" s="246"/>
      <c r="AZ618" s="246"/>
      <c r="BA618" s="246"/>
      <c r="BB618" s="246"/>
      <c r="BC618" s="246"/>
      <c r="BD618" s="246"/>
      <c r="BE618" s="246"/>
      <c r="BF618" s="246"/>
      <c r="BG618" s="246"/>
      <c r="BH618" s="246"/>
      <c r="BI618" s="246"/>
      <c r="BJ618" s="246"/>
    </row>
    <row r="619" spans="2:62" ht="15.75">
      <c r="B619" s="7"/>
      <c r="C619" s="334"/>
      <c r="D619" s="334"/>
      <c r="E619" s="334"/>
      <c r="F619" s="334"/>
      <c r="G619" s="334"/>
      <c r="H619" s="334"/>
      <c r="I619" s="334"/>
      <c r="J619" s="334"/>
      <c r="K619" s="334"/>
      <c r="L619" s="334"/>
      <c r="M619" s="334"/>
      <c r="N619" s="334"/>
      <c r="O619" s="334"/>
      <c r="P619" s="334"/>
      <c r="Q619" s="334"/>
      <c r="R619" s="334"/>
      <c r="S619" s="334"/>
      <c r="T619" s="334"/>
      <c r="U619" s="334"/>
      <c r="V619" s="334"/>
      <c r="W619" s="334"/>
      <c r="X619" s="334"/>
      <c r="Y619" s="246"/>
      <c r="Z619" s="246"/>
      <c r="AA619" s="246"/>
      <c r="AB619" s="246"/>
      <c r="AC619" s="246"/>
      <c r="AD619" s="246"/>
      <c r="AE619" s="246"/>
      <c r="AF619" s="246"/>
      <c r="AG619" s="246"/>
      <c r="AH619" s="246"/>
      <c r="AI619" s="246"/>
      <c r="AJ619" s="246"/>
      <c r="AK619" s="246"/>
      <c r="AL619" s="246"/>
      <c r="AM619" s="246"/>
      <c r="AN619" s="246"/>
      <c r="AO619" s="246"/>
      <c r="AP619" s="246"/>
      <c r="AQ619" s="246"/>
      <c r="AR619" s="246"/>
      <c r="AS619" s="246"/>
      <c r="AT619" s="246"/>
      <c r="AU619" s="246"/>
      <c r="AV619" s="246"/>
      <c r="AW619" s="246"/>
      <c r="AX619" s="246"/>
      <c r="AY619" s="246"/>
      <c r="AZ619" s="246"/>
      <c r="BA619" s="246"/>
      <c r="BB619" s="246"/>
      <c r="BC619" s="246"/>
      <c r="BD619" s="246"/>
      <c r="BE619" s="246"/>
      <c r="BF619" s="246"/>
      <c r="BG619" s="246"/>
      <c r="BH619" s="246"/>
      <c r="BI619" s="246"/>
      <c r="BJ619" s="246"/>
    </row>
    <row r="620" spans="2:62" ht="15.75">
      <c r="B620" s="7"/>
      <c r="C620" s="334"/>
      <c r="D620" s="334"/>
      <c r="E620" s="334"/>
      <c r="F620" s="334"/>
      <c r="G620" s="334"/>
      <c r="H620" s="334"/>
      <c r="I620" s="334"/>
      <c r="J620" s="334"/>
      <c r="K620" s="334"/>
      <c r="L620" s="334"/>
      <c r="M620" s="334"/>
      <c r="N620" s="334"/>
      <c r="O620" s="334"/>
      <c r="P620" s="334"/>
      <c r="Q620" s="334"/>
      <c r="R620" s="334"/>
      <c r="S620" s="334"/>
      <c r="T620" s="334"/>
      <c r="U620" s="334"/>
      <c r="V620" s="334"/>
      <c r="W620" s="334"/>
      <c r="X620" s="334"/>
      <c r="Y620" s="246"/>
      <c r="Z620" s="246"/>
      <c r="AA620" s="246"/>
      <c r="AB620" s="246"/>
      <c r="AC620" s="246"/>
      <c r="AD620" s="246"/>
      <c r="AE620" s="246"/>
      <c r="AF620" s="246"/>
      <c r="AG620" s="246"/>
      <c r="AH620" s="246"/>
      <c r="AI620" s="246"/>
      <c r="AJ620" s="246"/>
      <c r="AK620" s="246"/>
      <c r="AL620" s="246"/>
      <c r="AM620" s="246"/>
      <c r="AN620" s="246"/>
      <c r="AO620" s="246"/>
      <c r="AP620" s="246"/>
      <c r="AQ620" s="246"/>
      <c r="AR620" s="246"/>
      <c r="AS620" s="246"/>
      <c r="AT620" s="246"/>
      <c r="AU620" s="246"/>
      <c r="AV620" s="246"/>
      <c r="AW620" s="246"/>
      <c r="AX620" s="246"/>
      <c r="AY620" s="246"/>
      <c r="AZ620" s="246"/>
      <c r="BA620" s="246"/>
      <c r="BB620" s="246"/>
      <c r="BC620" s="246"/>
      <c r="BD620" s="246"/>
      <c r="BE620" s="246"/>
      <c r="BF620" s="246"/>
      <c r="BG620" s="246"/>
      <c r="BH620" s="246"/>
      <c r="BI620" s="246"/>
      <c r="BJ620" s="246"/>
    </row>
    <row r="621" spans="2:62" ht="15.75">
      <c r="B621" s="7"/>
      <c r="C621" s="334"/>
      <c r="D621" s="334"/>
      <c r="E621" s="334"/>
      <c r="F621" s="334"/>
      <c r="G621" s="334"/>
      <c r="H621" s="334"/>
      <c r="I621" s="334"/>
      <c r="J621" s="334"/>
      <c r="K621" s="334"/>
      <c r="L621" s="334"/>
      <c r="M621" s="334"/>
      <c r="N621" s="334"/>
      <c r="O621" s="334"/>
      <c r="P621" s="334"/>
      <c r="Q621" s="334"/>
      <c r="R621" s="334"/>
      <c r="S621" s="334"/>
      <c r="T621" s="334"/>
      <c r="U621" s="334"/>
      <c r="V621" s="334"/>
      <c r="W621" s="334"/>
      <c r="X621" s="334"/>
      <c r="Y621" s="246"/>
      <c r="Z621" s="246"/>
      <c r="AA621" s="246"/>
      <c r="AB621" s="246"/>
      <c r="AC621" s="246"/>
      <c r="AD621" s="246"/>
      <c r="AE621" s="246"/>
      <c r="AF621" s="246"/>
      <c r="AG621" s="246"/>
      <c r="AH621" s="246"/>
      <c r="AI621" s="246"/>
      <c r="AJ621" s="246"/>
      <c r="AK621" s="246"/>
      <c r="AL621" s="246"/>
      <c r="AM621" s="246"/>
      <c r="AN621" s="246"/>
      <c r="AO621" s="246"/>
      <c r="AP621" s="246"/>
      <c r="AQ621" s="246"/>
      <c r="AR621" s="246"/>
      <c r="AS621" s="246"/>
      <c r="AT621" s="246"/>
      <c r="AU621" s="246"/>
      <c r="AV621" s="246"/>
      <c r="AW621" s="246"/>
      <c r="AX621" s="246"/>
      <c r="AY621" s="246"/>
      <c r="AZ621" s="246"/>
      <c r="BA621" s="246"/>
      <c r="BB621" s="246"/>
      <c r="BC621" s="246"/>
      <c r="BD621" s="246"/>
      <c r="BE621" s="246"/>
      <c r="BF621" s="246"/>
      <c r="BG621" s="246"/>
      <c r="BH621" s="246"/>
      <c r="BI621" s="246"/>
      <c r="BJ621" s="246"/>
    </row>
    <row r="622" spans="2:62" ht="15.75">
      <c r="B622" s="7"/>
      <c r="C622" s="334"/>
      <c r="D622" s="334"/>
      <c r="E622" s="334"/>
      <c r="F622" s="334"/>
      <c r="G622" s="334"/>
      <c r="H622" s="334"/>
      <c r="I622" s="334"/>
      <c r="J622" s="334"/>
      <c r="K622" s="334"/>
      <c r="L622" s="334"/>
      <c r="M622" s="334"/>
      <c r="N622" s="334"/>
      <c r="O622" s="334"/>
      <c r="P622" s="334"/>
      <c r="Q622" s="334"/>
      <c r="R622" s="334"/>
      <c r="S622" s="334"/>
      <c r="T622" s="334"/>
      <c r="U622" s="334"/>
      <c r="V622" s="334"/>
      <c r="W622" s="334"/>
      <c r="X622" s="334"/>
      <c r="Y622" s="246"/>
      <c r="Z622" s="246"/>
      <c r="AA622" s="246"/>
      <c r="AB622" s="246"/>
      <c r="AC622" s="246"/>
      <c r="AD622" s="246"/>
      <c r="AE622" s="246"/>
      <c r="AF622" s="246"/>
      <c r="AG622" s="246"/>
      <c r="AH622" s="246"/>
      <c r="AI622" s="246"/>
      <c r="AJ622" s="246"/>
      <c r="AK622" s="246"/>
      <c r="AL622" s="246"/>
      <c r="AM622" s="246"/>
      <c r="AN622" s="246"/>
      <c r="AO622" s="246"/>
      <c r="AP622" s="246"/>
      <c r="AQ622" s="246"/>
      <c r="AR622" s="246"/>
      <c r="AS622" s="246"/>
      <c r="AT622" s="246"/>
      <c r="AU622" s="246"/>
      <c r="AV622" s="246"/>
      <c r="AW622" s="246"/>
      <c r="AX622" s="246"/>
      <c r="AY622" s="246"/>
      <c r="AZ622" s="246"/>
      <c r="BA622" s="246"/>
      <c r="BB622" s="246"/>
      <c r="BC622" s="246"/>
      <c r="BD622" s="246"/>
      <c r="BE622" s="246"/>
      <c r="BF622" s="246"/>
      <c r="BG622" s="246"/>
      <c r="BH622" s="246"/>
      <c r="BI622" s="246"/>
      <c r="BJ622" s="246"/>
    </row>
    <row r="623" spans="2:62" ht="15.75">
      <c r="B623" s="7"/>
      <c r="C623" s="334"/>
      <c r="D623" s="334"/>
      <c r="E623" s="334"/>
      <c r="F623" s="334"/>
      <c r="G623" s="334"/>
      <c r="H623" s="334"/>
      <c r="I623" s="334"/>
      <c r="J623" s="334"/>
      <c r="K623" s="334"/>
      <c r="L623" s="334"/>
      <c r="M623" s="334"/>
      <c r="N623" s="334"/>
      <c r="O623" s="334"/>
      <c r="P623" s="334"/>
      <c r="Q623" s="334"/>
      <c r="R623" s="334"/>
      <c r="S623" s="334"/>
      <c r="T623" s="334"/>
      <c r="U623" s="334"/>
      <c r="V623" s="334"/>
      <c r="W623" s="334"/>
      <c r="X623" s="334"/>
      <c r="Y623" s="246"/>
      <c r="Z623" s="246"/>
      <c r="AA623" s="246"/>
      <c r="AB623" s="246"/>
      <c r="AC623" s="246"/>
      <c r="AD623" s="246"/>
      <c r="AE623" s="246"/>
      <c r="AF623" s="246"/>
      <c r="AG623" s="246"/>
      <c r="AH623" s="246"/>
      <c r="AI623" s="246"/>
      <c r="AJ623" s="246"/>
      <c r="AK623" s="246"/>
      <c r="AL623" s="246"/>
      <c r="AM623" s="246"/>
      <c r="AN623" s="246"/>
      <c r="AO623" s="246"/>
      <c r="AP623" s="246"/>
      <c r="AQ623" s="246"/>
      <c r="AR623" s="246"/>
      <c r="AS623" s="246"/>
      <c r="AT623" s="246"/>
      <c r="AU623" s="246"/>
      <c r="AV623" s="246"/>
      <c r="AW623" s="246"/>
      <c r="AX623" s="246"/>
      <c r="AY623" s="246"/>
      <c r="AZ623" s="246"/>
      <c r="BA623" s="246"/>
      <c r="BB623" s="246"/>
      <c r="BC623" s="246"/>
      <c r="BD623" s="246"/>
      <c r="BE623" s="246"/>
      <c r="BF623" s="246"/>
      <c r="BG623" s="246"/>
      <c r="BH623" s="246"/>
      <c r="BI623" s="246"/>
      <c r="BJ623" s="246"/>
    </row>
    <row r="624" spans="2:62" ht="15.75">
      <c r="B624" s="7"/>
      <c r="C624" s="334"/>
      <c r="D624" s="334"/>
      <c r="E624" s="334"/>
      <c r="F624" s="334"/>
      <c r="G624" s="334"/>
      <c r="H624" s="334"/>
      <c r="I624" s="334"/>
      <c r="J624" s="334"/>
      <c r="K624" s="334"/>
      <c r="L624" s="334"/>
      <c r="M624" s="334"/>
      <c r="N624" s="334"/>
      <c r="O624" s="334"/>
      <c r="P624" s="334"/>
      <c r="Q624" s="334"/>
      <c r="R624" s="334"/>
      <c r="S624" s="334"/>
      <c r="T624" s="334"/>
      <c r="U624" s="334"/>
      <c r="V624" s="334"/>
      <c r="W624" s="334"/>
      <c r="X624" s="334"/>
      <c r="Y624" s="246"/>
      <c r="Z624" s="246"/>
      <c r="AA624" s="246"/>
      <c r="AB624" s="246"/>
      <c r="AC624" s="246"/>
      <c r="AD624" s="246"/>
      <c r="AE624" s="246"/>
      <c r="AF624" s="246"/>
      <c r="AG624" s="246"/>
      <c r="AH624" s="246"/>
      <c r="AI624" s="246"/>
      <c r="AJ624" s="246"/>
      <c r="AK624" s="246"/>
      <c r="AL624" s="246"/>
      <c r="AM624" s="246"/>
      <c r="AN624" s="246"/>
      <c r="AO624" s="246"/>
      <c r="AP624" s="246"/>
      <c r="AQ624" s="246"/>
      <c r="AR624" s="246"/>
      <c r="AS624" s="246"/>
      <c r="AT624" s="246"/>
      <c r="AU624" s="246"/>
      <c r="AV624" s="246"/>
      <c r="AW624" s="246"/>
      <c r="AX624" s="246"/>
      <c r="AY624" s="246"/>
      <c r="AZ624" s="246"/>
      <c r="BA624" s="246"/>
      <c r="BB624" s="246"/>
      <c r="BC624" s="246"/>
      <c r="BD624" s="246"/>
      <c r="BE624" s="246"/>
      <c r="BF624" s="246"/>
      <c r="BG624" s="246"/>
      <c r="BH624" s="246"/>
      <c r="BI624" s="246"/>
      <c r="BJ624" s="246"/>
    </row>
    <row r="625" spans="2:62" ht="15.75">
      <c r="B625" s="7"/>
      <c r="C625" s="334"/>
      <c r="D625" s="334"/>
      <c r="E625" s="334"/>
      <c r="F625" s="334"/>
      <c r="G625" s="334"/>
      <c r="H625" s="334"/>
      <c r="I625" s="334"/>
      <c r="J625" s="334"/>
      <c r="K625" s="334"/>
      <c r="L625" s="334"/>
      <c r="M625" s="334"/>
      <c r="N625" s="334"/>
      <c r="O625" s="334"/>
      <c r="P625" s="334"/>
      <c r="Q625" s="334"/>
      <c r="R625" s="334"/>
      <c r="S625" s="334"/>
      <c r="T625" s="334"/>
      <c r="U625" s="334"/>
      <c r="V625" s="334"/>
      <c r="W625" s="334"/>
      <c r="X625" s="334"/>
      <c r="Y625" s="246"/>
      <c r="Z625" s="246"/>
      <c r="AA625" s="246"/>
      <c r="AB625" s="246"/>
      <c r="AC625" s="246"/>
      <c r="AD625" s="246"/>
      <c r="AE625" s="246"/>
      <c r="AF625" s="246"/>
      <c r="AG625" s="246"/>
      <c r="AH625" s="246"/>
      <c r="AI625" s="246"/>
      <c r="AJ625" s="246"/>
      <c r="AK625" s="246"/>
      <c r="AL625" s="246"/>
      <c r="AM625" s="246"/>
      <c r="AN625" s="246"/>
      <c r="AO625" s="246"/>
      <c r="AP625" s="246"/>
      <c r="AQ625" s="246"/>
      <c r="AR625" s="246"/>
      <c r="AS625" s="246"/>
      <c r="AT625" s="246"/>
      <c r="AU625" s="246"/>
      <c r="AV625" s="246"/>
      <c r="AW625" s="246"/>
      <c r="AX625" s="246"/>
      <c r="AY625" s="246"/>
      <c r="AZ625" s="246"/>
      <c r="BA625" s="246"/>
      <c r="BB625" s="246"/>
      <c r="BC625" s="246"/>
      <c r="BD625" s="246"/>
      <c r="BE625" s="246"/>
      <c r="BF625" s="246"/>
      <c r="BG625" s="246"/>
      <c r="BH625" s="246"/>
      <c r="BI625" s="246"/>
      <c r="BJ625" s="246"/>
    </row>
    <row r="626" spans="2:62" ht="15.75">
      <c r="B626" s="7"/>
      <c r="C626" s="334"/>
      <c r="D626" s="334"/>
      <c r="E626" s="334"/>
      <c r="F626" s="334"/>
      <c r="G626" s="334"/>
      <c r="H626" s="334"/>
      <c r="I626" s="334"/>
      <c r="J626" s="334"/>
      <c r="K626" s="334"/>
      <c r="L626" s="334"/>
      <c r="M626" s="334"/>
      <c r="N626" s="334"/>
      <c r="O626" s="334"/>
      <c r="P626" s="334"/>
      <c r="Q626" s="334"/>
      <c r="R626" s="334"/>
      <c r="S626" s="334"/>
      <c r="T626" s="334"/>
      <c r="U626" s="334"/>
      <c r="V626" s="334"/>
      <c r="W626" s="334"/>
      <c r="X626" s="334"/>
      <c r="Y626" s="246"/>
      <c r="Z626" s="246"/>
      <c r="AA626" s="246"/>
      <c r="AB626" s="246"/>
      <c r="AC626" s="246"/>
      <c r="AD626" s="246"/>
      <c r="AE626" s="246"/>
      <c r="AF626" s="246"/>
      <c r="AG626" s="246"/>
      <c r="AH626" s="246"/>
      <c r="AI626" s="246"/>
      <c r="AJ626" s="246"/>
      <c r="AK626" s="246"/>
      <c r="AL626" s="246"/>
      <c r="AM626" s="246"/>
      <c r="AN626" s="246"/>
      <c r="AO626" s="246"/>
      <c r="AP626" s="246"/>
      <c r="AQ626" s="246"/>
      <c r="AR626" s="246"/>
      <c r="AS626" s="246"/>
      <c r="AT626" s="246"/>
      <c r="AU626" s="246"/>
      <c r="AV626" s="246"/>
      <c r="AW626" s="246"/>
      <c r="AX626" s="246"/>
      <c r="AY626" s="246"/>
      <c r="AZ626" s="246"/>
      <c r="BA626" s="246"/>
      <c r="BB626" s="246"/>
      <c r="BC626" s="246"/>
      <c r="BD626" s="246"/>
      <c r="BE626" s="246"/>
      <c r="BF626" s="246"/>
      <c r="BG626" s="246"/>
      <c r="BH626" s="246"/>
      <c r="BI626" s="246"/>
      <c r="BJ626" s="246"/>
    </row>
    <row r="627" spans="2:62" ht="15.75">
      <c r="B627" s="7"/>
      <c r="C627" s="334"/>
      <c r="D627" s="334"/>
      <c r="E627" s="334"/>
      <c r="F627" s="334"/>
      <c r="G627" s="334"/>
      <c r="H627" s="334"/>
      <c r="I627" s="334"/>
      <c r="J627" s="334"/>
      <c r="K627" s="334"/>
      <c r="L627" s="334"/>
      <c r="M627" s="334"/>
      <c r="N627" s="334"/>
      <c r="O627" s="334"/>
      <c r="P627" s="334"/>
      <c r="Q627" s="334"/>
      <c r="R627" s="334"/>
      <c r="S627" s="334"/>
      <c r="T627" s="334"/>
      <c r="U627" s="334"/>
      <c r="V627" s="334"/>
      <c r="W627" s="334"/>
      <c r="X627" s="334"/>
      <c r="Y627" s="246"/>
      <c r="Z627" s="246"/>
      <c r="AA627" s="246"/>
      <c r="AB627" s="246"/>
      <c r="AC627" s="246"/>
      <c r="AD627" s="246"/>
      <c r="AE627" s="246"/>
      <c r="AF627" s="246"/>
      <c r="AG627" s="246"/>
      <c r="AH627" s="246"/>
      <c r="AI627" s="246"/>
      <c r="AJ627" s="246"/>
      <c r="AK627" s="246"/>
      <c r="AL627" s="246"/>
      <c r="AM627" s="246"/>
      <c r="AN627" s="246"/>
      <c r="AO627" s="246"/>
      <c r="AP627" s="246"/>
      <c r="AQ627" s="246"/>
      <c r="AR627" s="246"/>
      <c r="AS627" s="246"/>
      <c r="AT627" s="246"/>
      <c r="AU627" s="246"/>
      <c r="AV627" s="246"/>
      <c r="AW627" s="246"/>
      <c r="AX627" s="246"/>
      <c r="AY627" s="246"/>
      <c r="AZ627" s="246"/>
      <c r="BA627" s="246"/>
      <c r="BB627" s="246"/>
      <c r="BC627" s="246"/>
      <c r="BD627" s="246"/>
      <c r="BE627" s="246"/>
      <c r="BF627" s="246"/>
      <c r="BG627" s="246"/>
      <c r="BH627" s="246"/>
      <c r="BI627" s="246"/>
      <c r="BJ627" s="246"/>
    </row>
    <row r="628" spans="2:62" ht="15.75">
      <c r="B628" s="7"/>
      <c r="C628" s="334"/>
      <c r="D628" s="334"/>
      <c r="E628" s="334"/>
      <c r="F628" s="334"/>
      <c r="G628" s="334"/>
      <c r="H628" s="334"/>
      <c r="I628" s="334"/>
      <c r="J628" s="334"/>
      <c r="K628" s="334"/>
      <c r="L628" s="334"/>
      <c r="M628" s="334"/>
      <c r="N628" s="334"/>
      <c r="O628" s="334"/>
      <c r="P628" s="334"/>
      <c r="Q628" s="334"/>
      <c r="R628" s="334"/>
      <c r="S628" s="334"/>
      <c r="T628" s="334"/>
      <c r="U628" s="334"/>
      <c r="V628" s="334"/>
      <c r="W628" s="334"/>
      <c r="X628" s="334"/>
      <c r="Y628" s="246"/>
      <c r="Z628" s="246"/>
      <c r="AA628" s="246"/>
      <c r="AB628" s="246"/>
      <c r="AC628" s="246"/>
      <c r="AD628" s="246"/>
      <c r="AE628" s="246"/>
      <c r="AF628" s="246"/>
      <c r="AG628" s="246"/>
      <c r="AH628" s="246"/>
      <c r="AI628" s="246"/>
      <c r="AJ628" s="246"/>
      <c r="AK628" s="246"/>
      <c r="AL628" s="246"/>
      <c r="AM628" s="246"/>
      <c r="AN628" s="246"/>
      <c r="AO628" s="246"/>
      <c r="AP628" s="246"/>
      <c r="AQ628" s="246"/>
      <c r="AR628" s="246"/>
      <c r="AS628" s="246"/>
      <c r="AT628" s="246"/>
      <c r="AU628" s="246"/>
      <c r="AV628" s="246"/>
      <c r="AW628" s="246"/>
      <c r="AX628" s="246"/>
      <c r="AY628" s="246"/>
      <c r="AZ628" s="246"/>
      <c r="BA628" s="246"/>
      <c r="BB628" s="246"/>
      <c r="BC628" s="246"/>
      <c r="BD628" s="246"/>
      <c r="BE628" s="246"/>
      <c r="BF628" s="246"/>
      <c r="BG628" s="246"/>
      <c r="BH628" s="246"/>
      <c r="BI628" s="246"/>
      <c r="BJ628" s="246"/>
    </row>
    <row r="629" spans="2:62" ht="15.75">
      <c r="B629" s="7"/>
      <c r="C629" s="334"/>
      <c r="D629" s="334"/>
      <c r="E629" s="334"/>
      <c r="F629" s="334"/>
      <c r="G629" s="334"/>
      <c r="H629" s="334"/>
      <c r="I629" s="334"/>
      <c r="J629" s="334"/>
      <c r="K629" s="334"/>
      <c r="L629" s="334"/>
      <c r="M629" s="334"/>
      <c r="N629" s="334"/>
      <c r="O629" s="334"/>
      <c r="P629" s="334"/>
      <c r="Q629" s="334"/>
      <c r="R629" s="334"/>
      <c r="S629" s="334"/>
      <c r="T629" s="334"/>
      <c r="U629" s="334"/>
      <c r="V629" s="334"/>
      <c r="W629" s="334"/>
      <c r="X629" s="334"/>
      <c r="Y629" s="246"/>
      <c r="Z629" s="246"/>
      <c r="AA629" s="246"/>
      <c r="AB629" s="246"/>
      <c r="AC629" s="246"/>
      <c r="AD629" s="246"/>
      <c r="AE629" s="246"/>
      <c r="AF629" s="246"/>
      <c r="AG629" s="246"/>
      <c r="AH629" s="246"/>
      <c r="AI629" s="246"/>
      <c r="AJ629" s="246"/>
      <c r="AK629" s="246"/>
      <c r="AL629" s="246"/>
      <c r="AM629" s="246"/>
      <c r="AN629" s="246"/>
      <c r="AO629" s="246"/>
      <c r="AP629" s="246"/>
      <c r="AQ629" s="246"/>
      <c r="AR629" s="246"/>
      <c r="AS629" s="246"/>
      <c r="AT629" s="246"/>
      <c r="AU629" s="246"/>
      <c r="AV629" s="246"/>
      <c r="AW629" s="246"/>
      <c r="AX629" s="246"/>
      <c r="AY629" s="246"/>
      <c r="AZ629" s="246"/>
      <c r="BA629" s="246"/>
      <c r="BB629" s="246"/>
      <c r="BC629" s="246"/>
      <c r="BD629" s="246"/>
      <c r="BE629" s="246"/>
      <c r="BF629" s="246"/>
      <c r="BG629" s="246"/>
      <c r="BH629" s="246"/>
      <c r="BI629" s="246"/>
      <c r="BJ629" s="246"/>
    </row>
    <row r="630" spans="2:62" ht="15.75">
      <c r="B630" s="7"/>
      <c r="C630" s="334"/>
      <c r="D630" s="334"/>
      <c r="E630" s="334"/>
      <c r="F630" s="334"/>
      <c r="G630" s="334"/>
      <c r="H630" s="334"/>
      <c r="I630" s="334"/>
      <c r="J630" s="334"/>
      <c r="K630" s="334"/>
      <c r="L630" s="334"/>
      <c r="M630" s="334"/>
      <c r="N630" s="334"/>
      <c r="O630" s="334"/>
      <c r="P630" s="334"/>
      <c r="Q630" s="334"/>
      <c r="R630" s="334"/>
      <c r="S630" s="334"/>
      <c r="T630" s="334"/>
      <c r="U630" s="334"/>
      <c r="V630" s="334"/>
      <c r="W630" s="334"/>
      <c r="X630" s="334"/>
      <c r="Y630" s="246"/>
      <c r="Z630" s="246"/>
      <c r="AA630" s="246"/>
      <c r="AB630" s="246"/>
      <c r="AC630" s="246"/>
      <c r="AD630" s="246"/>
      <c r="AE630" s="246"/>
      <c r="AF630" s="246"/>
      <c r="AG630" s="246"/>
      <c r="AH630" s="246"/>
      <c r="AI630" s="246"/>
      <c r="AJ630" s="246"/>
      <c r="AK630" s="246"/>
      <c r="AL630" s="246"/>
      <c r="AM630" s="246"/>
      <c r="AN630" s="246"/>
      <c r="AO630" s="246"/>
      <c r="AP630" s="246"/>
      <c r="AQ630" s="246"/>
      <c r="AR630" s="246"/>
      <c r="AS630" s="246"/>
      <c r="AT630" s="246"/>
      <c r="AU630" s="246"/>
      <c r="AV630" s="246"/>
      <c r="AW630" s="246"/>
      <c r="AX630" s="246"/>
      <c r="AY630" s="246"/>
      <c r="AZ630" s="246"/>
      <c r="BA630" s="246"/>
      <c r="BB630" s="246"/>
      <c r="BC630" s="246"/>
      <c r="BD630" s="246"/>
      <c r="BE630" s="246"/>
      <c r="BF630" s="246"/>
      <c r="BG630" s="246"/>
      <c r="BH630" s="246"/>
      <c r="BI630" s="246"/>
      <c r="BJ630" s="246"/>
    </row>
    <row r="631" spans="2:62" ht="15.75">
      <c r="B631" s="7"/>
      <c r="C631" s="334"/>
      <c r="D631" s="334"/>
      <c r="E631" s="334"/>
      <c r="F631" s="334"/>
      <c r="G631" s="334"/>
      <c r="H631" s="334"/>
      <c r="I631" s="334"/>
      <c r="J631" s="334"/>
      <c r="K631" s="334"/>
      <c r="L631" s="334"/>
      <c r="M631" s="334"/>
      <c r="N631" s="334"/>
      <c r="O631" s="334"/>
      <c r="P631" s="334"/>
      <c r="Q631" s="334"/>
      <c r="R631" s="334"/>
      <c r="S631" s="334"/>
      <c r="T631" s="334"/>
      <c r="U631" s="334"/>
      <c r="V631" s="334"/>
      <c r="W631" s="334"/>
      <c r="X631" s="334"/>
      <c r="Y631" s="246"/>
      <c r="Z631" s="246"/>
      <c r="AA631" s="246"/>
      <c r="AB631" s="246"/>
      <c r="AC631" s="246"/>
      <c r="AD631" s="246"/>
      <c r="AE631" s="246"/>
      <c r="AF631" s="246"/>
      <c r="AG631" s="246"/>
      <c r="AH631" s="246"/>
      <c r="AI631" s="246"/>
      <c r="AJ631" s="246"/>
      <c r="AK631" s="246"/>
      <c r="AL631" s="246"/>
      <c r="AM631" s="246"/>
      <c r="AN631" s="246"/>
      <c r="AO631" s="246"/>
      <c r="AP631" s="246"/>
      <c r="AQ631" s="246"/>
      <c r="AR631" s="246"/>
      <c r="AS631" s="246"/>
      <c r="AT631" s="246"/>
      <c r="AU631" s="246"/>
      <c r="AV631" s="246"/>
      <c r="AW631" s="246"/>
      <c r="AX631" s="246"/>
      <c r="AY631" s="246"/>
      <c r="AZ631" s="246"/>
      <c r="BA631" s="246"/>
      <c r="BB631" s="246"/>
      <c r="BC631" s="246"/>
      <c r="BD631" s="246"/>
      <c r="BE631" s="246"/>
      <c r="BF631" s="246"/>
      <c r="BG631" s="246"/>
      <c r="BH631" s="246"/>
      <c r="BI631" s="246"/>
      <c r="BJ631" s="246"/>
    </row>
    <row r="632" spans="2:62" ht="15.75">
      <c r="B632" s="7"/>
      <c r="C632" s="334"/>
      <c r="D632" s="334"/>
      <c r="E632" s="334"/>
      <c r="F632" s="334"/>
      <c r="G632" s="334"/>
      <c r="H632" s="334"/>
      <c r="I632" s="334"/>
      <c r="J632" s="334"/>
      <c r="K632" s="334"/>
      <c r="L632" s="334"/>
      <c r="M632" s="334"/>
      <c r="N632" s="334"/>
      <c r="O632" s="334"/>
      <c r="P632" s="334"/>
      <c r="Q632" s="334"/>
      <c r="R632" s="334"/>
      <c r="S632" s="334"/>
      <c r="T632" s="334"/>
      <c r="U632" s="334"/>
      <c r="V632" s="334"/>
      <c r="W632" s="334"/>
      <c r="X632" s="334"/>
      <c r="Y632" s="246"/>
      <c r="Z632" s="246"/>
      <c r="AA632" s="246"/>
      <c r="AB632" s="246"/>
      <c r="AC632" s="246"/>
      <c r="AD632" s="246"/>
      <c r="AE632" s="246"/>
      <c r="AF632" s="246"/>
      <c r="AG632" s="246"/>
      <c r="AH632" s="246"/>
      <c r="AI632" s="246"/>
      <c r="AJ632" s="246"/>
      <c r="AK632" s="246"/>
      <c r="AL632" s="246"/>
      <c r="AM632" s="246"/>
      <c r="AN632" s="246"/>
      <c r="AO632" s="246"/>
      <c r="AP632" s="246"/>
      <c r="AQ632" s="246"/>
      <c r="AR632" s="246"/>
      <c r="AS632" s="246"/>
      <c r="AT632" s="246"/>
      <c r="AU632" s="246"/>
      <c r="AV632" s="246"/>
      <c r="AW632" s="246"/>
      <c r="AX632" s="246"/>
      <c r="AY632" s="246"/>
      <c r="AZ632" s="246"/>
      <c r="BA632" s="246"/>
      <c r="BB632" s="246"/>
      <c r="BC632" s="246"/>
      <c r="BD632" s="246"/>
      <c r="BE632" s="246"/>
      <c r="BF632" s="246"/>
      <c r="BG632" s="246"/>
      <c r="BH632" s="246"/>
      <c r="BI632" s="246"/>
      <c r="BJ632" s="246"/>
    </row>
    <row r="633" spans="2:62" ht="15.75">
      <c r="B633" s="7"/>
      <c r="C633" s="334"/>
      <c r="D633" s="334"/>
      <c r="E633" s="334"/>
      <c r="F633" s="334"/>
      <c r="G633" s="334"/>
      <c r="H633" s="334"/>
      <c r="I633" s="334"/>
      <c r="J633" s="334"/>
      <c r="K633" s="334"/>
      <c r="L633" s="334"/>
      <c r="M633" s="334"/>
      <c r="N633" s="334"/>
      <c r="O633" s="334"/>
      <c r="P633" s="334"/>
      <c r="Q633" s="334"/>
      <c r="R633" s="334"/>
      <c r="S633" s="334"/>
      <c r="T633" s="334"/>
      <c r="U633" s="334"/>
      <c r="V633" s="334"/>
      <c r="W633" s="334"/>
      <c r="X633" s="334"/>
      <c r="Y633" s="246"/>
      <c r="Z633" s="246"/>
      <c r="AA633" s="246"/>
      <c r="AB633" s="246"/>
      <c r="AC633" s="246"/>
      <c r="AD633" s="246"/>
      <c r="AE633" s="246"/>
      <c r="AF633" s="246"/>
      <c r="AG633" s="246"/>
      <c r="AH633" s="246"/>
      <c r="AI633" s="246"/>
      <c r="AJ633" s="246"/>
      <c r="AK633" s="246"/>
      <c r="AL633" s="246"/>
      <c r="AM633" s="246"/>
      <c r="AN633" s="246"/>
      <c r="AO633" s="246"/>
      <c r="AP633" s="246"/>
      <c r="AQ633" s="246"/>
      <c r="AR633" s="246"/>
      <c r="AS633" s="246"/>
      <c r="AT633" s="246"/>
      <c r="AU633" s="246"/>
      <c r="AV633" s="246"/>
      <c r="AW633" s="246"/>
      <c r="AX633" s="246"/>
      <c r="AY633" s="246"/>
      <c r="AZ633" s="246"/>
      <c r="BA633" s="246"/>
      <c r="BB633" s="246"/>
      <c r="BC633" s="246"/>
      <c r="BD633" s="246"/>
      <c r="BE633" s="246"/>
      <c r="BF633" s="246"/>
      <c r="BG633" s="246"/>
      <c r="BH633" s="246"/>
      <c r="BI633" s="246"/>
      <c r="BJ633" s="246"/>
    </row>
    <row r="634" spans="2:62" ht="15.75">
      <c r="B634" s="7"/>
      <c r="C634" s="334"/>
      <c r="D634" s="334"/>
      <c r="E634" s="334"/>
      <c r="F634" s="334"/>
      <c r="G634" s="334"/>
      <c r="H634" s="334"/>
      <c r="I634" s="334"/>
      <c r="J634" s="334"/>
      <c r="K634" s="334"/>
      <c r="L634" s="334"/>
      <c r="M634" s="334"/>
      <c r="N634" s="334"/>
      <c r="O634" s="334"/>
      <c r="P634" s="334"/>
      <c r="Q634" s="334"/>
      <c r="R634" s="334"/>
      <c r="S634" s="334"/>
      <c r="T634" s="334"/>
      <c r="U634" s="334"/>
      <c r="V634" s="334"/>
      <c r="W634" s="334"/>
      <c r="X634" s="334"/>
      <c r="Y634" s="246"/>
      <c r="Z634" s="246"/>
      <c r="AA634" s="246"/>
      <c r="AB634" s="246"/>
      <c r="AC634" s="246"/>
      <c r="AD634" s="246"/>
      <c r="AE634" s="246"/>
      <c r="AF634" s="246"/>
      <c r="AG634" s="246"/>
      <c r="AH634" s="246"/>
      <c r="AI634" s="246"/>
      <c r="AJ634" s="246"/>
      <c r="AK634" s="246"/>
      <c r="AL634" s="246"/>
      <c r="AM634" s="246"/>
      <c r="AN634" s="246"/>
      <c r="AO634" s="246"/>
      <c r="AP634" s="246"/>
      <c r="AQ634" s="246"/>
      <c r="AR634" s="246"/>
      <c r="AS634" s="246"/>
      <c r="AT634" s="246"/>
      <c r="AU634" s="246"/>
      <c r="AV634" s="246"/>
      <c r="AW634" s="246"/>
      <c r="AX634" s="246"/>
      <c r="AY634" s="246"/>
      <c r="AZ634" s="246"/>
      <c r="BA634" s="246"/>
      <c r="BB634" s="246"/>
      <c r="BC634" s="246"/>
      <c r="BD634" s="246"/>
      <c r="BE634" s="246"/>
      <c r="BF634" s="246"/>
      <c r="BG634" s="246"/>
      <c r="BH634" s="246"/>
      <c r="BI634" s="246"/>
      <c r="BJ634" s="246"/>
    </row>
    <row r="635" spans="2:62" ht="15.75">
      <c r="B635" s="7"/>
      <c r="C635" s="334"/>
      <c r="D635" s="334"/>
      <c r="E635" s="334"/>
      <c r="F635" s="334"/>
      <c r="G635" s="334"/>
      <c r="H635" s="334"/>
      <c r="I635" s="334"/>
      <c r="J635" s="334"/>
      <c r="K635" s="334"/>
      <c r="L635" s="334"/>
      <c r="M635" s="334"/>
      <c r="N635" s="334"/>
      <c r="O635" s="334"/>
      <c r="P635" s="334"/>
      <c r="Q635" s="334"/>
      <c r="R635" s="334"/>
      <c r="S635" s="334"/>
      <c r="T635" s="334"/>
      <c r="U635" s="334"/>
      <c r="V635" s="334"/>
      <c r="W635" s="334"/>
      <c r="X635" s="334"/>
      <c r="Y635" s="246"/>
      <c r="Z635" s="246"/>
      <c r="AA635" s="246"/>
      <c r="AB635" s="246"/>
      <c r="AC635" s="246"/>
      <c r="AD635" s="246"/>
      <c r="AE635" s="246"/>
      <c r="AF635" s="246"/>
      <c r="AG635" s="246"/>
      <c r="AH635" s="246"/>
      <c r="AI635" s="246"/>
      <c r="AJ635" s="246"/>
      <c r="AK635" s="246"/>
      <c r="AL635" s="246"/>
      <c r="AM635" s="246"/>
      <c r="AN635" s="246"/>
      <c r="AO635" s="246"/>
      <c r="AP635" s="246"/>
      <c r="AQ635" s="246"/>
      <c r="AR635" s="246"/>
      <c r="AS635" s="246"/>
      <c r="AT635" s="246"/>
      <c r="AU635" s="246"/>
      <c r="AV635" s="246"/>
      <c r="AW635" s="246"/>
      <c r="AX635" s="246"/>
      <c r="AY635" s="246"/>
      <c r="AZ635" s="246"/>
      <c r="BA635" s="246"/>
      <c r="BB635" s="246"/>
      <c r="BC635" s="246"/>
      <c r="BD635" s="246"/>
      <c r="BE635" s="246"/>
      <c r="BF635" s="246"/>
      <c r="BG635" s="246"/>
      <c r="BH635" s="246"/>
      <c r="BI635" s="246"/>
      <c r="BJ635" s="246"/>
    </row>
    <row r="636" spans="2:62" ht="15.75">
      <c r="B636" s="7"/>
      <c r="C636" s="334"/>
      <c r="D636" s="334"/>
      <c r="E636" s="334"/>
      <c r="F636" s="334"/>
      <c r="G636" s="334"/>
      <c r="H636" s="334"/>
      <c r="I636" s="334"/>
      <c r="J636" s="334"/>
      <c r="K636" s="334"/>
      <c r="L636" s="334"/>
      <c r="M636" s="334"/>
      <c r="N636" s="334"/>
      <c r="O636" s="334"/>
      <c r="P636" s="334"/>
      <c r="Q636" s="334"/>
      <c r="R636" s="334"/>
      <c r="S636" s="334"/>
      <c r="T636" s="334"/>
      <c r="U636" s="334"/>
      <c r="V636" s="334"/>
      <c r="W636" s="334"/>
      <c r="X636" s="334"/>
      <c r="Y636" s="246"/>
      <c r="Z636" s="246"/>
      <c r="AA636" s="246"/>
      <c r="AB636" s="246"/>
      <c r="AC636" s="246"/>
      <c r="AD636" s="246"/>
      <c r="AE636" s="246"/>
      <c r="AF636" s="246"/>
      <c r="AG636" s="246"/>
      <c r="AH636" s="246"/>
      <c r="AI636" s="246"/>
      <c r="AJ636" s="246"/>
      <c r="AK636" s="246"/>
      <c r="AL636" s="246"/>
      <c r="AM636" s="246"/>
      <c r="AN636" s="246"/>
      <c r="AO636" s="246"/>
      <c r="AP636" s="246"/>
      <c r="AQ636" s="246"/>
      <c r="AR636" s="246"/>
      <c r="AS636" s="246"/>
      <c r="AT636" s="246"/>
      <c r="AU636" s="246"/>
      <c r="AV636" s="246"/>
      <c r="AW636" s="246"/>
      <c r="AX636" s="246"/>
      <c r="AY636" s="246"/>
      <c r="AZ636" s="246"/>
      <c r="BA636" s="246"/>
      <c r="BB636" s="246"/>
      <c r="BC636" s="246"/>
      <c r="BD636" s="246"/>
      <c r="BE636" s="246"/>
      <c r="BF636" s="246"/>
      <c r="BG636" s="246"/>
      <c r="BH636" s="246"/>
      <c r="BI636" s="246"/>
      <c r="BJ636" s="246"/>
    </row>
    <row r="637" spans="2:62" ht="15.75">
      <c r="B637" s="7"/>
      <c r="C637" s="334"/>
      <c r="D637" s="334"/>
      <c r="E637" s="334"/>
      <c r="F637" s="334"/>
      <c r="G637" s="334"/>
      <c r="H637" s="334"/>
      <c r="I637" s="334"/>
      <c r="J637" s="334"/>
      <c r="K637" s="334"/>
      <c r="L637" s="334"/>
      <c r="M637" s="334"/>
      <c r="N637" s="334"/>
      <c r="O637" s="334"/>
      <c r="P637" s="334"/>
      <c r="Q637" s="334"/>
      <c r="R637" s="334"/>
      <c r="S637" s="334"/>
      <c r="T637" s="334"/>
      <c r="U637" s="334"/>
      <c r="V637" s="334"/>
      <c r="W637" s="334"/>
      <c r="X637" s="334"/>
      <c r="Y637" s="246"/>
      <c r="Z637" s="246"/>
      <c r="AA637" s="246"/>
      <c r="AB637" s="246"/>
      <c r="AC637" s="246"/>
      <c r="AD637" s="246"/>
      <c r="AE637" s="246"/>
      <c r="AF637" s="246"/>
      <c r="AG637" s="246"/>
      <c r="AH637" s="246"/>
      <c r="AI637" s="246"/>
      <c r="AJ637" s="246"/>
      <c r="AK637" s="246"/>
      <c r="AL637" s="246"/>
      <c r="AM637" s="246"/>
      <c r="AN637" s="246"/>
      <c r="AO637" s="246"/>
      <c r="AP637" s="246"/>
      <c r="AQ637" s="246"/>
      <c r="AR637" s="246"/>
      <c r="AS637" s="246"/>
      <c r="AT637" s="246"/>
      <c r="AU637" s="246"/>
      <c r="AV637" s="246"/>
      <c r="AW637" s="246"/>
      <c r="AX637" s="246"/>
      <c r="AY637" s="246"/>
      <c r="AZ637" s="246"/>
      <c r="BA637" s="246"/>
      <c r="BB637" s="246"/>
      <c r="BC637" s="246"/>
      <c r="BD637" s="246"/>
      <c r="BE637" s="246"/>
      <c r="BF637" s="246"/>
      <c r="BG637" s="246"/>
      <c r="BH637" s="246"/>
      <c r="BI637" s="246"/>
      <c r="BJ637" s="246"/>
    </row>
    <row r="638" spans="2:62" ht="15.75">
      <c r="B638" s="7"/>
      <c r="C638" s="334"/>
      <c r="D638" s="334"/>
      <c r="E638" s="334"/>
      <c r="F638" s="334"/>
      <c r="G638" s="334"/>
      <c r="H638" s="334"/>
      <c r="I638" s="334"/>
      <c r="J638" s="334"/>
      <c r="K638" s="334"/>
      <c r="L638" s="334"/>
      <c r="M638" s="334"/>
      <c r="N638" s="334"/>
      <c r="O638" s="334"/>
      <c r="P638" s="334"/>
      <c r="Q638" s="334"/>
      <c r="R638" s="334"/>
      <c r="S638" s="334"/>
      <c r="T638" s="334"/>
      <c r="U638" s="334"/>
      <c r="V638" s="334"/>
      <c r="W638" s="334"/>
      <c r="X638" s="334"/>
      <c r="Y638" s="246"/>
      <c r="Z638" s="246"/>
      <c r="AA638" s="246"/>
      <c r="AB638" s="246"/>
      <c r="AC638" s="246"/>
      <c r="AD638" s="246"/>
      <c r="AE638" s="246"/>
      <c r="AF638" s="246"/>
      <c r="AG638" s="246"/>
      <c r="AH638" s="246"/>
      <c r="AI638" s="246"/>
      <c r="AJ638" s="246"/>
      <c r="AK638" s="246"/>
      <c r="AL638" s="246"/>
      <c r="AM638" s="246"/>
      <c r="AN638" s="246"/>
      <c r="AO638" s="246"/>
      <c r="AP638" s="246"/>
      <c r="AQ638" s="246"/>
      <c r="AR638" s="246"/>
      <c r="AS638" s="246"/>
      <c r="AT638" s="246"/>
      <c r="AU638" s="246"/>
      <c r="AV638" s="246"/>
      <c r="AW638" s="246"/>
      <c r="AX638" s="246"/>
      <c r="AY638" s="246"/>
      <c r="AZ638" s="246"/>
      <c r="BA638" s="246"/>
      <c r="BB638" s="246"/>
      <c r="BC638" s="246"/>
      <c r="BD638" s="246"/>
      <c r="BE638" s="246"/>
      <c r="BF638" s="246"/>
      <c r="BG638" s="246"/>
      <c r="BH638" s="246"/>
      <c r="BI638" s="246"/>
      <c r="BJ638" s="246"/>
    </row>
    <row r="639" spans="2:62" ht="15.75">
      <c r="B639" s="7"/>
      <c r="C639" s="334"/>
      <c r="D639" s="334"/>
      <c r="E639" s="334"/>
      <c r="F639" s="334"/>
      <c r="G639" s="334"/>
      <c r="H639" s="334"/>
      <c r="I639" s="334"/>
      <c r="J639" s="334"/>
      <c r="K639" s="334"/>
      <c r="L639" s="334"/>
      <c r="M639" s="334"/>
      <c r="N639" s="334"/>
      <c r="O639" s="334"/>
      <c r="P639" s="334"/>
      <c r="Q639" s="334"/>
      <c r="R639" s="334"/>
      <c r="S639" s="334"/>
      <c r="T639" s="334"/>
      <c r="U639" s="334"/>
      <c r="V639" s="334"/>
      <c r="W639" s="334"/>
      <c r="X639" s="334"/>
      <c r="Y639" s="246"/>
      <c r="Z639" s="246"/>
      <c r="AA639" s="246"/>
      <c r="AB639" s="246"/>
      <c r="AC639" s="246"/>
      <c r="AD639" s="246"/>
      <c r="AE639" s="246"/>
      <c r="AF639" s="246"/>
      <c r="AG639" s="246"/>
      <c r="AH639" s="246"/>
      <c r="AI639" s="246"/>
      <c r="AJ639" s="246"/>
      <c r="AK639" s="246"/>
      <c r="AL639" s="246"/>
      <c r="AM639" s="246"/>
      <c r="AN639" s="246"/>
      <c r="AO639" s="246"/>
      <c r="AP639" s="246"/>
      <c r="AQ639" s="246"/>
      <c r="AR639" s="246"/>
      <c r="AS639" s="246"/>
      <c r="AT639" s="246"/>
      <c r="AU639" s="246"/>
      <c r="AV639" s="246"/>
      <c r="AW639" s="246"/>
      <c r="AX639" s="246"/>
      <c r="AY639" s="246"/>
      <c r="AZ639" s="246"/>
      <c r="BA639" s="246"/>
      <c r="BB639" s="246"/>
      <c r="BC639" s="246"/>
      <c r="BD639" s="246"/>
      <c r="BE639" s="246"/>
      <c r="BF639" s="246"/>
      <c r="BG639" s="246"/>
      <c r="BH639" s="246"/>
      <c r="BI639" s="246"/>
      <c r="BJ639" s="246"/>
    </row>
    <row r="640" spans="2:62" ht="15.75">
      <c r="B640" s="7"/>
      <c r="C640" s="334"/>
      <c r="D640" s="334"/>
      <c r="E640" s="334"/>
      <c r="F640" s="334"/>
      <c r="G640" s="334"/>
      <c r="H640" s="334"/>
      <c r="I640" s="334"/>
      <c r="J640" s="334"/>
      <c r="K640" s="334"/>
      <c r="L640" s="334"/>
      <c r="M640" s="334"/>
      <c r="N640" s="334"/>
      <c r="O640" s="334"/>
      <c r="P640" s="334"/>
      <c r="Q640" s="334"/>
      <c r="R640" s="334"/>
      <c r="S640" s="334"/>
      <c r="T640" s="334"/>
      <c r="U640" s="334"/>
      <c r="V640" s="334"/>
      <c r="W640" s="334"/>
      <c r="X640" s="334"/>
      <c r="Y640" s="246"/>
      <c r="Z640" s="246"/>
      <c r="AA640" s="246"/>
      <c r="AB640" s="246"/>
      <c r="AC640" s="246"/>
      <c r="AD640" s="246"/>
      <c r="AE640" s="246"/>
      <c r="AF640" s="246"/>
      <c r="AG640" s="246"/>
      <c r="AH640" s="246"/>
      <c r="AI640" s="246"/>
      <c r="AJ640" s="246"/>
      <c r="AK640" s="246"/>
      <c r="AL640" s="246"/>
      <c r="AM640" s="246"/>
      <c r="AN640" s="246"/>
      <c r="AO640" s="246"/>
      <c r="AP640" s="246"/>
      <c r="AQ640" s="246"/>
      <c r="AR640" s="246"/>
      <c r="AS640" s="246"/>
      <c r="AT640" s="246"/>
      <c r="AU640" s="246"/>
      <c r="AV640" s="246"/>
      <c r="AW640" s="246"/>
      <c r="AX640" s="246"/>
      <c r="AY640" s="246"/>
      <c r="AZ640" s="246"/>
      <c r="BA640" s="246"/>
      <c r="BB640" s="246"/>
      <c r="BC640" s="246"/>
      <c r="BD640" s="246"/>
      <c r="BE640" s="246"/>
      <c r="BF640" s="246"/>
      <c r="BG640" s="246"/>
      <c r="BH640" s="246"/>
      <c r="BI640" s="246"/>
      <c r="BJ640" s="246"/>
    </row>
    <row r="641" spans="2:62" ht="15.75">
      <c r="B641" s="7"/>
      <c r="C641" s="334"/>
      <c r="D641" s="334"/>
      <c r="E641" s="334"/>
      <c r="F641" s="334"/>
      <c r="G641" s="334"/>
      <c r="H641" s="334"/>
      <c r="I641" s="334"/>
      <c r="J641" s="334"/>
      <c r="K641" s="334"/>
      <c r="L641" s="334"/>
      <c r="M641" s="334"/>
      <c r="N641" s="334"/>
      <c r="O641" s="334"/>
      <c r="P641" s="334"/>
      <c r="Q641" s="334"/>
      <c r="R641" s="334"/>
      <c r="S641" s="334"/>
      <c r="T641" s="334"/>
      <c r="U641" s="334"/>
      <c r="V641" s="334"/>
      <c r="W641" s="334"/>
      <c r="X641" s="334"/>
      <c r="Y641" s="246"/>
      <c r="Z641" s="246"/>
      <c r="AA641" s="246"/>
      <c r="AB641" s="246"/>
      <c r="AC641" s="246"/>
      <c r="AD641" s="246"/>
      <c r="AE641" s="246"/>
      <c r="AF641" s="246"/>
      <c r="AG641" s="246"/>
      <c r="AH641" s="246"/>
      <c r="AI641" s="246"/>
      <c r="AJ641" s="246"/>
      <c r="AK641" s="246"/>
      <c r="AL641" s="246"/>
      <c r="AM641" s="246"/>
      <c r="AN641" s="246"/>
      <c r="AO641" s="246"/>
      <c r="AP641" s="246"/>
      <c r="AQ641" s="246"/>
      <c r="AR641" s="246"/>
      <c r="AS641" s="246"/>
      <c r="AT641" s="246"/>
      <c r="AU641" s="246"/>
      <c r="AV641" s="246"/>
      <c r="AW641" s="246"/>
      <c r="AX641" s="246"/>
      <c r="AY641" s="246"/>
      <c r="AZ641" s="246"/>
      <c r="BA641" s="246"/>
      <c r="BB641" s="246"/>
      <c r="BC641" s="246"/>
      <c r="BD641" s="246"/>
      <c r="BE641" s="246"/>
      <c r="BF641" s="246"/>
      <c r="BG641" s="246"/>
      <c r="BH641" s="246"/>
      <c r="BI641" s="246"/>
      <c r="BJ641" s="246"/>
    </row>
    <row r="642" spans="2:62" ht="15.75">
      <c r="B642" s="7"/>
      <c r="C642" s="334"/>
      <c r="D642" s="334"/>
      <c r="E642" s="334"/>
      <c r="F642" s="334"/>
      <c r="G642" s="334"/>
      <c r="H642" s="334"/>
      <c r="I642" s="334"/>
      <c r="J642" s="334"/>
      <c r="K642" s="334"/>
      <c r="L642" s="334"/>
      <c r="M642" s="334"/>
      <c r="N642" s="334"/>
      <c r="O642" s="334"/>
      <c r="P642" s="334"/>
      <c r="Q642" s="334"/>
      <c r="R642" s="334"/>
      <c r="S642" s="334"/>
      <c r="T642" s="334"/>
      <c r="U642" s="334"/>
      <c r="V642" s="334"/>
      <c r="W642" s="334"/>
      <c r="X642" s="334"/>
      <c r="Y642" s="246"/>
      <c r="Z642" s="246"/>
      <c r="AA642" s="246"/>
      <c r="AB642" s="246"/>
      <c r="AC642" s="246"/>
      <c r="AD642" s="246"/>
      <c r="AE642" s="246"/>
      <c r="AF642" s="246"/>
      <c r="AG642" s="246"/>
      <c r="AH642" s="246"/>
      <c r="AI642" s="246"/>
      <c r="AJ642" s="246"/>
      <c r="AK642" s="246"/>
      <c r="AL642" s="246"/>
      <c r="AM642" s="246"/>
      <c r="AN642" s="246"/>
      <c r="AO642" s="246"/>
      <c r="AP642" s="246"/>
      <c r="AQ642" s="246"/>
      <c r="AR642" s="246"/>
      <c r="AS642" s="246"/>
      <c r="AT642" s="246"/>
      <c r="AU642" s="246"/>
      <c r="AV642" s="246"/>
      <c r="AW642" s="246"/>
      <c r="AX642" s="246"/>
      <c r="AY642" s="246"/>
      <c r="AZ642" s="246"/>
      <c r="BA642" s="246"/>
      <c r="BB642" s="246"/>
      <c r="BC642" s="246"/>
      <c r="BD642" s="246"/>
      <c r="BE642" s="246"/>
      <c r="BF642" s="246"/>
      <c r="BG642" s="246"/>
      <c r="BH642" s="246"/>
      <c r="BI642" s="246"/>
      <c r="BJ642" s="246"/>
    </row>
    <row r="643" spans="2:62" ht="15.75">
      <c r="B643" s="7"/>
      <c r="C643" s="334"/>
      <c r="D643" s="334"/>
      <c r="E643" s="334"/>
      <c r="F643" s="334"/>
      <c r="G643" s="334"/>
      <c r="H643" s="334"/>
      <c r="I643" s="334"/>
      <c r="J643" s="334"/>
      <c r="K643" s="334"/>
      <c r="L643" s="334"/>
      <c r="M643" s="334"/>
      <c r="N643" s="334"/>
      <c r="O643" s="334"/>
      <c r="P643" s="334"/>
      <c r="Q643" s="334"/>
      <c r="R643" s="334"/>
      <c r="S643" s="334"/>
      <c r="T643" s="334"/>
      <c r="U643" s="334"/>
      <c r="V643" s="334"/>
      <c r="W643" s="334"/>
      <c r="X643" s="334"/>
      <c r="Y643" s="246"/>
      <c r="Z643" s="246"/>
      <c r="AA643" s="246"/>
      <c r="AB643" s="246"/>
      <c r="AC643" s="246"/>
      <c r="AD643" s="246"/>
      <c r="AE643" s="246"/>
      <c r="AF643" s="246"/>
      <c r="AG643" s="246"/>
      <c r="AH643" s="246"/>
      <c r="AI643" s="246"/>
      <c r="AJ643" s="246"/>
      <c r="AK643" s="246"/>
      <c r="AL643" s="246"/>
      <c r="AM643" s="246"/>
      <c r="AN643" s="246"/>
      <c r="AO643" s="246"/>
      <c r="AP643" s="246"/>
      <c r="AQ643" s="246"/>
      <c r="AR643" s="246"/>
      <c r="AS643" s="246"/>
      <c r="AT643" s="246"/>
      <c r="AU643" s="246"/>
      <c r="AV643" s="246"/>
      <c r="AW643" s="246"/>
      <c r="AX643" s="246"/>
      <c r="AY643" s="246"/>
      <c r="AZ643" s="246"/>
      <c r="BA643" s="246"/>
      <c r="BB643" s="246"/>
      <c r="BC643" s="246"/>
      <c r="BD643" s="246"/>
      <c r="BE643" s="246"/>
      <c r="BF643" s="246"/>
      <c r="BG643" s="246"/>
      <c r="BH643" s="246"/>
      <c r="BI643" s="246"/>
      <c r="BJ643" s="246"/>
    </row>
    <row r="644" spans="2:62" ht="15.75">
      <c r="B644" s="7"/>
      <c r="C644" s="334"/>
      <c r="D644" s="334"/>
      <c r="E644" s="334"/>
      <c r="F644" s="334"/>
      <c r="G644" s="334"/>
      <c r="H644" s="334"/>
      <c r="I644" s="334"/>
      <c r="J644" s="334"/>
      <c r="K644" s="334"/>
      <c r="L644" s="334"/>
      <c r="M644" s="334"/>
      <c r="N644" s="334"/>
      <c r="O644" s="334"/>
      <c r="P644" s="334"/>
      <c r="Q644" s="334"/>
      <c r="R644" s="334"/>
      <c r="S644" s="334"/>
      <c r="T644" s="334"/>
      <c r="U644" s="334"/>
      <c r="V644" s="334"/>
      <c r="W644" s="334"/>
      <c r="X644" s="334"/>
      <c r="Y644" s="246"/>
      <c r="Z644" s="246"/>
      <c r="AA644" s="246"/>
      <c r="AB644" s="246"/>
      <c r="AC644" s="246"/>
      <c r="AD644" s="246"/>
      <c r="AE644" s="246"/>
      <c r="AF644" s="246"/>
      <c r="AG644" s="246"/>
      <c r="AH644" s="246"/>
      <c r="AI644" s="246"/>
      <c r="AJ644" s="246"/>
      <c r="AK644" s="246"/>
      <c r="AL644" s="246"/>
      <c r="AM644" s="246"/>
      <c r="AN644" s="246"/>
      <c r="AO644" s="246"/>
      <c r="AP644" s="246"/>
      <c r="AQ644" s="246"/>
      <c r="AR644" s="246"/>
      <c r="AS644" s="246"/>
      <c r="AT644" s="246"/>
      <c r="AU644" s="246"/>
      <c r="AV644" s="246"/>
      <c r="AW644" s="246"/>
      <c r="AX644" s="246"/>
      <c r="AY644" s="246"/>
      <c r="AZ644" s="246"/>
      <c r="BA644" s="246"/>
      <c r="BB644" s="246"/>
      <c r="BC644" s="246"/>
      <c r="BD644" s="246"/>
      <c r="BE644" s="246"/>
      <c r="BF644" s="246"/>
      <c r="BG644" s="246"/>
      <c r="BH644" s="246"/>
      <c r="BI644" s="246"/>
      <c r="BJ644" s="246"/>
    </row>
    <row r="645" spans="2:62" ht="15.75">
      <c r="B645" s="7"/>
      <c r="C645" s="334"/>
      <c r="D645" s="334"/>
      <c r="E645" s="334"/>
      <c r="F645" s="334"/>
      <c r="G645" s="334"/>
      <c r="H645" s="334"/>
      <c r="I645" s="334"/>
      <c r="J645" s="334"/>
      <c r="K645" s="334"/>
      <c r="L645" s="334"/>
      <c r="M645" s="334"/>
      <c r="N645" s="334"/>
      <c r="O645" s="334"/>
      <c r="P645" s="334"/>
      <c r="Q645" s="334"/>
      <c r="R645" s="334"/>
      <c r="S645" s="334"/>
      <c r="T645" s="334"/>
      <c r="U645" s="334"/>
      <c r="V645" s="334"/>
      <c r="W645" s="334"/>
      <c r="X645" s="334"/>
      <c r="Y645" s="246"/>
      <c r="Z645" s="246"/>
      <c r="AA645" s="246"/>
      <c r="AB645" s="246"/>
      <c r="AC645" s="246"/>
      <c r="AD645" s="246"/>
      <c r="AE645" s="246"/>
      <c r="AF645" s="246"/>
      <c r="AG645" s="246"/>
      <c r="AH645" s="246"/>
      <c r="AI645" s="246"/>
      <c r="AJ645" s="246"/>
      <c r="AK645" s="246"/>
      <c r="AL645" s="246"/>
      <c r="AM645" s="246"/>
      <c r="AN645" s="246"/>
      <c r="AO645" s="246"/>
      <c r="AP645" s="246"/>
      <c r="AQ645" s="246"/>
      <c r="AR645" s="246"/>
      <c r="AS645" s="246"/>
      <c r="AT645" s="246"/>
      <c r="AU645" s="246"/>
      <c r="AV645" s="246"/>
      <c r="AW645" s="246"/>
      <c r="AX645" s="246"/>
      <c r="AY645" s="246"/>
      <c r="AZ645" s="246"/>
      <c r="BA645" s="246"/>
      <c r="BB645" s="246"/>
      <c r="BC645" s="246"/>
      <c r="BD645" s="246"/>
      <c r="BE645" s="246"/>
      <c r="BF645" s="246"/>
      <c r="BG645" s="246"/>
      <c r="BH645" s="246"/>
      <c r="BI645" s="246"/>
      <c r="BJ645" s="246"/>
    </row>
    <row r="646" spans="2:62" ht="15.75">
      <c r="B646" s="7"/>
      <c r="C646" s="334"/>
      <c r="D646" s="334"/>
      <c r="E646" s="334"/>
      <c r="F646" s="334"/>
      <c r="G646" s="334"/>
      <c r="H646" s="334"/>
      <c r="I646" s="334"/>
      <c r="J646" s="334"/>
      <c r="K646" s="334"/>
      <c r="L646" s="334"/>
      <c r="M646" s="334"/>
      <c r="N646" s="334"/>
      <c r="O646" s="334"/>
      <c r="P646" s="334"/>
      <c r="Q646" s="334"/>
      <c r="R646" s="334"/>
      <c r="S646" s="334"/>
      <c r="T646" s="334"/>
      <c r="U646" s="334"/>
      <c r="V646" s="334"/>
      <c r="W646" s="334"/>
      <c r="X646" s="334"/>
      <c r="Y646" s="246"/>
      <c r="Z646" s="246"/>
      <c r="AA646" s="246"/>
      <c r="AB646" s="246"/>
      <c r="AC646" s="246"/>
      <c r="AD646" s="246"/>
      <c r="AE646" s="246"/>
      <c r="AF646" s="246"/>
      <c r="AG646" s="246"/>
      <c r="AH646" s="246"/>
      <c r="AI646" s="246"/>
      <c r="AJ646" s="246"/>
      <c r="AK646" s="246"/>
      <c r="AL646" s="246"/>
      <c r="AM646" s="246"/>
      <c r="AN646" s="246"/>
      <c r="AO646" s="246"/>
      <c r="AP646" s="246"/>
      <c r="AQ646" s="246"/>
      <c r="AR646" s="246"/>
      <c r="AS646" s="246"/>
      <c r="AT646" s="246"/>
      <c r="AU646" s="246"/>
      <c r="AV646" s="246"/>
      <c r="AW646" s="246"/>
      <c r="AX646" s="246"/>
      <c r="AY646" s="246"/>
      <c r="AZ646" s="246"/>
      <c r="BA646" s="246"/>
      <c r="BB646" s="246"/>
      <c r="BC646" s="246"/>
      <c r="BD646" s="246"/>
      <c r="BE646" s="246"/>
      <c r="BF646" s="246"/>
      <c r="BG646" s="246"/>
      <c r="BH646" s="246"/>
      <c r="BI646" s="246"/>
      <c r="BJ646" s="246"/>
    </row>
    <row r="647" spans="2:62" ht="15.75">
      <c r="B647" s="7"/>
      <c r="C647" s="334"/>
      <c r="D647" s="334"/>
      <c r="E647" s="334"/>
      <c r="F647" s="334"/>
      <c r="G647" s="334"/>
      <c r="H647" s="334"/>
      <c r="I647" s="334"/>
      <c r="J647" s="334"/>
      <c r="K647" s="334"/>
      <c r="L647" s="334"/>
      <c r="M647" s="334"/>
      <c r="N647" s="334"/>
      <c r="O647" s="334"/>
      <c r="P647" s="334"/>
      <c r="Q647" s="334"/>
      <c r="R647" s="334"/>
      <c r="S647" s="334"/>
      <c r="T647" s="334"/>
      <c r="U647" s="334"/>
      <c r="V647" s="334"/>
      <c r="W647" s="334"/>
      <c r="X647" s="334"/>
      <c r="Y647" s="246"/>
      <c r="Z647" s="246"/>
      <c r="AA647" s="246"/>
      <c r="AB647" s="246"/>
      <c r="AC647" s="246"/>
      <c r="AD647" s="246"/>
      <c r="AE647" s="246"/>
      <c r="AF647" s="246"/>
      <c r="AG647" s="246"/>
      <c r="AH647" s="246"/>
      <c r="AI647" s="246"/>
      <c r="AJ647" s="246"/>
      <c r="AK647" s="246"/>
      <c r="AL647" s="246"/>
      <c r="AM647" s="246"/>
      <c r="AN647" s="246"/>
      <c r="AO647" s="246"/>
      <c r="AP647" s="246"/>
      <c r="AQ647" s="246"/>
      <c r="AR647" s="246"/>
      <c r="AS647" s="246"/>
      <c r="AT647" s="246"/>
      <c r="AU647" s="246"/>
      <c r="AV647" s="246"/>
      <c r="AW647" s="246"/>
      <c r="AX647" s="246"/>
      <c r="AY647" s="246"/>
      <c r="AZ647" s="246"/>
      <c r="BA647" s="246"/>
      <c r="BB647" s="246"/>
      <c r="BC647" s="246"/>
      <c r="BD647" s="246"/>
      <c r="BE647" s="246"/>
      <c r="BF647" s="246"/>
      <c r="BG647" s="246"/>
      <c r="BH647" s="246"/>
      <c r="BI647" s="246"/>
      <c r="BJ647" s="246"/>
    </row>
    <row r="648" spans="2:62" ht="15.75">
      <c r="B648" s="7"/>
      <c r="C648" s="334"/>
      <c r="D648" s="334"/>
      <c r="E648" s="334"/>
      <c r="F648" s="334"/>
      <c r="G648" s="334"/>
      <c r="H648" s="334"/>
      <c r="I648" s="334"/>
      <c r="J648" s="334"/>
      <c r="K648" s="334"/>
      <c r="L648" s="334"/>
      <c r="M648" s="334"/>
      <c r="N648" s="334"/>
      <c r="O648" s="334"/>
      <c r="P648" s="334"/>
      <c r="Q648" s="334"/>
      <c r="R648" s="334"/>
      <c r="S648" s="334"/>
      <c r="T648" s="334"/>
      <c r="U648" s="334"/>
      <c r="V648" s="334"/>
      <c r="W648" s="334"/>
      <c r="X648" s="334"/>
      <c r="Y648" s="246"/>
      <c r="Z648" s="246"/>
      <c r="AA648" s="246"/>
      <c r="AB648" s="246"/>
      <c r="AC648" s="246"/>
      <c r="AD648" s="246"/>
      <c r="AE648" s="246"/>
      <c r="AF648" s="246"/>
      <c r="AG648" s="246"/>
      <c r="AH648" s="246"/>
      <c r="AI648" s="246"/>
      <c r="AJ648" s="246"/>
      <c r="AK648" s="246"/>
      <c r="AL648" s="246"/>
      <c r="AM648" s="246"/>
      <c r="AN648" s="246"/>
      <c r="AO648" s="246"/>
      <c r="AP648" s="246"/>
      <c r="AQ648" s="246"/>
      <c r="AR648" s="246"/>
      <c r="AS648" s="246"/>
      <c r="AT648" s="246"/>
      <c r="AU648" s="246"/>
      <c r="AV648" s="246"/>
      <c r="AW648" s="246"/>
      <c r="AX648" s="246"/>
      <c r="AY648" s="246"/>
      <c r="AZ648" s="246"/>
      <c r="BA648" s="246"/>
      <c r="BB648" s="246"/>
      <c r="BC648" s="246"/>
      <c r="BD648" s="246"/>
      <c r="BE648" s="246"/>
      <c r="BF648" s="246"/>
      <c r="BG648" s="246"/>
      <c r="BH648" s="246"/>
      <c r="BI648" s="246"/>
      <c r="BJ648" s="246"/>
    </row>
    <row r="649" spans="2:62" ht="15.75">
      <c r="B649" s="7"/>
      <c r="C649" s="334"/>
      <c r="D649" s="334"/>
      <c r="E649" s="334"/>
      <c r="F649" s="334"/>
      <c r="G649" s="334"/>
      <c r="H649" s="334"/>
      <c r="I649" s="334"/>
      <c r="J649" s="334"/>
      <c r="K649" s="334"/>
      <c r="L649" s="334"/>
      <c r="M649" s="334"/>
      <c r="N649" s="334"/>
      <c r="O649" s="334"/>
      <c r="P649" s="334"/>
      <c r="Q649" s="334"/>
      <c r="R649" s="334"/>
      <c r="S649" s="334"/>
      <c r="T649" s="334"/>
      <c r="U649" s="334"/>
      <c r="V649" s="334"/>
      <c r="W649" s="334"/>
      <c r="X649" s="334"/>
      <c r="Y649" s="246"/>
      <c r="Z649" s="246"/>
      <c r="AA649" s="246"/>
      <c r="AB649" s="246"/>
      <c r="AC649" s="246"/>
      <c r="AD649" s="246"/>
      <c r="AE649" s="246"/>
      <c r="AF649" s="246"/>
      <c r="AG649" s="246"/>
      <c r="AH649" s="246"/>
      <c r="AI649" s="246"/>
      <c r="AJ649" s="246"/>
      <c r="AK649" s="246"/>
      <c r="AL649" s="246"/>
      <c r="AM649" s="246"/>
      <c r="AN649" s="246"/>
      <c r="AO649" s="246"/>
      <c r="AP649" s="246"/>
      <c r="AQ649" s="246"/>
      <c r="AR649" s="246"/>
      <c r="AS649" s="246"/>
      <c r="AT649" s="246"/>
      <c r="AU649" s="246"/>
      <c r="AV649" s="246"/>
      <c r="AW649" s="246"/>
      <c r="AX649" s="246"/>
      <c r="AY649" s="246"/>
      <c r="AZ649" s="246"/>
      <c r="BA649" s="246"/>
      <c r="BB649" s="246"/>
      <c r="BC649" s="246"/>
      <c r="BD649" s="246"/>
      <c r="BE649" s="246"/>
      <c r="BF649" s="246"/>
      <c r="BG649" s="246"/>
      <c r="BH649" s="246"/>
      <c r="BI649" s="246"/>
      <c r="BJ649" s="246"/>
    </row>
    <row r="650" spans="2:62" ht="30">
      <c r="B650" s="7"/>
      <c r="C650" s="412"/>
      <c r="D650" s="334"/>
      <c r="E650" s="334"/>
      <c r="F650" s="334"/>
      <c r="G650" s="334"/>
      <c r="H650" s="334"/>
      <c r="I650" s="334"/>
      <c r="J650" s="334"/>
      <c r="K650" s="334"/>
      <c r="L650" s="334"/>
      <c r="M650" s="334"/>
      <c r="N650" s="334"/>
      <c r="O650" s="413"/>
      <c r="P650" s="334"/>
      <c r="Q650" s="334"/>
      <c r="R650" s="334"/>
      <c r="S650" s="334"/>
      <c r="T650" s="334"/>
      <c r="U650" s="334"/>
      <c r="V650" s="334"/>
      <c r="W650" s="334"/>
      <c r="X650" s="334"/>
      <c r="Y650" s="246"/>
      <c r="Z650" s="246"/>
      <c r="AA650" s="246"/>
      <c r="AB650" s="246"/>
      <c r="AC650" s="246"/>
      <c r="AD650" s="246"/>
      <c r="AE650" s="246"/>
      <c r="AF650" s="246"/>
      <c r="AG650" s="246"/>
      <c r="AH650" s="246"/>
      <c r="AI650" s="246"/>
      <c r="AJ650" s="246"/>
      <c r="AK650" s="246"/>
      <c r="AL650" s="246"/>
      <c r="AM650" s="246"/>
      <c r="AN650" s="246"/>
      <c r="AO650" s="246"/>
      <c r="AP650" s="246"/>
      <c r="AQ650" s="246"/>
      <c r="AR650" s="246"/>
      <c r="AS650" s="246"/>
      <c r="AT650" s="246"/>
      <c r="AU650" s="246"/>
      <c r="AV650" s="246"/>
      <c r="AW650" s="246"/>
      <c r="AX650" s="246"/>
      <c r="AY650" s="246"/>
      <c r="AZ650" s="246"/>
      <c r="BA650" s="246"/>
      <c r="BB650" s="246"/>
      <c r="BC650" s="246"/>
      <c r="BD650" s="246"/>
      <c r="BE650" s="246"/>
      <c r="BF650" s="246"/>
      <c r="BG650" s="246"/>
      <c r="BH650" s="246"/>
      <c r="BI650" s="246"/>
      <c r="BJ650" s="246"/>
    </row>
    <row r="651" spans="2:62" ht="18.75">
      <c r="B651" s="7"/>
      <c r="C651" s="402"/>
      <c r="D651" s="406"/>
      <c r="E651" s="406"/>
      <c r="F651" s="406"/>
      <c r="G651" s="406"/>
      <c r="H651" s="406"/>
      <c r="I651" s="406"/>
      <c r="J651" s="406"/>
      <c r="K651" s="406"/>
      <c r="L651" s="406"/>
      <c r="M651" s="406"/>
      <c r="N651" s="406"/>
      <c r="O651" s="406"/>
      <c r="P651" s="406"/>
      <c r="Q651" s="414"/>
      <c r="R651" s="406"/>
      <c r="S651" s="406"/>
      <c r="T651" s="334"/>
      <c r="U651" s="334"/>
      <c r="V651" s="334"/>
      <c r="W651" s="334"/>
      <c r="X651" s="334"/>
      <c r="Y651" s="246"/>
      <c r="Z651" s="246"/>
      <c r="AA651" s="246"/>
      <c r="AB651" s="246"/>
      <c r="AC651" s="246"/>
      <c r="AD651" s="246"/>
      <c r="AE651" s="246"/>
      <c r="AF651" s="246"/>
      <c r="AG651" s="246"/>
      <c r="AH651" s="246"/>
      <c r="AI651" s="246"/>
      <c r="AJ651" s="246"/>
      <c r="AK651" s="246"/>
      <c r="AL651" s="246"/>
      <c r="AM651" s="246"/>
      <c r="AN651" s="246"/>
      <c r="AO651" s="246"/>
      <c r="AP651" s="246"/>
      <c r="AQ651" s="246"/>
      <c r="AR651" s="246"/>
      <c r="AS651" s="246"/>
      <c r="AT651" s="246"/>
      <c r="AU651" s="246"/>
      <c r="AV651" s="246"/>
      <c r="AW651" s="246"/>
      <c r="AX651" s="246"/>
      <c r="AY651" s="246"/>
      <c r="AZ651" s="246"/>
      <c r="BA651" s="246"/>
      <c r="BB651" s="246"/>
      <c r="BC651" s="246"/>
      <c r="BD651" s="246"/>
      <c r="BE651" s="246"/>
      <c r="BF651" s="246"/>
      <c r="BG651" s="246"/>
      <c r="BH651" s="246"/>
      <c r="BI651" s="246"/>
      <c r="BJ651" s="246"/>
    </row>
    <row r="652" spans="2:62" ht="15.75">
      <c r="B652" s="7"/>
      <c r="C652" s="334"/>
      <c r="D652" s="403"/>
      <c r="E652" s="403"/>
      <c r="F652" s="415"/>
      <c r="G652" s="403"/>
      <c r="H652" s="403"/>
      <c r="I652" s="415"/>
      <c r="J652" s="407"/>
      <c r="K652" s="407"/>
      <c r="L652" s="416"/>
      <c r="M652" s="407"/>
      <c r="N652" s="407"/>
      <c r="O652" s="407"/>
      <c r="P652" s="407"/>
      <c r="Q652" s="404"/>
      <c r="R652" s="403"/>
      <c r="S652" s="415"/>
      <c r="T652" s="334"/>
      <c r="U652" s="334"/>
      <c r="V652" s="334"/>
      <c r="W652" s="334"/>
      <c r="X652" s="334"/>
      <c r="Y652" s="246"/>
      <c r="Z652" s="246"/>
      <c r="AA652" s="246"/>
      <c r="AB652" s="246"/>
      <c r="AC652" s="246"/>
      <c r="AD652" s="246"/>
      <c r="AE652" s="246"/>
      <c r="AF652" s="246"/>
      <c r="AG652" s="246"/>
      <c r="AH652" s="246"/>
      <c r="AI652" s="246"/>
      <c r="AJ652" s="246"/>
      <c r="AK652" s="246"/>
      <c r="AL652" s="246"/>
      <c r="AM652" s="246"/>
      <c r="AN652" s="246"/>
      <c r="AO652" s="246"/>
      <c r="AP652" s="246"/>
      <c r="AQ652" s="246"/>
      <c r="AR652" s="246"/>
      <c r="AS652" s="246"/>
      <c r="AT652" s="246"/>
      <c r="AU652" s="246"/>
      <c r="AV652" s="246"/>
      <c r="AW652" s="246"/>
      <c r="AX652" s="246"/>
      <c r="AY652" s="246"/>
      <c r="AZ652" s="246"/>
      <c r="BA652" s="246"/>
      <c r="BB652" s="246"/>
      <c r="BC652" s="246"/>
      <c r="BD652" s="246"/>
      <c r="BE652" s="246"/>
      <c r="BF652" s="246"/>
      <c r="BG652" s="246"/>
      <c r="BH652" s="246"/>
      <c r="BI652" s="246"/>
      <c r="BJ652" s="246"/>
    </row>
    <row r="653" spans="2:62" ht="15.75">
      <c r="B653" s="7"/>
      <c r="C653" s="417"/>
      <c r="D653" s="334"/>
      <c r="E653" s="334"/>
      <c r="F653" s="406"/>
      <c r="G653" s="334"/>
      <c r="H653" s="334"/>
      <c r="I653" s="406"/>
      <c r="J653" s="406"/>
      <c r="K653" s="406"/>
      <c r="L653" s="334"/>
      <c r="M653" s="406"/>
      <c r="N653" s="406"/>
      <c r="O653" s="334"/>
      <c r="P653" s="406"/>
      <c r="Q653" s="406"/>
      <c r="R653" s="334"/>
      <c r="S653" s="406"/>
      <c r="T653" s="334"/>
      <c r="U653" s="334"/>
      <c r="V653" s="334"/>
      <c r="W653" s="334"/>
      <c r="X653" s="334"/>
      <c r="Y653" s="246"/>
      <c r="Z653" s="246"/>
      <c r="AA653" s="246"/>
      <c r="AB653" s="246"/>
      <c r="AC653" s="246"/>
      <c r="AD653" s="246"/>
      <c r="AE653" s="246"/>
      <c r="AF653" s="246"/>
      <c r="AG653" s="246"/>
      <c r="AH653" s="246"/>
      <c r="AI653" s="246"/>
      <c r="AJ653" s="246"/>
      <c r="AK653" s="246"/>
      <c r="AL653" s="246"/>
      <c r="AM653" s="246"/>
      <c r="AN653" s="246"/>
      <c r="AO653" s="246"/>
      <c r="AP653" s="246"/>
      <c r="AQ653" s="246"/>
      <c r="AR653" s="246"/>
      <c r="AS653" s="246"/>
      <c r="AT653" s="246"/>
      <c r="AU653" s="246"/>
      <c r="AV653" s="246"/>
      <c r="AW653" s="246"/>
      <c r="AX653" s="246"/>
      <c r="AY653" s="246"/>
      <c r="AZ653" s="246"/>
      <c r="BA653" s="246"/>
      <c r="BB653" s="246"/>
      <c r="BC653" s="246"/>
      <c r="BD653" s="246"/>
      <c r="BE653" s="246"/>
      <c r="BF653" s="246"/>
      <c r="BG653" s="246"/>
      <c r="BH653" s="246"/>
      <c r="BI653" s="246"/>
      <c r="BJ653" s="246"/>
    </row>
    <row r="654" spans="2:62" ht="15.75">
      <c r="B654" s="7"/>
      <c r="C654" s="334"/>
      <c r="D654" s="334"/>
      <c r="E654" s="334"/>
      <c r="F654" s="399"/>
      <c r="G654" s="334"/>
      <c r="H654" s="334"/>
      <c r="I654" s="399"/>
      <c r="J654" s="399"/>
      <c r="K654" s="399"/>
      <c r="L654" s="399"/>
      <c r="M654" s="399"/>
      <c r="N654" s="399"/>
      <c r="O654" s="399"/>
      <c r="P654" s="399"/>
      <c r="Q654" s="399"/>
      <c r="R654" s="399"/>
      <c r="S654" s="399"/>
      <c r="T654" s="334"/>
      <c r="U654" s="334"/>
      <c r="V654" s="334"/>
      <c r="W654" s="334"/>
      <c r="X654" s="334"/>
      <c r="Y654" s="246"/>
      <c r="Z654" s="246"/>
      <c r="AA654" s="246"/>
      <c r="AB654" s="246"/>
      <c r="AC654" s="246"/>
      <c r="AD654" s="246"/>
      <c r="AE654" s="246"/>
      <c r="AF654" s="246"/>
      <c r="AG654" s="246"/>
      <c r="AH654" s="246"/>
      <c r="AI654" s="246"/>
      <c r="AJ654" s="246"/>
      <c r="AK654" s="246"/>
      <c r="AL654" s="246"/>
      <c r="AM654" s="246"/>
      <c r="AN654" s="246"/>
      <c r="AO654" s="246"/>
      <c r="AP654" s="246"/>
      <c r="AQ654" s="246"/>
      <c r="AR654" s="246"/>
      <c r="AS654" s="246"/>
      <c r="AT654" s="246"/>
      <c r="AU654" s="246"/>
      <c r="AV654" s="246"/>
      <c r="AW654" s="246"/>
      <c r="AX654" s="246"/>
      <c r="AY654" s="246"/>
      <c r="AZ654" s="246"/>
      <c r="BA654" s="246"/>
      <c r="BB654" s="246"/>
      <c r="BC654" s="246"/>
      <c r="BD654" s="246"/>
      <c r="BE654" s="246"/>
      <c r="BF654" s="246"/>
      <c r="BG654" s="246"/>
      <c r="BH654" s="246"/>
      <c r="BI654" s="246"/>
      <c r="BJ654" s="246"/>
    </row>
    <row r="655" spans="2:62" ht="15.75">
      <c r="B655" s="7"/>
      <c r="C655" s="398"/>
      <c r="D655" s="398"/>
      <c r="E655" s="398"/>
      <c r="F655" s="401"/>
      <c r="G655" s="398"/>
      <c r="H655" s="398"/>
      <c r="I655" s="401"/>
      <c r="J655" s="401"/>
      <c r="K655" s="401"/>
      <c r="L655" s="401"/>
      <c r="M655" s="401"/>
      <c r="N655" s="401"/>
      <c r="O655" s="401"/>
      <c r="P655" s="401"/>
      <c r="Q655" s="401"/>
      <c r="R655" s="401"/>
      <c r="S655" s="401"/>
      <c r="T655" s="334"/>
      <c r="U655" s="334"/>
      <c r="V655" s="334"/>
      <c r="W655" s="334"/>
      <c r="X655" s="334"/>
      <c r="Y655" s="246"/>
      <c r="Z655" s="246"/>
      <c r="AA655" s="246"/>
      <c r="AB655" s="246"/>
      <c r="AC655" s="246"/>
      <c r="AD655" s="246"/>
      <c r="AE655" s="246"/>
      <c r="AF655" s="246"/>
      <c r="AG655" s="246"/>
      <c r="AH655" s="246"/>
      <c r="AI655" s="246"/>
      <c r="AJ655" s="246"/>
      <c r="AK655" s="246"/>
      <c r="AL655" s="246"/>
      <c r="AM655" s="246"/>
      <c r="AN655" s="246"/>
      <c r="AO655" s="246"/>
      <c r="AP655" s="246"/>
      <c r="AQ655" s="246"/>
      <c r="AR655" s="246"/>
      <c r="AS655" s="246"/>
      <c r="AT655" s="246"/>
      <c r="AU655" s="246"/>
      <c r="AV655" s="246"/>
      <c r="AW655" s="246"/>
      <c r="AX655" s="246"/>
      <c r="AY655" s="246"/>
      <c r="AZ655" s="246"/>
      <c r="BA655" s="246"/>
      <c r="BB655" s="246"/>
      <c r="BC655" s="246"/>
      <c r="BD655" s="246"/>
      <c r="BE655" s="246"/>
      <c r="BF655" s="246"/>
      <c r="BG655" s="246"/>
      <c r="BH655" s="246"/>
      <c r="BI655" s="246"/>
      <c r="BJ655" s="246"/>
    </row>
    <row r="656" spans="2:62" ht="15.75">
      <c r="B656" s="7"/>
      <c r="C656" s="334"/>
      <c r="D656" s="334"/>
      <c r="E656" s="334"/>
      <c r="F656" s="334"/>
      <c r="G656" s="334"/>
      <c r="H656" s="334"/>
      <c r="I656" s="334"/>
      <c r="J656" s="399"/>
      <c r="K656" s="399"/>
      <c r="L656" s="399"/>
      <c r="M656" s="399"/>
      <c r="N656" s="399"/>
      <c r="O656" s="399"/>
      <c r="P656" s="399"/>
      <c r="Q656" s="399"/>
      <c r="R656" s="399"/>
      <c r="S656" s="399"/>
      <c r="T656" s="334"/>
      <c r="U656" s="334"/>
      <c r="V656" s="334"/>
      <c r="W656" s="334"/>
      <c r="X656" s="334"/>
      <c r="Y656" s="246"/>
      <c r="Z656" s="246"/>
      <c r="AA656" s="246"/>
      <c r="AB656" s="246"/>
      <c r="AC656" s="246"/>
      <c r="AD656" s="246"/>
      <c r="AE656" s="246"/>
      <c r="AF656" s="246"/>
      <c r="AG656" s="246"/>
      <c r="AH656" s="246"/>
      <c r="AI656" s="246"/>
      <c r="AJ656" s="246"/>
      <c r="AK656" s="246"/>
      <c r="AL656" s="246"/>
      <c r="AM656" s="246"/>
      <c r="AN656" s="246"/>
      <c r="AO656" s="246"/>
      <c r="AP656" s="246"/>
      <c r="AQ656" s="246"/>
      <c r="AR656" s="246"/>
      <c r="AS656" s="246"/>
      <c r="AT656" s="246"/>
      <c r="AU656" s="246"/>
      <c r="AV656" s="246"/>
      <c r="AW656" s="246"/>
      <c r="AX656" s="246"/>
      <c r="AY656" s="246"/>
      <c r="AZ656" s="246"/>
      <c r="BA656" s="246"/>
      <c r="BB656" s="246"/>
      <c r="BC656" s="246"/>
      <c r="BD656" s="246"/>
      <c r="BE656" s="246"/>
      <c r="BF656" s="246"/>
      <c r="BG656" s="246"/>
      <c r="BH656" s="246"/>
      <c r="BI656" s="246"/>
      <c r="BJ656" s="246"/>
    </row>
    <row r="657" spans="2:62" ht="15.75">
      <c r="B657" s="7"/>
      <c r="C657" s="334"/>
      <c r="D657" s="334"/>
      <c r="E657" s="334"/>
      <c r="F657" s="334"/>
      <c r="G657" s="334"/>
      <c r="H657" s="334"/>
      <c r="I657" s="334"/>
      <c r="J657" s="334"/>
      <c r="K657" s="399"/>
      <c r="L657" s="399"/>
      <c r="M657" s="334"/>
      <c r="N657" s="399"/>
      <c r="O657" s="399"/>
      <c r="P657" s="334"/>
      <c r="Q657" s="399"/>
      <c r="R657" s="399"/>
      <c r="S657" s="334"/>
      <c r="T657" s="334"/>
      <c r="U657" s="334"/>
      <c r="V657" s="334"/>
      <c r="W657" s="334"/>
      <c r="X657" s="334"/>
      <c r="Y657" s="246"/>
      <c r="Z657" s="246"/>
      <c r="AA657" s="246"/>
      <c r="AB657" s="246"/>
      <c r="AC657" s="246"/>
      <c r="AD657" s="246"/>
      <c r="AE657" s="246"/>
      <c r="AF657" s="246"/>
      <c r="AG657" s="246"/>
      <c r="AH657" s="246"/>
      <c r="AI657" s="246"/>
      <c r="AJ657" s="246"/>
      <c r="AK657" s="246"/>
      <c r="AL657" s="246"/>
      <c r="AM657" s="246"/>
      <c r="AN657" s="246"/>
      <c r="AO657" s="246"/>
      <c r="AP657" s="246"/>
      <c r="AQ657" s="246"/>
      <c r="AR657" s="246"/>
      <c r="AS657" s="246"/>
      <c r="AT657" s="246"/>
      <c r="AU657" s="246"/>
      <c r="AV657" s="246"/>
      <c r="AW657" s="246"/>
      <c r="AX657" s="246"/>
      <c r="AY657" s="246"/>
      <c r="AZ657" s="246"/>
      <c r="BA657" s="246"/>
      <c r="BB657" s="246"/>
      <c r="BC657" s="246"/>
      <c r="BD657" s="246"/>
      <c r="BE657" s="246"/>
      <c r="BF657" s="246"/>
      <c r="BG657" s="246"/>
      <c r="BH657" s="246"/>
      <c r="BI657" s="246"/>
      <c r="BJ657" s="246"/>
    </row>
    <row r="658" spans="2:62" ht="15.75">
      <c r="B658" s="7"/>
      <c r="C658" s="334"/>
      <c r="D658" s="334"/>
      <c r="E658" s="334"/>
      <c r="F658" s="334"/>
      <c r="G658" s="334"/>
      <c r="H658" s="334"/>
      <c r="I658" s="334"/>
      <c r="J658" s="334"/>
      <c r="K658" s="399"/>
      <c r="L658" s="399"/>
      <c r="M658" s="334"/>
      <c r="N658" s="399"/>
      <c r="O658" s="399"/>
      <c r="P658" s="334"/>
      <c r="Q658" s="399"/>
      <c r="R658" s="399"/>
      <c r="S658" s="334"/>
      <c r="T658" s="334"/>
      <c r="U658" s="334"/>
      <c r="V658" s="334"/>
      <c r="W658" s="334"/>
      <c r="X658" s="334"/>
      <c r="Y658" s="246"/>
      <c r="Z658" s="246"/>
      <c r="AA658" s="246"/>
      <c r="AB658" s="246"/>
      <c r="AC658" s="246"/>
      <c r="AD658" s="246"/>
      <c r="AE658" s="246"/>
      <c r="AF658" s="246"/>
      <c r="AG658" s="246"/>
      <c r="AH658" s="246"/>
      <c r="AI658" s="246"/>
      <c r="AJ658" s="246"/>
      <c r="AK658" s="246"/>
      <c r="AL658" s="246"/>
      <c r="AM658" s="246"/>
      <c r="AN658" s="246"/>
      <c r="AO658" s="246"/>
      <c r="AP658" s="246"/>
      <c r="AQ658" s="246"/>
      <c r="AR658" s="246"/>
      <c r="AS658" s="246"/>
      <c r="AT658" s="246"/>
      <c r="AU658" s="246"/>
      <c r="AV658" s="246"/>
      <c r="AW658" s="246"/>
      <c r="AX658" s="246"/>
      <c r="AY658" s="246"/>
      <c r="AZ658" s="246"/>
      <c r="BA658" s="246"/>
      <c r="BB658" s="246"/>
      <c r="BC658" s="246"/>
      <c r="BD658" s="246"/>
      <c r="BE658" s="246"/>
      <c r="BF658" s="246"/>
      <c r="BG658" s="246"/>
      <c r="BH658" s="246"/>
      <c r="BI658" s="246"/>
      <c r="BJ658" s="246"/>
    </row>
    <row r="659" spans="2:62" ht="15.75">
      <c r="B659" s="7"/>
      <c r="C659" s="334"/>
      <c r="D659" s="334"/>
      <c r="E659" s="334"/>
      <c r="F659" s="334"/>
      <c r="G659" s="334"/>
      <c r="H659" s="334"/>
      <c r="I659" s="334"/>
      <c r="J659" s="334"/>
      <c r="K659" s="399"/>
      <c r="L659" s="399"/>
      <c r="M659" s="334"/>
      <c r="N659" s="399"/>
      <c r="O659" s="399"/>
      <c r="P659" s="334"/>
      <c r="Q659" s="399"/>
      <c r="R659" s="399"/>
      <c r="S659" s="334"/>
      <c r="T659" s="334"/>
      <c r="U659" s="334"/>
      <c r="V659" s="334"/>
      <c r="W659" s="334"/>
      <c r="X659" s="334"/>
      <c r="Y659" s="246"/>
      <c r="Z659" s="246"/>
      <c r="AA659" s="246"/>
      <c r="AB659" s="246"/>
      <c r="AC659" s="246"/>
      <c r="AD659" s="246"/>
      <c r="AE659" s="246"/>
      <c r="AF659" s="246"/>
      <c r="AG659" s="246"/>
      <c r="AH659" s="246"/>
      <c r="AI659" s="246"/>
      <c r="AJ659" s="246"/>
      <c r="AK659" s="246"/>
      <c r="AL659" s="246"/>
      <c r="AM659" s="246"/>
      <c r="AN659" s="246"/>
      <c r="AO659" s="246"/>
      <c r="AP659" s="246"/>
      <c r="AQ659" s="246"/>
      <c r="AR659" s="246"/>
      <c r="AS659" s="246"/>
      <c r="AT659" s="246"/>
      <c r="AU659" s="246"/>
      <c r="AV659" s="246"/>
      <c r="AW659" s="246"/>
      <c r="AX659" s="246"/>
      <c r="AY659" s="246"/>
      <c r="AZ659" s="246"/>
      <c r="BA659" s="246"/>
      <c r="BB659" s="246"/>
      <c r="BC659" s="246"/>
      <c r="BD659" s="246"/>
      <c r="BE659" s="246"/>
      <c r="BF659" s="246"/>
      <c r="BG659" s="246"/>
      <c r="BH659" s="246"/>
      <c r="BI659" s="246"/>
      <c r="BJ659" s="246"/>
    </row>
    <row r="660" spans="2:62" ht="15.75">
      <c r="B660" s="7"/>
      <c r="C660" s="334"/>
      <c r="D660" s="334"/>
      <c r="E660" s="334"/>
      <c r="F660" s="334"/>
      <c r="G660" s="334"/>
      <c r="H660" s="334"/>
      <c r="I660" s="334"/>
      <c r="J660" s="334"/>
      <c r="K660" s="399"/>
      <c r="L660" s="399"/>
      <c r="M660" s="334"/>
      <c r="N660" s="399"/>
      <c r="O660" s="399"/>
      <c r="P660" s="334"/>
      <c r="Q660" s="399"/>
      <c r="R660" s="399"/>
      <c r="S660" s="334"/>
      <c r="T660" s="334"/>
      <c r="U660" s="334"/>
      <c r="V660" s="334"/>
      <c r="W660" s="334"/>
      <c r="X660" s="334"/>
      <c r="Y660" s="246"/>
      <c r="Z660" s="246"/>
      <c r="AA660" s="246"/>
      <c r="AB660" s="246"/>
      <c r="AC660" s="246"/>
      <c r="AD660" s="246"/>
      <c r="AE660" s="246"/>
      <c r="AF660" s="246"/>
      <c r="AG660" s="246"/>
      <c r="AH660" s="246"/>
      <c r="AI660" s="246"/>
      <c r="AJ660" s="246"/>
      <c r="AK660" s="246"/>
      <c r="AL660" s="246"/>
      <c r="AM660" s="246"/>
      <c r="AN660" s="246"/>
      <c r="AO660" s="246"/>
      <c r="AP660" s="246"/>
      <c r="AQ660" s="246"/>
      <c r="AR660" s="246"/>
      <c r="AS660" s="246"/>
      <c r="AT660" s="246"/>
      <c r="AU660" s="246"/>
      <c r="AV660" s="246"/>
      <c r="AW660" s="246"/>
      <c r="AX660" s="246"/>
      <c r="AY660" s="246"/>
      <c r="AZ660" s="246"/>
      <c r="BA660" s="246"/>
      <c r="BB660" s="246"/>
      <c r="BC660" s="246"/>
      <c r="BD660" s="246"/>
      <c r="BE660" s="246"/>
      <c r="BF660" s="246"/>
      <c r="BG660" s="246"/>
      <c r="BH660" s="246"/>
      <c r="BI660" s="246"/>
      <c r="BJ660" s="246"/>
    </row>
    <row r="661" spans="2:62" ht="15.75">
      <c r="B661" s="7"/>
      <c r="C661" s="334"/>
      <c r="D661" s="334"/>
      <c r="E661" s="334"/>
      <c r="F661" s="334"/>
      <c r="G661" s="334"/>
      <c r="H661" s="334"/>
      <c r="I661" s="334"/>
      <c r="J661" s="334"/>
      <c r="K661" s="399"/>
      <c r="L661" s="399"/>
      <c r="M661" s="334"/>
      <c r="N661" s="399"/>
      <c r="O661" s="399"/>
      <c r="P661" s="334"/>
      <c r="Q661" s="399"/>
      <c r="R661" s="399"/>
      <c r="S661" s="334"/>
      <c r="T661" s="334"/>
      <c r="U661" s="334"/>
      <c r="V661" s="334"/>
      <c r="W661" s="334"/>
      <c r="X661" s="334"/>
      <c r="Y661" s="246"/>
      <c r="Z661" s="246"/>
      <c r="AA661" s="246"/>
      <c r="AB661" s="246"/>
      <c r="AC661" s="246"/>
      <c r="AD661" s="246"/>
      <c r="AE661" s="246"/>
      <c r="AF661" s="246"/>
      <c r="AG661" s="246"/>
      <c r="AH661" s="246"/>
      <c r="AI661" s="246"/>
      <c r="AJ661" s="246"/>
      <c r="AK661" s="246"/>
      <c r="AL661" s="246"/>
      <c r="AM661" s="246"/>
      <c r="AN661" s="246"/>
      <c r="AO661" s="246"/>
      <c r="AP661" s="246"/>
      <c r="AQ661" s="246"/>
      <c r="AR661" s="246"/>
      <c r="AS661" s="246"/>
      <c r="AT661" s="246"/>
      <c r="AU661" s="246"/>
      <c r="AV661" s="246"/>
      <c r="AW661" s="246"/>
      <c r="AX661" s="246"/>
      <c r="AY661" s="246"/>
      <c r="AZ661" s="246"/>
      <c r="BA661" s="246"/>
      <c r="BB661" s="246"/>
      <c r="BC661" s="246"/>
      <c r="BD661" s="246"/>
      <c r="BE661" s="246"/>
      <c r="BF661" s="246"/>
      <c r="BG661" s="246"/>
      <c r="BH661" s="246"/>
      <c r="BI661" s="246"/>
      <c r="BJ661" s="246"/>
    </row>
    <row r="662" spans="2:62" ht="15.75">
      <c r="B662" s="7"/>
      <c r="C662" s="334"/>
      <c r="D662" s="334"/>
      <c r="E662" s="334"/>
      <c r="F662" s="334"/>
      <c r="G662" s="334"/>
      <c r="H662" s="334"/>
      <c r="I662" s="334"/>
      <c r="J662" s="334"/>
      <c r="K662" s="399"/>
      <c r="L662" s="401"/>
      <c r="M662" s="334"/>
      <c r="N662" s="399"/>
      <c r="O662" s="399"/>
      <c r="P662" s="334"/>
      <c r="Q662" s="399"/>
      <c r="R662" s="401"/>
      <c r="S662" s="334"/>
      <c r="T662" s="334"/>
      <c r="U662" s="334"/>
      <c r="V662" s="334"/>
      <c r="W662" s="334"/>
      <c r="X662" s="334"/>
      <c r="Y662" s="246"/>
      <c r="Z662" s="246"/>
      <c r="AA662" s="246"/>
      <c r="AB662" s="246"/>
      <c r="AC662" s="246"/>
      <c r="AD662" s="246"/>
      <c r="AE662" s="246"/>
      <c r="AF662" s="246"/>
      <c r="AG662" s="246"/>
      <c r="AH662" s="246"/>
      <c r="AI662" s="246"/>
      <c r="AJ662" s="246"/>
      <c r="AK662" s="246"/>
      <c r="AL662" s="246"/>
      <c r="AM662" s="246"/>
      <c r="AN662" s="246"/>
      <c r="AO662" s="246"/>
      <c r="AP662" s="246"/>
      <c r="AQ662" s="246"/>
      <c r="AR662" s="246"/>
      <c r="AS662" s="246"/>
      <c r="AT662" s="246"/>
      <c r="AU662" s="246"/>
      <c r="AV662" s="246"/>
      <c r="AW662" s="246"/>
      <c r="AX662" s="246"/>
      <c r="AY662" s="246"/>
      <c r="AZ662" s="246"/>
      <c r="BA662" s="246"/>
      <c r="BB662" s="246"/>
      <c r="BC662" s="246"/>
      <c r="BD662" s="246"/>
      <c r="BE662" s="246"/>
      <c r="BF662" s="246"/>
      <c r="BG662" s="246"/>
      <c r="BH662" s="246"/>
      <c r="BI662" s="246"/>
      <c r="BJ662" s="246"/>
    </row>
    <row r="663" spans="2:62" ht="15.75">
      <c r="B663" s="7"/>
      <c r="C663" s="334"/>
      <c r="D663" s="334"/>
      <c r="E663" s="334"/>
      <c r="F663" s="334"/>
      <c r="G663" s="334"/>
      <c r="H663" s="334"/>
      <c r="I663" s="334"/>
      <c r="J663" s="334"/>
      <c r="K663" s="399"/>
      <c r="L663" s="399"/>
      <c r="M663" s="334"/>
      <c r="N663" s="399"/>
      <c r="O663" s="399"/>
      <c r="P663" s="334"/>
      <c r="Q663" s="399"/>
      <c r="R663" s="399"/>
      <c r="S663" s="334"/>
      <c r="T663" s="334"/>
      <c r="U663" s="334"/>
      <c r="V663" s="334"/>
      <c r="W663" s="334"/>
      <c r="X663" s="334"/>
      <c r="Y663" s="246"/>
      <c r="Z663" s="246"/>
      <c r="AA663" s="246"/>
      <c r="AB663" s="246"/>
      <c r="AC663" s="246"/>
      <c r="AD663" s="246"/>
      <c r="AE663" s="246"/>
      <c r="AF663" s="246"/>
      <c r="AG663" s="246"/>
      <c r="AH663" s="246"/>
      <c r="AI663" s="246"/>
      <c r="AJ663" s="246"/>
      <c r="AK663" s="246"/>
      <c r="AL663" s="246"/>
      <c r="AM663" s="246"/>
      <c r="AN663" s="246"/>
      <c r="AO663" s="246"/>
      <c r="AP663" s="246"/>
      <c r="AQ663" s="246"/>
      <c r="AR663" s="246"/>
      <c r="AS663" s="246"/>
      <c r="AT663" s="246"/>
      <c r="AU663" s="246"/>
      <c r="AV663" s="246"/>
      <c r="AW663" s="246"/>
      <c r="AX663" s="246"/>
      <c r="AY663" s="246"/>
      <c r="AZ663" s="246"/>
      <c r="BA663" s="246"/>
      <c r="BB663" s="246"/>
      <c r="BC663" s="246"/>
      <c r="BD663" s="246"/>
      <c r="BE663" s="246"/>
      <c r="BF663" s="246"/>
      <c r="BG663" s="246"/>
      <c r="BH663" s="246"/>
      <c r="BI663" s="246"/>
      <c r="BJ663" s="246"/>
    </row>
    <row r="664" spans="2:62" ht="15.75">
      <c r="B664" s="7"/>
      <c r="C664" s="334"/>
      <c r="D664" s="334"/>
      <c r="E664" s="334"/>
      <c r="F664" s="334"/>
      <c r="G664" s="334"/>
      <c r="H664" s="334"/>
      <c r="I664" s="334"/>
      <c r="J664" s="334"/>
      <c r="K664" s="334"/>
      <c r="L664" s="334"/>
      <c r="M664" s="334"/>
      <c r="N664" s="401"/>
      <c r="O664" s="401"/>
      <c r="P664" s="334"/>
      <c r="Q664" s="401"/>
      <c r="R664" s="334"/>
      <c r="S664" s="334"/>
      <c r="T664" s="334"/>
      <c r="U664" s="334"/>
      <c r="V664" s="334"/>
      <c r="W664" s="334"/>
      <c r="X664" s="334"/>
      <c r="Y664" s="246"/>
      <c r="Z664" s="246"/>
      <c r="AA664" s="246"/>
      <c r="AB664" s="246"/>
      <c r="AC664" s="246"/>
      <c r="AD664" s="246"/>
      <c r="AE664" s="246"/>
      <c r="AF664" s="246"/>
      <c r="AG664" s="246"/>
      <c r="AH664" s="246"/>
      <c r="AI664" s="246"/>
      <c r="AJ664" s="246"/>
      <c r="AK664" s="246"/>
      <c r="AL664" s="246"/>
      <c r="AM664" s="246"/>
      <c r="AN664" s="246"/>
      <c r="AO664" s="246"/>
      <c r="AP664" s="246"/>
      <c r="AQ664" s="246"/>
      <c r="AR664" s="246"/>
      <c r="AS664" s="246"/>
      <c r="AT664" s="246"/>
      <c r="AU664" s="246"/>
      <c r="AV664" s="246"/>
      <c r="AW664" s="246"/>
      <c r="AX664" s="246"/>
      <c r="AY664" s="246"/>
      <c r="AZ664" s="246"/>
      <c r="BA664" s="246"/>
      <c r="BB664" s="246"/>
      <c r="BC664" s="246"/>
      <c r="BD664" s="246"/>
      <c r="BE664" s="246"/>
      <c r="BF664" s="246"/>
      <c r="BG664" s="246"/>
      <c r="BH664" s="246"/>
      <c r="BI664" s="246"/>
      <c r="BJ664" s="246"/>
    </row>
    <row r="665" spans="2:62" ht="15.75">
      <c r="B665" s="7"/>
      <c r="C665" s="334"/>
      <c r="D665" s="334"/>
      <c r="E665" s="334"/>
      <c r="F665" s="334"/>
      <c r="G665" s="334"/>
      <c r="H665" s="334"/>
      <c r="I665" s="334"/>
      <c r="J665" s="334"/>
      <c r="K665" s="401"/>
      <c r="L665" s="401"/>
      <c r="M665" s="334"/>
      <c r="N665" s="399"/>
      <c r="O665" s="399"/>
      <c r="P665" s="334"/>
      <c r="Q665" s="399"/>
      <c r="R665" s="401"/>
      <c r="S665" s="334"/>
      <c r="T665" s="334"/>
      <c r="U665" s="334"/>
      <c r="V665" s="334"/>
      <c r="W665" s="334"/>
      <c r="X665" s="334"/>
      <c r="Y665" s="246"/>
      <c r="Z665" s="246"/>
      <c r="AA665" s="246"/>
      <c r="AB665" s="246"/>
      <c r="AC665" s="246"/>
      <c r="AD665" s="246"/>
      <c r="AE665" s="246"/>
      <c r="AF665" s="246"/>
      <c r="AG665" s="246"/>
      <c r="AH665" s="246"/>
      <c r="AI665" s="246"/>
      <c r="AJ665" s="246"/>
      <c r="AK665" s="246"/>
      <c r="AL665" s="246"/>
      <c r="AM665" s="246"/>
      <c r="AN665" s="246"/>
      <c r="AO665" s="246"/>
      <c r="AP665" s="246"/>
      <c r="AQ665" s="246"/>
      <c r="AR665" s="246"/>
      <c r="AS665" s="246"/>
      <c r="AT665" s="246"/>
      <c r="AU665" s="246"/>
      <c r="AV665" s="246"/>
      <c r="AW665" s="246"/>
      <c r="AX665" s="246"/>
      <c r="AY665" s="246"/>
      <c r="AZ665" s="246"/>
      <c r="BA665" s="246"/>
      <c r="BB665" s="246"/>
      <c r="BC665" s="246"/>
      <c r="BD665" s="246"/>
      <c r="BE665" s="246"/>
      <c r="BF665" s="246"/>
      <c r="BG665" s="246"/>
      <c r="BH665" s="246"/>
      <c r="BI665" s="246"/>
      <c r="BJ665" s="246"/>
    </row>
    <row r="666" spans="2:62" ht="15.75">
      <c r="B666" s="7"/>
      <c r="C666" s="334"/>
      <c r="D666" s="334"/>
      <c r="E666" s="334"/>
      <c r="F666" s="334"/>
      <c r="G666" s="334"/>
      <c r="H666" s="334"/>
      <c r="I666" s="334"/>
      <c r="J666" s="334"/>
      <c r="K666" s="399"/>
      <c r="L666" s="399"/>
      <c r="M666" s="334"/>
      <c r="N666" s="399"/>
      <c r="O666" s="399"/>
      <c r="P666" s="334"/>
      <c r="Q666" s="399"/>
      <c r="R666" s="399"/>
      <c r="S666" s="334"/>
      <c r="T666" s="334"/>
      <c r="U666" s="334"/>
      <c r="V666" s="334"/>
      <c r="W666" s="334"/>
      <c r="X666" s="334"/>
      <c r="Y666" s="246"/>
      <c r="Z666" s="246"/>
      <c r="AA666" s="246"/>
      <c r="AB666" s="246"/>
      <c r="AC666" s="246"/>
      <c r="AD666" s="246"/>
      <c r="AE666" s="246"/>
      <c r="AF666" s="246"/>
      <c r="AG666" s="246"/>
      <c r="AH666" s="246"/>
      <c r="AI666" s="246"/>
      <c r="AJ666" s="246"/>
      <c r="AK666" s="246"/>
      <c r="AL666" s="246"/>
      <c r="AM666" s="246"/>
      <c r="AN666" s="246"/>
      <c r="AO666" s="246"/>
      <c r="AP666" s="246"/>
      <c r="AQ666" s="246"/>
      <c r="AR666" s="246"/>
      <c r="AS666" s="246"/>
      <c r="AT666" s="246"/>
      <c r="AU666" s="246"/>
      <c r="AV666" s="246"/>
      <c r="AW666" s="246"/>
      <c r="AX666" s="246"/>
      <c r="AY666" s="246"/>
      <c r="AZ666" s="246"/>
      <c r="BA666" s="246"/>
      <c r="BB666" s="246"/>
      <c r="BC666" s="246"/>
      <c r="BD666" s="246"/>
      <c r="BE666" s="246"/>
      <c r="BF666" s="246"/>
      <c r="BG666" s="246"/>
      <c r="BH666" s="246"/>
      <c r="BI666" s="246"/>
      <c r="BJ666" s="246"/>
    </row>
    <row r="667" spans="2:62" ht="15.75">
      <c r="B667" s="7"/>
      <c r="C667" s="334"/>
      <c r="D667" s="334"/>
      <c r="E667" s="334"/>
      <c r="F667" s="334"/>
      <c r="G667" s="334"/>
      <c r="H667" s="334"/>
      <c r="I667" s="334"/>
      <c r="J667" s="334"/>
      <c r="K667" s="399"/>
      <c r="L667" s="399"/>
      <c r="M667" s="334"/>
      <c r="N667" s="399"/>
      <c r="O667" s="399"/>
      <c r="P667" s="334"/>
      <c r="Q667" s="399"/>
      <c r="R667" s="399"/>
      <c r="S667" s="334"/>
      <c r="T667" s="334"/>
      <c r="U667" s="334"/>
      <c r="V667" s="334"/>
      <c r="W667" s="334"/>
      <c r="X667" s="334"/>
      <c r="Y667" s="246"/>
      <c r="Z667" s="246"/>
      <c r="AA667" s="246"/>
      <c r="AB667" s="246"/>
      <c r="AC667" s="246"/>
      <c r="AD667" s="246"/>
      <c r="AE667" s="246"/>
      <c r="AF667" s="246"/>
      <c r="AG667" s="246"/>
      <c r="AH667" s="246"/>
      <c r="AI667" s="246"/>
      <c r="AJ667" s="246"/>
      <c r="AK667" s="246"/>
      <c r="AL667" s="246"/>
      <c r="AM667" s="246"/>
      <c r="AN667" s="246"/>
      <c r="AO667" s="246"/>
      <c r="AP667" s="246"/>
      <c r="AQ667" s="246"/>
      <c r="AR667" s="246"/>
      <c r="AS667" s="246"/>
      <c r="AT667" s="246"/>
      <c r="AU667" s="246"/>
      <c r="AV667" s="246"/>
      <c r="AW667" s="246"/>
      <c r="AX667" s="246"/>
      <c r="AY667" s="246"/>
      <c r="AZ667" s="246"/>
      <c r="BA667" s="246"/>
      <c r="BB667" s="246"/>
      <c r="BC667" s="246"/>
      <c r="BD667" s="246"/>
      <c r="BE667" s="246"/>
      <c r="BF667" s="246"/>
      <c r="BG667" s="246"/>
      <c r="BH667" s="246"/>
      <c r="BI667" s="246"/>
      <c r="BJ667" s="246"/>
    </row>
    <row r="668" spans="2:62" ht="15.75">
      <c r="B668" s="7"/>
      <c r="C668" s="334"/>
      <c r="D668" s="334"/>
      <c r="E668" s="334"/>
      <c r="F668" s="334"/>
      <c r="G668" s="334"/>
      <c r="H668" s="334"/>
      <c r="I668" s="334"/>
      <c r="J668" s="334"/>
      <c r="K668" s="399"/>
      <c r="L668" s="399"/>
      <c r="M668" s="334"/>
      <c r="N668" s="399"/>
      <c r="O668" s="399"/>
      <c r="P668" s="334"/>
      <c r="Q668" s="399"/>
      <c r="R668" s="399"/>
      <c r="S668" s="334"/>
      <c r="T668" s="334"/>
      <c r="U668" s="334"/>
      <c r="V668" s="334"/>
      <c r="W668" s="334"/>
      <c r="X668" s="334"/>
      <c r="Y668" s="246"/>
      <c r="Z668" s="246"/>
      <c r="AA668" s="246"/>
      <c r="AB668" s="246"/>
      <c r="AC668" s="246"/>
      <c r="AD668" s="246"/>
      <c r="AE668" s="246"/>
      <c r="AF668" s="246"/>
      <c r="AG668" s="246"/>
      <c r="AH668" s="246"/>
      <c r="AI668" s="246"/>
      <c r="AJ668" s="246"/>
      <c r="AK668" s="246"/>
      <c r="AL668" s="246"/>
      <c r="AM668" s="246"/>
      <c r="AN668" s="246"/>
      <c r="AO668" s="246"/>
      <c r="AP668" s="246"/>
      <c r="AQ668" s="246"/>
      <c r="AR668" s="246"/>
      <c r="AS668" s="246"/>
      <c r="AT668" s="246"/>
      <c r="AU668" s="246"/>
      <c r="AV668" s="246"/>
      <c r="AW668" s="246"/>
      <c r="AX668" s="246"/>
      <c r="AY668" s="246"/>
      <c r="AZ668" s="246"/>
      <c r="BA668" s="246"/>
      <c r="BB668" s="246"/>
      <c r="BC668" s="246"/>
      <c r="BD668" s="246"/>
      <c r="BE668" s="246"/>
      <c r="BF668" s="246"/>
      <c r="BG668" s="246"/>
      <c r="BH668" s="246"/>
      <c r="BI668" s="246"/>
      <c r="BJ668" s="246"/>
    </row>
    <row r="669" spans="2:62" ht="15.75">
      <c r="B669" s="7"/>
      <c r="C669" s="334"/>
      <c r="D669" s="334"/>
      <c r="E669" s="334"/>
      <c r="F669" s="334"/>
      <c r="G669" s="334"/>
      <c r="H669" s="334"/>
      <c r="I669" s="334"/>
      <c r="J669" s="334"/>
      <c r="K669" s="399"/>
      <c r="L669" s="399"/>
      <c r="M669" s="334"/>
      <c r="N669" s="399"/>
      <c r="O669" s="399"/>
      <c r="P669" s="334"/>
      <c r="Q669" s="399"/>
      <c r="R669" s="399"/>
      <c r="S669" s="334"/>
      <c r="T669" s="334"/>
      <c r="U669" s="334"/>
      <c r="V669" s="334"/>
      <c r="W669" s="334"/>
      <c r="X669" s="334"/>
      <c r="Y669" s="246"/>
      <c r="Z669" s="246"/>
      <c r="AA669" s="246"/>
      <c r="AB669" s="246"/>
      <c r="AC669" s="246"/>
      <c r="AD669" s="246"/>
      <c r="AE669" s="246"/>
      <c r="AF669" s="246"/>
      <c r="AG669" s="246"/>
      <c r="AH669" s="246"/>
      <c r="AI669" s="246"/>
      <c r="AJ669" s="246"/>
      <c r="AK669" s="246"/>
      <c r="AL669" s="246"/>
      <c r="AM669" s="246"/>
      <c r="AN669" s="246"/>
      <c r="AO669" s="246"/>
      <c r="AP669" s="246"/>
      <c r="AQ669" s="246"/>
      <c r="AR669" s="246"/>
      <c r="AS669" s="246"/>
      <c r="AT669" s="246"/>
      <c r="AU669" s="246"/>
      <c r="AV669" s="246"/>
      <c r="AW669" s="246"/>
      <c r="AX669" s="246"/>
      <c r="AY669" s="246"/>
      <c r="AZ669" s="246"/>
      <c r="BA669" s="246"/>
      <c r="BB669" s="246"/>
      <c r="BC669" s="246"/>
      <c r="BD669" s="246"/>
      <c r="BE669" s="246"/>
      <c r="BF669" s="246"/>
      <c r="BG669" s="246"/>
      <c r="BH669" s="246"/>
      <c r="BI669" s="246"/>
      <c r="BJ669" s="246"/>
    </row>
    <row r="670" spans="2:62" ht="15.75">
      <c r="B670" s="7"/>
      <c r="C670" s="334"/>
      <c r="D670" s="334"/>
      <c r="E670" s="334"/>
      <c r="F670" s="334"/>
      <c r="G670" s="334"/>
      <c r="H670" s="334"/>
      <c r="I670" s="334"/>
      <c r="J670" s="334"/>
      <c r="K670" s="399"/>
      <c r="L670" s="399"/>
      <c r="M670" s="334"/>
      <c r="N670" s="399"/>
      <c r="O670" s="399"/>
      <c r="P670" s="334"/>
      <c r="Q670" s="399"/>
      <c r="R670" s="399"/>
      <c r="S670" s="334"/>
      <c r="T670" s="334"/>
      <c r="U670" s="334"/>
      <c r="V670" s="334"/>
      <c r="W670" s="334"/>
      <c r="X670" s="334"/>
      <c r="Y670" s="246"/>
      <c r="Z670" s="246"/>
      <c r="AA670" s="246"/>
      <c r="AB670" s="246"/>
      <c r="AC670" s="246"/>
      <c r="AD670" s="246"/>
      <c r="AE670" s="246"/>
      <c r="AF670" s="246"/>
      <c r="AG670" s="246"/>
      <c r="AH670" s="246"/>
      <c r="AI670" s="246"/>
      <c r="AJ670" s="246"/>
      <c r="AK670" s="246"/>
      <c r="AL670" s="246"/>
      <c r="AM670" s="246"/>
      <c r="AN670" s="246"/>
      <c r="AO670" s="246"/>
      <c r="AP670" s="246"/>
      <c r="AQ670" s="246"/>
      <c r="AR670" s="246"/>
      <c r="AS670" s="246"/>
      <c r="AT670" s="246"/>
      <c r="AU670" s="246"/>
      <c r="AV670" s="246"/>
      <c r="AW670" s="246"/>
      <c r="AX670" s="246"/>
      <c r="AY670" s="246"/>
      <c r="AZ670" s="246"/>
      <c r="BA670" s="246"/>
      <c r="BB670" s="246"/>
      <c r="BC670" s="246"/>
      <c r="BD670" s="246"/>
      <c r="BE670" s="246"/>
      <c r="BF670" s="246"/>
      <c r="BG670" s="246"/>
      <c r="BH670" s="246"/>
      <c r="BI670" s="246"/>
      <c r="BJ670" s="246"/>
    </row>
    <row r="671" spans="2:62" ht="15.75">
      <c r="B671" s="7"/>
      <c r="C671" s="334"/>
      <c r="D671" s="334"/>
      <c r="E671" s="334"/>
      <c r="F671" s="334"/>
      <c r="G671" s="334"/>
      <c r="H671" s="334"/>
      <c r="I671" s="334"/>
      <c r="J671" s="334"/>
      <c r="K671" s="399"/>
      <c r="L671" s="399"/>
      <c r="M671" s="334"/>
      <c r="N671" s="399"/>
      <c r="O671" s="399"/>
      <c r="P671" s="334"/>
      <c r="Q671" s="399"/>
      <c r="R671" s="399"/>
      <c r="S671" s="334"/>
      <c r="T671" s="334"/>
      <c r="U671" s="334"/>
      <c r="V671" s="334"/>
      <c r="W671" s="334"/>
      <c r="X671" s="334"/>
      <c r="Y671" s="246"/>
      <c r="Z671" s="246"/>
      <c r="AA671" s="246"/>
      <c r="AB671" s="246"/>
      <c r="AC671" s="246"/>
      <c r="AD671" s="246"/>
      <c r="AE671" s="246"/>
      <c r="AF671" s="246"/>
      <c r="AG671" s="246"/>
      <c r="AH671" s="246"/>
      <c r="AI671" s="246"/>
      <c r="AJ671" s="246"/>
      <c r="AK671" s="246"/>
      <c r="AL671" s="246"/>
      <c r="AM671" s="246"/>
      <c r="AN671" s="246"/>
      <c r="AO671" s="246"/>
      <c r="AP671" s="246"/>
      <c r="AQ671" s="246"/>
      <c r="AR671" s="246"/>
      <c r="AS671" s="246"/>
      <c r="AT671" s="246"/>
      <c r="AU671" s="246"/>
      <c r="AV671" s="246"/>
      <c r="AW671" s="246"/>
      <c r="AX671" s="246"/>
      <c r="AY671" s="246"/>
      <c r="AZ671" s="246"/>
      <c r="BA671" s="246"/>
      <c r="BB671" s="246"/>
      <c r="BC671" s="246"/>
      <c r="BD671" s="246"/>
      <c r="BE671" s="246"/>
      <c r="BF671" s="246"/>
      <c r="BG671" s="246"/>
      <c r="BH671" s="246"/>
      <c r="BI671" s="246"/>
      <c r="BJ671" s="246"/>
    </row>
    <row r="672" spans="2:62" ht="15.75">
      <c r="B672" s="7"/>
      <c r="C672" s="334"/>
      <c r="D672" s="334"/>
      <c r="E672" s="334"/>
      <c r="F672" s="334"/>
      <c r="G672" s="334"/>
      <c r="H672" s="334"/>
      <c r="I672" s="334"/>
      <c r="J672" s="334"/>
      <c r="K672" s="399"/>
      <c r="L672" s="399"/>
      <c r="M672" s="334"/>
      <c r="N672" s="399"/>
      <c r="O672" s="399"/>
      <c r="P672" s="334"/>
      <c r="Q672" s="399"/>
      <c r="R672" s="399"/>
      <c r="S672" s="334"/>
      <c r="T672" s="334"/>
      <c r="U672" s="334"/>
      <c r="V672" s="334"/>
      <c r="W672" s="334"/>
      <c r="X672" s="334"/>
      <c r="Y672" s="246"/>
      <c r="Z672" s="246"/>
      <c r="AA672" s="246"/>
      <c r="AB672" s="246"/>
      <c r="AC672" s="246"/>
      <c r="AD672" s="246"/>
      <c r="AE672" s="246"/>
      <c r="AF672" s="246"/>
      <c r="AG672" s="246"/>
      <c r="AH672" s="246"/>
      <c r="AI672" s="246"/>
      <c r="AJ672" s="246"/>
      <c r="AK672" s="246"/>
      <c r="AL672" s="246"/>
      <c r="AM672" s="246"/>
      <c r="AN672" s="246"/>
      <c r="AO672" s="246"/>
      <c r="AP672" s="246"/>
      <c r="AQ672" s="246"/>
      <c r="AR672" s="246"/>
      <c r="AS672" s="246"/>
      <c r="AT672" s="246"/>
      <c r="AU672" s="246"/>
      <c r="AV672" s="246"/>
      <c r="AW672" s="246"/>
      <c r="AX672" s="246"/>
      <c r="AY672" s="246"/>
      <c r="AZ672" s="246"/>
      <c r="BA672" s="246"/>
      <c r="BB672" s="246"/>
      <c r="BC672" s="246"/>
      <c r="BD672" s="246"/>
      <c r="BE672" s="246"/>
      <c r="BF672" s="246"/>
      <c r="BG672" s="246"/>
      <c r="BH672" s="246"/>
      <c r="BI672" s="246"/>
      <c r="BJ672" s="246"/>
    </row>
    <row r="673" spans="2:62" ht="15.75">
      <c r="B673" s="7"/>
      <c r="C673" s="334"/>
      <c r="D673" s="334"/>
      <c r="E673" s="334"/>
      <c r="F673" s="334"/>
      <c r="G673" s="334"/>
      <c r="H673" s="334"/>
      <c r="I673" s="334"/>
      <c r="J673" s="334"/>
      <c r="K673" s="399"/>
      <c r="L673" s="399"/>
      <c r="M673" s="334"/>
      <c r="N673" s="399"/>
      <c r="O673" s="399"/>
      <c r="P673" s="334"/>
      <c r="Q673" s="399"/>
      <c r="R673" s="399"/>
      <c r="S673" s="334"/>
      <c r="T673" s="334"/>
      <c r="U673" s="334"/>
      <c r="V673" s="334"/>
      <c r="W673" s="334"/>
      <c r="X673" s="334"/>
      <c r="Y673" s="246"/>
      <c r="Z673" s="246"/>
      <c r="AA673" s="246"/>
      <c r="AB673" s="246"/>
      <c r="AC673" s="246"/>
      <c r="AD673" s="246"/>
      <c r="AE673" s="246"/>
      <c r="AF673" s="246"/>
      <c r="AG673" s="246"/>
      <c r="AH673" s="246"/>
      <c r="AI673" s="246"/>
      <c r="AJ673" s="246"/>
      <c r="AK673" s="246"/>
      <c r="AL673" s="246"/>
      <c r="AM673" s="246"/>
      <c r="AN673" s="246"/>
      <c r="AO673" s="246"/>
      <c r="AP673" s="246"/>
      <c r="AQ673" s="246"/>
      <c r="AR673" s="246"/>
      <c r="AS673" s="246"/>
      <c r="AT673" s="246"/>
      <c r="AU673" s="246"/>
      <c r="AV673" s="246"/>
      <c r="AW673" s="246"/>
      <c r="AX673" s="246"/>
      <c r="AY673" s="246"/>
      <c r="AZ673" s="246"/>
      <c r="BA673" s="246"/>
      <c r="BB673" s="246"/>
      <c r="BC673" s="246"/>
      <c r="BD673" s="246"/>
      <c r="BE673" s="246"/>
      <c r="BF673" s="246"/>
      <c r="BG673" s="246"/>
      <c r="BH673" s="246"/>
      <c r="BI673" s="246"/>
      <c r="BJ673" s="246"/>
    </row>
    <row r="674" spans="2:62" ht="15.75">
      <c r="B674" s="7"/>
      <c r="C674" s="334"/>
      <c r="D674" s="334"/>
      <c r="E674" s="334"/>
      <c r="F674" s="334"/>
      <c r="G674" s="334"/>
      <c r="H674" s="334"/>
      <c r="I674" s="334"/>
      <c r="J674" s="334"/>
      <c r="K674" s="399"/>
      <c r="L674" s="399"/>
      <c r="M674" s="334"/>
      <c r="N674" s="401"/>
      <c r="O674" s="401"/>
      <c r="P674" s="334"/>
      <c r="Q674" s="401"/>
      <c r="R674" s="399"/>
      <c r="S674" s="334"/>
      <c r="T674" s="334"/>
      <c r="U674" s="334"/>
      <c r="V674" s="334"/>
      <c r="W674" s="334"/>
      <c r="X674" s="334"/>
      <c r="Y674" s="246"/>
      <c r="Z674" s="246"/>
      <c r="AA674" s="246"/>
      <c r="AB674" s="246"/>
      <c r="AC674" s="246"/>
      <c r="AD674" s="246"/>
      <c r="AE674" s="246"/>
      <c r="AF674" s="246"/>
      <c r="AG674" s="246"/>
      <c r="AH674" s="246"/>
      <c r="AI674" s="246"/>
      <c r="AJ674" s="246"/>
      <c r="AK674" s="246"/>
      <c r="AL674" s="246"/>
      <c r="AM674" s="246"/>
      <c r="AN674" s="246"/>
      <c r="AO674" s="246"/>
      <c r="AP674" s="246"/>
      <c r="AQ674" s="246"/>
      <c r="AR674" s="246"/>
      <c r="AS674" s="246"/>
      <c r="AT674" s="246"/>
      <c r="AU674" s="246"/>
      <c r="AV674" s="246"/>
      <c r="AW674" s="246"/>
      <c r="AX674" s="246"/>
      <c r="AY674" s="246"/>
      <c r="AZ674" s="246"/>
      <c r="BA674" s="246"/>
      <c r="BB674" s="246"/>
      <c r="BC674" s="246"/>
      <c r="BD674" s="246"/>
      <c r="BE674" s="246"/>
      <c r="BF674" s="246"/>
      <c r="BG674" s="246"/>
      <c r="BH674" s="246"/>
      <c r="BI674" s="246"/>
      <c r="BJ674" s="246"/>
    </row>
    <row r="675" spans="2:62" ht="15.75">
      <c r="B675" s="7"/>
      <c r="C675" s="334"/>
      <c r="D675" s="334"/>
      <c r="E675" s="334"/>
      <c r="F675" s="334"/>
      <c r="G675" s="334"/>
      <c r="H675" s="334"/>
      <c r="I675" s="334"/>
      <c r="J675" s="334"/>
      <c r="K675" s="401"/>
      <c r="L675" s="401"/>
      <c r="M675" s="334"/>
      <c r="N675" s="399"/>
      <c r="O675" s="399"/>
      <c r="P675" s="334"/>
      <c r="Q675" s="399"/>
      <c r="R675" s="401"/>
      <c r="S675" s="334"/>
      <c r="T675" s="334"/>
      <c r="U675" s="334"/>
      <c r="V675" s="334"/>
      <c r="W675" s="334"/>
      <c r="X675" s="334"/>
      <c r="Y675" s="246"/>
      <c r="Z675" s="246"/>
      <c r="AA675" s="246"/>
      <c r="AB675" s="246"/>
      <c r="AC675" s="246"/>
      <c r="AD675" s="246"/>
      <c r="AE675" s="246"/>
      <c r="AF675" s="246"/>
      <c r="AG675" s="246"/>
      <c r="AH675" s="246"/>
      <c r="AI675" s="246"/>
      <c r="AJ675" s="246"/>
      <c r="AK675" s="246"/>
      <c r="AL675" s="246"/>
      <c r="AM675" s="246"/>
      <c r="AN675" s="246"/>
      <c r="AO675" s="246"/>
      <c r="AP675" s="246"/>
      <c r="AQ675" s="246"/>
      <c r="AR675" s="246"/>
      <c r="AS675" s="246"/>
      <c r="AT675" s="246"/>
      <c r="AU675" s="246"/>
      <c r="AV675" s="246"/>
      <c r="AW675" s="246"/>
      <c r="AX675" s="246"/>
      <c r="AY675" s="246"/>
      <c r="AZ675" s="246"/>
      <c r="BA675" s="246"/>
      <c r="BB675" s="246"/>
      <c r="BC675" s="246"/>
      <c r="BD675" s="246"/>
      <c r="BE675" s="246"/>
      <c r="BF675" s="246"/>
      <c r="BG675" s="246"/>
      <c r="BH675" s="246"/>
      <c r="BI675" s="246"/>
      <c r="BJ675" s="246"/>
    </row>
    <row r="676" spans="2:62" ht="15.75">
      <c r="B676" s="7"/>
      <c r="C676" s="334"/>
      <c r="D676" s="334"/>
      <c r="E676" s="334"/>
      <c r="F676" s="334"/>
      <c r="G676" s="334"/>
      <c r="H676" s="334"/>
      <c r="I676" s="334"/>
      <c r="J676" s="334"/>
      <c r="K676" s="399"/>
      <c r="L676" s="399"/>
      <c r="M676" s="334"/>
      <c r="N676" s="399"/>
      <c r="O676" s="399"/>
      <c r="P676" s="334"/>
      <c r="Q676" s="399"/>
      <c r="R676" s="399"/>
      <c r="S676" s="334"/>
      <c r="T676" s="334"/>
      <c r="U676" s="334"/>
      <c r="V676" s="334"/>
      <c r="W676" s="334"/>
      <c r="X676" s="334"/>
      <c r="Y676" s="246"/>
      <c r="Z676" s="246"/>
      <c r="AA676" s="246"/>
      <c r="AB676" s="246"/>
      <c r="AC676" s="246"/>
      <c r="AD676" s="246"/>
      <c r="AE676" s="246"/>
      <c r="AF676" s="246"/>
      <c r="AG676" s="246"/>
      <c r="AH676" s="246"/>
      <c r="AI676" s="246"/>
      <c r="AJ676" s="246"/>
      <c r="AK676" s="246"/>
      <c r="AL676" s="246"/>
      <c r="AM676" s="246"/>
      <c r="AN676" s="246"/>
      <c r="AO676" s="246"/>
      <c r="AP676" s="246"/>
      <c r="AQ676" s="246"/>
      <c r="AR676" s="246"/>
      <c r="AS676" s="246"/>
      <c r="AT676" s="246"/>
      <c r="AU676" s="246"/>
      <c r="AV676" s="246"/>
      <c r="AW676" s="246"/>
      <c r="AX676" s="246"/>
      <c r="AY676" s="246"/>
      <c r="AZ676" s="246"/>
      <c r="BA676" s="246"/>
      <c r="BB676" s="246"/>
      <c r="BC676" s="246"/>
      <c r="BD676" s="246"/>
      <c r="BE676" s="246"/>
      <c r="BF676" s="246"/>
      <c r="BG676" s="246"/>
      <c r="BH676" s="246"/>
      <c r="BI676" s="246"/>
      <c r="BJ676" s="246"/>
    </row>
    <row r="677" spans="2:62" ht="15.75">
      <c r="B677" s="7"/>
      <c r="C677" s="334"/>
      <c r="D677" s="334"/>
      <c r="E677" s="334"/>
      <c r="F677" s="334"/>
      <c r="G677" s="334"/>
      <c r="H677" s="334"/>
      <c r="I677" s="334"/>
      <c r="J677" s="334"/>
      <c r="K677" s="399"/>
      <c r="L677" s="399"/>
      <c r="M677" s="334"/>
      <c r="N677" s="399"/>
      <c r="O677" s="399"/>
      <c r="P677" s="334"/>
      <c r="Q677" s="399"/>
      <c r="R677" s="399"/>
      <c r="S677" s="334"/>
      <c r="T677" s="334"/>
      <c r="U677" s="334"/>
      <c r="V677" s="334"/>
      <c r="W677" s="334"/>
      <c r="X677" s="334"/>
      <c r="Y677" s="246"/>
      <c r="Z677" s="246"/>
      <c r="AA677" s="246"/>
      <c r="AB677" s="246"/>
      <c r="AC677" s="246"/>
      <c r="AD677" s="246"/>
      <c r="AE677" s="246"/>
      <c r="AF677" s="246"/>
      <c r="AG677" s="246"/>
      <c r="AH677" s="246"/>
      <c r="AI677" s="246"/>
      <c r="AJ677" s="246"/>
      <c r="AK677" s="246"/>
      <c r="AL677" s="246"/>
      <c r="AM677" s="246"/>
      <c r="AN677" s="246"/>
      <c r="AO677" s="246"/>
      <c r="AP677" s="246"/>
      <c r="AQ677" s="246"/>
      <c r="AR677" s="246"/>
      <c r="AS677" s="246"/>
      <c r="AT677" s="246"/>
      <c r="AU677" s="246"/>
      <c r="AV677" s="246"/>
      <c r="AW677" s="246"/>
      <c r="AX677" s="246"/>
      <c r="AY677" s="246"/>
      <c r="AZ677" s="246"/>
      <c r="BA677" s="246"/>
      <c r="BB677" s="246"/>
      <c r="BC677" s="246"/>
      <c r="BD677" s="246"/>
      <c r="BE677" s="246"/>
      <c r="BF677" s="246"/>
      <c r="BG677" s="246"/>
      <c r="BH677" s="246"/>
      <c r="BI677" s="246"/>
      <c r="BJ677" s="246"/>
    </row>
    <row r="678" spans="2:62" ht="15.75">
      <c r="B678" s="7"/>
      <c r="C678" s="334"/>
      <c r="D678" s="334"/>
      <c r="E678" s="334"/>
      <c r="F678" s="334"/>
      <c r="G678" s="334"/>
      <c r="H678" s="334"/>
      <c r="I678" s="334"/>
      <c r="J678" s="334"/>
      <c r="K678" s="399"/>
      <c r="L678" s="399"/>
      <c r="M678" s="334"/>
      <c r="N678" s="399"/>
      <c r="O678" s="399"/>
      <c r="P678" s="334"/>
      <c r="Q678" s="399"/>
      <c r="R678" s="399"/>
      <c r="S678" s="334"/>
      <c r="T678" s="334"/>
      <c r="U678" s="334"/>
      <c r="V678" s="334"/>
      <c r="W678" s="334"/>
      <c r="X678" s="334"/>
      <c r="Y678" s="246"/>
      <c r="Z678" s="246"/>
      <c r="AA678" s="246"/>
      <c r="AB678" s="246"/>
      <c r="AC678" s="246"/>
      <c r="AD678" s="246"/>
      <c r="AE678" s="246"/>
      <c r="AF678" s="246"/>
      <c r="AG678" s="246"/>
      <c r="AH678" s="246"/>
      <c r="AI678" s="246"/>
      <c r="AJ678" s="246"/>
      <c r="AK678" s="246"/>
      <c r="AL678" s="246"/>
      <c r="AM678" s="246"/>
      <c r="AN678" s="246"/>
      <c r="AO678" s="246"/>
      <c r="AP678" s="246"/>
      <c r="AQ678" s="246"/>
      <c r="AR678" s="246"/>
      <c r="AS678" s="246"/>
      <c r="AT678" s="246"/>
      <c r="AU678" s="246"/>
      <c r="AV678" s="246"/>
      <c r="AW678" s="246"/>
      <c r="AX678" s="246"/>
      <c r="AY678" s="246"/>
      <c r="AZ678" s="246"/>
      <c r="BA678" s="246"/>
      <c r="BB678" s="246"/>
      <c r="BC678" s="246"/>
      <c r="BD678" s="246"/>
      <c r="BE678" s="246"/>
      <c r="BF678" s="246"/>
      <c r="BG678" s="246"/>
      <c r="BH678" s="246"/>
      <c r="BI678" s="246"/>
      <c r="BJ678" s="246"/>
    </row>
    <row r="679" spans="2:62" ht="15.75">
      <c r="B679" s="7"/>
      <c r="C679" s="334"/>
      <c r="D679" s="334"/>
      <c r="E679" s="334"/>
      <c r="F679" s="334"/>
      <c r="G679" s="334"/>
      <c r="H679" s="334"/>
      <c r="I679" s="334"/>
      <c r="J679" s="334"/>
      <c r="K679" s="399"/>
      <c r="L679" s="399"/>
      <c r="M679" s="334"/>
      <c r="N679" s="399"/>
      <c r="O679" s="399"/>
      <c r="P679" s="334"/>
      <c r="Q679" s="399"/>
      <c r="R679" s="399"/>
      <c r="S679" s="334"/>
      <c r="T679" s="334"/>
      <c r="U679" s="334"/>
      <c r="V679" s="334"/>
      <c r="W679" s="334"/>
      <c r="X679" s="334"/>
      <c r="Y679" s="246"/>
      <c r="Z679" s="246"/>
      <c r="AA679" s="246"/>
      <c r="AB679" s="246"/>
      <c r="AC679" s="246"/>
      <c r="AD679" s="246"/>
      <c r="AE679" s="246"/>
      <c r="AF679" s="246"/>
      <c r="AG679" s="246"/>
      <c r="AH679" s="246"/>
      <c r="AI679" s="246"/>
      <c r="AJ679" s="246"/>
      <c r="AK679" s="246"/>
      <c r="AL679" s="246"/>
      <c r="AM679" s="246"/>
      <c r="AN679" s="246"/>
      <c r="AO679" s="246"/>
      <c r="AP679" s="246"/>
      <c r="AQ679" s="246"/>
      <c r="AR679" s="246"/>
      <c r="AS679" s="246"/>
      <c r="AT679" s="246"/>
      <c r="AU679" s="246"/>
      <c r="AV679" s="246"/>
      <c r="AW679" s="246"/>
      <c r="AX679" s="246"/>
      <c r="AY679" s="246"/>
      <c r="AZ679" s="246"/>
      <c r="BA679" s="246"/>
      <c r="BB679" s="246"/>
      <c r="BC679" s="246"/>
      <c r="BD679" s="246"/>
      <c r="BE679" s="246"/>
      <c r="BF679" s="246"/>
      <c r="BG679" s="246"/>
      <c r="BH679" s="246"/>
      <c r="BI679" s="246"/>
      <c r="BJ679" s="246"/>
    </row>
    <row r="680" spans="2:62" ht="15.75">
      <c r="B680" s="7"/>
      <c r="C680" s="334"/>
      <c r="D680" s="334"/>
      <c r="E680" s="334"/>
      <c r="F680" s="334"/>
      <c r="G680" s="334"/>
      <c r="H680" s="334"/>
      <c r="I680" s="334"/>
      <c r="J680" s="334"/>
      <c r="K680" s="399"/>
      <c r="L680" s="399"/>
      <c r="M680" s="334"/>
      <c r="N680" s="399"/>
      <c r="O680" s="399"/>
      <c r="P680" s="334"/>
      <c r="Q680" s="399"/>
      <c r="R680" s="399"/>
      <c r="S680" s="334"/>
      <c r="T680" s="334"/>
      <c r="U680" s="334"/>
      <c r="V680" s="334"/>
      <c r="W680" s="334"/>
      <c r="X680" s="334"/>
      <c r="Y680" s="246"/>
      <c r="Z680" s="246"/>
      <c r="AA680" s="246"/>
      <c r="AB680" s="246"/>
      <c r="AC680" s="246"/>
      <c r="AD680" s="246"/>
      <c r="AE680" s="246"/>
      <c r="AF680" s="246"/>
      <c r="AG680" s="246"/>
      <c r="AH680" s="246"/>
      <c r="AI680" s="246"/>
      <c r="AJ680" s="246"/>
      <c r="AK680" s="246"/>
      <c r="AL680" s="246"/>
      <c r="AM680" s="246"/>
      <c r="AN680" s="246"/>
      <c r="AO680" s="246"/>
      <c r="AP680" s="246"/>
      <c r="AQ680" s="246"/>
      <c r="AR680" s="246"/>
      <c r="AS680" s="246"/>
      <c r="AT680" s="246"/>
      <c r="AU680" s="246"/>
      <c r="AV680" s="246"/>
      <c r="AW680" s="246"/>
      <c r="AX680" s="246"/>
      <c r="AY680" s="246"/>
      <c r="AZ680" s="246"/>
      <c r="BA680" s="246"/>
      <c r="BB680" s="246"/>
      <c r="BC680" s="246"/>
      <c r="BD680" s="246"/>
      <c r="BE680" s="246"/>
      <c r="BF680" s="246"/>
      <c r="BG680" s="246"/>
      <c r="BH680" s="246"/>
      <c r="BI680" s="246"/>
      <c r="BJ680" s="246"/>
    </row>
    <row r="681" spans="2:62" ht="15.75">
      <c r="B681" s="7"/>
      <c r="C681" s="334"/>
      <c r="D681" s="334"/>
      <c r="E681" s="334"/>
      <c r="F681" s="334"/>
      <c r="G681" s="334"/>
      <c r="H681" s="334"/>
      <c r="I681" s="334"/>
      <c r="J681" s="334"/>
      <c r="K681" s="399"/>
      <c r="L681" s="399"/>
      <c r="M681" s="334"/>
      <c r="N681" s="399"/>
      <c r="O681" s="399"/>
      <c r="P681" s="334"/>
      <c r="Q681" s="399"/>
      <c r="R681" s="399"/>
      <c r="S681" s="334"/>
      <c r="T681" s="334"/>
      <c r="U681" s="334"/>
      <c r="V681" s="334"/>
      <c r="W681" s="334"/>
      <c r="X681" s="334"/>
      <c r="Y681" s="246"/>
      <c r="Z681" s="246"/>
      <c r="AA681" s="246"/>
      <c r="AB681" s="246"/>
      <c r="AC681" s="246"/>
      <c r="AD681" s="246"/>
      <c r="AE681" s="246"/>
      <c r="AF681" s="246"/>
      <c r="AG681" s="246"/>
      <c r="AH681" s="246"/>
      <c r="AI681" s="246"/>
      <c r="AJ681" s="246"/>
      <c r="AK681" s="246"/>
      <c r="AL681" s="246"/>
      <c r="AM681" s="246"/>
      <c r="AN681" s="246"/>
      <c r="AO681" s="246"/>
      <c r="AP681" s="246"/>
      <c r="AQ681" s="246"/>
      <c r="AR681" s="246"/>
      <c r="AS681" s="246"/>
      <c r="AT681" s="246"/>
      <c r="AU681" s="246"/>
      <c r="AV681" s="246"/>
      <c r="AW681" s="246"/>
      <c r="AX681" s="246"/>
      <c r="AY681" s="246"/>
      <c r="AZ681" s="246"/>
      <c r="BA681" s="246"/>
      <c r="BB681" s="246"/>
      <c r="BC681" s="246"/>
      <c r="BD681" s="246"/>
      <c r="BE681" s="246"/>
      <c r="BF681" s="246"/>
      <c r="BG681" s="246"/>
      <c r="BH681" s="246"/>
      <c r="BI681" s="246"/>
      <c r="BJ681" s="246"/>
    </row>
    <row r="682" spans="2:62" ht="15.75">
      <c r="B682" s="7"/>
      <c r="C682" s="334"/>
      <c r="D682" s="334"/>
      <c r="E682" s="334"/>
      <c r="F682" s="334"/>
      <c r="G682" s="334"/>
      <c r="H682" s="334"/>
      <c r="I682" s="334"/>
      <c r="J682" s="334"/>
      <c r="K682" s="399"/>
      <c r="L682" s="399"/>
      <c r="M682" s="334"/>
      <c r="N682" s="399"/>
      <c r="O682" s="399"/>
      <c r="P682" s="334"/>
      <c r="Q682" s="399"/>
      <c r="R682" s="399"/>
      <c r="S682" s="334"/>
      <c r="T682" s="334"/>
      <c r="U682" s="334"/>
      <c r="V682" s="334"/>
      <c r="W682" s="334"/>
      <c r="X682" s="334"/>
      <c r="Y682" s="246"/>
      <c r="Z682" s="246"/>
      <c r="AA682" s="246"/>
      <c r="AB682" s="246"/>
      <c r="AC682" s="246"/>
      <c r="AD682" s="246"/>
      <c r="AE682" s="246"/>
      <c r="AF682" s="246"/>
      <c r="AG682" s="246"/>
      <c r="AH682" s="246"/>
      <c r="AI682" s="246"/>
      <c r="AJ682" s="246"/>
      <c r="AK682" s="246"/>
      <c r="AL682" s="246"/>
      <c r="AM682" s="246"/>
      <c r="AN682" s="246"/>
      <c r="AO682" s="246"/>
      <c r="AP682" s="246"/>
      <c r="AQ682" s="246"/>
      <c r="AR682" s="246"/>
      <c r="AS682" s="246"/>
      <c r="AT682" s="246"/>
      <c r="AU682" s="246"/>
      <c r="AV682" s="246"/>
      <c r="AW682" s="246"/>
      <c r="AX682" s="246"/>
      <c r="AY682" s="246"/>
      <c r="AZ682" s="246"/>
      <c r="BA682" s="246"/>
      <c r="BB682" s="246"/>
      <c r="BC682" s="246"/>
      <c r="BD682" s="246"/>
      <c r="BE682" s="246"/>
      <c r="BF682" s="246"/>
      <c r="BG682" s="246"/>
      <c r="BH682" s="246"/>
      <c r="BI682" s="246"/>
      <c r="BJ682" s="246"/>
    </row>
    <row r="683" spans="2:62" ht="15.75">
      <c r="B683" s="7"/>
      <c r="C683" s="334"/>
      <c r="D683" s="334"/>
      <c r="E683" s="334"/>
      <c r="F683" s="334"/>
      <c r="G683" s="334"/>
      <c r="H683" s="334"/>
      <c r="I683" s="334"/>
      <c r="J683" s="334"/>
      <c r="K683" s="399"/>
      <c r="L683" s="399"/>
      <c r="M683" s="334"/>
      <c r="N683" s="399"/>
      <c r="O683" s="399"/>
      <c r="P683" s="334"/>
      <c r="Q683" s="399"/>
      <c r="R683" s="399"/>
      <c r="S683" s="334"/>
      <c r="T683" s="334"/>
      <c r="U683" s="334"/>
      <c r="V683" s="334"/>
      <c r="W683" s="334"/>
      <c r="X683" s="334"/>
      <c r="Y683" s="246"/>
      <c r="Z683" s="246"/>
      <c r="AA683" s="246"/>
      <c r="AB683" s="246"/>
      <c r="AC683" s="246"/>
      <c r="AD683" s="246"/>
      <c r="AE683" s="246"/>
      <c r="AF683" s="246"/>
      <c r="AG683" s="246"/>
      <c r="AH683" s="246"/>
      <c r="AI683" s="246"/>
      <c r="AJ683" s="246"/>
      <c r="AK683" s="246"/>
      <c r="AL683" s="246"/>
      <c r="AM683" s="246"/>
      <c r="AN683" s="246"/>
      <c r="AO683" s="246"/>
      <c r="AP683" s="246"/>
      <c r="AQ683" s="246"/>
      <c r="AR683" s="246"/>
      <c r="AS683" s="246"/>
      <c r="AT683" s="246"/>
      <c r="AU683" s="246"/>
      <c r="AV683" s="246"/>
      <c r="AW683" s="246"/>
      <c r="AX683" s="246"/>
      <c r="AY683" s="246"/>
      <c r="AZ683" s="246"/>
      <c r="BA683" s="246"/>
      <c r="BB683" s="246"/>
      <c r="BC683" s="246"/>
      <c r="BD683" s="246"/>
      <c r="BE683" s="246"/>
      <c r="BF683" s="246"/>
      <c r="BG683" s="246"/>
      <c r="BH683" s="246"/>
      <c r="BI683" s="246"/>
      <c r="BJ683" s="246"/>
    </row>
    <row r="684" spans="2:62" ht="15.75">
      <c r="B684" s="7"/>
      <c r="C684" s="334"/>
      <c r="D684" s="334"/>
      <c r="E684" s="334"/>
      <c r="F684" s="334"/>
      <c r="G684" s="334"/>
      <c r="H684" s="334"/>
      <c r="I684" s="334"/>
      <c r="J684" s="334"/>
      <c r="K684" s="399"/>
      <c r="L684" s="399"/>
      <c r="M684" s="334"/>
      <c r="N684" s="399"/>
      <c r="O684" s="399"/>
      <c r="P684" s="334"/>
      <c r="Q684" s="399"/>
      <c r="R684" s="399"/>
      <c r="S684" s="334"/>
      <c r="T684" s="334"/>
      <c r="U684" s="334"/>
      <c r="V684" s="334"/>
      <c r="W684" s="334"/>
      <c r="X684" s="334"/>
      <c r="Y684" s="246"/>
      <c r="Z684" s="246"/>
      <c r="AA684" s="246"/>
      <c r="AB684" s="246"/>
      <c r="AC684" s="246"/>
      <c r="AD684" s="246"/>
      <c r="AE684" s="246"/>
      <c r="AF684" s="246"/>
      <c r="AG684" s="246"/>
      <c r="AH684" s="246"/>
      <c r="AI684" s="246"/>
      <c r="AJ684" s="246"/>
      <c r="AK684" s="246"/>
      <c r="AL684" s="246"/>
      <c r="AM684" s="246"/>
      <c r="AN684" s="246"/>
      <c r="AO684" s="246"/>
      <c r="AP684" s="246"/>
      <c r="AQ684" s="246"/>
      <c r="AR684" s="246"/>
      <c r="AS684" s="246"/>
      <c r="AT684" s="246"/>
      <c r="AU684" s="246"/>
      <c r="AV684" s="246"/>
      <c r="AW684" s="246"/>
      <c r="AX684" s="246"/>
      <c r="AY684" s="246"/>
      <c r="AZ684" s="246"/>
      <c r="BA684" s="246"/>
      <c r="BB684" s="246"/>
      <c r="BC684" s="246"/>
      <c r="BD684" s="246"/>
      <c r="BE684" s="246"/>
      <c r="BF684" s="246"/>
      <c r="BG684" s="246"/>
      <c r="BH684" s="246"/>
      <c r="BI684" s="246"/>
      <c r="BJ684" s="246"/>
    </row>
    <row r="685" spans="2:62" ht="15.75">
      <c r="B685" s="7"/>
      <c r="C685" s="334"/>
      <c r="D685" s="334"/>
      <c r="E685" s="334"/>
      <c r="F685" s="334"/>
      <c r="G685" s="334"/>
      <c r="H685" s="334"/>
      <c r="I685" s="334"/>
      <c r="J685" s="334"/>
      <c r="K685" s="399"/>
      <c r="L685" s="399"/>
      <c r="M685" s="334"/>
      <c r="N685" s="399"/>
      <c r="O685" s="399"/>
      <c r="P685" s="334"/>
      <c r="Q685" s="399"/>
      <c r="R685" s="399"/>
      <c r="S685" s="334"/>
      <c r="T685" s="334"/>
      <c r="U685" s="334"/>
      <c r="V685" s="334"/>
      <c r="W685" s="334"/>
      <c r="X685" s="334"/>
      <c r="Y685" s="246"/>
      <c r="Z685" s="246"/>
      <c r="AA685" s="246"/>
      <c r="AB685" s="246"/>
      <c r="AC685" s="246"/>
      <c r="AD685" s="246"/>
      <c r="AE685" s="246"/>
      <c r="AF685" s="246"/>
      <c r="AG685" s="246"/>
      <c r="AH685" s="246"/>
      <c r="AI685" s="246"/>
      <c r="AJ685" s="246"/>
      <c r="AK685" s="246"/>
      <c r="AL685" s="246"/>
      <c r="AM685" s="246"/>
      <c r="AN685" s="246"/>
      <c r="AO685" s="246"/>
      <c r="AP685" s="246"/>
      <c r="AQ685" s="246"/>
      <c r="AR685" s="246"/>
      <c r="AS685" s="246"/>
      <c r="AT685" s="246"/>
      <c r="AU685" s="246"/>
      <c r="AV685" s="246"/>
      <c r="AW685" s="246"/>
      <c r="AX685" s="246"/>
      <c r="AY685" s="246"/>
      <c r="AZ685" s="246"/>
      <c r="BA685" s="246"/>
      <c r="BB685" s="246"/>
      <c r="BC685" s="246"/>
      <c r="BD685" s="246"/>
      <c r="BE685" s="246"/>
      <c r="BF685" s="246"/>
      <c r="BG685" s="246"/>
      <c r="BH685" s="246"/>
      <c r="BI685" s="246"/>
      <c r="BJ685" s="246"/>
    </row>
    <row r="686" spans="2:62" ht="15.75">
      <c r="B686" s="7"/>
      <c r="C686" s="334"/>
      <c r="D686" s="334"/>
      <c r="E686" s="334"/>
      <c r="F686" s="334"/>
      <c r="G686" s="334"/>
      <c r="H686" s="334"/>
      <c r="I686" s="334"/>
      <c r="J686" s="334"/>
      <c r="K686" s="399"/>
      <c r="L686" s="399"/>
      <c r="M686" s="334"/>
      <c r="N686" s="399"/>
      <c r="O686" s="399"/>
      <c r="P686" s="334"/>
      <c r="Q686" s="399"/>
      <c r="R686" s="399"/>
      <c r="S686" s="334"/>
      <c r="T686" s="334"/>
      <c r="U686" s="334"/>
      <c r="V686" s="334"/>
      <c r="W686" s="334"/>
      <c r="X686" s="334"/>
      <c r="Y686" s="246"/>
      <c r="Z686" s="246"/>
      <c r="AA686" s="246"/>
      <c r="AB686" s="246"/>
      <c r="AC686" s="246"/>
      <c r="AD686" s="246"/>
      <c r="AE686" s="246"/>
      <c r="AF686" s="246"/>
      <c r="AG686" s="246"/>
      <c r="AH686" s="246"/>
      <c r="AI686" s="246"/>
      <c r="AJ686" s="246"/>
      <c r="AK686" s="246"/>
      <c r="AL686" s="246"/>
      <c r="AM686" s="246"/>
      <c r="AN686" s="246"/>
      <c r="AO686" s="246"/>
      <c r="AP686" s="246"/>
      <c r="AQ686" s="246"/>
      <c r="AR686" s="246"/>
      <c r="AS686" s="246"/>
      <c r="AT686" s="246"/>
      <c r="AU686" s="246"/>
      <c r="AV686" s="246"/>
      <c r="AW686" s="246"/>
      <c r="AX686" s="246"/>
      <c r="AY686" s="246"/>
      <c r="AZ686" s="246"/>
      <c r="BA686" s="246"/>
      <c r="BB686" s="246"/>
      <c r="BC686" s="246"/>
      <c r="BD686" s="246"/>
      <c r="BE686" s="246"/>
      <c r="BF686" s="246"/>
      <c r="BG686" s="246"/>
      <c r="BH686" s="246"/>
      <c r="BI686" s="246"/>
      <c r="BJ686" s="246"/>
    </row>
    <row r="687" spans="2:62" ht="15.75">
      <c r="B687" s="7"/>
      <c r="C687" s="334"/>
      <c r="D687" s="334"/>
      <c r="E687" s="334"/>
      <c r="F687" s="334"/>
      <c r="G687" s="334"/>
      <c r="H687" s="334"/>
      <c r="I687" s="334"/>
      <c r="J687" s="334"/>
      <c r="K687" s="399"/>
      <c r="L687" s="399"/>
      <c r="M687" s="334"/>
      <c r="N687" s="399"/>
      <c r="O687" s="399"/>
      <c r="P687" s="334"/>
      <c r="Q687" s="399"/>
      <c r="R687" s="399"/>
      <c r="S687" s="334"/>
      <c r="T687" s="334"/>
      <c r="U687" s="334"/>
      <c r="V687" s="334"/>
      <c r="W687" s="334"/>
      <c r="X687" s="334"/>
      <c r="Y687" s="246"/>
      <c r="Z687" s="246"/>
      <c r="AA687" s="246"/>
      <c r="AB687" s="246"/>
      <c r="AC687" s="246"/>
      <c r="AD687" s="246"/>
      <c r="AE687" s="246"/>
      <c r="AF687" s="246"/>
      <c r="AG687" s="246"/>
      <c r="AH687" s="246"/>
      <c r="AI687" s="246"/>
      <c r="AJ687" s="246"/>
      <c r="AK687" s="246"/>
      <c r="AL687" s="246"/>
      <c r="AM687" s="246"/>
      <c r="AN687" s="246"/>
      <c r="AO687" s="246"/>
      <c r="AP687" s="246"/>
      <c r="AQ687" s="246"/>
      <c r="AR687" s="246"/>
      <c r="AS687" s="246"/>
      <c r="AT687" s="246"/>
      <c r="AU687" s="246"/>
      <c r="AV687" s="246"/>
      <c r="AW687" s="246"/>
      <c r="AX687" s="246"/>
      <c r="AY687" s="246"/>
      <c r="AZ687" s="246"/>
      <c r="BA687" s="246"/>
      <c r="BB687" s="246"/>
      <c r="BC687" s="246"/>
      <c r="BD687" s="246"/>
      <c r="BE687" s="246"/>
      <c r="BF687" s="246"/>
      <c r="BG687" s="246"/>
      <c r="BH687" s="246"/>
      <c r="BI687" s="246"/>
      <c r="BJ687" s="246"/>
    </row>
    <row r="688" spans="2:62" ht="15.75">
      <c r="B688" s="7"/>
      <c r="C688" s="334"/>
      <c r="D688" s="334"/>
      <c r="E688" s="334"/>
      <c r="F688" s="334"/>
      <c r="G688" s="334"/>
      <c r="H688" s="334"/>
      <c r="I688" s="334"/>
      <c r="J688" s="334"/>
      <c r="K688" s="399"/>
      <c r="L688" s="399"/>
      <c r="M688" s="334"/>
      <c r="N688" s="399"/>
      <c r="O688" s="399"/>
      <c r="P688" s="334"/>
      <c r="Q688" s="399"/>
      <c r="R688" s="399"/>
      <c r="S688" s="334"/>
      <c r="T688" s="334"/>
      <c r="U688" s="334"/>
      <c r="V688" s="334"/>
      <c r="W688" s="334"/>
      <c r="X688" s="334"/>
      <c r="Y688" s="246"/>
      <c r="Z688" s="246"/>
      <c r="AA688" s="246"/>
      <c r="AB688" s="246"/>
      <c r="AC688" s="246"/>
      <c r="AD688" s="246"/>
      <c r="AE688" s="246"/>
      <c r="AF688" s="246"/>
      <c r="AG688" s="246"/>
      <c r="AH688" s="246"/>
      <c r="AI688" s="246"/>
      <c r="AJ688" s="246"/>
      <c r="AK688" s="246"/>
      <c r="AL688" s="246"/>
      <c r="AM688" s="246"/>
      <c r="AN688" s="246"/>
      <c r="AO688" s="246"/>
      <c r="AP688" s="246"/>
      <c r="AQ688" s="246"/>
      <c r="AR688" s="246"/>
      <c r="AS688" s="246"/>
      <c r="AT688" s="246"/>
      <c r="AU688" s="246"/>
      <c r="AV688" s="246"/>
      <c r="AW688" s="246"/>
      <c r="AX688" s="246"/>
      <c r="AY688" s="246"/>
      <c r="AZ688" s="246"/>
      <c r="BA688" s="246"/>
      <c r="BB688" s="246"/>
      <c r="BC688" s="246"/>
      <c r="BD688" s="246"/>
      <c r="BE688" s="246"/>
      <c r="BF688" s="246"/>
      <c r="BG688" s="246"/>
      <c r="BH688" s="246"/>
      <c r="BI688" s="246"/>
      <c r="BJ688" s="246"/>
    </row>
    <row r="689" spans="2:62" ht="15.75">
      <c r="B689" s="7"/>
      <c r="C689" s="334"/>
      <c r="D689" s="334"/>
      <c r="E689" s="334"/>
      <c r="F689" s="334"/>
      <c r="G689" s="334"/>
      <c r="H689" s="334"/>
      <c r="I689" s="334"/>
      <c r="J689" s="334"/>
      <c r="K689" s="399"/>
      <c r="L689" s="399"/>
      <c r="M689" s="334"/>
      <c r="N689" s="334"/>
      <c r="O689" s="334"/>
      <c r="P689" s="334"/>
      <c r="Q689" s="334"/>
      <c r="R689" s="399"/>
      <c r="S689" s="334"/>
      <c r="T689" s="334"/>
      <c r="U689" s="334"/>
      <c r="V689" s="334"/>
      <c r="W689" s="334"/>
      <c r="X689" s="334"/>
      <c r="Y689" s="246"/>
      <c r="Z689" s="246"/>
      <c r="AA689" s="246"/>
      <c r="AB689" s="246"/>
      <c r="AC689" s="246"/>
      <c r="AD689" s="246"/>
      <c r="AE689" s="246"/>
      <c r="AF689" s="246"/>
      <c r="AG689" s="246"/>
      <c r="AH689" s="246"/>
      <c r="AI689" s="246"/>
      <c r="AJ689" s="246"/>
      <c r="AK689" s="246"/>
      <c r="AL689" s="246"/>
      <c r="AM689" s="246"/>
      <c r="AN689" s="246"/>
      <c r="AO689" s="246"/>
      <c r="AP689" s="246"/>
      <c r="AQ689" s="246"/>
      <c r="AR689" s="246"/>
      <c r="AS689" s="246"/>
      <c r="AT689" s="246"/>
      <c r="AU689" s="246"/>
      <c r="AV689" s="246"/>
      <c r="AW689" s="246"/>
      <c r="AX689" s="246"/>
      <c r="AY689" s="246"/>
      <c r="AZ689" s="246"/>
      <c r="BA689" s="246"/>
      <c r="BB689" s="246"/>
      <c r="BC689" s="246"/>
      <c r="BD689" s="246"/>
      <c r="BE689" s="246"/>
      <c r="BF689" s="246"/>
      <c r="BG689" s="246"/>
      <c r="BH689" s="246"/>
      <c r="BI689" s="246"/>
      <c r="BJ689" s="246"/>
    </row>
    <row r="690" spans="2:62" ht="15.75">
      <c r="B690" s="7"/>
      <c r="C690" s="334"/>
      <c r="D690" s="334"/>
      <c r="E690" s="334"/>
      <c r="F690" s="334"/>
      <c r="G690" s="334"/>
      <c r="H690" s="334"/>
      <c r="I690" s="334"/>
      <c r="J690" s="334"/>
      <c r="K690" s="399"/>
      <c r="L690" s="399"/>
      <c r="M690" s="334"/>
      <c r="N690" s="401"/>
      <c r="O690" s="401"/>
      <c r="P690" s="334"/>
      <c r="Q690" s="401"/>
      <c r="R690" s="399"/>
      <c r="S690" s="334"/>
      <c r="T690" s="334"/>
      <c r="U690" s="334"/>
      <c r="V690" s="334"/>
      <c r="W690" s="334"/>
      <c r="X690" s="334"/>
      <c r="Y690" s="246"/>
      <c r="Z690" s="246"/>
      <c r="AA690" s="246"/>
      <c r="AB690" s="246"/>
      <c r="AC690" s="246"/>
      <c r="AD690" s="246"/>
      <c r="AE690" s="246"/>
      <c r="AF690" s="246"/>
      <c r="AG690" s="246"/>
      <c r="AH690" s="246"/>
      <c r="AI690" s="246"/>
      <c r="AJ690" s="246"/>
      <c r="AK690" s="246"/>
      <c r="AL690" s="246"/>
      <c r="AM690" s="246"/>
      <c r="AN690" s="246"/>
      <c r="AO690" s="246"/>
      <c r="AP690" s="246"/>
      <c r="AQ690" s="246"/>
      <c r="AR690" s="246"/>
      <c r="AS690" s="246"/>
      <c r="AT690" s="246"/>
      <c r="AU690" s="246"/>
      <c r="AV690" s="246"/>
      <c r="AW690" s="246"/>
      <c r="AX690" s="246"/>
      <c r="AY690" s="246"/>
      <c r="AZ690" s="246"/>
      <c r="BA690" s="246"/>
      <c r="BB690" s="246"/>
      <c r="BC690" s="246"/>
      <c r="BD690" s="246"/>
      <c r="BE690" s="246"/>
      <c r="BF690" s="246"/>
      <c r="BG690" s="246"/>
      <c r="BH690" s="246"/>
      <c r="BI690" s="246"/>
      <c r="BJ690" s="246"/>
    </row>
    <row r="691" spans="2:62" ht="15.75">
      <c r="B691" s="7"/>
      <c r="C691" s="334"/>
      <c r="D691" s="334"/>
      <c r="E691" s="334"/>
      <c r="F691" s="334"/>
      <c r="G691" s="334"/>
      <c r="H691" s="334"/>
      <c r="I691" s="334"/>
      <c r="J691" s="334"/>
      <c r="K691" s="334"/>
      <c r="L691" s="334"/>
      <c r="M691" s="334"/>
      <c r="N691" s="399"/>
      <c r="O691" s="399"/>
      <c r="P691" s="334"/>
      <c r="Q691" s="399"/>
      <c r="R691" s="334"/>
      <c r="S691" s="334"/>
      <c r="T691" s="334"/>
      <c r="U691" s="334"/>
      <c r="V691" s="334"/>
      <c r="W691" s="334"/>
      <c r="X691" s="334"/>
      <c r="Y691" s="246"/>
      <c r="Z691" s="246"/>
      <c r="AA691" s="246"/>
      <c r="AB691" s="246"/>
      <c r="AC691" s="246"/>
      <c r="AD691" s="246"/>
      <c r="AE691" s="246"/>
      <c r="AF691" s="246"/>
      <c r="AG691" s="246"/>
      <c r="AH691" s="246"/>
      <c r="AI691" s="246"/>
      <c r="AJ691" s="246"/>
      <c r="AK691" s="246"/>
      <c r="AL691" s="246"/>
      <c r="AM691" s="246"/>
      <c r="AN691" s="246"/>
      <c r="AO691" s="246"/>
      <c r="AP691" s="246"/>
      <c r="AQ691" s="246"/>
      <c r="AR691" s="246"/>
      <c r="AS691" s="246"/>
      <c r="AT691" s="246"/>
      <c r="AU691" s="246"/>
      <c r="AV691" s="246"/>
      <c r="AW691" s="246"/>
      <c r="AX691" s="246"/>
      <c r="AY691" s="246"/>
      <c r="AZ691" s="246"/>
      <c r="BA691" s="246"/>
      <c r="BB691" s="246"/>
      <c r="BC691" s="246"/>
      <c r="BD691" s="246"/>
      <c r="BE691" s="246"/>
      <c r="BF691" s="246"/>
      <c r="BG691" s="246"/>
      <c r="BH691" s="246"/>
      <c r="BI691" s="246"/>
      <c r="BJ691" s="246"/>
    </row>
    <row r="692" spans="2:62" ht="15.75">
      <c r="B692" s="7"/>
      <c r="C692" s="334"/>
      <c r="D692" s="334"/>
      <c r="E692" s="334"/>
      <c r="F692" s="334"/>
      <c r="G692" s="334"/>
      <c r="H692" s="334"/>
      <c r="I692" s="334"/>
      <c r="J692" s="334"/>
      <c r="K692" s="401"/>
      <c r="L692" s="401"/>
      <c r="M692" s="334"/>
      <c r="N692" s="399"/>
      <c r="O692" s="399"/>
      <c r="P692" s="334"/>
      <c r="Q692" s="399"/>
      <c r="R692" s="401"/>
      <c r="S692" s="334"/>
      <c r="T692" s="334"/>
      <c r="U692" s="334"/>
      <c r="V692" s="334"/>
      <c r="W692" s="334"/>
      <c r="X692" s="334"/>
      <c r="Y692" s="246"/>
      <c r="Z692" s="246"/>
      <c r="AA692" s="246"/>
      <c r="AB692" s="246"/>
      <c r="AC692" s="246"/>
      <c r="AD692" s="246"/>
      <c r="AE692" s="246"/>
      <c r="AF692" s="246"/>
      <c r="AG692" s="246"/>
      <c r="AH692" s="246"/>
      <c r="AI692" s="246"/>
      <c r="AJ692" s="246"/>
      <c r="AK692" s="246"/>
      <c r="AL692" s="246"/>
      <c r="AM692" s="246"/>
      <c r="AN692" s="246"/>
      <c r="AO692" s="246"/>
      <c r="AP692" s="246"/>
      <c r="AQ692" s="246"/>
      <c r="AR692" s="246"/>
      <c r="AS692" s="246"/>
      <c r="AT692" s="246"/>
      <c r="AU692" s="246"/>
      <c r="AV692" s="246"/>
      <c r="AW692" s="246"/>
      <c r="AX692" s="246"/>
      <c r="AY692" s="246"/>
      <c r="AZ692" s="246"/>
      <c r="BA692" s="246"/>
      <c r="BB692" s="246"/>
      <c r="BC692" s="246"/>
      <c r="BD692" s="246"/>
      <c r="BE692" s="246"/>
      <c r="BF692" s="246"/>
      <c r="BG692" s="246"/>
      <c r="BH692" s="246"/>
      <c r="BI692" s="246"/>
      <c r="BJ692" s="246"/>
    </row>
    <row r="693" spans="2:62" ht="15.75">
      <c r="B693" s="7"/>
      <c r="C693" s="334"/>
      <c r="D693" s="334"/>
      <c r="E693" s="334"/>
      <c r="F693" s="334"/>
      <c r="G693" s="334"/>
      <c r="H693" s="334"/>
      <c r="I693" s="334"/>
      <c r="J693" s="334"/>
      <c r="K693" s="399"/>
      <c r="L693" s="399"/>
      <c r="M693" s="334"/>
      <c r="N693" s="399"/>
      <c r="O693" s="399"/>
      <c r="P693" s="334"/>
      <c r="Q693" s="399"/>
      <c r="R693" s="399"/>
      <c r="S693" s="334"/>
      <c r="T693" s="334"/>
      <c r="U693" s="334"/>
      <c r="V693" s="334"/>
      <c r="W693" s="334"/>
      <c r="X693" s="334"/>
      <c r="Y693" s="246"/>
      <c r="Z693" s="246"/>
      <c r="AA693" s="246"/>
      <c r="AB693" s="246"/>
      <c r="AC693" s="246"/>
      <c r="AD693" s="246"/>
      <c r="AE693" s="246"/>
      <c r="AF693" s="246"/>
      <c r="AG693" s="246"/>
      <c r="AH693" s="246"/>
      <c r="AI693" s="246"/>
      <c r="AJ693" s="246"/>
      <c r="AK693" s="246"/>
      <c r="AL693" s="246"/>
      <c r="AM693" s="246"/>
      <c r="AN693" s="246"/>
      <c r="AO693" s="246"/>
      <c r="AP693" s="246"/>
      <c r="AQ693" s="246"/>
      <c r="AR693" s="246"/>
      <c r="AS693" s="246"/>
      <c r="AT693" s="246"/>
      <c r="AU693" s="246"/>
      <c r="AV693" s="246"/>
      <c r="AW693" s="246"/>
      <c r="AX693" s="246"/>
      <c r="AY693" s="246"/>
      <c r="AZ693" s="246"/>
      <c r="BA693" s="246"/>
      <c r="BB693" s="246"/>
      <c r="BC693" s="246"/>
      <c r="BD693" s="246"/>
      <c r="BE693" s="246"/>
      <c r="BF693" s="246"/>
      <c r="BG693" s="246"/>
      <c r="BH693" s="246"/>
      <c r="BI693" s="246"/>
      <c r="BJ693" s="246"/>
    </row>
    <row r="694" spans="2:62" ht="15.75">
      <c r="B694" s="7"/>
      <c r="C694" s="334"/>
      <c r="D694" s="334"/>
      <c r="E694" s="334"/>
      <c r="F694" s="334"/>
      <c r="G694" s="334"/>
      <c r="H694" s="334"/>
      <c r="I694" s="334"/>
      <c r="J694" s="334"/>
      <c r="K694" s="399"/>
      <c r="L694" s="399"/>
      <c r="M694" s="334"/>
      <c r="N694" s="399"/>
      <c r="O694" s="399"/>
      <c r="P694" s="334"/>
      <c r="Q694" s="399"/>
      <c r="R694" s="399"/>
      <c r="S694" s="334"/>
      <c r="T694" s="334"/>
      <c r="U694" s="334"/>
      <c r="V694" s="334"/>
      <c r="W694" s="334"/>
      <c r="X694" s="334"/>
      <c r="Y694" s="246"/>
      <c r="Z694" s="246"/>
      <c r="AA694" s="246"/>
      <c r="AB694" s="246"/>
      <c r="AC694" s="246"/>
      <c r="AD694" s="246"/>
      <c r="AE694" s="246"/>
      <c r="AF694" s="246"/>
      <c r="AG694" s="246"/>
      <c r="AH694" s="246"/>
      <c r="AI694" s="246"/>
      <c r="AJ694" s="246"/>
      <c r="AK694" s="246"/>
      <c r="AL694" s="246"/>
      <c r="AM694" s="246"/>
      <c r="AN694" s="246"/>
      <c r="AO694" s="246"/>
      <c r="AP694" s="246"/>
      <c r="AQ694" s="246"/>
      <c r="AR694" s="246"/>
      <c r="AS694" s="246"/>
      <c r="AT694" s="246"/>
      <c r="AU694" s="246"/>
      <c r="AV694" s="246"/>
      <c r="AW694" s="246"/>
      <c r="AX694" s="246"/>
      <c r="AY694" s="246"/>
      <c r="AZ694" s="246"/>
      <c r="BA694" s="246"/>
      <c r="BB694" s="246"/>
      <c r="BC694" s="246"/>
      <c r="BD694" s="246"/>
      <c r="BE694" s="246"/>
      <c r="BF694" s="246"/>
      <c r="BG694" s="246"/>
      <c r="BH694" s="246"/>
      <c r="BI694" s="246"/>
      <c r="BJ694" s="246"/>
    </row>
    <row r="695" spans="2:62" ht="15.75">
      <c r="B695" s="7"/>
      <c r="C695" s="334"/>
      <c r="D695" s="334"/>
      <c r="E695" s="334"/>
      <c r="F695" s="334"/>
      <c r="G695" s="334"/>
      <c r="H695" s="334"/>
      <c r="I695" s="334"/>
      <c r="J695" s="334"/>
      <c r="K695" s="399"/>
      <c r="L695" s="399"/>
      <c r="M695" s="334"/>
      <c r="N695" s="399"/>
      <c r="O695" s="399"/>
      <c r="P695" s="334"/>
      <c r="Q695" s="399"/>
      <c r="R695" s="399"/>
      <c r="S695" s="334"/>
      <c r="T695" s="334"/>
      <c r="U695" s="334"/>
      <c r="V695" s="334"/>
      <c r="W695" s="334"/>
      <c r="X695" s="334"/>
      <c r="Y695" s="246"/>
      <c r="Z695" s="246"/>
      <c r="AA695" s="246"/>
      <c r="AB695" s="246"/>
      <c r="AC695" s="246"/>
      <c r="AD695" s="246"/>
      <c r="AE695" s="246"/>
      <c r="AF695" s="246"/>
      <c r="AG695" s="246"/>
      <c r="AH695" s="246"/>
      <c r="AI695" s="246"/>
      <c r="AJ695" s="246"/>
      <c r="AK695" s="246"/>
      <c r="AL695" s="246"/>
      <c r="AM695" s="246"/>
      <c r="AN695" s="246"/>
      <c r="AO695" s="246"/>
      <c r="AP695" s="246"/>
      <c r="AQ695" s="246"/>
      <c r="AR695" s="246"/>
      <c r="AS695" s="246"/>
      <c r="AT695" s="246"/>
      <c r="AU695" s="246"/>
      <c r="AV695" s="246"/>
      <c r="AW695" s="246"/>
      <c r="AX695" s="246"/>
      <c r="AY695" s="246"/>
      <c r="AZ695" s="246"/>
      <c r="BA695" s="246"/>
      <c r="BB695" s="246"/>
      <c r="BC695" s="246"/>
      <c r="BD695" s="246"/>
      <c r="BE695" s="246"/>
      <c r="BF695" s="246"/>
      <c r="BG695" s="246"/>
      <c r="BH695" s="246"/>
      <c r="BI695" s="246"/>
      <c r="BJ695" s="246"/>
    </row>
    <row r="696" spans="2:62" ht="15.75">
      <c r="B696" s="7"/>
      <c r="C696" s="334"/>
      <c r="D696" s="334"/>
      <c r="E696" s="334"/>
      <c r="F696" s="334"/>
      <c r="G696" s="334"/>
      <c r="H696" s="334"/>
      <c r="I696" s="334"/>
      <c r="J696" s="334"/>
      <c r="K696" s="399"/>
      <c r="L696" s="399"/>
      <c r="M696" s="334"/>
      <c r="N696" s="399"/>
      <c r="O696" s="399"/>
      <c r="P696" s="334"/>
      <c r="Q696" s="399"/>
      <c r="R696" s="399"/>
      <c r="S696" s="334"/>
      <c r="T696" s="334"/>
      <c r="U696" s="334"/>
      <c r="V696" s="334"/>
      <c r="W696" s="334"/>
      <c r="X696" s="334"/>
      <c r="Y696" s="246"/>
      <c r="Z696" s="246"/>
      <c r="AA696" s="246"/>
      <c r="AB696" s="246"/>
      <c r="AC696" s="246"/>
      <c r="AD696" s="246"/>
      <c r="AE696" s="246"/>
      <c r="AF696" s="246"/>
      <c r="AG696" s="246"/>
      <c r="AH696" s="246"/>
      <c r="AI696" s="246"/>
      <c r="AJ696" s="246"/>
      <c r="AK696" s="246"/>
      <c r="AL696" s="246"/>
      <c r="AM696" s="246"/>
      <c r="AN696" s="246"/>
      <c r="AO696" s="246"/>
      <c r="AP696" s="246"/>
      <c r="AQ696" s="246"/>
      <c r="AR696" s="246"/>
      <c r="AS696" s="246"/>
      <c r="AT696" s="246"/>
      <c r="AU696" s="246"/>
      <c r="AV696" s="246"/>
      <c r="AW696" s="246"/>
      <c r="AX696" s="246"/>
      <c r="AY696" s="246"/>
      <c r="AZ696" s="246"/>
      <c r="BA696" s="246"/>
      <c r="BB696" s="246"/>
      <c r="BC696" s="246"/>
      <c r="BD696" s="246"/>
      <c r="BE696" s="246"/>
      <c r="BF696" s="246"/>
      <c r="BG696" s="246"/>
      <c r="BH696" s="246"/>
      <c r="BI696" s="246"/>
      <c r="BJ696" s="246"/>
    </row>
    <row r="697" spans="2:62" ht="15.75">
      <c r="B697" s="7"/>
      <c r="C697" s="334"/>
      <c r="D697" s="334"/>
      <c r="E697" s="334"/>
      <c r="F697" s="334"/>
      <c r="G697" s="334"/>
      <c r="H697" s="334"/>
      <c r="I697" s="334"/>
      <c r="J697" s="334"/>
      <c r="K697" s="399"/>
      <c r="L697" s="399"/>
      <c r="M697" s="334"/>
      <c r="N697" s="399"/>
      <c r="O697" s="399"/>
      <c r="P697" s="334"/>
      <c r="Q697" s="399"/>
      <c r="R697" s="399"/>
      <c r="S697" s="334"/>
      <c r="T697" s="334"/>
      <c r="U697" s="334"/>
      <c r="V697" s="334"/>
      <c r="W697" s="334"/>
      <c r="X697" s="334"/>
      <c r="Y697" s="246"/>
      <c r="Z697" s="246"/>
      <c r="AA697" s="246"/>
      <c r="AB697" s="246"/>
      <c r="AC697" s="246"/>
      <c r="AD697" s="246"/>
      <c r="AE697" s="246"/>
      <c r="AF697" s="246"/>
      <c r="AG697" s="246"/>
      <c r="AH697" s="246"/>
      <c r="AI697" s="246"/>
      <c r="AJ697" s="246"/>
      <c r="AK697" s="246"/>
      <c r="AL697" s="246"/>
      <c r="AM697" s="246"/>
      <c r="AN697" s="246"/>
      <c r="AO697" s="246"/>
      <c r="AP697" s="246"/>
      <c r="AQ697" s="246"/>
      <c r="AR697" s="246"/>
      <c r="AS697" s="246"/>
      <c r="AT697" s="246"/>
      <c r="AU697" s="246"/>
      <c r="AV697" s="246"/>
      <c r="AW697" s="246"/>
      <c r="AX697" s="246"/>
      <c r="AY697" s="246"/>
      <c r="AZ697" s="246"/>
      <c r="BA697" s="246"/>
      <c r="BB697" s="246"/>
      <c r="BC697" s="246"/>
      <c r="BD697" s="246"/>
      <c r="BE697" s="246"/>
      <c r="BF697" s="246"/>
      <c r="BG697" s="246"/>
      <c r="BH697" s="246"/>
      <c r="BI697" s="246"/>
      <c r="BJ697" s="246"/>
    </row>
    <row r="698" spans="2:62" ht="15.75">
      <c r="B698" s="7"/>
      <c r="C698" s="334"/>
      <c r="D698" s="334"/>
      <c r="E698" s="334"/>
      <c r="F698" s="334"/>
      <c r="G698" s="334"/>
      <c r="H698" s="334"/>
      <c r="I698" s="334"/>
      <c r="J698" s="334"/>
      <c r="K698" s="399"/>
      <c r="L698" s="399"/>
      <c r="M698" s="334"/>
      <c r="N698" s="399"/>
      <c r="O698" s="399"/>
      <c r="P698" s="334"/>
      <c r="Q698" s="399"/>
      <c r="R698" s="399"/>
      <c r="S698" s="334"/>
      <c r="T698" s="334"/>
      <c r="U698" s="334"/>
      <c r="V698" s="334"/>
      <c r="W698" s="334"/>
      <c r="X698" s="334"/>
      <c r="Y698" s="246"/>
      <c r="Z698" s="246"/>
      <c r="AA698" s="246"/>
      <c r="AB698" s="246"/>
      <c r="AC698" s="246"/>
      <c r="AD698" s="246"/>
      <c r="AE698" s="246"/>
      <c r="AF698" s="246"/>
      <c r="AG698" s="246"/>
      <c r="AH698" s="246"/>
      <c r="AI698" s="246"/>
      <c r="AJ698" s="246"/>
      <c r="AK698" s="246"/>
      <c r="AL698" s="246"/>
      <c r="AM698" s="246"/>
      <c r="AN698" s="246"/>
      <c r="AO698" s="246"/>
      <c r="AP698" s="246"/>
      <c r="AQ698" s="246"/>
      <c r="AR698" s="246"/>
      <c r="AS698" s="246"/>
      <c r="AT698" s="246"/>
      <c r="AU698" s="246"/>
      <c r="AV698" s="246"/>
      <c r="AW698" s="246"/>
      <c r="AX698" s="246"/>
      <c r="AY698" s="246"/>
      <c r="AZ698" s="246"/>
      <c r="BA698" s="246"/>
      <c r="BB698" s="246"/>
      <c r="BC698" s="246"/>
      <c r="BD698" s="246"/>
      <c r="BE698" s="246"/>
      <c r="BF698" s="246"/>
      <c r="BG698" s="246"/>
      <c r="BH698" s="246"/>
      <c r="BI698" s="246"/>
      <c r="BJ698" s="246"/>
    </row>
    <row r="699" spans="2:62" ht="15.75">
      <c r="B699" s="7"/>
      <c r="C699" s="334"/>
      <c r="D699" s="334"/>
      <c r="E699" s="334"/>
      <c r="F699" s="334"/>
      <c r="G699" s="334"/>
      <c r="H699" s="334"/>
      <c r="I699" s="334"/>
      <c r="J699" s="334"/>
      <c r="K699" s="399"/>
      <c r="L699" s="401"/>
      <c r="M699" s="334"/>
      <c r="N699" s="399"/>
      <c r="O699" s="399"/>
      <c r="P699" s="334"/>
      <c r="Q699" s="399"/>
      <c r="R699" s="401"/>
      <c r="S699" s="334"/>
      <c r="T699" s="334"/>
      <c r="U699" s="334"/>
      <c r="V699" s="334"/>
      <c r="W699" s="334"/>
      <c r="X699" s="334"/>
      <c r="Y699" s="246"/>
      <c r="Z699" s="246"/>
      <c r="AA699" s="246"/>
      <c r="AB699" s="246"/>
      <c r="AC699" s="246"/>
      <c r="AD699" s="246"/>
      <c r="AE699" s="246"/>
      <c r="AF699" s="246"/>
      <c r="AG699" s="246"/>
      <c r="AH699" s="246"/>
      <c r="AI699" s="246"/>
      <c r="AJ699" s="246"/>
      <c r="AK699" s="246"/>
      <c r="AL699" s="246"/>
      <c r="AM699" s="246"/>
      <c r="AN699" s="246"/>
      <c r="AO699" s="246"/>
      <c r="AP699" s="246"/>
      <c r="AQ699" s="246"/>
      <c r="AR699" s="246"/>
      <c r="AS699" s="246"/>
      <c r="AT699" s="246"/>
      <c r="AU699" s="246"/>
      <c r="AV699" s="246"/>
      <c r="AW699" s="246"/>
      <c r="AX699" s="246"/>
      <c r="AY699" s="246"/>
      <c r="AZ699" s="246"/>
      <c r="BA699" s="246"/>
      <c r="BB699" s="246"/>
      <c r="BC699" s="246"/>
      <c r="BD699" s="246"/>
      <c r="BE699" s="246"/>
      <c r="BF699" s="246"/>
      <c r="BG699" s="246"/>
      <c r="BH699" s="246"/>
      <c r="BI699" s="246"/>
      <c r="BJ699" s="246"/>
    </row>
    <row r="700" spans="2:62" ht="15.75">
      <c r="B700" s="7"/>
      <c r="C700" s="334"/>
      <c r="D700" s="334"/>
      <c r="E700" s="334"/>
      <c r="F700" s="334"/>
      <c r="G700" s="334"/>
      <c r="H700" s="334"/>
      <c r="I700" s="334"/>
      <c r="J700" s="334"/>
      <c r="K700" s="399"/>
      <c r="L700" s="399"/>
      <c r="M700" s="334"/>
      <c r="N700" s="399"/>
      <c r="O700" s="399"/>
      <c r="P700" s="334"/>
      <c r="Q700" s="399"/>
      <c r="R700" s="399"/>
      <c r="S700" s="334"/>
      <c r="T700" s="334"/>
      <c r="U700" s="334"/>
      <c r="V700" s="334"/>
      <c r="W700" s="334"/>
      <c r="X700" s="334"/>
      <c r="Y700" s="246"/>
      <c r="Z700" s="246"/>
      <c r="AA700" s="246"/>
      <c r="AB700" s="246"/>
      <c r="AC700" s="246"/>
      <c r="AD700" s="246"/>
      <c r="AE700" s="246"/>
      <c r="AF700" s="246"/>
      <c r="AG700" s="246"/>
      <c r="AH700" s="246"/>
      <c r="AI700" s="246"/>
      <c r="AJ700" s="246"/>
      <c r="AK700" s="246"/>
      <c r="AL700" s="246"/>
      <c r="AM700" s="246"/>
      <c r="AN700" s="246"/>
      <c r="AO700" s="246"/>
      <c r="AP700" s="246"/>
      <c r="AQ700" s="246"/>
      <c r="AR700" s="246"/>
      <c r="AS700" s="246"/>
      <c r="AT700" s="246"/>
      <c r="AU700" s="246"/>
      <c r="AV700" s="246"/>
      <c r="AW700" s="246"/>
      <c r="AX700" s="246"/>
      <c r="AY700" s="246"/>
      <c r="AZ700" s="246"/>
      <c r="BA700" s="246"/>
      <c r="BB700" s="246"/>
      <c r="BC700" s="246"/>
      <c r="BD700" s="246"/>
      <c r="BE700" s="246"/>
      <c r="BF700" s="246"/>
      <c r="BG700" s="246"/>
      <c r="BH700" s="246"/>
      <c r="BI700" s="246"/>
      <c r="BJ700" s="246"/>
    </row>
    <row r="701" spans="2:62" ht="15.75">
      <c r="B701" s="7"/>
      <c r="C701" s="334"/>
      <c r="D701" s="334"/>
      <c r="E701" s="334"/>
      <c r="F701" s="334"/>
      <c r="G701" s="334"/>
      <c r="H701" s="334"/>
      <c r="I701" s="334"/>
      <c r="J701" s="334"/>
      <c r="K701" s="399"/>
      <c r="L701" s="399"/>
      <c r="M701" s="334"/>
      <c r="N701" s="399"/>
      <c r="O701" s="399"/>
      <c r="P701" s="334"/>
      <c r="Q701" s="399"/>
      <c r="R701" s="399"/>
      <c r="S701" s="334"/>
      <c r="T701" s="334"/>
      <c r="U701" s="334"/>
      <c r="V701" s="334"/>
      <c r="W701" s="334"/>
      <c r="X701" s="334"/>
      <c r="Y701" s="246"/>
      <c r="Z701" s="246"/>
      <c r="AA701" s="246"/>
      <c r="AB701" s="246"/>
      <c r="AC701" s="246"/>
      <c r="AD701" s="246"/>
      <c r="AE701" s="246"/>
      <c r="AF701" s="246"/>
      <c r="AG701" s="246"/>
      <c r="AH701" s="246"/>
      <c r="AI701" s="246"/>
      <c r="AJ701" s="246"/>
      <c r="AK701" s="246"/>
      <c r="AL701" s="246"/>
      <c r="AM701" s="246"/>
      <c r="AN701" s="246"/>
      <c r="AO701" s="246"/>
      <c r="AP701" s="246"/>
      <c r="AQ701" s="246"/>
      <c r="AR701" s="246"/>
      <c r="AS701" s="246"/>
      <c r="AT701" s="246"/>
      <c r="AU701" s="246"/>
      <c r="AV701" s="246"/>
      <c r="AW701" s="246"/>
      <c r="AX701" s="246"/>
      <c r="AY701" s="246"/>
      <c r="AZ701" s="246"/>
      <c r="BA701" s="246"/>
      <c r="BB701" s="246"/>
      <c r="BC701" s="246"/>
      <c r="BD701" s="246"/>
      <c r="BE701" s="246"/>
      <c r="BF701" s="246"/>
      <c r="BG701" s="246"/>
      <c r="BH701" s="246"/>
      <c r="BI701" s="246"/>
      <c r="BJ701" s="246"/>
    </row>
    <row r="702" spans="2:62" ht="15.75">
      <c r="B702" s="7"/>
      <c r="C702" s="334"/>
      <c r="D702" s="334"/>
      <c r="E702" s="334"/>
      <c r="F702" s="334"/>
      <c r="G702" s="334"/>
      <c r="H702" s="334"/>
      <c r="I702" s="334"/>
      <c r="J702" s="334"/>
      <c r="K702" s="399"/>
      <c r="L702" s="399"/>
      <c r="M702" s="334"/>
      <c r="N702" s="401"/>
      <c r="O702" s="401"/>
      <c r="P702" s="334"/>
      <c r="Q702" s="401"/>
      <c r="R702" s="399"/>
      <c r="S702" s="334"/>
      <c r="T702" s="334"/>
      <c r="U702" s="334"/>
      <c r="V702" s="334"/>
      <c r="W702" s="334"/>
      <c r="X702" s="334"/>
      <c r="Y702" s="246"/>
      <c r="Z702" s="246"/>
      <c r="AA702" s="246"/>
      <c r="AB702" s="246"/>
      <c r="AC702" s="246"/>
      <c r="AD702" s="246"/>
      <c r="AE702" s="246"/>
      <c r="AF702" s="246"/>
      <c r="AG702" s="246"/>
      <c r="AH702" s="246"/>
      <c r="AI702" s="246"/>
      <c r="AJ702" s="246"/>
      <c r="AK702" s="246"/>
      <c r="AL702" s="246"/>
      <c r="AM702" s="246"/>
      <c r="AN702" s="246"/>
      <c r="AO702" s="246"/>
      <c r="AP702" s="246"/>
      <c r="AQ702" s="246"/>
      <c r="AR702" s="246"/>
      <c r="AS702" s="246"/>
      <c r="AT702" s="246"/>
      <c r="AU702" s="246"/>
      <c r="AV702" s="246"/>
      <c r="AW702" s="246"/>
      <c r="AX702" s="246"/>
      <c r="AY702" s="246"/>
      <c r="AZ702" s="246"/>
      <c r="BA702" s="246"/>
      <c r="BB702" s="246"/>
      <c r="BC702" s="246"/>
      <c r="BD702" s="246"/>
      <c r="BE702" s="246"/>
      <c r="BF702" s="246"/>
      <c r="BG702" s="246"/>
      <c r="BH702" s="246"/>
      <c r="BI702" s="246"/>
      <c r="BJ702" s="246"/>
    </row>
  </sheetData>
  <mergeCells count="42">
    <mergeCell ref="AM404:AO404"/>
    <mergeCell ref="D358:F358"/>
    <mergeCell ref="G358:I358"/>
    <mergeCell ref="J358:L358"/>
    <mergeCell ref="M358:N358"/>
    <mergeCell ref="O358:Q358"/>
    <mergeCell ref="R358:S358"/>
    <mergeCell ref="X404:Z404"/>
    <mergeCell ref="AA404:AC404"/>
    <mergeCell ref="AD404:AF404"/>
    <mergeCell ref="AG404:AI404"/>
    <mergeCell ref="AJ404:AL404"/>
    <mergeCell ref="R293:S293"/>
    <mergeCell ref="D238:F238"/>
    <mergeCell ref="G238:I238"/>
    <mergeCell ref="J238:L238"/>
    <mergeCell ref="M238:N238"/>
    <mergeCell ref="O238:Q238"/>
    <mergeCell ref="R238:S238"/>
    <mergeCell ref="D293:F293"/>
    <mergeCell ref="G293:I293"/>
    <mergeCell ref="J293:L293"/>
    <mergeCell ref="M293:N293"/>
    <mergeCell ref="O293:Q293"/>
    <mergeCell ref="R170:S170"/>
    <mergeCell ref="D91:F91"/>
    <mergeCell ref="G91:I91"/>
    <mergeCell ref="J91:L91"/>
    <mergeCell ref="M91:N91"/>
    <mergeCell ref="O91:Q91"/>
    <mergeCell ref="R91:S91"/>
    <mergeCell ref="D170:F170"/>
    <mergeCell ref="G170:I170"/>
    <mergeCell ref="J170:L170"/>
    <mergeCell ref="M170:N170"/>
    <mergeCell ref="O170:Q170"/>
    <mergeCell ref="R3:S3"/>
    <mergeCell ref="D3:F3"/>
    <mergeCell ref="G3:I3"/>
    <mergeCell ref="J3:L3"/>
    <mergeCell ref="M3:N3"/>
    <mergeCell ref="O3:Q3"/>
  </mergeCells>
  <phoneticPr fontId="31" type="noConversion"/>
  <conditionalFormatting sqref="D31:D32">
    <cfRule type="expression" dxfId="564" priority="17" stopIfTrue="1">
      <formula>"esterreur(reference)"</formula>
    </cfRule>
  </conditionalFormatting>
  <conditionalFormatting sqref="D112:D113">
    <cfRule type="expression" dxfId="563" priority="12" stopIfTrue="1">
      <formula>"esterreur(reference)"</formula>
    </cfRule>
  </conditionalFormatting>
  <conditionalFormatting sqref="F5">
    <cfRule type="expression" dxfId="562" priority="78" stopIfTrue="1">
      <formula>"esterreur(reference)"</formula>
    </cfRule>
  </conditionalFormatting>
  <conditionalFormatting sqref="F184">
    <cfRule type="expression" dxfId="561" priority="88" stopIfTrue="1">
      <formula>"esterreur(reference)"</formula>
    </cfRule>
  </conditionalFormatting>
  <conditionalFormatting sqref="G31:G32">
    <cfRule type="expression" dxfId="560" priority="16" stopIfTrue="1">
      <formula>"esterreur(reference)"</formula>
    </cfRule>
  </conditionalFormatting>
  <conditionalFormatting sqref="G112:G113">
    <cfRule type="expression" dxfId="559" priority="13" stopIfTrue="1">
      <formula>"esterreur(reference)"</formula>
    </cfRule>
  </conditionalFormatting>
  <conditionalFormatting sqref="H136:H152">
    <cfRule type="expression" dxfId="558" priority="42" stopIfTrue="1">
      <formula>"esterreur(reference)"</formula>
    </cfRule>
  </conditionalFormatting>
  <conditionalFormatting sqref="H360">
    <cfRule type="expression" dxfId="557" priority="121" stopIfTrue="1">
      <formula>"esterreur(reference)"</formula>
    </cfRule>
  </conditionalFormatting>
  <conditionalFormatting sqref="H197:L197">
    <cfRule type="expression" dxfId="556" priority="123" stopIfTrue="1">
      <formula>"esterreur(reference)"</formula>
    </cfRule>
  </conditionalFormatting>
  <conditionalFormatting sqref="H396:L399">
    <cfRule type="expression" dxfId="555" priority="119" stopIfTrue="1">
      <formula>"esterreur(reference)"</formula>
    </cfRule>
  </conditionalFormatting>
  <conditionalFormatting sqref="I377:L377 H378:H395">
    <cfRule type="expression" dxfId="554" priority="120" stopIfTrue="1">
      <formula>"esterreur(reference)"</formula>
    </cfRule>
  </conditionalFormatting>
  <conditionalFormatting sqref="J3 I13:J14 I16:J16 I17 I18:J18 J19 I20:J20 J21:J23 I24:J24 H25:L30 J31:K48 H31:H72 J49:L54 J72:L72 F83:F85 H83:L85 H86:K88 L86:L90 H90:I90 K90 J90:J91 H97:L98 I101:L101 H101:H104 I105:L111 H106:H134 I122:L122 H135:L135 J136:K148 H153:L153 H156:H157 J156:K157 H164:L164 H165 J165:K165 H166:K167 L166:L169 H169:I169 K169 J169:J196 H171:I171 H173:I174 H176:I177 H179:I180 H182:I183 L183 H185:I187 H189:I190 H192:I196 H198:H229 J198:K229 H232:L232 H233 J233:K233 H234:K235 L234:L237 H237:I237 K237 J237:J240 H239:I240 H243:L243 H252:L253 H254:K284 H285:L285 H288:L288 H289 J289:K289 H290:K290 L290:L292 H292:I292 K292 J292:J293 H294:L294 H304:L306 H309:L311 H313:L317 H318:H348 J318:K348 H349:L349 H352:L352 H353:H355 J353:K355 H361:L364 H365:H376 H400 J400:K400">
    <cfRule type="expression" dxfId="553" priority="113" stopIfTrue="1">
      <formula>"esterreur(reference)"</formula>
    </cfRule>
  </conditionalFormatting>
  <conditionalFormatting sqref="J55:K71">
    <cfRule type="expression" dxfId="552" priority="124" stopIfTrue="1">
      <formula>"esterreur(reference)"</formula>
    </cfRule>
  </conditionalFormatting>
  <conditionalFormatting sqref="J102:L104">
    <cfRule type="expression" dxfId="551" priority="109" stopIfTrue="1">
      <formula>"esterreur(reference)"</formula>
    </cfRule>
  </conditionalFormatting>
  <conditionalFormatting sqref="J149:L152">
    <cfRule type="expression" dxfId="550" priority="41" stopIfTrue="1">
      <formula>"esterreur(reference)"</formula>
    </cfRule>
  </conditionalFormatting>
  <conditionalFormatting sqref="J295:L303">
    <cfRule type="expression" dxfId="549" priority="105" stopIfTrue="1">
      <formula>"esterreur(reference)"</formula>
    </cfRule>
  </conditionalFormatting>
  <conditionalFormatting sqref="J307:L308">
    <cfRule type="expression" dxfId="548" priority="95" stopIfTrue="1">
      <formula>"esterreur(reference)"</formula>
    </cfRule>
  </conditionalFormatting>
  <conditionalFormatting sqref="J360:L360">
    <cfRule type="expression" dxfId="547" priority="87" stopIfTrue="1">
      <formula>"esterreur(reference)"</formula>
    </cfRule>
  </conditionalFormatting>
  <conditionalFormatting sqref="J365:L376">
    <cfRule type="expression" dxfId="546" priority="92" stopIfTrue="1">
      <formula>"esterreur(reference)"</formula>
    </cfRule>
  </conditionalFormatting>
  <conditionalFormatting sqref="J378:L394">
    <cfRule type="expression" dxfId="545" priority="91" stopIfTrue="1">
      <formula>"esterreur(reference)"</formula>
    </cfRule>
  </conditionalFormatting>
  <conditionalFormatting sqref="J312:M312">
    <cfRule type="expression" dxfId="544" priority="93" stopIfTrue="1">
      <formula>"esterreur(reference)"</formula>
    </cfRule>
  </conditionalFormatting>
  <conditionalFormatting sqref="J112:Q121">
    <cfRule type="expression" dxfId="543" priority="14" stopIfTrue="1">
      <formula>"esterreur(reference)"</formula>
    </cfRule>
  </conditionalFormatting>
  <conditionalFormatting sqref="J123:Q134">
    <cfRule type="expression" dxfId="542" priority="68" stopIfTrue="1">
      <formula>"esterreur(reference)"</formula>
    </cfRule>
  </conditionalFormatting>
  <conditionalFormatting sqref="K5">
    <cfRule type="expression" dxfId="541" priority="102" stopIfTrue="1">
      <formula>"esterreur(reference)"</formula>
    </cfRule>
  </conditionalFormatting>
  <conditionalFormatting sqref="K175">
    <cfRule type="expression" dxfId="540" priority="99" stopIfTrue="1">
      <formula>"esterreur(reference)"</formula>
    </cfRule>
  </conditionalFormatting>
  <conditionalFormatting sqref="K183:K184">
    <cfRule type="expression" dxfId="539" priority="101" stopIfTrue="1">
      <formula>"esterreur(reference)"</formula>
    </cfRule>
  </conditionalFormatting>
  <conditionalFormatting sqref="K287">
    <cfRule type="expression" dxfId="538" priority="85" stopIfTrue="1">
      <formula>"esterreur(reference)"</formula>
    </cfRule>
  </conditionalFormatting>
  <conditionalFormatting sqref="K395">
    <cfRule type="expression" dxfId="537" priority="122" stopIfTrue="1">
      <formula>"esterreur(reference)"</formula>
    </cfRule>
  </conditionalFormatting>
  <conditionalFormatting sqref="K93:L96">
    <cfRule type="expression" dxfId="536" priority="90" stopIfTrue="1">
      <formula>"esterreur(reference)"</formula>
    </cfRule>
  </conditionalFormatting>
  <conditionalFormatting sqref="K99:L100">
    <cfRule type="expression" dxfId="535" priority="110" stopIfTrue="1">
      <formula>"esterreur(reference)"</formula>
    </cfRule>
  </conditionalFormatting>
  <conditionalFormatting sqref="K171:L173">
    <cfRule type="expression" dxfId="534" priority="100" stopIfTrue="1">
      <formula>"esterreur(reference)"</formula>
    </cfRule>
  </conditionalFormatting>
  <conditionalFormatting sqref="K176:L182">
    <cfRule type="expression" dxfId="533" priority="98" stopIfTrue="1">
      <formula>"esterreur(reference)"</formula>
    </cfRule>
  </conditionalFormatting>
  <conditionalFormatting sqref="K185:L196">
    <cfRule type="expression" dxfId="532" priority="94" stopIfTrue="1">
      <formula>"esterreur(reference)"</formula>
    </cfRule>
  </conditionalFormatting>
  <conditionalFormatting sqref="K239:L241">
    <cfRule type="expression" dxfId="531" priority="89" stopIfTrue="1">
      <formula>"esterreur(reference)"</formula>
    </cfRule>
  </conditionalFormatting>
  <conditionalFormatting sqref="K244:L244">
    <cfRule type="expression" dxfId="530" priority="97" stopIfTrue="1">
      <formula>"esterreur(reference)"</formula>
    </cfRule>
  </conditionalFormatting>
  <conditionalFormatting sqref="K247:L247">
    <cfRule type="expression" dxfId="529" priority="96" stopIfTrue="1">
      <formula>"esterreur(reference)"</formula>
    </cfRule>
  </conditionalFormatting>
  <conditionalFormatting sqref="L16:L24">
    <cfRule type="expression" dxfId="528" priority="112" stopIfTrue="1">
      <formula>"esterreur(reference)"</formula>
    </cfRule>
  </conditionalFormatting>
  <conditionalFormatting sqref="L42:L48">
    <cfRule type="expression" dxfId="527" priority="111" stopIfTrue="1">
      <formula>"esterreur(reference)"</formula>
    </cfRule>
  </conditionalFormatting>
  <conditionalFormatting sqref="L55:L66">
    <cfRule type="expression" dxfId="526" priority="79" stopIfTrue="1">
      <formula>"esterreur(reference)"</formula>
    </cfRule>
  </conditionalFormatting>
  <conditionalFormatting sqref="L68:L71">
    <cfRule type="expression" dxfId="525" priority="43" stopIfTrue="1">
      <formula>"esterreur(reference)"</formula>
    </cfRule>
  </conditionalFormatting>
  <conditionalFormatting sqref="L75:L82">
    <cfRule type="expression" dxfId="524" priority="80" stopIfTrue="1">
      <formula>"esterreur(reference)"</formula>
    </cfRule>
  </conditionalFormatting>
  <conditionalFormatting sqref="L136:L147">
    <cfRule type="expression" dxfId="523" priority="84" stopIfTrue="1">
      <formula>"esterreur(reference)"</formula>
    </cfRule>
  </conditionalFormatting>
  <conditionalFormatting sqref="L174:L175">
    <cfRule type="expression" dxfId="522" priority="108" stopIfTrue="1">
      <formula>"esterreur(reference)"</formula>
    </cfRule>
  </conditionalFormatting>
  <conditionalFormatting sqref="L198:L209">
    <cfRule type="expression" dxfId="521" priority="107" stopIfTrue="1">
      <formula>"esterreur(reference)"</formula>
    </cfRule>
  </conditionalFormatting>
  <conditionalFormatting sqref="L211:L228">
    <cfRule type="expression" dxfId="520" priority="83" stopIfTrue="1">
      <formula>"esterreur(reference)"</formula>
    </cfRule>
  </conditionalFormatting>
  <conditionalFormatting sqref="L254:L265">
    <cfRule type="expression" dxfId="519" priority="106" stopIfTrue="1">
      <formula>"esterreur(reference)"</formula>
    </cfRule>
  </conditionalFormatting>
  <conditionalFormatting sqref="L267:L284">
    <cfRule type="expression" dxfId="518" priority="82" stopIfTrue="1">
      <formula>"esterreur(reference)"</formula>
    </cfRule>
  </conditionalFormatting>
  <conditionalFormatting sqref="L318:L329">
    <cfRule type="expression" dxfId="517" priority="104" stopIfTrue="1">
      <formula>"esterreur(reference)"</formula>
    </cfRule>
  </conditionalFormatting>
  <conditionalFormatting sqref="L331">
    <cfRule type="expression" dxfId="516" priority="81" stopIfTrue="1">
      <formula>"esterreur(reference)"</formula>
    </cfRule>
  </conditionalFormatting>
  <conditionalFormatting sqref="L334:L343 L345:L348">
    <cfRule type="expression" dxfId="515" priority="103" stopIfTrue="1">
      <formula>"esterreur(reference)"</formula>
    </cfRule>
  </conditionalFormatting>
  <conditionalFormatting sqref="L356:L357 H357:I357 K357 J357:J358 H359:L359">
    <cfRule type="expression" dxfId="514" priority="118" stopIfTrue="1">
      <formula>"esterreur(reference)"</formula>
    </cfRule>
  </conditionalFormatting>
  <conditionalFormatting sqref="L5:Q14">
    <cfRule type="expression" dxfId="513" priority="73" stopIfTrue="1">
      <formula>"esterreur(reference)"</formula>
    </cfRule>
  </conditionalFormatting>
  <conditionalFormatting sqref="L156:Q162">
    <cfRule type="expression" dxfId="512" priority="39" stopIfTrue="1">
      <formula>"esterreur(reference)"</formula>
    </cfRule>
  </conditionalFormatting>
  <conditionalFormatting sqref="M95:M97">
    <cfRule type="expression" dxfId="511" priority="114" stopIfTrue="1">
      <formula>"esterreur(reference)"</formula>
    </cfRule>
  </conditionalFormatting>
  <conditionalFormatting sqref="O13:O14 O16 O18:O24 O83:Q85">
    <cfRule type="expression" dxfId="510" priority="77" stopIfTrue="1">
      <formula>"esterreur(reference)"</formula>
    </cfRule>
  </conditionalFormatting>
  <conditionalFormatting sqref="O172:O196 Q183 O198:P229 O232:Q232 O233:P233">
    <cfRule type="expression" dxfId="509" priority="66" stopIfTrue="1">
      <formula>"esterreur(reference)"</formula>
    </cfRule>
  </conditionalFormatting>
  <conditionalFormatting sqref="O318:P348 O349:Q349 O352:Q352 O353:P353">
    <cfRule type="expression" dxfId="508" priority="50" stopIfTrue="1">
      <formula>"esterreur(reference)"</formula>
    </cfRule>
  </conditionalFormatting>
  <conditionalFormatting sqref="O25:Q72">
    <cfRule type="expression" dxfId="507" priority="15" stopIfTrue="1">
      <formula>"esterreur(reference)"</formula>
    </cfRule>
  </conditionalFormatting>
  <conditionalFormatting sqref="O97:Q98 O122:Q122 O156:P157 O164:Q164 O165:P165">
    <cfRule type="expression" dxfId="506" priority="72" stopIfTrue="1">
      <formula>"esterreur(reference)"</formula>
    </cfRule>
  </conditionalFormatting>
  <conditionalFormatting sqref="O101:Q111">
    <cfRule type="expression" dxfId="505" priority="70" stopIfTrue="1">
      <formula>"esterreur(reference)"</formula>
    </cfRule>
  </conditionalFormatting>
  <conditionalFormatting sqref="O135:Q153">
    <cfRule type="expression" dxfId="504" priority="40" stopIfTrue="1">
      <formula>"esterreur(reference)"</formula>
    </cfRule>
  </conditionalFormatting>
  <conditionalFormatting sqref="O197:Q197">
    <cfRule type="expression" dxfId="503" priority="67" stopIfTrue="1">
      <formula>"esterreur(reference)"</formula>
    </cfRule>
  </conditionalFormatting>
  <conditionalFormatting sqref="O243:Q243 O252:Q253 O254:P284 O285:Q285 O288:Q288 O289:P289">
    <cfRule type="expression" dxfId="502" priority="57" stopIfTrue="1">
      <formula>"esterreur(reference)"</formula>
    </cfRule>
  </conditionalFormatting>
  <conditionalFormatting sqref="O295:Q317">
    <cfRule type="expression" dxfId="501" priority="48" stopIfTrue="1">
      <formula>"esterreur(reference)"</formula>
    </cfRule>
  </conditionalFormatting>
  <conditionalFormatting sqref="O359:Q394">
    <cfRule type="expression" dxfId="500" priority="44" stopIfTrue="1">
      <formula>"esterreur(reference)"</formula>
    </cfRule>
  </conditionalFormatting>
  <conditionalFormatting sqref="O396:Q399">
    <cfRule type="expression" dxfId="499" priority="45" stopIfTrue="1">
      <formula>"esterreur(reference)"</formula>
    </cfRule>
  </conditionalFormatting>
  <conditionalFormatting sqref="P5">
    <cfRule type="expression" dxfId="498" priority="74" stopIfTrue="1">
      <formula>"esterreur(reference)"</formula>
    </cfRule>
  </conditionalFormatting>
  <conditionalFormatting sqref="P175">
    <cfRule type="expression" dxfId="497" priority="61" stopIfTrue="1">
      <formula>"esterreur(reference)"</formula>
    </cfRule>
  </conditionalFormatting>
  <conditionalFormatting sqref="P183:P184">
    <cfRule type="expression" dxfId="496" priority="63" stopIfTrue="1">
      <formula>"esterreur(reference)"</formula>
    </cfRule>
  </conditionalFormatting>
  <conditionalFormatting sqref="P287">
    <cfRule type="expression" dxfId="495" priority="52" stopIfTrue="1">
      <formula>"esterreur(reference)"</formula>
    </cfRule>
  </conditionalFormatting>
  <conditionalFormatting sqref="P395">
    <cfRule type="expression" dxfId="494" priority="46" stopIfTrue="1">
      <formula>"esterreur(reference)"</formula>
    </cfRule>
  </conditionalFormatting>
  <conditionalFormatting sqref="P93:Q96">
    <cfRule type="expression" dxfId="493" priority="69" stopIfTrue="1">
      <formula>"esterreur(reference)"</formula>
    </cfRule>
  </conditionalFormatting>
  <conditionalFormatting sqref="P99:Q100">
    <cfRule type="expression" dxfId="492" priority="71" stopIfTrue="1">
      <formula>"esterreur(reference)"</formula>
    </cfRule>
  </conditionalFormatting>
  <conditionalFormatting sqref="P172:Q173">
    <cfRule type="expression" dxfId="491" priority="62" stopIfTrue="1">
      <formula>"esterreur(reference)"</formula>
    </cfRule>
  </conditionalFormatting>
  <conditionalFormatting sqref="P176:Q182">
    <cfRule type="expression" dxfId="490" priority="60" stopIfTrue="1">
      <formula>"esterreur(reference)"</formula>
    </cfRule>
  </conditionalFormatting>
  <conditionalFormatting sqref="P185:Q196">
    <cfRule type="expression" dxfId="489" priority="59" stopIfTrue="1">
      <formula>"esterreur(reference)"</formula>
    </cfRule>
  </conditionalFormatting>
  <conditionalFormatting sqref="P241:Q241">
    <cfRule type="expression" dxfId="488" priority="53" stopIfTrue="1">
      <formula>"esterreur(reference)"</formula>
    </cfRule>
  </conditionalFormatting>
  <conditionalFormatting sqref="P244:Q244">
    <cfRule type="expression" dxfId="487" priority="55" stopIfTrue="1">
      <formula>"esterreur(reference)"</formula>
    </cfRule>
  </conditionalFormatting>
  <conditionalFormatting sqref="P247:Q247">
    <cfRule type="expression" dxfId="486" priority="54" stopIfTrue="1">
      <formula>"esterreur(reference)"</formula>
    </cfRule>
  </conditionalFormatting>
  <conditionalFormatting sqref="Q16:Q24">
    <cfRule type="expression" dxfId="485" priority="76" stopIfTrue="1">
      <formula>"esterreur(reference)"</formula>
    </cfRule>
  </conditionalFormatting>
  <conditionalFormatting sqref="Q75:Q82">
    <cfRule type="expression" dxfId="484" priority="75" stopIfTrue="1">
      <formula>"esterreur(reference)"</formula>
    </cfRule>
  </conditionalFormatting>
  <conditionalFormatting sqref="Q174:Q175">
    <cfRule type="expression" dxfId="483" priority="65" stopIfTrue="1">
      <formula>"esterreur(reference)"</formula>
    </cfRule>
  </conditionalFormatting>
  <conditionalFormatting sqref="Q198:Q209">
    <cfRule type="expression" dxfId="482" priority="64" stopIfTrue="1">
      <formula>"esterreur(reference)"</formula>
    </cfRule>
  </conditionalFormatting>
  <conditionalFormatting sqref="Q211:Q228">
    <cfRule type="expression" dxfId="481" priority="58" stopIfTrue="1">
      <formula>"esterreur(reference)"</formula>
    </cfRule>
  </conditionalFormatting>
  <conditionalFormatting sqref="Q254:Q265">
    <cfRule type="expression" dxfId="480" priority="56" stopIfTrue="1">
      <formula>"esterreur(reference)"</formula>
    </cfRule>
  </conditionalFormatting>
  <conditionalFormatting sqref="Q267:Q284">
    <cfRule type="expression" dxfId="479" priority="51" stopIfTrue="1">
      <formula>"esterreur(reference)"</formula>
    </cfRule>
  </conditionalFormatting>
  <conditionalFormatting sqref="Q318:Q329">
    <cfRule type="expression" dxfId="478" priority="49" stopIfTrue="1">
      <formula>"esterreur(reference)"</formula>
    </cfRule>
  </conditionalFormatting>
  <conditionalFormatting sqref="Q331:Q348">
    <cfRule type="expression" dxfId="477" priority="47" stopIfTrue="1">
      <formula>"esterreur(reference)"</formula>
    </cfRule>
  </conditionalFormatting>
  <conditionalFormatting sqref="R312">
    <cfRule type="expression" dxfId="476" priority="115" stopIfTrue="1">
      <formula>"esterreur(reference)"</formula>
    </cfRule>
  </conditionalFormatting>
  <conditionalFormatting sqref="S186">
    <cfRule type="expression" dxfId="475" priority="86" stopIfTrue="1">
      <formula>"esterreur(reference)"</formula>
    </cfRule>
  </conditionalFormatting>
  <conditionalFormatting sqref="Z425:Z427">
    <cfRule type="cellIs" dxfId="474" priority="35" operator="greaterThan">
      <formula>0</formula>
    </cfRule>
  </conditionalFormatting>
  <conditionalFormatting sqref="Z432">
    <cfRule type="cellIs" dxfId="473" priority="32" operator="greaterThan">
      <formula>0</formula>
    </cfRule>
  </conditionalFormatting>
  <conditionalFormatting sqref="Z449:Z451">
    <cfRule type="cellIs" dxfId="472" priority="28" operator="greaterThan">
      <formula>0</formula>
    </cfRule>
  </conditionalFormatting>
  <conditionalFormatting sqref="Z463:Z465">
    <cfRule type="cellIs" dxfId="471" priority="24" operator="greaterThan">
      <formula>0</formula>
    </cfRule>
  </conditionalFormatting>
  <conditionalFormatting sqref="Z478:Z479">
    <cfRule type="cellIs" dxfId="470" priority="21" operator="greaterThan">
      <formula>0</formula>
    </cfRule>
  </conditionalFormatting>
  <conditionalFormatting sqref="Z495:Z497">
    <cfRule type="cellIs" dxfId="469" priority="18" operator="greaterThan">
      <formula>0</formula>
    </cfRule>
  </conditionalFormatting>
  <conditionalFormatting sqref="AC425:AC427">
    <cfRule type="cellIs" dxfId="468" priority="36" operator="greaterThan">
      <formula>0</formula>
    </cfRule>
  </conditionalFormatting>
  <conditionalFormatting sqref="AC432">
    <cfRule type="cellIs" dxfId="467" priority="33" operator="greaterThan">
      <formula>0</formula>
    </cfRule>
  </conditionalFormatting>
  <conditionalFormatting sqref="AC449:AC451">
    <cfRule type="cellIs" dxfId="466" priority="29" operator="greaterThan">
      <formula>0</formula>
    </cfRule>
  </conditionalFormatting>
  <conditionalFormatting sqref="AC463:AC465">
    <cfRule type="cellIs" dxfId="465" priority="25" operator="greaterThan">
      <formula>0</formula>
    </cfRule>
  </conditionalFormatting>
  <conditionalFormatting sqref="AC478:AC479">
    <cfRule type="cellIs" dxfId="464" priority="22" operator="greaterThan">
      <formula>0</formula>
    </cfRule>
  </conditionalFormatting>
  <conditionalFormatting sqref="AC495:AC497">
    <cfRule type="cellIs" dxfId="463" priority="19" operator="greaterThan">
      <formula>0</formula>
    </cfRule>
  </conditionalFormatting>
  <conditionalFormatting sqref="AG409:AI418">
    <cfRule type="cellIs" dxfId="462" priority="9" operator="greaterThan">
      <formula>0</formula>
    </cfRule>
  </conditionalFormatting>
  <conditionalFormatting sqref="AH449:AH452">
    <cfRule type="cellIs" dxfId="461" priority="6" operator="greaterThan">
      <formula>0</formula>
    </cfRule>
  </conditionalFormatting>
  <conditionalFormatting sqref="AH461:AH466">
    <cfRule type="cellIs" dxfId="460" priority="4" operator="greaterThan">
      <formula>0</formula>
    </cfRule>
  </conditionalFormatting>
  <conditionalFormatting sqref="AH420:AI448">
    <cfRule type="cellIs" dxfId="459" priority="8" operator="greaterThan">
      <formula>0</formula>
    </cfRule>
  </conditionalFormatting>
  <conditionalFormatting sqref="AH453:AI460 AH467:AI468">
    <cfRule type="cellIs" dxfId="458" priority="10" operator="greaterThan">
      <formula>0</formula>
    </cfRule>
  </conditionalFormatting>
  <conditionalFormatting sqref="AH469:AI477 AH480:AI480">
    <cfRule type="cellIs" dxfId="457" priority="11" operator="lessThan">
      <formula>0</formula>
    </cfRule>
  </conditionalFormatting>
  <conditionalFormatting sqref="AH478:AI479">
    <cfRule type="cellIs" dxfId="456" priority="3" operator="greaterThan">
      <formula>0</formula>
    </cfRule>
  </conditionalFormatting>
  <conditionalFormatting sqref="AH491:AI497">
    <cfRule type="cellIs" dxfId="455" priority="2" operator="greaterThan">
      <formula>0</formula>
    </cfRule>
  </conditionalFormatting>
  <conditionalFormatting sqref="AI449:AI451">
    <cfRule type="cellIs" dxfId="454" priority="7" operator="greaterThan">
      <formula>0</formula>
    </cfRule>
  </conditionalFormatting>
  <conditionalFormatting sqref="AI463:AI465">
    <cfRule type="cellIs" dxfId="453" priority="5" operator="greaterThan">
      <formula>0</formula>
    </cfRule>
  </conditionalFormatting>
  <conditionalFormatting sqref="AO409:AO418">
    <cfRule type="cellIs" dxfId="452" priority="1" operator="greaterThan">
      <formula>0</formula>
    </cfRule>
  </conditionalFormatting>
  <printOptions horizontalCentered="1"/>
  <pageMargins left="0" right="0" top="0.51181102362204722" bottom="0.23622047244094491" header="0" footer="0"/>
  <pageSetup scale="41" fitToHeight="0" orientation="landscape" r:id="rId1"/>
  <rowBreaks count="14" manualBreakCount="14">
    <brk id="88" min="1" max="1" man="1"/>
    <brk id="88" min="2" max="18" man="1"/>
    <brk id="167" min="1" max="1" man="1"/>
    <brk id="167" min="2" max="18" man="1"/>
    <brk id="235" min="1" max="1" man="1"/>
    <brk id="235" min="2" max="18" man="1"/>
    <brk id="290" min="2" max="18" man="1"/>
    <brk id="290" min="1" max="1" man="1"/>
    <brk id="353" min="2" max="18" man="1"/>
    <brk id="355" min="1" max="1" man="1"/>
    <brk id="399" min="1" max="1" man="1"/>
    <brk id="483" min="1" max="1" man="1"/>
    <brk id="483" min="21" max="40" man="1"/>
    <brk id="484" min="1" max="1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Feuil8"/>
  <dimension ref="A1"/>
  <sheetViews>
    <sheetView workbookViewId="0">
      <selection activeCell="E14" sqref="E14"/>
    </sheetView>
  </sheetViews>
  <sheetFormatPr baseColWidth="10" defaultRowHeight="14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Feuil21">
    <tabColor rgb="FF00B050"/>
  </sheetPr>
  <dimension ref="A1:BJ702"/>
  <sheetViews>
    <sheetView topLeftCell="L469" zoomScale="60" zoomScaleNormal="60" workbookViewId="0">
      <selection activeCell="L469" sqref="A1:XFD1048576"/>
    </sheetView>
  </sheetViews>
  <sheetFormatPr baseColWidth="10" defaultColWidth="12.625" defaultRowHeight="15" customHeight="1" outlineLevelRow="1"/>
  <cols>
    <col min="1" max="1" width="24.125" customWidth="1"/>
    <col min="2" max="2" width="23.25" customWidth="1"/>
    <col min="3" max="3" width="34.625" customWidth="1"/>
    <col min="4" max="4" width="16.375" customWidth="1"/>
    <col min="5" max="5" width="15.625" customWidth="1"/>
    <col min="6" max="6" width="16.875" customWidth="1"/>
    <col min="7" max="7" width="17.75" hidden="1" customWidth="1"/>
    <col min="8" max="8" width="15.625" hidden="1" customWidth="1"/>
    <col min="9" max="9" width="15.875" hidden="1" customWidth="1"/>
    <col min="10" max="10" width="16.75" customWidth="1"/>
    <col min="11" max="11" width="14.5" customWidth="1"/>
    <col min="12" max="12" width="15.875" customWidth="1"/>
    <col min="13" max="13" width="12" customWidth="1"/>
    <col min="14" max="14" width="18.625" customWidth="1"/>
    <col min="15" max="15" width="16.375" customWidth="1"/>
    <col min="16" max="16" width="15.625" customWidth="1"/>
    <col min="17" max="17" width="16.375" customWidth="1"/>
    <col min="18" max="18" width="13.875" customWidth="1"/>
    <col min="19" max="19" width="18.625" customWidth="1"/>
    <col min="20" max="20" width="3" customWidth="1"/>
    <col min="21" max="21" width="4" customWidth="1"/>
    <col min="22" max="22" width="28.75" customWidth="1"/>
    <col min="23" max="23" width="12.25" customWidth="1"/>
    <col min="24" max="24" width="10.875" customWidth="1"/>
    <col min="25" max="25" width="10" customWidth="1"/>
    <col min="26" max="26" width="17.375" customWidth="1"/>
    <col min="27" max="27" width="10.875" hidden="1" customWidth="1"/>
    <col min="28" max="28" width="10" hidden="1" customWidth="1"/>
    <col min="29" max="29" width="17.5" hidden="1" customWidth="1"/>
    <col min="30" max="30" width="10.875" customWidth="1"/>
    <col min="31" max="31" width="12" customWidth="1"/>
    <col min="32" max="32" width="18.875" customWidth="1"/>
    <col min="33" max="33" width="10.875" customWidth="1"/>
    <col min="34" max="34" width="16.25" customWidth="1"/>
    <col min="35" max="35" width="12.375" customWidth="1"/>
    <col min="36" max="36" width="10.875" customWidth="1"/>
    <col min="37" max="37" width="10" customWidth="1"/>
    <col min="38" max="38" width="17.5" customWidth="1"/>
    <col min="39" max="39" width="10.875" customWidth="1"/>
    <col min="40" max="40" width="16" customWidth="1"/>
    <col min="41" max="41" width="12.375" customWidth="1"/>
    <col min="42" max="42" width="11.625" bestFit="1" customWidth="1"/>
    <col min="43" max="62" width="11" customWidth="1"/>
  </cols>
  <sheetData>
    <row r="1" spans="1:40" ht="35.25">
      <c r="B1" s="1"/>
      <c r="C1" s="1" t="s">
        <v>210</v>
      </c>
      <c r="D1" s="2"/>
      <c r="E1" s="2"/>
      <c r="F1" s="2"/>
      <c r="G1" s="2"/>
      <c r="H1" s="1"/>
      <c r="I1" s="2"/>
      <c r="J1" s="1"/>
      <c r="K1" s="3" t="s">
        <v>0</v>
      </c>
      <c r="L1" s="2"/>
      <c r="M1" s="2"/>
      <c r="N1" s="4"/>
      <c r="O1" s="1"/>
      <c r="P1" s="2"/>
      <c r="Q1" s="1"/>
      <c r="R1" s="2"/>
      <c r="S1" s="5" t="s">
        <v>264</v>
      </c>
      <c r="T1" s="2" t="s">
        <v>1</v>
      </c>
      <c r="U1" s="6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</row>
    <row r="2" spans="1:40" ht="16.5" thickBot="1">
      <c r="B2" s="7"/>
      <c r="C2" s="8"/>
      <c r="D2" s="456" t="s">
        <v>2</v>
      </c>
      <c r="E2" s="456" t="s">
        <v>3</v>
      </c>
      <c r="F2" s="456" t="s">
        <v>4</v>
      </c>
      <c r="G2" s="456"/>
      <c r="H2" s="456"/>
      <c r="I2" s="456"/>
      <c r="J2" s="456" t="s">
        <v>211</v>
      </c>
      <c r="K2" s="456"/>
      <c r="L2" s="456" t="s">
        <v>212</v>
      </c>
      <c r="M2" s="457"/>
      <c r="N2" s="457"/>
      <c r="O2" s="456" t="s">
        <v>2</v>
      </c>
      <c r="P2" s="456" t="s">
        <v>3</v>
      </c>
      <c r="Q2" s="456" t="s">
        <v>4</v>
      </c>
      <c r="R2" s="10"/>
      <c r="S2" s="10"/>
      <c r="T2" s="10"/>
      <c r="U2" s="10"/>
    </row>
    <row r="3" spans="1:40" ht="21" thickTop="1">
      <c r="B3" s="11"/>
      <c r="C3" s="12"/>
      <c r="D3" s="496" t="s">
        <v>5</v>
      </c>
      <c r="E3" s="497"/>
      <c r="F3" s="498"/>
      <c r="G3" s="499"/>
      <c r="H3" s="497"/>
      <c r="I3" s="498"/>
      <c r="J3" s="499" t="s">
        <v>7</v>
      </c>
      <c r="K3" s="497"/>
      <c r="L3" s="498"/>
      <c r="M3" s="499" t="s">
        <v>213</v>
      </c>
      <c r="N3" s="498"/>
      <c r="O3" s="496" t="s">
        <v>8</v>
      </c>
      <c r="P3" s="497"/>
      <c r="Q3" s="498"/>
      <c r="R3" s="494" t="s">
        <v>214</v>
      </c>
      <c r="S3" s="495"/>
      <c r="T3" s="13"/>
      <c r="U3" s="13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</row>
    <row r="4" spans="1:40" ht="20.25">
      <c r="B4" s="11"/>
      <c r="C4" s="14"/>
      <c r="D4" s="15" t="s">
        <v>10</v>
      </c>
      <c r="E4" s="16" t="s">
        <v>11</v>
      </c>
      <c r="F4" s="17" t="s">
        <v>12</v>
      </c>
      <c r="G4" s="18"/>
      <c r="H4" s="16"/>
      <c r="I4" s="17"/>
      <c r="J4" s="18" t="s">
        <v>10</v>
      </c>
      <c r="K4" s="16" t="s">
        <v>13</v>
      </c>
      <c r="L4" s="17" t="s">
        <v>12</v>
      </c>
      <c r="M4" s="18" t="s">
        <v>215</v>
      </c>
      <c r="N4" s="17" t="s">
        <v>12</v>
      </c>
      <c r="O4" s="16" t="s">
        <v>10</v>
      </c>
      <c r="P4" s="16" t="s">
        <v>11</v>
      </c>
      <c r="Q4" s="17" t="s">
        <v>12</v>
      </c>
      <c r="R4" s="18" t="s">
        <v>10</v>
      </c>
      <c r="S4" s="19" t="s">
        <v>12</v>
      </c>
      <c r="T4" s="13"/>
      <c r="U4" s="13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</row>
    <row r="5" spans="1:40" ht="20.25">
      <c r="A5" t="str">
        <f>+B5&amp;C5</f>
        <v>Véhicules neufsVentes nettes</v>
      </c>
      <c r="B5" s="11" t="str">
        <f t="shared" ref="B5:B85" si="0">+$K$1</f>
        <v>Véhicules neufs</v>
      </c>
      <c r="C5" s="20" t="s">
        <v>14</v>
      </c>
      <c r="D5" s="21"/>
      <c r="E5" s="21"/>
      <c r="F5" s="22">
        <v>1608193.5771327838</v>
      </c>
      <c r="G5" s="23"/>
      <c r="H5" s="21"/>
      <c r="I5" s="24"/>
      <c r="J5" s="23"/>
      <c r="K5" s="25"/>
      <c r="L5" s="22">
        <v>1425137.36</v>
      </c>
      <c r="M5" s="26"/>
      <c r="N5" s="27"/>
      <c r="O5" s="23"/>
      <c r="P5" s="25"/>
      <c r="Q5" s="22">
        <v>1070672.79999999</v>
      </c>
      <c r="R5" s="26"/>
      <c r="S5" s="28"/>
      <c r="T5" s="13"/>
      <c r="U5" s="13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</row>
    <row r="6" spans="1:40" ht="20.25">
      <c r="A6" t="str">
        <f t="shared" ref="A6" si="1">+B6&amp;C6</f>
        <v>Véhicules neufsAutos détail</v>
      </c>
      <c r="B6" s="11" t="str">
        <f t="shared" si="0"/>
        <v>Véhicules neufs</v>
      </c>
      <c r="C6" s="29" t="s">
        <v>15</v>
      </c>
      <c r="D6" s="30">
        <v>6</v>
      </c>
      <c r="E6" s="30">
        <f>IF(D6=0,0,F6/D6)</f>
        <v>5144.9382716049386</v>
      </c>
      <c r="F6" s="30">
        <v>30869.629629629631</v>
      </c>
      <c r="G6" s="31"/>
      <c r="H6" s="30"/>
      <c r="I6" s="30"/>
      <c r="J6" s="31">
        <v>0</v>
      </c>
      <c r="K6" s="30">
        <f>IF(J6=0,0,L6/J6)</f>
        <v>0</v>
      </c>
      <c r="L6" s="32">
        <v>-205.85</v>
      </c>
      <c r="M6" s="31">
        <f t="shared" ref="M6:M12" si="2">J6-D6</f>
        <v>-6</v>
      </c>
      <c r="N6" s="33">
        <f t="shared" ref="N6:N12" si="3">L6-F6</f>
        <v>-31075.47962962963</v>
      </c>
      <c r="O6" s="31">
        <v>2</v>
      </c>
      <c r="P6" s="30">
        <f t="shared" ref="P6:P12" si="4">IF(O6=0,0,Q6/O6)</f>
        <v>4970.8799999999947</v>
      </c>
      <c r="Q6" s="32">
        <v>9941.7599999999893</v>
      </c>
      <c r="R6" s="31">
        <f>J6-O6</f>
        <v>-2</v>
      </c>
      <c r="S6" s="34">
        <f>L6-Q6</f>
        <v>-10147.60999999999</v>
      </c>
      <c r="T6" s="13"/>
      <c r="U6" s="13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</row>
    <row r="7" spans="1:40" ht="20.25">
      <c r="A7" t="str">
        <f>+B7&amp;C7</f>
        <v>Véhicules neufsCamions détail</v>
      </c>
      <c r="B7" s="11" t="str">
        <f t="shared" si="0"/>
        <v>Véhicules neufs</v>
      </c>
      <c r="C7" s="29" t="s">
        <v>16</v>
      </c>
      <c r="D7" s="30">
        <v>10</v>
      </c>
      <c r="E7" s="30">
        <f t="shared" ref="E7:E12" si="5">IF(D7=0,0,F7/D7)</f>
        <v>5386.4238410596026</v>
      </c>
      <c r="F7" s="30">
        <v>53864.238410596023</v>
      </c>
      <c r="G7" s="31"/>
      <c r="H7" s="30"/>
      <c r="I7" s="30"/>
      <c r="J7" s="31">
        <v>13</v>
      </c>
      <c r="K7" s="30">
        <f t="shared" ref="K7:K12" si="6">IF(J7=0,0,L7/J7)</f>
        <v>4541.1207692307589</v>
      </c>
      <c r="L7" s="32">
        <v>59034.569999999861</v>
      </c>
      <c r="M7" s="31">
        <f t="shared" si="2"/>
        <v>3</v>
      </c>
      <c r="N7" s="33">
        <f t="shared" si="3"/>
        <v>5170.3315894038387</v>
      </c>
      <c r="O7" s="31">
        <v>9</v>
      </c>
      <c r="P7" s="30">
        <f t="shared" si="4"/>
        <v>5731.4566666666669</v>
      </c>
      <c r="Q7" s="32">
        <v>51583.11</v>
      </c>
      <c r="R7" s="31">
        <f t="shared" ref="R7:R12" si="7">J7-O7</f>
        <v>4</v>
      </c>
      <c r="S7" s="34">
        <f t="shared" ref="S7:S12" si="8">L7-Q7</f>
        <v>7451.4599999998609</v>
      </c>
      <c r="T7" s="13"/>
      <c r="U7" s="13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</row>
    <row r="8" spans="1:40" ht="20.25" hidden="1">
      <c r="A8" t="str">
        <f>+B8&amp;C8</f>
        <v>Véhicules neufsSprinter</v>
      </c>
      <c r="B8" s="11" t="str">
        <f t="shared" si="0"/>
        <v>Véhicules neufs</v>
      </c>
      <c r="C8" s="29" t="s">
        <v>17</v>
      </c>
      <c r="D8" s="30">
        <v>0</v>
      </c>
      <c r="E8" s="30">
        <f t="shared" si="5"/>
        <v>0</v>
      </c>
      <c r="F8" s="30">
        <v>0</v>
      </c>
      <c r="G8" s="31"/>
      <c r="H8" s="30"/>
      <c r="I8" s="30"/>
      <c r="J8" s="31">
        <v>0</v>
      </c>
      <c r="K8" s="30">
        <f t="shared" si="6"/>
        <v>0</v>
      </c>
      <c r="L8" s="32">
        <v>0</v>
      </c>
      <c r="M8" s="31">
        <f t="shared" si="2"/>
        <v>0</v>
      </c>
      <c r="N8" s="33">
        <f t="shared" si="3"/>
        <v>0</v>
      </c>
      <c r="O8" s="31">
        <v>0</v>
      </c>
      <c r="P8" s="30">
        <f t="shared" si="4"/>
        <v>0</v>
      </c>
      <c r="Q8" s="32">
        <v>0</v>
      </c>
      <c r="R8" s="31">
        <f t="shared" si="7"/>
        <v>0</v>
      </c>
      <c r="S8" s="34">
        <f t="shared" si="8"/>
        <v>0</v>
      </c>
      <c r="T8" s="13"/>
      <c r="U8" s="13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11"/>
    </row>
    <row r="9" spans="1:40" ht="20.25" hidden="1">
      <c r="A9" t="str">
        <f>+B9&amp;C9</f>
        <v>Véhicules neufsMoto détail</v>
      </c>
      <c r="B9" s="11" t="str">
        <f t="shared" si="0"/>
        <v>Véhicules neufs</v>
      </c>
      <c r="C9" s="29" t="s">
        <v>18</v>
      </c>
      <c r="D9" s="30">
        <v>0</v>
      </c>
      <c r="E9" s="30">
        <f t="shared" si="5"/>
        <v>0</v>
      </c>
      <c r="F9" s="30">
        <v>0</v>
      </c>
      <c r="G9" s="31"/>
      <c r="H9" s="30"/>
      <c r="I9" s="30"/>
      <c r="J9" s="31">
        <v>0</v>
      </c>
      <c r="K9" s="30">
        <f t="shared" si="6"/>
        <v>0</v>
      </c>
      <c r="L9" s="32">
        <v>0</v>
      </c>
      <c r="M9" s="31">
        <f t="shared" si="2"/>
        <v>0</v>
      </c>
      <c r="N9" s="33">
        <f t="shared" si="3"/>
        <v>0</v>
      </c>
      <c r="O9" s="31">
        <v>0</v>
      </c>
      <c r="P9" s="30">
        <f t="shared" si="4"/>
        <v>0</v>
      </c>
      <c r="Q9" s="32">
        <v>0</v>
      </c>
      <c r="R9" s="31">
        <f t="shared" si="7"/>
        <v>0</v>
      </c>
      <c r="S9" s="34">
        <f t="shared" si="8"/>
        <v>0</v>
      </c>
      <c r="T9" s="13"/>
      <c r="U9" s="13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11"/>
    </row>
    <row r="10" spans="1:40" ht="20.25" hidden="1">
      <c r="A10" t="str">
        <f>+B10&amp;C10</f>
        <v>Véhicules neufs[...]</v>
      </c>
      <c r="B10" s="11" t="str">
        <f t="shared" si="0"/>
        <v>Véhicules neufs</v>
      </c>
      <c r="C10" s="29" t="s">
        <v>19</v>
      </c>
      <c r="D10" s="30">
        <v>0</v>
      </c>
      <c r="E10" s="30">
        <f t="shared" si="5"/>
        <v>0</v>
      </c>
      <c r="F10" s="30">
        <v>0</v>
      </c>
      <c r="G10" s="31"/>
      <c r="H10" s="30"/>
      <c r="I10" s="30"/>
      <c r="J10" s="31">
        <v>0</v>
      </c>
      <c r="K10" s="30">
        <f t="shared" si="6"/>
        <v>0</v>
      </c>
      <c r="L10" s="32">
        <v>0</v>
      </c>
      <c r="M10" s="31">
        <f t="shared" si="2"/>
        <v>0</v>
      </c>
      <c r="N10" s="33">
        <f t="shared" si="3"/>
        <v>0</v>
      </c>
      <c r="O10" s="31">
        <v>0</v>
      </c>
      <c r="P10" s="30">
        <f t="shared" si="4"/>
        <v>0</v>
      </c>
      <c r="Q10" s="32">
        <v>0</v>
      </c>
      <c r="R10" s="31">
        <f t="shared" si="7"/>
        <v>0</v>
      </c>
      <c r="S10" s="34">
        <f t="shared" si="8"/>
        <v>0</v>
      </c>
      <c r="T10" s="13"/>
      <c r="U10" s="13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1"/>
    </row>
    <row r="11" spans="1:40" ht="20.25" hidden="1">
      <c r="A11" t="str">
        <f>+B11&amp;C11</f>
        <v>Véhicules neufs[...]</v>
      </c>
      <c r="B11" s="11" t="str">
        <f t="shared" si="0"/>
        <v>Véhicules neufs</v>
      </c>
      <c r="C11" s="29" t="s">
        <v>19</v>
      </c>
      <c r="D11" s="30">
        <v>0</v>
      </c>
      <c r="E11" s="30">
        <f t="shared" si="5"/>
        <v>0</v>
      </c>
      <c r="F11" s="30">
        <v>0</v>
      </c>
      <c r="G11" s="31"/>
      <c r="H11" s="30"/>
      <c r="I11" s="30"/>
      <c r="J11" s="31">
        <v>0</v>
      </c>
      <c r="K11" s="30">
        <f t="shared" si="6"/>
        <v>0</v>
      </c>
      <c r="L11" s="32">
        <v>0</v>
      </c>
      <c r="M11" s="31">
        <f t="shared" si="2"/>
        <v>0</v>
      </c>
      <c r="N11" s="33">
        <f t="shared" si="3"/>
        <v>0</v>
      </c>
      <c r="O11" s="31">
        <v>0</v>
      </c>
      <c r="P11" s="30">
        <f t="shared" si="4"/>
        <v>0</v>
      </c>
      <c r="Q11" s="32">
        <v>0</v>
      </c>
      <c r="R11" s="31">
        <f t="shared" si="7"/>
        <v>0</v>
      </c>
      <c r="S11" s="34">
        <f t="shared" si="8"/>
        <v>0</v>
      </c>
      <c r="T11" s="13"/>
      <c r="U11" s="13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/>
    </row>
    <row r="12" spans="1:40" ht="20.25" hidden="1">
      <c r="A12" t="str">
        <f t="shared" ref="A12:A36" si="9">+B12&amp;C12</f>
        <v>Véhicules neufs[...]</v>
      </c>
      <c r="B12" s="11" t="str">
        <f t="shared" si="0"/>
        <v>Véhicules neufs</v>
      </c>
      <c r="C12" s="29" t="s">
        <v>19</v>
      </c>
      <c r="D12" s="30">
        <v>0</v>
      </c>
      <c r="E12" s="30">
        <f t="shared" si="5"/>
        <v>0</v>
      </c>
      <c r="F12" s="30">
        <v>0</v>
      </c>
      <c r="G12" s="31"/>
      <c r="H12" s="30"/>
      <c r="I12" s="30"/>
      <c r="J12" s="31">
        <v>0</v>
      </c>
      <c r="K12" s="30">
        <f t="shared" si="6"/>
        <v>0</v>
      </c>
      <c r="L12" s="32">
        <v>0</v>
      </c>
      <c r="M12" s="31">
        <f t="shared" si="2"/>
        <v>0</v>
      </c>
      <c r="N12" s="33">
        <f t="shared" si="3"/>
        <v>0</v>
      </c>
      <c r="O12" s="31">
        <v>0</v>
      </c>
      <c r="P12" s="30">
        <f t="shared" si="4"/>
        <v>0</v>
      </c>
      <c r="Q12" s="32">
        <v>0</v>
      </c>
      <c r="R12" s="31">
        <f t="shared" si="7"/>
        <v>0</v>
      </c>
      <c r="S12" s="34">
        <f t="shared" si="8"/>
        <v>0</v>
      </c>
      <c r="T12" s="13"/>
      <c r="U12" s="13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1"/>
      <c r="AM12" s="11"/>
      <c r="AN12" s="11"/>
    </row>
    <row r="13" spans="1:40" ht="20.25">
      <c r="A13" t="str">
        <f t="shared" si="9"/>
        <v>Véhicules neufsTotal Neufs</v>
      </c>
      <c r="B13" s="11" t="str">
        <f t="shared" si="0"/>
        <v>Véhicules neufs</v>
      </c>
      <c r="C13" s="35" t="s">
        <v>20</v>
      </c>
      <c r="D13" s="36">
        <f>+SUM(D6:D12)</f>
        <v>16</v>
      </c>
      <c r="E13" s="36">
        <f>IF(D13&lt;=0,0,F13/D13)</f>
        <v>5295.8667525141036</v>
      </c>
      <c r="F13" s="37">
        <f>+SUM(F6:F12)</f>
        <v>84733.868040225658</v>
      </c>
      <c r="G13" s="38"/>
      <c r="H13" s="36"/>
      <c r="I13" s="37"/>
      <c r="J13" s="38">
        <f>+SUM(J6:J12)</f>
        <v>13</v>
      </c>
      <c r="K13" s="36">
        <f>IF(J13&lt;=0,0,L13/J13)</f>
        <v>4525.286153846143</v>
      </c>
      <c r="L13" s="37">
        <f>+SUM(L6:L12)</f>
        <v>58828.719999999863</v>
      </c>
      <c r="M13" s="38">
        <f>+SUM(M6:M12)</f>
        <v>-3</v>
      </c>
      <c r="N13" s="37">
        <f t="shared" ref="N13" si="10">+SUM(N6:N12)</f>
        <v>-25905.148040225791</v>
      </c>
      <c r="O13" s="38">
        <f>+SUM(O6:O12)</f>
        <v>11</v>
      </c>
      <c r="P13" s="36">
        <f>IF(O13&lt;=0,0,Q13/O13)</f>
        <v>5593.1699999999992</v>
      </c>
      <c r="Q13" s="37">
        <f t="shared" ref="Q13" si="11">+SUM(Q6:Q12)</f>
        <v>61524.869999999988</v>
      </c>
      <c r="R13" s="38">
        <f>+SUM(R6:R12)</f>
        <v>2</v>
      </c>
      <c r="S13" s="39">
        <f>+SUM(S6:S12)</f>
        <v>-2696.1500000001288</v>
      </c>
      <c r="T13" s="13"/>
      <c r="U13" s="13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</row>
    <row r="14" spans="1:40" ht="20.25">
      <c r="A14" t="str">
        <f t="shared" si="9"/>
        <v>Véhicules neufs</v>
      </c>
      <c r="B14" s="11" t="str">
        <f t="shared" si="0"/>
        <v>Véhicules neufs</v>
      </c>
      <c r="C14" s="29"/>
      <c r="D14" s="13"/>
      <c r="E14" s="30"/>
      <c r="F14" s="40"/>
      <c r="G14" s="41"/>
      <c r="H14" s="30"/>
      <c r="I14" s="40"/>
      <c r="J14" s="41"/>
      <c r="K14" s="30"/>
      <c r="L14" s="40"/>
      <c r="M14" s="42">
        <f>IF(D13=0,0,M13/D13)</f>
        <v>-0.1875</v>
      </c>
      <c r="N14" s="43">
        <f>IF(F13=0,0,N13/F13)</f>
        <v>-0.30572365736836016</v>
      </c>
      <c r="O14" s="41"/>
      <c r="P14" s="30"/>
      <c r="Q14" s="40"/>
      <c r="R14" s="42">
        <f>R13/O13</f>
        <v>0.18181818181818182</v>
      </c>
      <c r="S14" s="44">
        <f>IF(Q13=0,0,(S13/Q13))</f>
        <v>-4.3822116162132961E-2</v>
      </c>
      <c r="T14" s="13"/>
      <c r="U14" s="13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</row>
    <row r="15" spans="1:40" ht="20.25">
      <c r="A15" t="str">
        <f t="shared" si="9"/>
        <v>Véhicules neufsEx-Démos et courtoisies</v>
      </c>
      <c r="B15" s="11" t="str">
        <f t="shared" si="0"/>
        <v>Véhicules neufs</v>
      </c>
      <c r="C15" s="45" t="s">
        <v>21</v>
      </c>
      <c r="D15" s="25">
        <v>2</v>
      </c>
      <c r="E15" s="25">
        <f>IF(D15=0,0,F15/D15)</f>
        <v>2500</v>
      </c>
      <c r="F15" s="22">
        <v>5000</v>
      </c>
      <c r="G15" s="46"/>
      <c r="H15" s="47"/>
      <c r="I15" s="48"/>
      <c r="J15" s="49">
        <v>1</v>
      </c>
      <c r="K15" s="50">
        <f>IF(J15=0,0,L15/J15)</f>
        <v>10720.5</v>
      </c>
      <c r="L15" s="50">
        <v>10720.5</v>
      </c>
      <c r="M15" s="51">
        <f>J15-D15</f>
        <v>-1</v>
      </c>
      <c r="N15" s="48">
        <f>L15-F15</f>
        <v>5720.5</v>
      </c>
      <c r="O15" s="49">
        <v>2</v>
      </c>
      <c r="P15" s="50">
        <f>IF(O15=0,0,Q15/O15)</f>
        <v>7404.5999999999503</v>
      </c>
      <c r="Q15" s="50">
        <v>14809.199999999901</v>
      </c>
      <c r="R15" s="51">
        <f>J15-O15</f>
        <v>-1</v>
      </c>
      <c r="S15" s="52">
        <f>L15-Q15</f>
        <v>-4088.6999999999007</v>
      </c>
      <c r="T15" s="13"/>
      <c r="U15" s="13"/>
      <c r="V15" s="11"/>
      <c r="W15" s="458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1"/>
    </row>
    <row r="16" spans="1:40" ht="20.25">
      <c r="A16" t="str">
        <f t="shared" si="9"/>
        <v>Véhicules neufs</v>
      </c>
      <c r="B16" s="11" t="str">
        <f t="shared" si="0"/>
        <v>Véhicules neufs</v>
      </c>
      <c r="C16" s="29"/>
      <c r="D16" s="13"/>
      <c r="E16" s="30"/>
      <c r="F16" s="40"/>
      <c r="G16" s="41"/>
      <c r="H16" s="30"/>
      <c r="I16" s="40"/>
      <c r="J16" s="41"/>
      <c r="K16" s="30"/>
      <c r="L16" s="33"/>
      <c r="M16" s="42"/>
      <c r="N16" s="43"/>
      <c r="O16" s="41"/>
      <c r="P16" s="30"/>
      <c r="Q16" s="33"/>
      <c r="R16" s="42"/>
      <c r="S16" s="44"/>
      <c r="T16" s="13"/>
      <c r="U16" s="13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</row>
    <row r="17" spans="1:40" ht="20.25">
      <c r="A17" t="str">
        <f t="shared" si="9"/>
        <v>Véhicules neufsFlottes</v>
      </c>
      <c r="B17" s="11" t="str">
        <f t="shared" si="0"/>
        <v>Véhicules neufs</v>
      </c>
      <c r="C17" s="53" t="s">
        <v>22</v>
      </c>
      <c r="D17" s="30">
        <v>0</v>
      </c>
      <c r="E17" s="30">
        <f>IF(D17=0,0,F17/D17)</f>
        <v>0</v>
      </c>
      <c r="F17" s="30">
        <v>0</v>
      </c>
      <c r="G17" s="31"/>
      <c r="H17" s="30"/>
      <c r="I17" s="30"/>
      <c r="J17" s="51">
        <v>0</v>
      </c>
      <c r="K17" s="30">
        <f>IF(J17=0,0,L17/J17)</f>
        <v>0</v>
      </c>
      <c r="L17" s="33">
        <v>0</v>
      </c>
      <c r="M17" s="51">
        <f>J17-D17</f>
        <v>0</v>
      </c>
      <c r="N17" s="33">
        <f>L17-F17</f>
        <v>0</v>
      </c>
      <c r="O17" s="51">
        <v>0</v>
      </c>
      <c r="P17" s="30">
        <f>IF(O17=0,0,Q17/O17)</f>
        <v>0</v>
      </c>
      <c r="Q17" s="33">
        <v>0</v>
      </c>
      <c r="R17" s="31">
        <f>J17-O17</f>
        <v>0</v>
      </c>
      <c r="S17" s="34">
        <f>L17-Q17</f>
        <v>0</v>
      </c>
      <c r="T17" s="13"/>
      <c r="U17" s="13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</row>
    <row r="18" spans="1:40" ht="20.25">
      <c r="A18" t="str">
        <f t="shared" si="9"/>
        <v>Véhicules neufs</v>
      </c>
      <c r="B18" s="11" t="str">
        <f t="shared" si="0"/>
        <v>Véhicules neufs</v>
      </c>
      <c r="C18" s="35"/>
      <c r="D18" s="54"/>
      <c r="E18" s="54"/>
      <c r="F18" s="55"/>
      <c r="G18" s="56"/>
      <c r="H18" s="54"/>
      <c r="I18" s="55"/>
      <c r="J18" s="31"/>
      <c r="K18" s="54"/>
      <c r="L18" s="55"/>
      <c r="M18" s="31"/>
      <c r="N18" s="55"/>
      <c r="O18" s="31"/>
      <c r="P18" s="54"/>
      <c r="Q18" s="55"/>
      <c r="R18" s="56"/>
      <c r="S18" s="57"/>
      <c r="T18" s="13"/>
      <c r="U18" s="13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</row>
    <row r="19" spans="1:40" ht="20.25">
      <c r="A19" t="str">
        <f t="shared" si="9"/>
        <v>Véhicules neufsRachat bail</v>
      </c>
      <c r="B19" s="11" t="str">
        <f t="shared" si="0"/>
        <v>Véhicules neufs</v>
      </c>
      <c r="C19" s="45" t="s">
        <v>23</v>
      </c>
      <c r="D19" s="30">
        <v>0</v>
      </c>
      <c r="E19" s="30">
        <f>IF(D19=0,0,F19/D19)</f>
        <v>0</v>
      </c>
      <c r="F19" s="30">
        <v>1827.3374218148349</v>
      </c>
      <c r="G19" s="31"/>
      <c r="H19" s="30"/>
      <c r="I19" s="30"/>
      <c r="J19" s="46"/>
      <c r="K19" s="30"/>
      <c r="L19" s="33">
        <v>5547.0500000000175</v>
      </c>
      <c r="M19" s="31"/>
      <c r="N19" s="33">
        <f>L19-F19</f>
        <v>3719.7125781851828</v>
      </c>
      <c r="O19" s="46"/>
      <c r="P19" s="30"/>
      <c r="Q19" s="33">
        <v>3486</v>
      </c>
      <c r="R19" s="31">
        <f>O19-K19</f>
        <v>0</v>
      </c>
      <c r="S19" s="34">
        <f>L19-Q19</f>
        <v>2061.0500000000175</v>
      </c>
      <c r="T19" s="13"/>
      <c r="U19" s="13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</row>
    <row r="20" spans="1:40" ht="20.25">
      <c r="A20" t="str">
        <f t="shared" si="9"/>
        <v>Véhicules neufs</v>
      </c>
      <c r="B20" s="11" t="str">
        <f t="shared" si="0"/>
        <v>Véhicules neufs</v>
      </c>
      <c r="C20" s="35"/>
      <c r="D20" s="54"/>
      <c r="E20" s="54"/>
      <c r="F20" s="55"/>
      <c r="G20" s="56"/>
      <c r="H20" s="54"/>
      <c r="I20" s="55"/>
      <c r="J20" s="31"/>
      <c r="K20" s="54"/>
      <c r="L20" s="55"/>
      <c r="M20" s="56"/>
      <c r="N20" s="55"/>
      <c r="O20" s="31"/>
      <c r="P20" s="54"/>
      <c r="Q20" s="55"/>
      <c r="R20" s="56"/>
      <c r="S20" s="57"/>
      <c r="T20" s="13"/>
      <c r="U20" s="13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</row>
    <row r="21" spans="1:40" ht="20.25">
      <c r="A21" t="str">
        <f t="shared" si="9"/>
        <v>Véhicules neufsRev. Finances</v>
      </c>
      <c r="B21" s="11" t="str">
        <f t="shared" si="0"/>
        <v>Véhicules neufs</v>
      </c>
      <c r="C21" s="29" t="s">
        <v>24</v>
      </c>
      <c r="D21" s="30">
        <v>0</v>
      </c>
      <c r="E21" s="30">
        <f>IF(D21=0,0,F21/D21)</f>
        <v>0</v>
      </c>
      <c r="F21" s="30">
        <v>1530</v>
      </c>
      <c r="G21" s="41"/>
      <c r="H21" s="30"/>
      <c r="I21" s="30"/>
      <c r="J21" s="31"/>
      <c r="K21" s="30">
        <f>IF(J13=0,0,L21/(J13+J15))</f>
        <v>0</v>
      </c>
      <c r="L21" s="33">
        <v>0</v>
      </c>
      <c r="M21" s="31"/>
      <c r="N21" s="33">
        <f>L21-F21</f>
        <v>-1530</v>
      </c>
      <c r="O21" s="31"/>
      <c r="P21" s="30"/>
      <c r="Q21" s="33">
        <v>222.16</v>
      </c>
      <c r="R21" s="31">
        <f>O21-K21</f>
        <v>0</v>
      </c>
      <c r="S21" s="34">
        <f>L21-Q21</f>
        <v>-222.16</v>
      </c>
      <c r="T21" s="13"/>
      <c r="U21" s="13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1"/>
      <c r="AL21" s="11"/>
      <c r="AM21" s="11"/>
      <c r="AN21" s="11"/>
    </row>
    <row r="22" spans="1:40" ht="20.25">
      <c r="A22" t="str">
        <f t="shared" si="9"/>
        <v>Véhicules neufsRev. Protections</v>
      </c>
      <c r="B22" s="11" t="str">
        <f t="shared" si="0"/>
        <v>Véhicules neufs</v>
      </c>
      <c r="C22" s="29" t="s">
        <v>25</v>
      </c>
      <c r="D22" s="30">
        <v>0</v>
      </c>
      <c r="E22" s="30">
        <f>IF(D22=0,0,F22/D22)</f>
        <v>0</v>
      </c>
      <c r="F22" s="30">
        <v>18360</v>
      </c>
      <c r="G22" s="41"/>
      <c r="H22" s="30"/>
      <c r="I22" s="30"/>
      <c r="J22" s="31"/>
      <c r="K22" s="30">
        <f>IF(J13=0,0,L22/(J13+J15))</f>
        <v>1085.9999999999998</v>
      </c>
      <c r="L22" s="33">
        <v>15203.999999999996</v>
      </c>
      <c r="M22" s="31"/>
      <c r="N22" s="33">
        <f>L22-F22</f>
        <v>-3156.0000000000036</v>
      </c>
      <c r="O22" s="31"/>
      <c r="P22" s="30"/>
      <c r="Q22" s="33">
        <v>17203</v>
      </c>
      <c r="R22" s="31">
        <f>O22-K22</f>
        <v>-1085.9999999999998</v>
      </c>
      <c r="S22" s="34">
        <f>L22-Q22</f>
        <v>-1999.0000000000036</v>
      </c>
      <c r="T22" s="13"/>
      <c r="U22" s="13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  <c r="AI22" s="11"/>
      <c r="AJ22" s="11"/>
      <c r="AK22" s="11"/>
      <c r="AL22" s="11"/>
      <c r="AM22" s="11"/>
      <c r="AN22" s="11"/>
    </row>
    <row r="23" spans="1:40" ht="20.25">
      <c r="A23" t="str">
        <f t="shared" si="9"/>
        <v>Véhicules neufsRev. Autres</v>
      </c>
      <c r="B23" s="11" t="str">
        <f t="shared" si="0"/>
        <v>Véhicules neufs</v>
      </c>
      <c r="C23" s="29" t="s">
        <v>26</v>
      </c>
      <c r="D23" s="30">
        <v>0</v>
      </c>
      <c r="E23" s="30">
        <f>IF(D23=0,0,F23/D23)</f>
        <v>0</v>
      </c>
      <c r="F23" s="30">
        <v>8910</v>
      </c>
      <c r="G23" s="41"/>
      <c r="H23" s="30"/>
      <c r="I23" s="30"/>
      <c r="J23" s="31"/>
      <c r="K23" s="30">
        <f>IF(J13=0,0,L23/(J13+J15))</f>
        <v>442.14285714285717</v>
      </c>
      <c r="L23" s="33">
        <v>6190</v>
      </c>
      <c r="M23" s="51"/>
      <c r="N23" s="33">
        <f>L23-F23</f>
        <v>-2720</v>
      </c>
      <c r="O23" s="31"/>
      <c r="P23" s="30"/>
      <c r="Q23" s="33">
        <v>6883.19</v>
      </c>
      <c r="R23" s="31">
        <f>O23-K23</f>
        <v>-442.14285714285717</v>
      </c>
      <c r="S23" s="34">
        <f>L23-Q23</f>
        <v>-693.1899999999996</v>
      </c>
      <c r="T23" s="13"/>
      <c r="U23" s="13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11"/>
      <c r="AL23" s="11"/>
      <c r="AM23" s="11"/>
      <c r="AN23" s="11"/>
    </row>
    <row r="24" spans="1:40" ht="20.25">
      <c r="A24" t="str">
        <f t="shared" si="9"/>
        <v>Véhicules neufsTotal F&amp;I</v>
      </c>
      <c r="B24" s="11" t="str">
        <f t="shared" si="0"/>
        <v>Véhicules neufs</v>
      </c>
      <c r="C24" s="35" t="s">
        <v>27</v>
      </c>
      <c r="D24" s="36">
        <f>+D15+D13</f>
        <v>18</v>
      </c>
      <c r="E24" s="36">
        <f>IF(D24&lt;=0,0,F24/D24)</f>
        <v>1600</v>
      </c>
      <c r="F24" s="37">
        <f>F21+F22+F23</f>
        <v>28800</v>
      </c>
      <c r="G24" s="38"/>
      <c r="H24" s="36"/>
      <c r="I24" s="37"/>
      <c r="J24" s="38">
        <f>+J15+J13</f>
        <v>14</v>
      </c>
      <c r="K24" s="36">
        <f>IF(J24&lt;=0,0,L24/J24)</f>
        <v>1528.1428571428569</v>
      </c>
      <c r="L24" s="37">
        <f>L21+L22+L23</f>
        <v>21393.999999999996</v>
      </c>
      <c r="M24" s="58">
        <f>J24-D24</f>
        <v>-4</v>
      </c>
      <c r="N24" s="37">
        <f>L24-F24</f>
        <v>-7406.0000000000036</v>
      </c>
      <c r="O24" s="38">
        <f>+O15+O13</f>
        <v>13</v>
      </c>
      <c r="P24" s="36">
        <f>IF(O24&lt;=0,0,Q24/O24)</f>
        <v>1869.8730769230767</v>
      </c>
      <c r="Q24" s="37">
        <f>Q21+Q22+Q23</f>
        <v>24308.35</v>
      </c>
      <c r="R24" s="56"/>
      <c r="S24" s="39">
        <f>L24-Q24</f>
        <v>-2914.3500000000022</v>
      </c>
      <c r="T24" s="13"/>
      <c r="U24" s="13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11"/>
      <c r="AL24" s="11"/>
      <c r="AM24" s="11"/>
      <c r="AN24" s="11"/>
    </row>
    <row r="25" spans="1:40" ht="20.25">
      <c r="A25" t="str">
        <f t="shared" si="9"/>
        <v>Véhicules neufs</v>
      </c>
      <c r="B25" s="11" t="str">
        <f t="shared" si="0"/>
        <v>Véhicules neufs</v>
      </c>
      <c r="C25" s="29"/>
      <c r="D25" s="13"/>
      <c r="E25" s="13"/>
      <c r="F25" s="59"/>
      <c r="G25" s="41"/>
      <c r="H25" s="13"/>
      <c r="I25" s="59"/>
      <c r="J25" s="41"/>
      <c r="K25" s="13"/>
      <c r="L25" s="59"/>
      <c r="M25" s="42"/>
      <c r="N25" s="43">
        <f>IF(N24=0,0,N24/F24)</f>
        <v>-0.2571527777777779</v>
      </c>
      <c r="O25" s="41"/>
      <c r="P25" s="13"/>
      <c r="Q25" s="59"/>
      <c r="R25" s="60"/>
      <c r="S25" s="44">
        <f>IF(Q24=0,0,(S24/Q24))</f>
        <v>-0.11989090168604626</v>
      </c>
      <c r="T25" s="13"/>
      <c r="U25" s="13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11"/>
      <c r="AL25" s="11"/>
      <c r="AM25" s="11"/>
      <c r="AN25" s="11"/>
    </row>
    <row r="26" spans="1:40" ht="21" thickBot="1">
      <c r="A26" t="str">
        <f t="shared" si="9"/>
        <v>Véhicules neufs</v>
      </c>
      <c r="B26" s="11" t="str">
        <f t="shared" si="0"/>
        <v>Véhicules neufs</v>
      </c>
      <c r="C26" s="29"/>
      <c r="D26" s="13"/>
      <c r="E26" s="13"/>
      <c r="F26" s="40"/>
      <c r="G26" s="41"/>
      <c r="H26" s="13"/>
      <c r="I26" s="40"/>
      <c r="J26" s="41"/>
      <c r="K26" s="13"/>
      <c r="L26" s="40"/>
      <c r="M26" s="41"/>
      <c r="N26" s="40"/>
      <c r="O26" s="41"/>
      <c r="P26" s="13"/>
      <c r="Q26" s="40"/>
      <c r="R26" s="41"/>
      <c r="S26" s="61"/>
      <c r="T26" s="13"/>
      <c r="U26" s="13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11"/>
      <c r="AL26" s="11"/>
      <c r="AM26" s="11"/>
      <c r="AN26" s="11"/>
    </row>
    <row r="27" spans="1:40" ht="21" thickTop="1">
      <c r="A27" t="str">
        <f t="shared" si="9"/>
        <v>Véhicules neufsTotal Dépt. Neufs</v>
      </c>
      <c r="B27" s="11" t="str">
        <f t="shared" si="0"/>
        <v>Véhicules neufs</v>
      </c>
      <c r="C27" s="62" t="s">
        <v>28</v>
      </c>
      <c r="D27" s="63">
        <f>+D13+D15+D17</f>
        <v>18</v>
      </c>
      <c r="E27" s="64">
        <f>IF(D27&lt;=0,0,F27/D27)</f>
        <v>6686.7336367800272</v>
      </c>
      <c r="F27" s="65">
        <f>F13+F17+F24+F19+F15</f>
        <v>120361.2054620405</v>
      </c>
      <c r="G27" s="66"/>
      <c r="H27" s="67"/>
      <c r="I27" s="65"/>
      <c r="J27" s="66">
        <f>+J13+J15+J17</f>
        <v>14</v>
      </c>
      <c r="K27" s="67">
        <f>IF(J27&lt;=0,0,L27/J27)</f>
        <v>6892.1621428571334</v>
      </c>
      <c r="L27" s="65">
        <f>L13+L17+L24+L19+L15</f>
        <v>96490.269999999873</v>
      </c>
      <c r="M27" s="66">
        <f>J27-D27</f>
        <v>-4</v>
      </c>
      <c r="N27" s="65">
        <f>L27-F27</f>
        <v>-23870.935462040623</v>
      </c>
      <c r="O27" s="66">
        <f>+O13+O15+O17</f>
        <v>13</v>
      </c>
      <c r="P27" s="67">
        <f>IF(O27&lt;=0,0,Q27/O27)</f>
        <v>8009.878461538452</v>
      </c>
      <c r="Q27" s="65">
        <f>Q13+Q17+Q24+Q19+Q15</f>
        <v>104128.41999999988</v>
      </c>
      <c r="R27" s="66">
        <f>J27-O27</f>
        <v>1</v>
      </c>
      <c r="S27" s="68">
        <f>L27-Q27</f>
        <v>-7638.1500000000087</v>
      </c>
      <c r="T27" s="13"/>
      <c r="U27" s="13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11"/>
      <c r="AL27" s="11"/>
      <c r="AM27" s="11"/>
      <c r="AN27" s="11"/>
    </row>
    <row r="28" spans="1:40" ht="21" thickBot="1">
      <c r="A28" t="str">
        <f t="shared" si="9"/>
        <v>Véhicules neufs</v>
      </c>
      <c r="B28" s="11" t="str">
        <f t="shared" si="0"/>
        <v>Véhicules neufs</v>
      </c>
      <c r="C28" s="69"/>
      <c r="D28" s="70"/>
      <c r="E28" s="70"/>
      <c r="F28" s="71"/>
      <c r="G28" s="72"/>
      <c r="H28" s="70"/>
      <c r="I28" s="71"/>
      <c r="J28" s="72"/>
      <c r="K28" s="70"/>
      <c r="L28" s="71"/>
      <c r="M28" s="73">
        <f>M27/D27</f>
        <v>-0.22222222222222221</v>
      </c>
      <c r="N28" s="74">
        <f>N27/F27</f>
        <v>-0.19832748741926681</v>
      </c>
      <c r="O28" s="72"/>
      <c r="P28" s="70"/>
      <c r="Q28" s="71"/>
      <c r="R28" s="73">
        <f>R27/O27</f>
        <v>7.6923076923076927E-2</v>
      </c>
      <c r="S28" s="75">
        <f>IF(Q27=0,0,S27/Q27)</f>
        <v>-7.33531729378014E-2</v>
      </c>
      <c r="T28" s="13"/>
      <c r="U28" s="13"/>
      <c r="V28" s="11"/>
      <c r="W28" s="11"/>
      <c r="X28" s="11"/>
      <c r="Y28" s="11"/>
      <c r="Z28" s="11"/>
      <c r="AA28" s="11"/>
      <c r="AB28" s="11"/>
      <c r="AC28" s="11"/>
      <c r="AD28" s="11"/>
      <c r="AE28" s="11"/>
      <c r="AF28" s="11"/>
      <c r="AG28" s="11"/>
      <c r="AH28" s="11"/>
      <c r="AI28" s="11"/>
      <c r="AJ28" s="11"/>
      <c r="AK28" s="11"/>
      <c r="AL28" s="11"/>
      <c r="AM28" s="11"/>
      <c r="AN28" s="11"/>
    </row>
    <row r="29" spans="1:40" ht="21" thickTop="1">
      <c r="A29" t="str">
        <f t="shared" si="9"/>
        <v>Véhicules neufs</v>
      </c>
      <c r="B29" s="11" t="str">
        <f t="shared" si="0"/>
        <v>Véhicules neufs</v>
      </c>
      <c r="C29" s="53"/>
      <c r="D29" s="76"/>
      <c r="E29" s="76"/>
      <c r="F29" s="77"/>
      <c r="G29" s="78"/>
      <c r="H29" s="76"/>
      <c r="I29" s="77"/>
      <c r="J29" s="78"/>
      <c r="K29" s="76"/>
      <c r="L29" s="77"/>
      <c r="M29" s="42"/>
      <c r="N29" s="43"/>
      <c r="O29" s="78"/>
      <c r="P29" s="76"/>
      <c r="Q29" s="77"/>
      <c r="R29" s="42"/>
      <c r="S29" s="44"/>
      <c r="T29" s="13"/>
      <c r="U29" s="13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  <c r="AI29" s="11"/>
      <c r="AJ29" s="11"/>
      <c r="AK29" s="11"/>
      <c r="AL29" s="11"/>
      <c r="AM29" s="11"/>
      <c r="AN29" s="11"/>
    </row>
    <row r="30" spans="1:40" ht="20.25">
      <c r="A30" t="str">
        <f t="shared" si="9"/>
        <v>Véhicules neufsDEPENSES</v>
      </c>
      <c r="B30" s="11" t="str">
        <f t="shared" si="0"/>
        <v>Véhicules neufs</v>
      </c>
      <c r="C30" s="79" t="s">
        <v>29</v>
      </c>
      <c r="D30" s="13"/>
      <c r="E30" s="80"/>
      <c r="F30" s="59"/>
      <c r="G30" s="41"/>
      <c r="H30" s="80"/>
      <c r="I30" s="59"/>
      <c r="J30" s="41"/>
      <c r="K30" s="80"/>
      <c r="L30" s="40"/>
      <c r="M30" s="41"/>
      <c r="N30" s="40"/>
      <c r="O30" s="41"/>
      <c r="P30" s="80"/>
      <c r="Q30" s="40"/>
      <c r="R30" s="41"/>
      <c r="S30" s="61"/>
      <c r="T30" s="13"/>
      <c r="U30" s="13"/>
      <c r="V30" s="11"/>
      <c r="W30" s="11"/>
      <c r="X30" s="11"/>
      <c r="Y30" s="11"/>
      <c r="Z30" s="11"/>
      <c r="AA30" s="11"/>
      <c r="AB30" s="11"/>
      <c r="AC30" s="11"/>
      <c r="AD30" s="11"/>
      <c r="AE30" s="11"/>
      <c r="AF30" s="11"/>
      <c r="AG30" s="11"/>
      <c r="AH30" s="11"/>
      <c r="AI30" s="11"/>
      <c r="AJ30" s="11"/>
      <c r="AK30" s="11"/>
      <c r="AL30" s="11"/>
      <c r="AM30" s="11"/>
      <c r="AN30" s="11"/>
    </row>
    <row r="31" spans="1:40" ht="20.25">
      <c r="A31" t="str">
        <f t="shared" si="9"/>
        <v>Véhicules neufsComm. vendeurs</v>
      </c>
      <c r="B31" s="11" t="str">
        <f t="shared" si="0"/>
        <v>Véhicules neufs</v>
      </c>
      <c r="C31" s="29" t="s">
        <v>30</v>
      </c>
      <c r="D31" s="148">
        <f>F31/(F13+F15)</f>
        <v>0.29815738697943889</v>
      </c>
      <c r="E31" s="82">
        <f t="shared" ref="E31:E36" si="12">F31/D$24</f>
        <v>1486.3786454684148</v>
      </c>
      <c r="F31" s="30">
        <v>26754.815618431465</v>
      </c>
      <c r="G31" s="157"/>
      <c r="H31" s="82"/>
      <c r="I31" s="30"/>
      <c r="J31" s="157">
        <f>L31/(L13+L15)</f>
        <v>0.26899798444899942</v>
      </c>
      <c r="K31" s="82">
        <f t="shared" ref="K31:K36" si="13">IF(L31=0,0,L31/J$24)</f>
        <v>1336.3285714285714</v>
      </c>
      <c r="L31" s="30">
        <v>18708.599999999999</v>
      </c>
      <c r="M31" s="41"/>
      <c r="N31" s="59">
        <f t="shared" ref="N31:N53" si="14">L31-F31</f>
        <v>-8046.2156184314663</v>
      </c>
      <c r="O31" s="157">
        <f>Q31/(Q13+Q15+Q17)</f>
        <v>0.26208271090484275</v>
      </c>
      <c r="P31" s="82">
        <f t="shared" ref="P31:P40" si="15">Q31/O$24</f>
        <v>1538.9107692307693</v>
      </c>
      <c r="Q31" s="33">
        <v>20005.84</v>
      </c>
      <c r="R31" s="41"/>
      <c r="S31" s="85">
        <f t="shared" ref="S31:S36" si="16">L31-Q31</f>
        <v>-1297.2400000000016</v>
      </c>
      <c r="T31" s="13"/>
      <c r="U31" s="13"/>
      <c r="V31" s="11" t="s">
        <v>244</v>
      </c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11"/>
      <c r="AI31" s="11"/>
      <c r="AJ31" s="11"/>
      <c r="AK31" s="11"/>
      <c r="AL31" s="11"/>
      <c r="AM31" s="11"/>
      <c r="AN31" s="11"/>
    </row>
    <row r="32" spans="1:40" ht="20.25">
      <c r="A32" t="str">
        <f t="shared" si="9"/>
        <v>Véhicules neufsComm. F&amp;I</v>
      </c>
      <c r="B32" s="11" t="str">
        <f t="shared" si="0"/>
        <v>Véhicules neufs</v>
      </c>
      <c r="C32" s="86" t="s">
        <v>31</v>
      </c>
      <c r="D32" s="218">
        <f>F32/F24</f>
        <v>0.25</v>
      </c>
      <c r="E32" s="88">
        <f t="shared" si="12"/>
        <v>400</v>
      </c>
      <c r="F32" s="22">
        <v>7200</v>
      </c>
      <c r="G32" s="162"/>
      <c r="H32" s="90"/>
      <c r="I32" s="22"/>
      <c r="J32" s="162">
        <f>L32/L24</f>
        <v>0.34586940263625321</v>
      </c>
      <c r="K32" s="88">
        <f t="shared" si="13"/>
        <v>528.53785714285709</v>
      </c>
      <c r="L32" s="22">
        <v>7399.53</v>
      </c>
      <c r="M32" s="23"/>
      <c r="N32" s="91">
        <f t="shared" si="14"/>
        <v>199.52999999999975</v>
      </c>
      <c r="O32" s="162">
        <f>Q32/Q24</f>
        <v>0.25102855603115803</v>
      </c>
      <c r="P32" s="88">
        <f t="shared" si="15"/>
        <v>469.39153846153846</v>
      </c>
      <c r="Q32" s="22">
        <v>6102.09</v>
      </c>
      <c r="R32" s="23"/>
      <c r="S32" s="92">
        <f t="shared" si="16"/>
        <v>1297.4399999999996</v>
      </c>
      <c r="T32" s="13"/>
      <c r="U32" s="13"/>
      <c r="V32" s="11" t="s">
        <v>245</v>
      </c>
      <c r="W32" s="11"/>
      <c r="X32" s="11"/>
      <c r="Y32" s="11"/>
      <c r="Z32" s="11"/>
      <c r="AA32" s="11"/>
      <c r="AB32" s="11"/>
      <c r="AC32" s="11"/>
      <c r="AD32" s="11"/>
      <c r="AE32" s="11"/>
      <c r="AF32" s="11"/>
      <c r="AG32" s="11"/>
      <c r="AH32" s="11"/>
      <c r="AI32" s="11"/>
      <c r="AJ32" s="11"/>
      <c r="AK32" s="11"/>
      <c r="AL32" s="11"/>
      <c r="AM32" s="11"/>
      <c r="AN32" s="11"/>
    </row>
    <row r="33" spans="1:40" ht="20.25">
      <c r="A33" t="str">
        <f t="shared" si="9"/>
        <v>Véhicules neufsFrais de livraison</v>
      </c>
      <c r="B33" s="11" t="str">
        <f t="shared" si="0"/>
        <v>Véhicules neufs</v>
      </c>
      <c r="C33" s="29" t="s">
        <v>32</v>
      </c>
      <c r="D33" s="81"/>
      <c r="E33" s="82">
        <f t="shared" si="12"/>
        <v>100</v>
      </c>
      <c r="F33" s="30">
        <v>1800</v>
      </c>
      <c r="G33" s="83"/>
      <c r="H33" s="82"/>
      <c r="I33" s="30"/>
      <c r="J33" s="41"/>
      <c r="K33" s="82">
        <f t="shared" si="13"/>
        <v>228.45785714285714</v>
      </c>
      <c r="L33" s="30">
        <v>3198.41</v>
      </c>
      <c r="M33" s="41"/>
      <c r="N33" s="59">
        <f t="shared" si="14"/>
        <v>1398.4099999999999</v>
      </c>
      <c r="O33" s="41"/>
      <c r="P33" s="82">
        <f t="shared" si="15"/>
        <v>167.71846153846155</v>
      </c>
      <c r="Q33" s="33">
        <v>2180.34</v>
      </c>
      <c r="R33" s="41"/>
      <c r="S33" s="85">
        <f t="shared" si="16"/>
        <v>1018.0699999999997</v>
      </c>
      <c r="T33" s="13"/>
      <c r="U33" s="13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11"/>
      <c r="AI33" s="11"/>
      <c r="AJ33" s="11"/>
      <c r="AK33" s="11"/>
      <c r="AL33" s="11"/>
      <c r="AM33" s="11"/>
      <c r="AN33" s="11"/>
    </row>
    <row r="34" spans="1:40" ht="20.25">
      <c r="A34" t="str">
        <f t="shared" si="9"/>
        <v>Véhicules neufsService gratuit 1</v>
      </c>
      <c r="B34" s="11" t="str">
        <f t="shared" si="0"/>
        <v>Véhicules neufs</v>
      </c>
      <c r="C34" s="29" t="s">
        <v>33</v>
      </c>
      <c r="D34" s="81"/>
      <c r="E34" s="82">
        <f t="shared" si="12"/>
        <v>45</v>
      </c>
      <c r="F34" s="30">
        <v>810</v>
      </c>
      <c r="G34" s="83"/>
      <c r="H34" s="82"/>
      <c r="I34" s="30"/>
      <c r="J34" s="41"/>
      <c r="K34" s="82">
        <f t="shared" si="13"/>
        <v>51.135714285714286</v>
      </c>
      <c r="L34" s="30">
        <v>715.9</v>
      </c>
      <c r="M34" s="41"/>
      <c r="N34" s="59">
        <f t="shared" si="14"/>
        <v>-94.100000000000023</v>
      </c>
      <c r="O34" s="41"/>
      <c r="P34" s="82">
        <f t="shared" si="15"/>
        <v>67.839230769230767</v>
      </c>
      <c r="Q34" s="33">
        <v>881.91</v>
      </c>
      <c r="R34" s="41"/>
      <c r="S34" s="85">
        <f t="shared" si="16"/>
        <v>-166.01</v>
      </c>
      <c r="T34" s="13"/>
      <c r="U34" s="13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1"/>
      <c r="AM34" s="11"/>
      <c r="AN34" s="11"/>
    </row>
    <row r="35" spans="1:40" ht="20.25">
      <c r="A35" t="str">
        <f t="shared" si="9"/>
        <v>Véhicules neufsEntretien stock</v>
      </c>
      <c r="B35" s="11" t="str">
        <f t="shared" si="0"/>
        <v>Véhicules neufs</v>
      </c>
      <c r="C35" s="86" t="s">
        <v>34</v>
      </c>
      <c r="D35" s="87"/>
      <c r="E35" s="88">
        <f t="shared" si="12"/>
        <v>48.333333333333336</v>
      </c>
      <c r="F35" s="22">
        <v>870</v>
      </c>
      <c r="G35" s="89"/>
      <c r="H35" s="90"/>
      <c r="I35" s="22"/>
      <c r="J35" s="23"/>
      <c r="K35" s="88">
        <f t="shared" si="13"/>
        <v>53.571428571428569</v>
      </c>
      <c r="L35" s="22">
        <v>750</v>
      </c>
      <c r="M35" s="23"/>
      <c r="N35" s="91">
        <f t="shared" si="14"/>
        <v>-120</v>
      </c>
      <c r="O35" s="23"/>
      <c r="P35" s="88">
        <f t="shared" si="15"/>
        <v>37.92307692307692</v>
      </c>
      <c r="Q35" s="33">
        <v>493</v>
      </c>
      <c r="R35" s="23"/>
      <c r="S35" s="92">
        <f t="shared" si="16"/>
        <v>257</v>
      </c>
      <c r="T35" s="13"/>
      <c r="U35" s="13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11"/>
    </row>
    <row r="36" spans="1:40" ht="20.25">
      <c r="A36" t="str">
        <f t="shared" si="9"/>
        <v>Véhicules neufsPublicité 1</v>
      </c>
      <c r="B36" s="11" t="str">
        <f t="shared" si="0"/>
        <v>Véhicules neufs</v>
      </c>
      <c r="C36" s="29" t="s">
        <v>35</v>
      </c>
      <c r="D36" s="81"/>
      <c r="E36" s="82">
        <f t="shared" si="12"/>
        <v>496.609375</v>
      </c>
      <c r="F36" s="30">
        <v>8938.96875</v>
      </c>
      <c r="G36" s="83"/>
      <c r="H36" s="82"/>
      <c r="I36" s="30"/>
      <c r="J36" s="41"/>
      <c r="K36" s="82">
        <f t="shared" si="13"/>
        <v>759.74142857142851</v>
      </c>
      <c r="L36" s="459">
        <v>10636.38</v>
      </c>
      <c r="M36" s="13"/>
      <c r="N36" s="59">
        <f t="shared" si="14"/>
        <v>1697.4112499999992</v>
      </c>
      <c r="O36" s="41"/>
      <c r="P36" s="82">
        <f t="shared" si="15"/>
        <v>730.09769230769155</v>
      </c>
      <c r="Q36" s="55">
        <v>9491.2699999999895</v>
      </c>
      <c r="R36" s="41"/>
      <c r="S36" s="85">
        <f t="shared" si="16"/>
        <v>1145.1100000000097</v>
      </c>
      <c r="T36" s="13"/>
      <c r="U36" s="13"/>
      <c r="V36" s="11">
        <f>14331-4695+1000</f>
        <v>10636</v>
      </c>
      <c r="W36" s="11"/>
      <c r="X36" s="458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1"/>
    </row>
    <row r="37" spans="1:40" ht="20.25">
      <c r="A37" t="str">
        <f>+B37&amp;C37</f>
        <v>Véhicules neufsIntérêt de gros</v>
      </c>
      <c r="B37" s="11" t="str">
        <f t="shared" si="0"/>
        <v>Véhicules neufs</v>
      </c>
      <c r="C37" s="29" t="s">
        <v>36</v>
      </c>
      <c r="D37" s="81"/>
      <c r="E37" s="82">
        <f>F37/D$24</f>
        <v>1468.2494328499374</v>
      </c>
      <c r="F37" s="30">
        <v>26428.489791298874</v>
      </c>
      <c r="G37" s="83"/>
      <c r="H37" s="82"/>
      <c r="I37" s="30"/>
      <c r="J37" s="41"/>
      <c r="K37" s="82">
        <f>IF(L37=0,0,L37/J$24)</f>
        <v>2453.1978571428567</v>
      </c>
      <c r="L37" s="460">
        <v>34344.769999999997</v>
      </c>
      <c r="M37" s="13"/>
      <c r="N37" s="59">
        <f t="shared" si="14"/>
        <v>7916.2802087011223</v>
      </c>
      <c r="O37" s="41"/>
      <c r="P37" s="82">
        <f t="shared" si="15"/>
        <v>532.72153846153844</v>
      </c>
      <c r="Q37" s="33">
        <v>6925.38</v>
      </c>
      <c r="R37" s="41"/>
      <c r="S37" s="85">
        <f>L37-Q37</f>
        <v>27419.389999999996</v>
      </c>
      <c r="T37" s="13"/>
      <c r="U37" s="13"/>
      <c r="V37" s="458">
        <v>34345</v>
      </c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1"/>
    </row>
    <row r="38" spans="1:40" ht="20.25" hidden="1">
      <c r="A38" t="str">
        <f>+B38&amp;C38</f>
        <v>Véhicules neufs[...]</v>
      </c>
      <c r="B38" s="11" t="str">
        <f t="shared" si="0"/>
        <v>Véhicules neufs</v>
      </c>
      <c r="C38" s="29" t="s">
        <v>19</v>
      </c>
      <c r="D38" s="81"/>
      <c r="E38" s="82">
        <f>F38/D$24</f>
        <v>0</v>
      </c>
      <c r="F38" s="30">
        <v>0</v>
      </c>
      <c r="G38" s="83"/>
      <c r="H38" s="82"/>
      <c r="I38" s="30"/>
      <c r="J38" s="41"/>
      <c r="K38" s="82">
        <f>IF(L38=0,0,L38/J$24)</f>
        <v>0</v>
      </c>
      <c r="L38" s="460">
        <v>0</v>
      </c>
      <c r="M38" s="13"/>
      <c r="N38" s="59">
        <f t="shared" si="14"/>
        <v>0</v>
      </c>
      <c r="O38" s="41"/>
      <c r="P38" s="82">
        <f t="shared" si="15"/>
        <v>0</v>
      </c>
      <c r="Q38" s="33">
        <v>0</v>
      </c>
      <c r="R38" s="41"/>
      <c r="S38" s="85">
        <f>L38-Q38</f>
        <v>0</v>
      </c>
      <c r="T38" s="13"/>
      <c r="U38" s="13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AL38" s="11"/>
      <c r="AM38" s="11"/>
      <c r="AN38" s="11"/>
    </row>
    <row r="39" spans="1:40" ht="20.25" hidden="1">
      <c r="A39" t="str">
        <f>+B39&amp;C39</f>
        <v>Véhicules neufs[...]</v>
      </c>
      <c r="B39" s="11" t="str">
        <f t="shared" si="0"/>
        <v>Véhicules neufs</v>
      </c>
      <c r="C39" s="29" t="s">
        <v>19</v>
      </c>
      <c r="D39" s="81"/>
      <c r="E39" s="82">
        <f>F39/D$24</f>
        <v>0</v>
      </c>
      <c r="F39" s="30">
        <v>0</v>
      </c>
      <c r="G39" s="83"/>
      <c r="H39" s="82"/>
      <c r="I39" s="30"/>
      <c r="J39" s="41"/>
      <c r="K39" s="82">
        <f>IF(L39=0,0,L39/J$24)</f>
        <v>0</v>
      </c>
      <c r="L39" s="460">
        <v>0</v>
      </c>
      <c r="M39" s="13"/>
      <c r="N39" s="59">
        <f t="shared" si="14"/>
        <v>0</v>
      </c>
      <c r="O39" s="41"/>
      <c r="P39" s="82">
        <f t="shared" si="15"/>
        <v>0</v>
      </c>
      <c r="Q39" s="33">
        <v>0</v>
      </c>
      <c r="R39" s="41"/>
      <c r="S39" s="85">
        <f>L39-Q39</f>
        <v>0</v>
      </c>
      <c r="T39" s="13"/>
      <c r="U39" s="13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11"/>
    </row>
    <row r="40" spans="1:40" ht="20.25" hidden="1">
      <c r="A40" t="str">
        <f t="shared" ref="A40:A45" si="17">+B40&amp;C40</f>
        <v>Véhicules neufs[...]</v>
      </c>
      <c r="B40" s="11" t="str">
        <f t="shared" si="0"/>
        <v>Véhicules neufs</v>
      </c>
      <c r="C40" s="29" t="s">
        <v>19</v>
      </c>
      <c r="D40" s="81"/>
      <c r="E40" s="82">
        <f>F40/D$24</f>
        <v>0</v>
      </c>
      <c r="F40" s="30">
        <v>0</v>
      </c>
      <c r="G40" s="83"/>
      <c r="H40" s="82"/>
      <c r="I40" s="30"/>
      <c r="J40" s="41"/>
      <c r="K40" s="82">
        <f>IF(L40=0,0,L40/J$24)</f>
        <v>0</v>
      </c>
      <c r="L40" s="461">
        <v>0</v>
      </c>
      <c r="M40" s="13"/>
      <c r="N40" s="59">
        <f t="shared" si="14"/>
        <v>0</v>
      </c>
      <c r="O40" s="41"/>
      <c r="P40" s="82">
        <f t="shared" si="15"/>
        <v>0</v>
      </c>
      <c r="Q40" s="33">
        <v>0</v>
      </c>
      <c r="R40" s="41"/>
      <c r="S40" s="85">
        <f>L40-Q40</f>
        <v>0</v>
      </c>
      <c r="T40" s="13"/>
      <c r="U40" s="13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11"/>
      <c r="AJ40" s="11"/>
      <c r="AK40" s="11"/>
      <c r="AL40" s="11"/>
      <c r="AM40" s="11"/>
      <c r="AN40" s="11"/>
    </row>
    <row r="41" spans="1:40" ht="20.25">
      <c r="A41" t="str">
        <f t="shared" si="17"/>
        <v>Véhicules neufsTOTAL VARIABLES</v>
      </c>
      <c r="B41" s="11" t="str">
        <f t="shared" si="0"/>
        <v>Véhicules neufs</v>
      </c>
      <c r="C41" s="93" t="s">
        <v>37</v>
      </c>
      <c r="D41" s="94" t="s">
        <v>38</v>
      </c>
      <c r="E41" s="95">
        <f>F41/F$27</f>
        <v>0.60486494697571558</v>
      </c>
      <c r="F41" s="96">
        <f>SUM(F31:F40)</f>
        <v>72802.274159730339</v>
      </c>
      <c r="G41" s="97"/>
      <c r="H41" s="95"/>
      <c r="I41" s="96"/>
      <c r="J41" s="97" t="s">
        <v>38</v>
      </c>
      <c r="K41" s="95">
        <f>L41/L$27</f>
        <v>0.78509045523450283</v>
      </c>
      <c r="L41" s="96">
        <f>SUM(L31:L40)</f>
        <v>75753.59</v>
      </c>
      <c r="M41" s="98"/>
      <c r="N41" s="96">
        <f t="shared" si="14"/>
        <v>2951.3158402696572</v>
      </c>
      <c r="O41" s="97" t="s">
        <v>38</v>
      </c>
      <c r="P41" s="95">
        <f>Q41/Q$27</f>
        <v>0.44252885043295614</v>
      </c>
      <c r="Q41" s="99">
        <f>SUM(Q31:Q40)</f>
        <v>46079.829999999987</v>
      </c>
      <c r="R41" s="100"/>
      <c r="S41" s="101">
        <f t="shared" ref="S41:S45" si="18">L41-Q41</f>
        <v>29673.760000000009</v>
      </c>
      <c r="T41" s="13"/>
      <c r="U41" s="13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AL41" s="11"/>
      <c r="AM41" s="11"/>
      <c r="AN41" s="11"/>
    </row>
    <row r="42" spans="1:40" ht="20.25">
      <c r="A42" t="str">
        <f t="shared" si="17"/>
        <v>Véhicules neufsSalaires cadres</v>
      </c>
      <c r="B42" s="11" t="str">
        <f t="shared" si="0"/>
        <v>Véhicules neufs</v>
      </c>
      <c r="C42" s="102" t="s">
        <v>40</v>
      </c>
      <c r="D42" s="13"/>
      <c r="E42" s="13"/>
      <c r="F42" s="30">
        <v>12750.16882951654</v>
      </c>
      <c r="G42" s="41"/>
      <c r="H42" s="13"/>
      <c r="I42" s="30"/>
      <c r="J42" s="41"/>
      <c r="K42" s="13"/>
      <c r="L42" s="33">
        <v>11969.7</v>
      </c>
      <c r="M42" s="41"/>
      <c r="N42" s="59">
        <f t="shared" si="14"/>
        <v>-780.4688295165397</v>
      </c>
      <c r="O42" s="41"/>
      <c r="P42" s="13"/>
      <c r="Q42" s="33">
        <v>10496.39</v>
      </c>
      <c r="R42" s="41"/>
      <c r="S42" s="85">
        <f t="shared" si="18"/>
        <v>1473.3100000000013</v>
      </c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3"/>
      <c r="AG42" s="13"/>
      <c r="AH42" s="13"/>
      <c r="AI42" s="13"/>
      <c r="AJ42" s="13"/>
      <c r="AK42" s="13"/>
      <c r="AL42" s="13"/>
      <c r="AM42" s="13"/>
      <c r="AN42" s="13"/>
    </row>
    <row r="43" spans="1:40" ht="20.25">
      <c r="A43" t="str">
        <f t="shared" si="17"/>
        <v>Véhicules neufsSalaires commis</v>
      </c>
      <c r="B43" s="11" t="str">
        <f t="shared" si="0"/>
        <v>Véhicules neufs</v>
      </c>
      <c r="C43" s="103" t="s">
        <v>41</v>
      </c>
      <c r="D43" s="81"/>
      <c r="E43" s="13"/>
      <c r="F43" s="22">
        <v>9014.8377862595426</v>
      </c>
      <c r="G43" s="83"/>
      <c r="H43" s="13"/>
      <c r="I43" s="22"/>
      <c r="J43" s="41"/>
      <c r="K43" s="13"/>
      <c r="L43" s="33">
        <v>8642.68</v>
      </c>
      <c r="M43" s="41"/>
      <c r="N43" s="59">
        <f t="shared" si="14"/>
        <v>-372.15778625954226</v>
      </c>
      <c r="O43" s="41"/>
      <c r="P43" s="13"/>
      <c r="Q43" s="33">
        <v>6302.71</v>
      </c>
      <c r="R43" s="41"/>
      <c r="S43" s="85">
        <f t="shared" si="18"/>
        <v>2339.9700000000003</v>
      </c>
      <c r="T43" s="13"/>
      <c r="U43" s="13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11"/>
      <c r="AJ43" s="11"/>
      <c r="AK43" s="11"/>
      <c r="AL43" s="11"/>
      <c r="AM43" s="11"/>
      <c r="AN43" s="11"/>
    </row>
    <row r="44" spans="1:40" ht="20.25">
      <c r="A44" t="str">
        <f t="shared" si="17"/>
        <v>Véhicules neufsSalaires autres</v>
      </c>
      <c r="B44" s="11" t="str">
        <f t="shared" si="0"/>
        <v>Véhicules neufs</v>
      </c>
      <c r="C44" s="102" t="s">
        <v>42</v>
      </c>
      <c r="D44" s="104"/>
      <c r="E44" s="105"/>
      <c r="F44" s="30">
        <v>342</v>
      </c>
      <c r="G44" s="106"/>
      <c r="H44" s="105"/>
      <c r="I44" s="30"/>
      <c r="J44" s="107"/>
      <c r="K44" s="105"/>
      <c r="L44" s="108">
        <v>342</v>
      </c>
      <c r="M44" s="107"/>
      <c r="N44" s="109">
        <f t="shared" si="14"/>
        <v>0</v>
      </c>
      <c r="O44" s="107"/>
      <c r="P44" s="105"/>
      <c r="Q44" s="108">
        <v>342</v>
      </c>
      <c r="R44" s="107"/>
      <c r="S44" s="110">
        <f t="shared" si="18"/>
        <v>0</v>
      </c>
      <c r="T44" s="13"/>
      <c r="U44" s="13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11"/>
      <c r="AJ44" s="11"/>
      <c r="AK44" s="11"/>
      <c r="AL44" s="11"/>
      <c r="AM44" s="11"/>
      <c r="AN44" s="11"/>
    </row>
    <row r="45" spans="1:40" ht="20.25">
      <c r="A45" t="str">
        <f t="shared" si="17"/>
        <v>Véhicules neufsSalaires spécialistes</v>
      </c>
      <c r="B45" s="11" t="str">
        <f t="shared" si="0"/>
        <v>Véhicules neufs</v>
      </c>
      <c r="C45" s="102" t="s">
        <v>43</v>
      </c>
      <c r="D45" s="81"/>
      <c r="E45" s="13"/>
      <c r="F45" s="30">
        <v>0</v>
      </c>
      <c r="G45" s="83"/>
      <c r="H45" s="13"/>
      <c r="I45" s="30"/>
      <c r="J45" s="41"/>
      <c r="K45" s="13"/>
      <c r="L45" s="33">
        <v>0</v>
      </c>
      <c r="M45" s="41"/>
      <c r="N45" s="59">
        <f t="shared" si="14"/>
        <v>0</v>
      </c>
      <c r="O45" s="41"/>
      <c r="P45" s="13"/>
      <c r="Q45" s="33">
        <v>0</v>
      </c>
      <c r="R45" s="41"/>
      <c r="S45" s="85">
        <f t="shared" si="18"/>
        <v>0</v>
      </c>
      <c r="T45" s="13"/>
      <c r="U45" s="13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11"/>
      <c r="AJ45" s="11"/>
      <c r="AK45" s="11"/>
      <c r="AL45" s="11"/>
      <c r="AM45" s="11"/>
      <c r="AN45" s="11"/>
    </row>
    <row r="46" spans="1:40" ht="20.25" hidden="1">
      <c r="A46" t="str">
        <f>+B46&amp;C46</f>
        <v>Véhicules neufs[...]</v>
      </c>
      <c r="B46" s="11" t="str">
        <f t="shared" si="0"/>
        <v>Véhicules neufs</v>
      </c>
      <c r="C46" s="102" t="s">
        <v>19</v>
      </c>
      <c r="D46" s="81"/>
      <c r="E46" s="13"/>
      <c r="F46" s="30">
        <v>0</v>
      </c>
      <c r="G46" s="83"/>
      <c r="H46" s="13"/>
      <c r="I46" s="30"/>
      <c r="J46" s="41"/>
      <c r="K46" s="13"/>
      <c r="L46" s="33">
        <v>0</v>
      </c>
      <c r="M46" s="41"/>
      <c r="N46" s="59">
        <f t="shared" si="14"/>
        <v>0</v>
      </c>
      <c r="O46" s="41"/>
      <c r="P46" s="13"/>
      <c r="Q46" s="33">
        <v>0</v>
      </c>
      <c r="R46" s="41"/>
      <c r="S46" s="85">
        <f>L46-Q46</f>
        <v>0</v>
      </c>
      <c r="T46" s="13"/>
      <c r="U46" s="13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11"/>
      <c r="AJ46" s="11"/>
      <c r="AK46" s="11"/>
      <c r="AL46" s="11"/>
      <c r="AM46" s="11"/>
      <c r="AN46" s="11"/>
    </row>
    <row r="47" spans="1:40" ht="20.25" hidden="1">
      <c r="A47" t="str">
        <f>+B47&amp;C47</f>
        <v>Véhicules neufs[...]</v>
      </c>
      <c r="B47" s="11" t="str">
        <f t="shared" si="0"/>
        <v>Véhicules neufs</v>
      </c>
      <c r="C47" s="102" t="s">
        <v>19</v>
      </c>
      <c r="D47" s="81"/>
      <c r="E47" s="13"/>
      <c r="F47" s="30">
        <v>0</v>
      </c>
      <c r="G47" s="83"/>
      <c r="H47" s="13"/>
      <c r="I47" s="30"/>
      <c r="J47" s="41"/>
      <c r="K47" s="13"/>
      <c r="L47" s="33">
        <v>0</v>
      </c>
      <c r="M47" s="41"/>
      <c r="N47" s="59">
        <f t="shared" si="14"/>
        <v>0</v>
      </c>
      <c r="O47" s="41"/>
      <c r="P47" s="13"/>
      <c r="Q47" s="33">
        <v>0</v>
      </c>
      <c r="R47" s="41"/>
      <c r="S47" s="85">
        <f>L47-Q47</f>
        <v>0</v>
      </c>
      <c r="T47" s="13"/>
      <c r="U47" s="13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11"/>
      <c r="AJ47" s="11"/>
      <c r="AK47" s="11"/>
      <c r="AL47" s="11"/>
      <c r="AM47" s="11"/>
      <c r="AN47" s="11"/>
    </row>
    <row r="48" spans="1:40" ht="20.25" hidden="1">
      <c r="A48" t="str">
        <f>+B48&amp;C48</f>
        <v>Véhicules neufs[...]</v>
      </c>
      <c r="B48" s="11" t="str">
        <f t="shared" si="0"/>
        <v>Véhicules neufs</v>
      </c>
      <c r="C48" s="102" t="s">
        <v>19</v>
      </c>
      <c r="D48" s="81"/>
      <c r="E48" s="13"/>
      <c r="F48" s="30">
        <v>0</v>
      </c>
      <c r="G48" s="83"/>
      <c r="H48" s="13"/>
      <c r="I48" s="30"/>
      <c r="J48" s="41"/>
      <c r="K48" s="13"/>
      <c r="L48" s="33">
        <v>0</v>
      </c>
      <c r="M48" s="41"/>
      <c r="N48" s="59">
        <f t="shared" si="14"/>
        <v>0</v>
      </c>
      <c r="O48" s="41"/>
      <c r="P48" s="13"/>
      <c r="Q48" s="33">
        <v>0</v>
      </c>
      <c r="R48" s="41"/>
      <c r="S48" s="85">
        <f>L48-Q48</f>
        <v>0</v>
      </c>
      <c r="T48" s="13"/>
      <c r="U48" s="13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11"/>
      <c r="AJ48" s="11"/>
      <c r="AK48" s="11"/>
      <c r="AL48" s="11"/>
      <c r="AM48" s="11"/>
      <c r="AN48" s="11"/>
    </row>
    <row r="49" spans="1:40" ht="20.25">
      <c r="A49" t="str">
        <f t="shared" ref="A49:A66" si="19">+B49&amp;C49</f>
        <v>Véhicules neufsSalaires en absences</v>
      </c>
      <c r="B49" s="11" t="str">
        <f t="shared" si="0"/>
        <v>Véhicules neufs</v>
      </c>
      <c r="C49" s="103" t="s">
        <v>44</v>
      </c>
      <c r="D49" s="81"/>
      <c r="E49" s="13"/>
      <c r="F49" s="22">
        <v>6503.6599867471423</v>
      </c>
      <c r="G49" s="83"/>
      <c r="H49" s="13"/>
      <c r="I49" s="22"/>
      <c r="J49" s="41"/>
      <c r="K49" s="13"/>
      <c r="L49" s="22">
        <v>7289.01</v>
      </c>
      <c r="M49" s="41"/>
      <c r="N49" s="59">
        <f t="shared" si="14"/>
        <v>785.35001325285793</v>
      </c>
      <c r="O49" s="41"/>
      <c r="P49" s="13"/>
      <c r="Q49" s="22">
        <v>4841.25</v>
      </c>
      <c r="R49" s="41"/>
      <c r="S49" s="85">
        <f t="shared" ref="S49:S53" si="20">L49-Q49</f>
        <v>2447.7600000000002</v>
      </c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  <c r="AH49" s="13"/>
      <c r="AI49" s="13"/>
      <c r="AJ49" s="13"/>
      <c r="AK49" s="13"/>
      <c r="AL49" s="13"/>
      <c r="AM49" s="13"/>
      <c r="AN49" s="13"/>
    </row>
    <row r="50" spans="1:40" ht="20.25">
      <c r="A50" t="str">
        <f t="shared" si="19"/>
        <v>Véhicules neufsDéduction à la source</v>
      </c>
      <c r="B50" s="11" t="str">
        <f t="shared" si="0"/>
        <v>Véhicules neufs</v>
      </c>
      <c r="C50" s="102" t="s">
        <v>45</v>
      </c>
      <c r="D50" s="104"/>
      <c r="E50" s="105"/>
      <c r="F50" s="30">
        <v>8451.6043990402995</v>
      </c>
      <c r="G50" s="106"/>
      <c r="H50" s="105"/>
      <c r="I50" s="30"/>
      <c r="J50" s="107"/>
      <c r="K50" s="105"/>
      <c r="L50" s="33">
        <v>7392.17</v>
      </c>
      <c r="M50" s="107"/>
      <c r="N50" s="109">
        <f t="shared" si="14"/>
        <v>-1059.4343990402995</v>
      </c>
      <c r="O50" s="107"/>
      <c r="P50" s="105"/>
      <c r="Q50" s="33">
        <v>6444.83</v>
      </c>
      <c r="R50" s="107"/>
      <c r="S50" s="110">
        <f t="shared" si="20"/>
        <v>947.34000000000015</v>
      </c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3"/>
      <c r="AF50" s="13"/>
      <c r="AG50" s="13"/>
      <c r="AH50" s="13"/>
      <c r="AI50" s="13"/>
      <c r="AJ50" s="13"/>
      <c r="AK50" s="13"/>
      <c r="AL50" s="13"/>
      <c r="AM50" s="13"/>
      <c r="AN50" s="13"/>
    </row>
    <row r="51" spans="1:40" ht="20.25">
      <c r="A51" t="str">
        <f t="shared" si="19"/>
        <v>Véhicules neufsBénéfices marginaux</v>
      </c>
      <c r="B51" s="11" t="str">
        <f t="shared" si="0"/>
        <v>Véhicules neufs</v>
      </c>
      <c r="C51" s="102" t="s">
        <v>46</v>
      </c>
      <c r="D51" s="81"/>
      <c r="E51" s="13"/>
      <c r="F51" s="30">
        <v>3910.443826421631</v>
      </c>
      <c r="G51" s="83"/>
      <c r="H51" s="13"/>
      <c r="I51" s="30"/>
      <c r="J51" s="41"/>
      <c r="K51" s="13"/>
      <c r="L51" s="33">
        <v>4431.3500000000004</v>
      </c>
      <c r="M51" s="41"/>
      <c r="N51" s="59">
        <f t="shared" si="14"/>
        <v>520.90617357836936</v>
      </c>
      <c r="O51" s="41"/>
      <c r="P51" s="13"/>
      <c r="Q51" s="33">
        <v>3789.41</v>
      </c>
      <c r="R51" s="41"/>
      <c r="S51" s="85">
        <f t="shared" si="20"/>
        <v>641.94000000000051</v>
      </c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13"/>
      <c r="AG51" s="13"/>
      <c r="AH51" s="13"/>
      <c r="AI51" s="13"/>
      <c r="AJ51" s="13"/>
      <c r="AK51" s="13"/>
      <c r="AL51" s="13"/>
      <c r="AM51" s="13"/>
      <c r="AN51" s="13"/>
    </row>
    <row r="52" spans="1:40" ht="20.25">
      <c r="A52" t="str">
        <f t="shared" si="19"/>
        <v>Véhicules neufsCsst</v>
      </c>
      <c r="B52" s="11" t="str">
        <f t="shared" si="0"/>
        <v>Véhicules neufs</v>
      </c>
      <c r="C52" s="102" t="s">
        <v>47</v>
      </c>
      <c r="D52" s="81"/>
      <c r="E52" s="13"/>
      <c r="F52" s="30">
        <v>883.00344467585217</v>
      </c>
      <c r="G52" s="83"/>
      <c r="H52" s="13"/>
      <c r="I52" s="30"/>
      <c r="J52" s="41"/>
      <c r="K52" s="13"/>
      <c r="L52" s="33">
        <v>-241.94</v>
      </c>
      <c r="M52" s="41"/>
      <c r="N52" s="59">
        <f t="shared" si="14"/>
        <v>-1124.9434446758521</v>
      </c>
      <c r="O52" s="41"/>
      <c r="P52" s="13"/>
      <c r="Q52" s="33">
        <v>707.76</v>
      </c>
      <c r="R52" s="41"/>
      <c r="S52" s="85">
        <f t="shared" si="20"/>
        <v>-949.7</v>
      </c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13"/>
      <c r="AF52" s="13"/>
      <c r="AG52" s="13"/>
      <c r="AH52" s="13"/>
      <c r="AI52" s="13"/>
      <c r="AJ52" s="13"/>
      <c r="AK52" s="13"/>
      <c r="AL52" s="13"/>
      <c r="AM52" s="13"/>
      <c r="AN52" s="13"/>
    </row>
    <row r="53" spans="1:40" ht="20.25" hidden="1">
      <c r="A53" t="str">
        <f t="shared" si="19"/>
        <v>Véhicules neufs[...]</v>
      </c>
      <c r="B53" s="11" t="str">
        <f t="shared" si="0"/>
        <v>Véhicules neufs</v>
      </c>
      <c r="C53" s="29" t="s">
        <v>19</v>
      </c>
      <c r="D53" s="87" t="e">
        <f>VLOOKUP(C53,$B$2:$B$46,1,FALSE)</f>
        <v>#N/A</v>
      </c>
      <c r="E53" s="111"/>
      <c r="F53" s="30">
        <v>0</v>
      </c>
      <c r="G53" s="89"/>
      <c r="H53" s="111"/>
      <c r="I53" s="30"/>
      <c r="J53" s="23"/>
      <c r="K53" s="111"/>
      <c r="L53" s="33">
        <v>0</v>
      </c>
      <c r="M53" s="23"/>
      <c r="N53" s="91">
        <f t="shared" si="14"/>
        <v>0</v>
      </c>
      <c r="O53" s="23"/>
      <c r="P53" s="111"/>
      <c r="Q53" s="33">
        <v>0</v>
      </c>
      <c r="R53" s="23"/>
      <c r="S53" s="92">
        <f t="shared" si="20"/>
        <v>0</v>
      </c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  <c r="AE53" s="13"/>
      <c r="AF53" s="13"/>
      <c r="AG53" s="13"/>
      <c r="AH53" s="13"/>
      <c r="AI53" s="13"/>
      <c r="AJ53" s="13"/>
      <c r="AK53" s="13"/>
      <c r="AL53" s="13"/>
      <c r="AM53" s="13"/>
      <c r="AN53" s="13"/>
    </row>
    <row r="54" spans="1:40" ht="20.25">
      <c r="A54" t="str">
        <f t="shared" si="19"/>
        <v>Véhicules neufsTOTAL PERSONNEL</v>
      </c>
      <c r="B54" s="11" t="str">
        <f t="shared" si="0"/>
        <v>Véhicules neufs</v>
      </c>
      <c r="C54" s="93" t="s">
        <v>48</v>
      </c>
      <c r="D54" s="94" t="s">
        <v>38</v>
      </c>
      <c r="E54" s="95">
        <f>F54/F$27</f>
        <v>0.34775090621588578</v>
      </c>
      <c r="F54" s="96">
        <f>+SUM(F42:F53)</f>
        <v>41855.718272661004</v>
      </c>
      <c r="G54" s="97"/>
      <c r="H54" s="95"/>
      <c r="I54" s="96"/>
      <c r="J54" s="97" t="s">
        <v>38</v>
      </c>
      <c r="K54" s="95">
        <f>L54/L$27</f>
        <v>0.41273560536207482</v>
      </c>
      <c r="L54" s="96">
        <f>+SUM(L42:L53)</f>
        <v>39824.969999999994</v>
      </c>
      <c r="M54" s="100"/>
      <c r="N54" s="96">
        <f>+SUM(N42:N53)</f>
        <v>-2030.7482726610062</v>
      </c>
      <c r="O54" s="97" t="s">
        <v>38</v>
      </c>
      <c r="P54" s="95">
        <f>Q54/Q$27</f>
        <v>0.31618985479660633</v>
      </c>
      <c r="Q54" s="96">
        <f>+SUM(Q42:Q53)</f>
        <v>32924.35</v>
      </c>
      <c r="R54" s="100"/>
      <c r="S54" s="101">
        <f>+SUM(S42:S53)</f>
        <v>6900.6200000000026</v>
      </c>
      <c r="T54" s="82"/>
      <c r="U54" s="13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11"/>
      <c r="AJ54" s="11"/>
      <c r="AK54" s="11"/>
      <c r="AL54" s="11"/>
      <c r="AM54" s="11"/>
      <c r="AN54" s="11"/>
    </row>
    <row r="55" spans="1:40" ht="20.25">
      <c r="A55" t="str">
        <f t="shared" si="19"/>
        <v>Véhicules neufsPublicité 2</v>
      </c>
      <c r="B55" s="11" t="str">
        <f t="shared" si="0"/>
        <v>Véhicules neufs</v>
      </c>
      <c r="C55" s="29" t="s">
        <v>49</v>
      </c>
      <c r="D55" s="81"/>
      <c r="E55" s="13"/>
      <c r="F55" s="30">
        <v>0</v>
      </c>
      <c r="G55" s="83"/>
      <c r="H55" s="13"/>
      <c r="I55" s="30"/>
      <c r="J55" s="41"/>
      <c r="K55" s="13"/>
      <c r="L55" s="33">
        <v>0</v>
      </c>
      <c r="M55" s="41"/>
      <c r="N55" s="59">
        <f t="shared" ref="N55:N71" si="21">L55-F55</f>
        <v>0</v>
      </c>
      <c r="O55" s="41"/>
      <c r="P55" s="13"/>
      <c r="Q55" s="33">
        <v>0</v>
      </c>
      <c r="R55" s="41"/>
      <c r="S55" s="85">
        <f t="shared" ref="S55:S66" si="22">L55-Q55</f>
        <v>0</v>
      </c>
      <c r="T55" s="82"/>
      <c r="U55" s="13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11"/>
      <c r="AJ55" s="11"/>
      <c r="AK55" s="11"/>
      <c r="AL55" s="11"/>
      <c r="AM55" s="11"/>
      <c r="AN55" s="11"/>
    </row>
    <row r="56" spans="1:40" ht="20.25">
      <c r="A56" t="str">
        <f t="shared" si="19"/>
        <v>Véhicules neufsService gratuit 2</v>
      </c>
      <c r="B56" s="11" t="str">
        <f t="shared" si="0"/>
        <v>Véhicules neufs</v>
      </c>
      <c r="C56" s="29" t="s">
        <v>50</v>
      </c>
      <c r="D56" s="81"/>
      <c r="E56" s="13"/>
      <c r="F56" s="30">
        <v>0</v>
      </c>
      <c r="G56" s="83"/>
      <c r="H56" s="13"/>
      <c r="I56" s="30"/>
      <c r="J56" s="41"/>
      <c r="K56" s="13"/>
      <c r="L56" s="33">
        <v>0</v>
      </c>
      <c r="M56" s="41"/>
      <c r="N56" s="59">
        <f t="shared" si="21"/>
        <v>0</v>
      </c>
      <c r="O56" s="41"/>
      <c r="P56" s="13"/>
      <c r="Q56" s="33">
        <v>0</v>
      </c>
      <c r="R56" s="41"/>
      <c r="S56" s="85">
        <f t="shared" si="22"/>
        <v>0</v>
      </c>
      <c r="T56" s="82"/>
      <c r="U56" s="13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11"/>
      <c r="AJ56" s="11"/>
      <c r="AK56" s="11"/>
      <c r="AL56" s="11"/>
      <c r="AM56" s="11"/>
      <c r="AN56" s="11"/>
    </row>
    <row r="57" spans="1:40" ht="20.25">
      <c r="A57" t="str">
        <f t="shared" si="19"/>
        <v>Véhicules neufsFrais véhicules de cie</v>
      </c>
      <c r="B57" s="11" t="str">
        <f t="shared" si="0"/>
        <v>Véhicules neufs</v>
      </c>
      <c r="C57" s="86" t="s">
        <v>51</v>
      </c>
      <c r="D57" s="87"/>
      <c r="E57" s="111"/>
      <c r="F57" s="22">
        <v>5080.0833333333339</v>
      </c>
      <c r="G57" s="89"/>
      <c r="H57" s="111"/>
      <c r="I57" s="22"/>
      <c r="J57" s="23"/>
      <c r="K57" s="111"/>
      <c r="L57" s="22">
        <v>6626.51</v>
      </c>
      <c r="M57" s="23"/>
      <c r="N57" s="91">
        <f t="shared" si="21"/>
        <v>1546.4266666666663</v>
      </c>
      <c r="O57" s="23"/>
      <c r="P57" s="111"/>
      <c r="Q57" s="22">
        <v>4507.1099999999997</v>
      </c>
      <c r="R57" s="23"/>
      <c r="S57" s="92">
        <f t="shared" si="22"/>
        <v>2119.4000000000005</v>
      </c>
      <c r="T57" s="112"/>
      <c r="U57" s="13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11"/>
      <c r="AJ57" s="11"/>
      <c r="AK57" s="11"/>
      <c r="AL57" s="11"/>
      <c r="AM57" s="11"/>
      <c r="AN57" s="11"/>
    </row>
    <row r="58" spans="1:40" ht="20.25">
      <c r="A58" t="str">
        <f t="shared" si="19"/>
        <v>Véhicules neufsInformatique</v>
      </c>
      <c r="B58" s="11" t="str">
        <f t="shared" si="0"/>
        <v>Véhicules neufs</v>
      </c>
      <c r="C58" s="29" t="s">
        <v>52</v>
      </c>
      <c r="D58" s="81"/>
      <c r="E58" s="13"/>
      <c r="F58" s="30">
        <v>4993.05</v>
      </c>
      <c r="G58" s="83"/>
      <c r="H58" s="13"/>
      <c r="I58" s="30"/>
      <c r="J58" s="41"/>
      <c r="K58" s="13"/>
      <c r="L58" s="33">
        <v>4489.6000000000004</v>
      </c>
      <c r="M58" s="41"/>
      <c r="N58" s="59">
        <f t="shared" si="21"/>
        <v>-503.44999999999982</v>
      </c>
      <c r="O58" s="41"/>
      <c r="P58" s="13"/>
      <c r="Q58" s="33">
        <v>4923.88</v>
      </c>
      <c r="R58" s="41"/>
      <c r="S58" s="85">
        <f t="shared" si="22"/>
        <v>-434.27999999999975</v>
      </c>
      <c r="T58" s="82"/>
      <c r="U58" s="13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11"/>
      <c r="AJ58" s="11"/>
      <c r="AK58" s="11"/>
      <c r="AL58" s="11"/>
      <c r="AM58" s="11"/>
      <c r="AN58" s="11"/>
    </row>
    <row r="59" spans="1:40" ht="20.25">
      <c r="A59" t="str">
        <f t="shared" si="19"/>
        <v>Véhicules neufsFrais de déplacement</v>
      </c>
      <c r="B59" s="11" t="str">
        <f t="shared" si="0"/>
        <v>Véhicules neufs</v>
      </c>
      <c r="C59" s="29" t="s">
        <v>53</v>
      </c>
      <c r="D59" s="81"/>
      <c r="E59" s="13"/>
      <c r="F59" s="30">
        <v>822.6</v>
      </c>
      <c r="G59" s="83"/>
      <c r="H59" s="13"/>
      <c r="I59" s="30"/>
      <c r="J59" s="41"/>
      <c r="K59" s="13"/>
      <c r="L59" s="33">
        <v>3268.68</v>
      </c>
      <c r="M59" s="41"/>
      <c r="N59" s="59">
        <f t="shared" si="21"/>
        <v>2446.08</v>
      </c>
      <c r="O59" s="41"/>
      <c r="P59" s="13"/>
      <c r="Q59" s="33">
        <v>681.65</v>
      </c>
      <c r="R59" s="41"/>
      <c r="S59" s="85">
        <f t="shared" si="22"/>
        <v>2587.0299999999997</v>
      </c>
      <c r="T59" s="13"/>
      <c r="U59" s="13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11"/>
      <c r="AJ59" s="11"/>
      <c r="AK59" s="11"/>
      <c r="AL59" s="11"/>
      <c r="AM59" s="11"/>
      <c r="AN59" s="11"/>
    </row>
    <row r="60" spans="1:40" ht="20.25">
      <c r="A60" t="str">
        <f t="shared" si="19"/>
        <v>Véhicules neufsServices extérieurs</v>
      </c>
      <c r="B60" s="11" t="str">
        <f t="shared" si="0"/>
        <v>Véhicules neufs</v>
      </c>
      <c r="C60" s="86" t="s">
        <v>54</v>
      </c>
      <c r="D60" s="87"/>
      <c r="E60" s="111"/>
      <c r="F60" s="22">
        <v>2754.4500000000003</v>
      </c>
      <c r="G60" s="89"/>
      <c r="H60" s="111"/>
      <c r="I60" s="22"/>
      <c r="J60" s="23"/>
      <c r="K60" s="111"/>
      <c r="L60" s="22">
        <v>3200.5</v>
      </c>
      <c r="M60" s="23"/>
      <c r="N60" s="91">
        <f t="shared" si="21"/>
        <v>446.04999999999973</v>
      </c>
      <c r="O60" s="23"/>
      <c r="P60" s="111"/>
      <c r="Q60" s="22">
        <v>2466.58</v>
      </c>
      <c r="R60" s="23"/>
      <c r="S60" s="92">
        <f t="shared" si="22"/>
        <v>733.92000000000007</v>
      </c>
      <c r="T60" s="13"/>
      <c r="U60" s="13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/>
      <c r="AG60" s="11"/>
      <c r="AH60" s="11"/>
      <c r="AI60" s="11"/>
      <c r="AJ60" s="11"/>
      <c r="AK60" s="11"/>
      <c r="AL60" s="11"/>
      <c r="AM60" s="11"/>
      <c r="AN60" s="11"/>
    </row>
    <row r="61" spans="1:40" ht="20.25">
      <c r="A61" t="str">
        <f t="shared" si="19"/>
        <v>Véhicules neufsFournitures autres</v>
      </c>
      <c r="B61" s="11" t="str">
        <f t="shared" si="0"/>
        <v>Véhicules neufs</v>
      </c>
      <c r="C61" s="29" t="s">
        <v>55</v>
      </c>
      <c r="D61" s="81"/>
      <c r="E61" s="13"/>
      <c r="F61" s="30">
        <v>56.25</v>
      </c>
      <c r="G61" s="83"/>
      <c r="H61" s="13"/>
      <c r="I61" s="30"/>
      <c r="J61" s="41"/>
      <c r="K61" s="13"/>
      <c r="L61" s="33">
        <v>10.99</v>
      </c>
      <c r="M61" s="41"/>
      <c r="N61" s="59">
        <f t="shared" si="21"/>
        <v>-45.26</v>
      </c>
      <c r="O61" s="41"/>
      <c r="P61" s="13"/>
      <c r="Q61" s="33">
        <v>0</v>
      </c>
      <c r="R61" s="41"/>
      <c r="S61" s="85">
        <f t="shared" si="22"/>
        <v>10.99</v>
      </c>
      <c r="T61" s="13"/>
      <c r="U61" s="13"/>
      <c r="V61" s="13"/>
      <c r="W61" s="13"/>
      <c r="X61" s="13"/>
      <c r="Y61" s="13"/>
      <c r="Z61" s="13"/>
      <c r="AA61" s="13"/>
      <c r="AB61" s="13"/>
      <c r="AC61" s="13"/>
      <c r="AD61" s="13"/>
      <c r="AE61" s="13"/>
      <c r="AF61" s="13"/>
      <c r="AG61" s="13"/>
      <c r="AH61" s="13"/>
      <c r="AI61" s="13"/>
      <c r="AJ61" s="13"/>
      <c r="AK61" s="13"/>
      <c r="AL61" s="13"/>
      <c r="AM61" s="13"/>
      <c r="AN61" s="13"/>
    </row>
    <row r="62" spans="1:40" ht="20.25">
      <c r="A62" t="str">
        <f t="shared" si="19"/>
        <v>Véhicules neufsUniformes</v>
      </c>
      <c r="B62" s="11" t="str">
        <f t="shared" si="0"/>
        <v>Véhicules neufs</v>
      </c>
      <c r="C62" s="29" t="s">
        <v>56</v>
      </c>
      <c r="D62" s="81"/>
      <c r="E62" s="13"/>
      <c r="F62" s="30">
        <v>15</v>
      </c>
      <c r="G62" s="83"/>
      <c r="H62" s="13"/>
      <c r="I62" s="30"/>
      <c r="J62" s="41"/>
      <c r="K62" s="13"/>
      <c r="L62" s="33">
        <v>229.08</v>
      </c>
      <c r="M62" s="41"/>
      <c r="N62" s="59">
        <f t="shared" si="21"/>
        <v>214.08</v>
      </c>
      <c r="O62" s="41"/>
      <c r="P62" s="13"/>
      <c r="Q62" s="33">
        <v>0</v>
      </c>
      <c r="R62" s="41"/>
      <c r="S62" s="85">
        <f t="shared" si="22"/>
        <v>229.08</v>
      </c>
      <c r="T62" s="13"/>
      <c r="U62" s="13"/>
      <c r="V62" s="13"/>
      <c r="W62" s="13"/>
      <c r="X62" s="13"/>
      <c r="Y62" s="13"/>
      <c r="Z62" s="13"/>
      <c r="AA62" s="13"/>
      <c r="AB62" s="13"/>
      <c r="AC62" s="13"/>
      <c r="AD62" s="13"/>
      <c r="AE62" s="13"/>
      <c r="AF62" s="13"/>
      <c r="AG62" s="13"/>
      <c r="AH62" s="13"/>
      <c r="AI62" s="13"/>
      <c r="AJ62" s="13"/>
      <c r="AK62" s="13"/>
      <c r="AL62" s="13"/>
      <c r="AM62" s="13"/>
      <c r="AN62" s="13"/>
    </row>
    <row r="63" spans="1:40" ht="20.25">
      <c r="A63" t="str">
        <f t="shared" si="19"/>
        <v>Véhicules neufsPapeterie</v>
      </c>
      <c r="B63" s="11" t="str">
        <f t="shared" si="0"/>
        <v>Véhicules neufs</v>
      </c>
      <c r="C63" s="29" t="s">
        <v>57</v>
      </c>
      <c r="D63" s="81"/>
      <c r="E63" s="13"/>
      <c r="F63" s="30">
        <v>787.5</v>
      </c>
      <c r="G63" s="83"/>
      <c r="H63" s="13"/>
      <c r="I63" s="30"/>
      <c r="J63" s="41"/>
      <c r="K63" s="13"/>
      <c r="L63" s="32">
        <v>751.32</v>
      </c>
      <c r="M63" s="41"/>
      <c r="N63" s="59">
        <f t="shared" si="21"/>
        <v>-36.17999999999995</v>
      </c>
      <c r="O63" s="41"/>
      <c r="P63" s="13"/>
      <c r="Q63" s="32">
        <v>590.87</v>
      </c>
      <c r="R63" s="41"/>
      <c r="S63" s="85">
        <f t="shared" si="22"/>
        <v>160.45000000000005</v>
      </c>
      <c r="T63" s="13"/>
      <c r="U63" s="13"/>
      <c r="V63" s="13"/>
      <c r="W63" s="13"/>
      <c r="X63" s="13"/>
      <c r="Y63" s="13"/>
      <c r="Z63" s="13"/>
      <c r="AA63" s="13"/>
      <c r="AB63" s="13"/>
      <c r="AC63" s="13"/>
      <c r="AD63" s="13"/>
      <c r="AE63" s="13"/>
      <c r="AF63" s="13"/>
      <c r="AG63" s="13"/>
      <c r="AH63" s="13"/>
      <c r="AI63" s="13"/>
      <c r="AJ63" s="13"/>
      <c r="AK63" s="13"/>
      <c r="AL63" s="13"/>
      <c r="AM63" s="13"/>
      <c r="AN63" s="13"/>
    </row>
    <row r="64" spans="1:40" ht="20.25">
      <c r="A64" t="str">
        <f t="shared" si="19"/>
        <v>Véhicules neufsTéléphone</v>
      </c>
      <c r="B64" s="11" t="str">
        <f t="shared" si="0"/>
        <v>Véhicules neufs</v>
      </c>
      <c r="C64" s="29" t="s">
        <v>58</v>
      </c>
      <c r="D64" s="81"/>
      <c r="E64" s="13"/>
      <c r="F64" s="30">
        <v>210.4</v>
      </c>
      <c r="G64" s="83"/>
      <c r="H64" s="13"/>
      <c r="I64" s="30"/>
      <c r="J64" s="41"/>
      <c r="K64" s="13"/>
      <c r="L64" s="33">
        <v>203.57</v>
      </c>
      <c r="M64" s="41"/>
      <c r="N64" s="59">
        <f t="shared" si="21"/>
        <v>-6.8300000000000125</v>
      </c>
      <c r="O64" s="41"/>
      <c r="P64" s="13"/>
      <c r="Q64" s="33">
        <v>138.35</v>
      </c>
      <c r="R64" s="41"/>
      <c r="S64" s="85">
        <f t="shared" si="22"/>
        <v>65.22</v>
      </c>
      <c r="T64" s="13"/>
      <c r="U64" s="13"/>
      <c r="V64" s="13"/>
      <c r="W64" s="13"/>
      <c r="X64" s="13"/>
      <c r="Y64" s="13"/>
      <c r="Z64" s="13"/>
      <c r="AA64" s="13"/>
      <c r="AB64" s="13"/>
      <c r="AC64" s="13"/>
      <c r="AD64" s="13"/>
      <c r="AE64" s="13"/>
      <c r="AF64" s="13"/>
      <c r="AG64" s="13"/>
      <c r="AH64" s="13"/>
      <c r="AI64" s="13"/>
      <c r="AJ64" s="13"/>
      <c r="AK64" s="13"/>
      <c r="AL64" s="13"/>
      <c r="AM64" s="13"/>
      <c r="AN64" s="13"/>
    </row>
    <row r="65" spans="1:40" ht="20.25">
      <c r="A65" t="str">
        <f t="shared" si="19"/>
        <v>Véhicules neufsFrais postaux</v>
      </c>
      <c r="B65" s="11" t="str">
        <f t="shared" si="0"/>
        <v>Véhicules neufs</v>
      </c>
      <c r="C65" s="29" t="s">
        <v>59</v>
      </c>
      <c r="D65" s="81"/>
      <c r="E65" s="13"/>
      <c r="F65" s="30">
        <v>225</v>
      </c>
      <c r="G65" s="83"/>
      <c r="H65" s="13"/>
      <c r="I65" s="30"/>
      <c r="J65" s="41"/>
      <c r="K65" s="13"/>
      <c r="L65" s="33">
        <v>239.74</v>
      </c>
      <c r="M65" s="41"/>
      <c r="N65" s="59">
        <f t="shared" si="21"/>
        <v>14.740000000000009</v>
      </c>
      <c r="O65" s="41"/>
      <c r="P65" s="13"/>
      <c r="Q65" s="33">
        <v>266.48</v>
      </c>
      <c r="R65" s="41"/>
      <c r="S65" s="85">
        <f t="shared" si="22"/>
        <v>-26.740000000000009</v>
      </c>
      <c r="T65" s="13"/>
      <c r="U65" s="13"/>
      <c r="V65" s="13"/>
      <c r="W65" s="13"/>
      <c r="X65" s="13"/>
      <c r="Y65" s="13"/>
      <c r="Z65" s="13"/>
      <c r="AA65" s="13"/>
      <c r="AB65" s="13"/>
      <c r="AC65" s="13"/>
      <c r="AD65" s="13"/>
      <c r="AE65" s="13"/>
      <c r="AF65" s="13"/>
      <c r="AG65" s="13"/>
      <c r="AH65" s="13"/>
      <c r="AI65" s="13"/>
      <c r="AJ65" s="13"/>
      <c r="AK65" s="13"/>
      <c r="AL65" s="13"/>
      <c r="AM65" s="13"/>
      <c r="AN65" s="13"/>
    </row>
    <row r="66" spans="1:40" ht="20.25">
      <c r="A66" t="str">
        <f t="shared" si="19"/>
        <v>Véhicules neufsDivers</v>
      </c>
      <c r="B66" s="11" t="str">
        <f t="shared" si="0"/>
        <v>Véhicules neufs</v>
      </c>
      <c r="C66" s="29" t="s">
        <v>60</v>
      </c>
      <c r="D66" s="81"/>
      <c r="E66" s="13"/>
      <c r="F66" s="30">
        <v>836.1</v>
      </c>
      <c r="G66" s="83"/>
      <c r="H66" s="13"/>
      <c r="I66" s="30"/>
      <c r="J66" s="41"/>
      <c r="K66" s="13"/>
      <c r="L66" s="33">
        <v>650.70000000000005</v>
      </c>
      <c r="M66" s="41"/>
      <c r="N66" s="59">
        <f t="shared" si="21"/>
        <v>-185.39999999999998</v>
      </c>
      <c r="O66" s="41"/>
      <c r="P66" s="13"/>
      <c r="Q66" s="33">
        <v>668.16</v>
      </c>
      <c r="R66" s="41"/>
      <c r="S66" s="85">
        <f t="shared" si="22"/>
        <v>-17.459999999999923</v>
      </c>
      <c r="T66" s="13"/>
      <c r="U66" s="13"/>
      <c r="V66" s="13"/>
      <c r="W66" s="13"/>
      <c r="X66" s="13"/>
      <c r="Y66" s="13"/>
      <c r="Z66" s="13"/>
      <c r="AA66" s="13"/>
      <c r="AB66" s="13"/>
      <c r="AC66" s="13"/>
      <c r="AD66" s="13"/>
      <c r="AE66" s="13"/>
      <c r="AF66" s="13"/>
      <c r="AG66" s="13"/>
      <c r="AH66" s="13"/>
      <c r="AI66" s="13"/>
      <c r="AJ66" s="13"/>
      <c r="AK66" s="13"/>
      <c r="AL66" s="13"/>
      <c r="AM66" s="13"/>
      <c r="AN66" s="13"/>
    </row>
    <row r="67" spans="1:40" ht="20.25">
      <c r="A67" t="str">
        <f>+B67&amp;C67</f>
        <v>Véhicules neufsFormation</v>
      </c>
      <c r="B67" s="11" t="str">
        <f t="shared" si="0"/>
        <v>Véhicules neufs</v>
      </c>
      <c r="C67" s="29" t="s">
        <v>61</v>
      </c>
      <c r="D67" s="81"/>
      <c r="E67" s="13"/>
      <c r="F67" s="30">
        <v>482.16381333333317</v>
      </c>
      <c r="G67" s="83"/>
      <c r="H67" s="13"/>
      <c r="I67" s="30"/>
      <c r="J67" s="41"/>
      <c r="K67" s="13"/>
      <c r="L67" s="59">
        <v>1085.0899999999999</v>
      </c>
      <c r="M67" s="41"/>
      <c r="N67" s="59">
        <f t="shared" si="21"/>
        <v>602.92618666666681</v>
      </c>
      <c r="O67" s="41"/>
      <c r="P67" s="13"/>
      <c r="Q67" s="33">
        <v>1010.64</v>
      </c>
      <c r="R67" s="41"/>
      <c r="S67" s="85">
        <f>L67-Q67</f>
        <v>74.449999999999932</v>
      </c>
      <c r="T67" s="13"/>
      <c r="U67" s="13"/>
      <c r="V67" s="13"/>
      <c r="W67" s="13"/>
      <c r="X67" s="13"/>
      <c r="Y67" s="13"/>
      <c r="Z67" s="13"/>
      <c r="AA67" s="13"/>
      <c r="AB67" s="13"/>
      <c r="AC67" s="13"/>
      <c r="AD67" s="13"/>
      <c r="AE67" s="13"/>
      <c r="AF67" s="13"/>
      <c r="AG67" s="13"/>
      <c r="AH67" s="13"/>
      <c r="AI67" s="13"/>
      <c r="AJ67" s="13"/>
      <c r="AK67" s="13"/>
      <c r="AL67" s="13"/>
      <c r="AM67" s="13"/>
      <c r="AN67" s="13"/>
    </row>
    <row r="68" spans="1:40" ht="20.25">
      <c r="A68" t="str">
        <f>+B68&amp;C68</f>
        <v>Véhicules neufsFrais bancaires</v>
      </c>
      <c r="B68" s="11" t="str">
        <f t="shared" si="0"/>
        <v>Véhicules neufs</v>
      </c>
      <c r="C68" s="29" t="s">
        <v>62</v>
      </c>
      <c r="D68" s="81"/>
      <c r="E68" s="13"/>
      <c r="F68" s="30">
        <v>2461.544689296195</v>
      </c>
      <c r="G68" s="83"/>
      <c r="H68" s="13"/>
      <c r="I68" s="30"/>
      <c r="J68" s="41"/>
      <c r="K68" s="13"/>
      <c r="L68" s="32">
        <v>2993.76</v>
      </c>
      <c r="M68" s="41"/>
      <c r="N68" s="59">
        <f t="shared" si="21"/>
        <v>532.21531070380524</v>
      </c>
      <c r="O68" s="41"/>
      <c r="P68" s="13"/>
      <c r="Q68" s="33">
        <v>2428.92</v>
      </c>
      <c r="R68" s="41"/>
      <c r="S68" s="85">
        <f>L68-Q68</f>
        <v>564.84000000000015</v>
      </c>
      <c r="T68" s="13"/>
      <c r="U68" s="13"/>
      <c r="V68" s="13"/>
      <c r="W68" s="13"/>
      <c r="X68" s="13"/>
      <c r="Y68" s="13"/>
      <c r="Z68" s="13"/>
      <c r="AA68" s="13"/>
      <c r="AB68" s="13"/>
      <c r="AC68" s="13"/>
      <c r="AD68" s="13"/>
      <c r="AE68" s="13"/>
      <c r="AF68" s="13"/>
      <c r="AG68" s="13"/>
      <c r="AH68" s="13"/>
      <c r="AI68" s="13"/>
      <c r="AJ68" s="13"/>
      <c r="AK68" s="13"/>
      <c r="AL68" s="13"/>
      <c r="AM68" s="13"/>
      <c r="AN68" s="13"/>
    </row>
    <row r="69" spans="1:40" ht="20.25" hidden="1">
      <c r="A69" t="str">
        <f>+B69&amp;C69</f>
        <v>Véhicules neufs[...]</v>
      </c>
      <c r="B69" s="11" t="str">
        <f t="shared" si="0"/>
        <v>Véhicules neufs</v>
      </c>
      <c r="C69" s="29" t="s">
        <v>19</v>
      </c>
      <c r="D69" s="81"/>
      <c r="E69" s="13"/>
      <c r="F69" s="30">
        <v>0</v>
      </c>
      <c r="G69" s="83"/>
      <c r="H69" s="13"/>
      <c r="I69" s="30"/>
      <c r="J69" s="41"/>
      <c r="K69" s="13"/>
      <c r="L69" s="33"/>
      <c r="M69" s="41"/>
      <c r="N69" s="59">
        <f t="shared" si="21"/>
        <v>0</v>
      </c>
      <c r="O69" s="41"/>
      <c r="P69" s="13"/>
      <c r="Q69" s="33">
        <v>0</v>
      </c>
      <c r="R69" s="41"/>
      <c r="S69" s="85">
        <f>L69-Q69</f>
        <v>0</v>
      </c>
      <c r="T69" s="13"/>
      <c r="U69" s="13"/>
      <c r="V69" s="13"/>
      <c r="W69" s="13"/>
      <c r="X69" s="13"/>
      <c r="Y69" s="13"/>
      <c r="Z69" s="13"/>
      <c r="AA69" s="13"/>
      <c r="AB69" s="13"/>
      <c r="AC69" s="13"/>
      <c r="AD69" s="13"/>
      <c r="AE69" s="13"/>
      <c r="AF69" s="13"/>
      <c r="AG69" s="13"/>
      <c r="AH69" s="13"/>
      <c r="AI69" s="13"/>
      <c r="AJ69" s="13"/>
      <c r="AK69" s="13"/>
      <c r="AL69" s="13"/>
      <c r="AM69" s="13"/>
      <c r="AN69" s="13"/>
    </row>
    <row r="70" spans="1:40" ht="20.25" hidden="1">
      <c r="A70" t="str">
        <f t="shared" ref="A70:A78" si="23">+B70&amp;C70</f>
        <v>Véhicules neufs[...]</v>
      </c>
      <c r="B70" s="11" t="str">
        <f t="shared" si="0"/>
        <v>Véhicules neufs</v>
      </c>
      <c r="C70" s="29" t="s">
        <v>19</v>
      </c>
      <c r="D70" s="81"/>
      <c r="E70" s="13"/>
      <c r="F70" s="30">
        <v>0</v>
      </c>
      <c r="G70" s="83"/>
      <c r="H70" s="13"/>
      <c r="I70" s="30"/>
      <c r="J70" s="41"/>
      <c r="K70" s="13"/>
      <c r="L70" s="33">
        <v>0</v>
      </c>
      <c r="M70" s="41"/>
      <c r="N70" s="59">
        <f t="shared" si="21"/>
        <v>0</v>
      </c>
      <c r="O70" s="41"/>
      <c r="P70" s="13"/>
      <c r="Q70" s="33">
        <v>0</v>
      </c>
      <c r="R70" s="41"/>
      <c r="S70" s="85">
        <f t="shared" ref="S70:S71" si="24">L70-Q70</f>
        <v>0</v>
      </c>
      <c r="T70" s="13"/>
      <c r="U70" s="13"/>
      <c r="V70" s="13"/>
      <c r="W70" s="13"/>
      <c r="X70" s="13"/>
      <c r="Y70" s="13"/>
      <c r="Z70" s="13"/>
      <c r="AA70" s="13"/>
      <c r="AB70" s="13"/>
      <c r="AC70" s="13"/>
      <c r="AD70" s="13"/>
      <c r="AE70" s="13"/>
      <c r="AF70" s="13"/>
      <c r="AG70" s="13"/>
      <c r="AH70" s="13"/>
      <c r="AI70" s="13"/>
      <c r="AJ70" s="13"/>
      <c r="AK70" s="13"/>
      <c r="AL70" s="13"/>
      <c r="AM70" s="13"/>
      <c r="AN70" s="13"/>
    </row>
    <row r="71" spans="1:40" ht="20.25" hidden="1">
      <c r="A71" t="str">
        <f t="shared" si="23"/>
        <v>Véhicules neufs[...]</v>
      </c>
      <c r="B71" s="11" t="str">
        <f t="shared" si="0"/>
        <v>Véhicules neufs</v>
      </c>
      <c r="C71" s="29" t="s">
        <v>19</v>
      </c>
      <c r="D71" s="81"/>
      <c r="E71" s="13"/>
      <c r="F71" s="30">
        <v>0</v>
      </c>
      <c r="G71" s="83"/>
      <c r="H71" s="13"/>
      <c r="I71" s="30"/>
      <c r="J71" s="41"/>
      <c r="K71" s="13"/>
      <c r="L71" s="33">
        <v>0</v>
      </c>
      <c r="M71" s="41"/>
      <c r="N71" s="59">
        <f t="shared" si="21"/>
        <v>0</v>
      </c>
      <c r="O71" s="41"/>
      <c r="P71" s="13"/>
      <c r="Q71" s="33">
        <v>0</v>
      </c>
      <c r="R71" s="41"/>
      <c r="S71" s="85">
        <f t="shared" si="24"/>
        <v>0</v>
      </c>
      <c r="T71" s="13"/>
      <c r="U71" s="13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11"/>
      <c r="AH71" s="11"/>
      <c r="AI71" s="11"/>
      <c r="AJ71" s="11"/>
      <c r="AK71" s="11"/>
      <c r="AL71" s="11"/>
      <c r="AM71" s="11"/>
      <c r="AN71" s="11"/>
    </row>
    <row r="72" spans="1:40" ht="20.25">
      <c r="A72" t="str">
        <f t="shared" si="23"/>
        <v>Véhicules neufsTOTAL SEMI-FIXES</v>
      </c>
      <c r="B72" s="11" t="str">
        <f t="shared" si="0"/>
        <v>Véhicules neufs</v>
      </c>
      <c r="C72" s="93" t="s">
        <v>63</v>
      </c>
      <c r="D72" s="94" t="s">
        <v>38</v>
      </c>
      <c r="E72" s="95">
        <f>F72/F$27</f>
        <v>0.15556625379485817</v>
      </c>
      <c r="F72" s="96">
        <f>+SUM(F55:F71)</f>
        <v>18724.141835962862</v>
      </c>
      <c r="G72" s="97"/>
      <c r="H72" s="95"/>
      <c r="I72" s="96"/>
      <c r="J72" s="97" t="s">
        <v>38</v>
      </c>
      <c r="K72" s="95">
        <f>L72/L$27</f>
        <v>0.24613404025089825</v>
      </c>
      <c r="L72" s="96">
        <f>+SUM(L55:L71)</f>
        <v>23749.540000000008</v>
      </c>
      <c r="M72" s="100"/>
      <c r="N72" s="96">
        <f>+SUM(N55:N71)</f>
        <v>5025.3981640371385</v>
      </c>
      <c r="O72" s="97" t="s">
        <v>38</v>
      </c>
      <c r="P72" s="95">
        <f>Q72/Q$27</f>
        <v>0.1698156948890612</v>
      </c>
      <c r="Q72" s="96">
        <f>+SUM(Q55:Q71)</f>
        <v>17682.64</v>
      </c>
      <c r="R72" s="100"/>
      <c r="S72" s="101">
        <f>+SUM(S55:S71)</f>
        <v>6066.9000000000005</v>
      </c>
      <c r="T72" s="13"/>
      <c r="U72" s="13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1"/>
      <c r="AI72" s="11"/>
      <c r="AJ72" s="11"/>
      <c r="AK72" s="11"/>
      <c r="AL72" s="11"/>
      <c r="AM72" s="11"/>
      <c r="AN72" s="11"/>
    </row>
    <row r="73" spans="1:40" ht="20.25">
      <c r="A73" t="str">
        <f t="shared" si="23"/>
        <v>Véhicules neufs</v>
      </c>
      <c r="B73" s="11" t="str">
        <f t="shared" si="0"/>
        <v>Véhicules neufs</v>
      </c>
      <c r="C73" s="86"/>
      <c r="D73" s="87"/>
      <c r="E73" s="111"/>
      <c r="F73" s="59"/>
      <c r="G73" s="89"/>
      <c r="H73" s="111"/>
      <c r="I73" s="59"/>
      <c r="J73" s="23"/>
      <c r="K73" s="111"/>
      <c r="L73" s="91"/>
      <c r="M73" s="23"/>
      <c r="N73" s="91"/>
      <c r="O73" s="23"/>
      <c r="P73" s="111"/>
      <c r="Q73" s="91"/>
      <c r="R73" s="23"/>
      <c r="S73" s="92"/>
      <c r="T73" s="13"/>
      <c r="U73" s="13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  <c r="AG73" s="11"/>
      <c r="AH73" s="11"/>
      <c r="AI73" s="11"/>
      <c r="AJ73" s="11"/>
      <c r="AK73" s="11"/>
      <c r="AL73" s="11"/>
      <c r="AM73" s="11"/>
      <c r="AN73" s="11"/>
    </row>
    <row r="74" spans="1:40" ht="20.25">
      <c r="A74" t="str">
        <f t="shared" si="23"/>
        <v>Véhicules neufsTOTAL DES DÉPENSES</v>
      </c>
      <c r="B74" s="11" t="str">
        <f t="shared" si="0"/>
        <v>Véhicules neufs</v>
      </c>
      <c r="C74" s="93" t="s">
        <v>64</v>
      </c>
      <c r="D74" s="94" t="s">
        <v>38</v>
      </c>
      <c r="E74" s="95">
        <f>F74/F$27</f>
        <v>1.1081821069864597</v>
      </c>
      <c r="F74" s="96">
        <f>F41+F54+F72</f>
        <v>133382.13426835422</v>
      </c>
      <c r="G74" s="97"/>
      <c r="H74" s="95"/>
      <c r="I74" s="96"/>
      <c r="J74" s="97" t="s">
        <v>38</v>
      </c>
      <c r="K74" s="95">
        <f>L74/L$27</f>
        <v>1.4439601008474761</v>
      </c>
      <c r="L74" s="96">
        <f>L41+L54+L72</f>
        <v>139328.1</v>
      </c>
      <c r="M74" s="100"/>
      <c r="N74" s="113">
        <f t="shared" ref="N74:N82" si="25">L74-F74</f>
        <v>5945.9657316457888</v>
      </c>
      <c r="O74" s="97" t="s">
        <v>38</v>
      </c>
      <c r="P74" s="95">
        <f>Q74/Q$27</f>
        <v>0.92853440011862376</v>
      </c>
      <c r="Q74" s="96">
        <f>Q41+Q54+Q72</f>
        <v>96686.819999999992</v>
      </c>
      <c r="R74" s="100"/>
      <c r="S74" s="114">
        <f>L74-Q74</f>
        <v>42641.280000000013</v>
      </c>
      <c r="T74" s="13"/>
      <c r="U74" s="13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1"/>
      <c r="AG74" s="11"/>
      <c r="AH74" s="11"/>
      <c r="AI74" s="11"/>
      <c r="AJ74" s="11"/>
      <c r="AK74" s="11"/>
      <c r="AL74" s="11"/>
      <c r="AM74" s="11"/>
      <c r="AN74" s="11"/>
    </row>
    <row r="75" spans="1:40" ht="20.25">
      <c r="A75" t="str">
        <f t="shared" si="23"/>
        <v>Véhicules neufsRBSC neuf</v>
      </c>
      <c r="B75" s="11" t="str">
        <f t="shared" si="0"/>
        <v>Véhicules neufs</v>
      </c>
      <c r="C75" s="29" t="s">
        <v>216</v>
      </c>
      <c r="D75" s="81"/>
      <c r="E75" s="13"/>
      <c r="F75" s="30">
        <v>26208.794769230779</v>
      </c>
      <c r="G75" s="83"/>
      <c r="H75" s="13"/>
      <c r="I75" s="30"/>
      <c r="J75" s="41"/>
      <c r="K75" s="13"/>
      <c r="L75" s="32">
        <v>12290.01</v>
      </c>
      <c r="M75" s="41"/>
      <c r="N75" s="59">
        <f t="shared" si="25"/>
        <v>-13918.784769230779</v>
      </c>
      <c r="O75" s="41"/>
      <c r="P75" s="13"/>
      <c r="Q75" s="32">
        <v>24477.93</v>
      </c>
      <c r="R75" s="41"/>
      <c r="S75" s="85">
        <f>L75-Q75</f>
        <v>-12187.92</v>
      </c>
      <c r="T75" s="13"/>
      <c r="U75" s="13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11"/>
      <c r="AH75" s="11"/>
      <c r="AI75" s="11"/>
      <c r="AJ75" s="11"/>
      <c r="AK75" s="11"/>
      <c r="AL75" s="11"/>
      <c r="AM75" s="11"/>
      <c r="AN75" s="11"/>
    </row>
    <row r="76" spans="1:40" ht="20.25" hidden="1">
      <c r="A76" t="str">
        <f t="shared" si="23"/>
        <v>Véhicules neufsProgramme neuf 2</v>
      </c>
      <c r="B76" s="11" t="str">
        <f t="shared" si="0"/>
        <v>Véhicules neufs</v>
      </c>
      <c r="C76" s="29" t="s">
        <v>188</v>
      </c>
      <c r="D76" s="81"/>
      <c r="E76" s="13"/>
      <c r="F76" s="30">
        <v>0</v>
      </c>
      <c r="G76" s="83"/>
      <c r="H76" s="13"/>
      <c r="I76" s="30"/>
      <c r="J76" s="41"/>
      <c r="K76" s="13"/>
      <c r="L76" s="32">
        <v>0</v>
      </c>
      <c r="M76" s="41"/>
      <c r="N76" s="59">
        <f t="shared" si="25"/>
        <v>0</v>
      </c>
      <c r="O76" s="41"/>
      <c r="P76" s="13"/>
      <c r="Q76" s="32">
        <v>0</v>
      </c>
      <c r="R76" s="41"/>
      <c r="S76" s="85">
        <f>L76-Q76</f>
        <v>0</v>
      </c>
      <c r="T76" s="13"/>
      <c r="U76" s="13"/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11"/>
      <c r="AG76" s="11"/>
      <c r="AH76" s="11"/>
      <c r="AI76" s="11"/>
      <c r="AJ76" s="11"/>
      <c r="AK76" s="11"/>
      <c r="AL76" s="11"/>
      <c r="AM76" s="11"/>
      <c r="AN76" s="11"/>
    </row>
    <row r="77" spans="1:40" ht="20.25" hidden="1">
      <c r="A77" t="str">
        <f t="shared" si="23"/>
        <v>Véhicules neufsProgramme neuf 3</v>
      </c>
      <c r="B77" s="11" t="str">
        <f t="shared" si="0"/>
        <v>Véhicules neufs</v>
      </c>
      <c r="C77" s="29" t="s">
        <v>65</v>
      </c>
      <c r="D77" s="81"/>
      <c r="E77" s="13"/>
      <c r="F77" s="30">
        <v>0</v>
      </c>
      <c r="G77" s="83"/>
      <c r="H77" s="13"/>
      <c r="I77" s="30"/>
      <c r="J77" s="41"/>
      <c r="K77" s="13"/>
      <c r="L77" s="32">
        <v>0</v>
      </c>
      <c r="M77" s="41"/>
      <c r="N77" s="59">
        <f t="shared" si="25"/>
        <v>0</v>
      </c>
      <c r="O77" s="41"/>
      <c r="P77" s="13"/>
      <c r="Q77" s="32">
        <v>0</v>
      </c>
      <c r="R77" s="41"/>
      <c r="S77" s="85">
        <f t="shared" ref="S77:S78" si="26">L77-Q77</f>
        <v>0</v>
      </c>
      <c r="T77" s="13"/>
      <c r="U77" s="13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11"/>
      <c r="AH77" s="11"/>
      <c r="AI77" s="11"/>
      <c r="AJ77" s="11"/>
      <c r="AK77" s="11"/>
      <c r="AL77" s="11"/>
      <c r="AM77" s="11"/>
      <c r="AN77" s="11"/>
    </row>
    <row r="78" spans="1:40" ht="20.25">
      <c r="A78" t="str">
        <f t="shared" si="23"/>
        <v>Véhicules neufsHoldbacks</v>
      </c>
      <c r="B78" s="11" t="str">
        <f t="shared" si="0"/>
        <v>Véhicules neufs</v>
      </c>
      <c r="C78" s="29" t="s">
        <v>66</v>
      </c>
      <c r="D78" s="81"/>
      <c r="E78" s="13"/>
      <c r="F78" s="30">
        <v>29952.908307692316</v>
      </c>
      <c r="G78" s="83"/>
      <c r="H78" s="13"/>
      <c r="I78" s="30"/>
      <c r="J78" s="41"/>
      <c r="K78" s="13"/>
      <c r="L78" s="33">
        <v>22240.799999999999</v>
      </c>
      <c r="M78" s="41"/>
      <c r="N78" s="59">
        <f t="shared" si="25"/>
        <v>-7712.1083076923169</v>
      </c>
      <c r="O78" s="41"/>
      <c r="P78" s="13"/>
      <c r="Q78" s="32">
        <v>25316</v>
      </c>
      <c r="R78" s="41"/>
      <c r="S78" s="85">
        <f t="shared" si="26"/>
        <v>-3075.2000000000007</v>
      </c>
      <c r="T78" s="13"/>
      <c r="U78" s="13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/>
      <c r="AI78" s="11"/>
      <c r="AJ78" s="11"/>
      <c r="AK78" s="11"/>
      <c r="AL78" s="11"/>
      <c r="AM78" s="11"/>
      <c r="AN78" s="11"/>
    </row>
    <row r="79" spans="1:40" ht="20.25" hidden="1">
      <c r="A79" t="str">
        <f>+B79&amp;C79</f>
        <v>Véhicules neufs[...]</v>
      </c>
      <c r="B79" s="11" t="str">
        <f t="shared" si="0"/>
        <v>Véhicules neufs</v>
      </c>
      <c r="C79" s="29" t="s">
        <v>19</v>
      </c>
      <c r="D79" s="81"/>
      <c r="E79" s="13"/>
      <c r="F79" s="30">
        <v>0</v>
      </c>
      <c r="G79" s="83"/>
      <c r="H79" s="13"/>
      <c r="I79" s="30"/>
      <c r="J79" s="41"/>
      <c r="K79" s="13"/>
      <c r="L79" s="33">
        <v>0</v>
      </c>
      <c r="M79" s="41"/>
      <c r="N79" s="59">
        <f t="shared" si="25"/>
        <v>0</v>
      </c>
      <c r="O79" s="41"/>
      <c r="P79" s="13"/>
      <c r="Q79" s="32">
        <v>0</v>
      </c>
      <c r="R79" s="41"/>
      <c r="S79" s="85">
        <f>L79-Q79</f>
        <v>0</v>
      </c>
      <c r="T79" s="13"/>
      <c r="U79" s="13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11"/>
      <c r="AJ79" s="11"/>
      <c r="AK79" s="11"/>
      <c r="AL79" s="11"/>
      <c r="AM79" s="11"/>
      <c r="AN79" s="11"/>
    </row>
    <row r="80" spans="1:40" ht="20.25" hidden="1">
      <c r="A80" t="str">
        <f>+B80&amp;C80</f>
        <v>Véhicules neufs[...]</v>
      </c>
      <c r="B80" s="11" t="str">
        <f t="shared" si="0"/>
        <v>Véhicules neufs</v>
      </c>
      <c r="C80" s="29" t="s">
        <v>19</v>
      </c>
      <c r="D80" s="81"/>
      <c r="E80" s="13"/>
      <c r="F80" s="30">
        <v>0</v>
      </c>
      <c r="G80" s="83"/>
      <c r="H80" s="13"/>
      <c r="I80" s="30"/>
      <c r="J80" s="41"/>
      <c r="K80" s="13"/>
      <c r="L80" s="33">
        <v>0</v>
      </c>
      <c r="M80" s="41"/>
      <c r="N80" s="59">
        <f t="shared" si="25"/>
        <v>0</v>
      </c>
      <c r="O80" s="41"/>
      <c r="P80" s="13"/>
      <c r="Q80" s="32">
        <v>0</v>
      </c>
      <c r="R80" s="41"/>
      <c r="S80" s="85">
        <f>L80-Q80</f>
        <v>0</v>
      </c>
      <c r="T80" s="13"/>
      <c r="U80" s="13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/>
      <c r="AH80" s="11"/>
      <c r="AI80" s="11"/>
      <c r="AJ80" s="11"/>
      <c r="AK80" s="11"/>
      <c r="AL80" s="11"/>
      <c r="AM80" s="11"/>
      <c r="AN80" s="11"/>
    </row>
    <row r="81" spans="1:40" ht="20.25" hidden="1">
      <c r="A81" t="str">
        <f>+B81&amp;C81</f>
        <v>Véhicules neufs[...]</v>
      </c>
      <c r="B81" s="11" t="str">
        <f t="shared" si="0"/>
        <v>Véhicules neufs</v>
      </c>
      <c r="C81" s="29" t="s">
        <v>19</v>
      </c>
      <c r="D81" s="81"/>
      <c r="E81" s="13"/>
      <c r="F81" s="30">
        <v>0</v>
      </c>
      <c r="G81" s="83"/>
      <c r="H81" s="13"/>
      <c r="I81" s="30"/>
      <c r="J81" s="41"/>
      <c r="K81" s="13"/>
      <c r="L81" s="33">
        <v>0</v>
      </c>
      <c r="M81" s="41"/>
      <c r="N81" s="59">
        <f t="shared" si="25"/>
        <v>0</v>
      </c>
      <c r="O81" s="41"/>
      <c r="P81" s="13"/>
      <c r="Q81" s="32">
        <v>0</v>
      </c>
      <c r="R81" s="41"/>
      <c r="S81" s="85">
        <f>L81-Q81</f>
        <v>0</v>
      </c>
      <c r="T81" s="13"/>
      <c r="U81" s="13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  <c r="AI81" s="11"/>
      <c r="AJ81" s="11"/>
      <c r="AK81" s="11"/>
      <c r="AL81" s="11"/>
      <c r="AM81" s="11"/>
      <c r="AN81" s="11"/>
    </row>
    <row r="82" spans="1:40" ht="20.25">
      <c r="A82" t="str">
        <f t="shared" ref="A82:A85" si="27">+B82&amp;C82</f>
        <v>Véhicules neufsFrais administration</v>
      </c>
      <c r="B82" s="11" t="str">
        <f t="shared" si="0"/>
        <v>Véhicules neufs</v>
      </c>
      <c r="C82" s="29" t="s">
        <v>67</v>
      </c>
      <c r="D82" s="81"/>
      <c r="E82" s="13"/>
      <c r="F82" s="30">
        <v>10602.9</v>
      </c>
      <c r="G82" s="83"/>
      <c r="H82" s="13"/>
      <c r="I82" s="30"/>
      <c r="J82" s="41"/>
      <c r="K82" s="13"/>
      <c r="L82" s="32">
        <v>8330</v>
      </c>
      <c r="M82" s="41"/>
      <c r="N82" s="59">
        <f t="shared" si="25"/>
        <v>-2272.8999999999996</v>
      </c>
      <c r="O82" s="41"/>
      <c r="P82" s="13"/>
      <c r="Q82" s="32">
        <v>7735</v>
      </c>
      <c r="R82" s="41"/>
      <c r="S82" s="85">
        <f t="shared" ref="S82" si="28">L82-Q82</f>
        <v>595</v>
      </c>
      <c r="T82" s="13"/>
      <c r="U82" s="13"/>
      <c r="V82" s="11">
        <f>L82/595</f>
        <v>14</v>
      </c>
      <c r="W82" s="489">
        <f>V82/J27</f>
        <v>1</v>
      </c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/>
      <c r="AI82" s="11"/>
      <c r="AJ82" s="11"/>
      <c r="AK82" s="11"/>
      <c r="AL82" s="11"/>
      <c r="AM82" s="11"/>
      <c r="AN82" s="11"/>
    </row>
    <row r="83" spans="1:40" ht="20.25">
      <c r="A83" t="str">
        <f t="shared" si="27"/>
        <v>Véhicules neufsAUTRES REVENUS</v>
      </c>
      <c r="B83" s="11" t="str">
        <f t="shared" si="0"/>
        <v>Véhicules neufs</v>
      </c>
      <c r="C83" s="93" t="s">
        <v>68</v>
      </c>
      <c r="D83" s="94"/>
      <c r="E83" s="95"/>
      <c r="F83" s="96">
        <f>+SUM(F75:F82)</f>
        <v>66764.603076923086</v>
      </c>
      <c r="G83" s="97"/>
      <c r="H83" s="95"/>
      <c r="I83" s="96"/>
      <c r="J83" s="97"/>
      <c r="K83" s="95"/>
      <c r="L83" s="96">
        <f>+SUM(L75:L82)</f>
        <v>42860.81</v>
      </c>
      <c r="M83" s="100"/>
      <c r="N83" s="96">
        <f>+SUM(N75:N82)</f>
        <v>-23903.793076923095</v>
      </c>
      <c r="O83" s="97"/>
      <c r="P83" s="95"/>
      <c r="Q83" s="96">
        <f>+SUM(Q75:Q82)</f>
        <v>57528.93</v>
      </c>
      <c r="R83" s="100"/>
      <c r="S83" s="101">
        <f>+SUM(S75:S82)</f>
        <v>-14668.12</v>
      </c>
      <c r="T83" s="13"/>
      <c r="U83" s="13"/>
      <c r="V83" s="11">
        <v>20</v>
      </c>
      <c r="W83" s="11" t="s">
        <v>242</v>
      </c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  <c r="AI83" s="11"/>
      <c r="AJ83" s="11"/>
      <c r="AK83" s="11"/>
      <c r="AL83" s="11"/>
      <c r="AM83" s="11"/>
      <c r="AN83" s="11"/>
    </row>
    <row r="84" spans="1:40" ht="20.25">
      <c r="A84" t="str">
        <f t="shared" si="27"/>
        <v>Véhicules neufs</v>
      </c>
      <c r="B84" s="11" t="str">
        <f t="shared" si="0"/>
        <v>Véhicules neufs</v>
      </c>
      <c r="C84" s="115"/>
      <c r="D84" s="116"/>
      <c r="E84" s="117"/>
      <c r="F84" s="118"/>
      <c r="G84" s="119"/>
      <c r="H84" s="117"/>
      <c r="I84" s="118"/>
      <c r="J84" s="120"/>
      <c r="K84" s="121"/>
      <c r="L84" s="118"/>
      <c r="M84" s="120"/>
      <c r="N84" s="122"/>
      <c r="O84" s="120"/>
      <c r="P84" s="121"/>
      <c r="Q84" s="118"/>
      <c r="R84" s="120"/>
      <c r="S84" s="123"/>
      <c r="T84" s="13"/>
      <c r="U84" s="13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/>
      <c r="AI84" s="11"/>
      <c r="AJ84" s="11"/>
      <c r="AK84" s="11"/>
      <c r="AL84" s="11"/>
      <c r="AM84" s="11"/>
      <c r="AN84" s="11"/>
    </row>
    <row r="85" spans="1:40" ht="21" thickBot="1">
      <c r="A85" t="str">
        <f t="shared" si="27"/>
        <v>Véhicules neufsPROFIT DÉPARTEMENTAL</v>
      </c>
      <c r="B85" s="11" t="str">
        <f t="shared" si="0"/>
        <v>Véhicules neufs</v>
      </c>
      <c r="C85" s="124" t="s">
        <v>69</v>
      </c>
      <c r="D85" s="125"/>
      <c r="E85" s="126"/>
      <c r="F85" s="127">
        <f>F27-F74+F83</f>
        <v>53743.674270609365</v>
      </c>
      <c r="G85" s="128"/>
      <c r="H85" s="126"/>
      <c r="I85" s="127"/>
      <c r="J85" s="128"/>
      <c r="K85" s="125"/>
      <c r="L85" s="127">
        <f>L27-L74+L83</f>
        <v>22.979999999864958</v>
      </c>
      <c r="M85" s="128"/>
      <c r="N85" s="127">
        <f>N27-N41-N54-N72+N83</f>
        <v>-53720.694270609507</v>
      </c>
      <c r="O85" s="128"/>
      <c r="P85" s="125"/>
      <c r="Q85" s="127">
        <f>Q27-Q74+Q83</f>
        <v>64970.52999999989</v>
      </c>
      <c r="R85" s="128"/>
      <c r="S85" s="129">
        <f>S27-S41-S54-S72+S83</f>
        <v>-64947.550000000025</v>
      </c>
      <c r="T85" s="13"/>
      <c r="U85" s="13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11"/>
      <c r="AH85" s="11"/>
      <c r="AI85" s="11"/>
      <c r="AJ85" s="11"/>
      <c r="AK85" s="11"/>
      <c r="AL85" s="11"/>
      <c r="AM85" s="11"/>
      <c r="AN85" s="11"/>
    </row>
    <row r="86" spans="1:40" ht="24" thickTop="1">
      <c r="B86" s="130"/>
      <c r="C86" s="131"/>
      <c r="D86" s="131"/>
      <c r="E86" s="131"/>
      <c r="F86" s="131"/>
      <c r="G86" s="131"/>
      <c r="H86" s="131"/>
      <c r="I86" s="131"/>
      <c r="J86" s="131"/>
      <c r="K86" s="131"/>
      <c r="L86" s="132"/>
      <c r="M86" s="131"/>
      <c r="N86" s="131"/>
      <c r="O86" s="131"/>
      <c r="P86" s="131"/>
      <c r="Q86" s="131"/>
      <c r="R86" s="131"/>
      <c r="S86" s="131"/>
      <c r="T86" s="131"/>
      <c r="U86" s="131"/>
      <c r="V86" s="130"/>
      <c r="W86" s="130"/>
      <c r="X86" s="130"/>
      <c r="Y86" s="130"/>
      <c r="Z86" s="130"/>
      <c r="AA86" s="130"/>
      <c r="AB86" s="130"/>
      <c r="AC86" s="130"/>
      <c r="AD86" s="130"/>
      <c r="AE86" s="130"/>
      <c r="AF86" s="130"/>
      <c r="AG86" s="130"/>
      <c r="AH86" s="130"/>
      <c r="AI86" s="130"/>
      <c r="AJ86" s="130"/>
      <c r="AK86" s="130"/>
      <c r="AL86" s="130"/>
      <c r="AM86" s="130"/>
      <c r="AN86" s="130"/>
    </row>
    <row r="87" spans="1:40" ht="23.25">
      <c r="B87" s="130"/>
      <c r="C87" s="131"/>
      <c r="D87" s="131"/>
      <c r="E87" s="131"/>
      <c r="F87" s="131"/>
      <c r="G87" s="131"/>
      <c r="H87" s="131"/>
      <c r="I87" s="131"/>
      <c r="J87" s="131"/>
      <c r="K87" s="131"/>
      <c r="L87" s="131"/>
      <c r="M87" s="131"/>
      <c r="N87" s="131"/>
      <c r="O87" s="131"/>
      <c r="P87" s="131"/>
      <c r="Q87" s="131"/>
      <c r="R87" s="131"/>
      <c r="S87" s="131"/>
      <c r="T87" s="131"/>
      <c r="U87" s="131"/>
      <c r="V87" s="130"/>
      <c r="W87" s="130"/>
      <c r="X87" s="130"/>
      <c r="Y87" s="130"/>
      <c r="Z87" s="130"/>
      <c r="AA87" s="130"/>
      <c r="AB87" s="130"/>
      <c r="AC87" s="130"/>
      <c r="AD87" s="130"/>
      <c r="AE87" s="130"/>
      <c r="AF87" s="130"/>
      <c r="AG87" s="130"/>
      <c r="AH87" s="130"/>
      <c r="AI87" s="130"/>
      <c r="AJ87" s="130"/>
      <c r="AK87" s="130"/>
      <c r="AL87" s="130"/>
      <c r="AM87" s="130"/>
      <c r="AN87" s="130"/>
    </row>
    <row r="88" spans="1:40" ht="15.75">
      <c r="B88" s="7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</row>
    <row r="89" spans="1:40" ht="35.25">
      <c r="B89" s="1"/>
      <c r="C89" s="6" t="str">
        <f>C1</f>
        <v>BMW Sherbrooke</v>
      </c>
      <c r="D89" s="2"/>
      <c r="E89" s="2"/>
      <c r="F89" s="2"/>
      <c r="G89" s="2"/>
      <c r="H89" s="1"/>
      <c r="I89" s="1"/>
      <c r="J89" s="1"/>
      <c r="K89" s="3" t="s">
        <v>70</v>
      </c>
      <c r="L89" s="2"/>
      <c r="M89" s="2"/>
      <c r="N89" s="1"/>
      <c r="O89" s="1"/>
      <c r="P89" s="2"/>
      <c r="Q89" s="1"/>
      <c r="R89" s="2"/>
      <c r="S89" s="5" t="str">
        <f>$S$1</f>
        <v>Réalisé, Juillet 2024</v>
      </c>
      <c r="T89" s="6"/>
      <c r="U89" s="6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</row>
    <row r="90" spans="1:40" ht="16.5" thickBot="1">
      <c r="B90" s="7"/>
      <c r="C90" s="8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</row>
    <row r="91" spans="1:40" ht="21" thickTop="1">
      <c r="B91" s="11"/>
      <c r="C91" s="12"/>
      <c r="D91" s="496" t="s">
        <v>5</v>
      </c>
      <c r="E91" s="497"/>
      <c r="F91" s="498"/>
      <c r="G91" s="499"/>
      <c r="H91" s="497"/>
      <c r="I91" s="498"/>
      <c r="J91" s="499" t="s">
        <v>7</v>
      </c>
      <c r="K91" s="497"/>
      <c r="L91" s="498"/>
      <c r="M91" s="499" t="s">
        <v>213</v>
      </c>
      <c r="N91" s="498"/>
      <c r="O91" s="496" t="s">
        <v>8</v>
      </c>
      <c r="P91" s="497"/>
      <c r="Q91" s="498"/>
      <c r="R91" s="494" t="s">
        <v>214</v>
      </c>
      <c r="S91" s="495"/>
      <c r="T91" s="13"/>
      <c r="U91" s="13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11"/>
      <c r="AJ91" s="11"/>
      <c r="AK91" s="11"/>
      <c r="AL91" s="11"/>
      <c r="AM91" s="11"/>
      <c r="AN91" s="11"/>
    </row>
    <row r="92" spans="1:40" ht="20.25">
      <c r="B92" s="11"/>
      <c r="C92" s="29"/>
      <c r="D92" s="133" t="s">
        <v>10</v>
      </c>
      <c r="E92" s="80" t="s">
        <v>11</v>
      </c>
      <c r="F92" s="134" t="s">
        <v>12</v>
      </c>
      <c r="G92" s="135"/>
      <c r="H92" s="80"/>
      <c r="I92" s="134"/>
      <c r="J92" s="135" t="s">
        <v>10</v>
      </c>
      <c r="K92" s="80" t="s">
        <v>13</v>
      </c>
      <c r="L92" s="134" t="s">
        <v>12</v>
      </c>
      <c r="M92" s="135" t="s">
        <v>215</v>
      </c>
      <c r="N92" s="134" t="s">
        <v>217</v>
      </c>
      <c r="O92" s="80" t="s">
        <v>10</v>
      </c>
      <c r="P92" s="80" t="s">
        <v>11</v>
      </c>
      <c r="Q92" s="134" t="s">
        <v>12</v>
      </c>
      <c r="R92" s="135" t="s">
        <v>10</v>
      </c>
      <c r="S92" s="136" t="s">
        <v>12</v>
      </c>
      <c r="T92" s="13"/>
      <c r="U92" s="13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11"/>
      <c r="AJ92" s="11"/>
      <c r="AK92" s="11"/>
      <c r="AL92" s="11"/>
      <c r="AM92" s="11"/>
      <c r="AN92" s="11"/>
    </row>
    <row r="93" spans="1:40" ht="20.25">
      <c r="A93" t="str">
        <f t="shared" ref="A93:A117" si="29">+B93&amp;C93</f>
        <v>Véhicules usagésVentes nettes</v>
      </c>
      <c r="B93" s="11" t="s">
        <v>70</v>
      </c>
      <c r="C93" s="86" t="s">
        <v>14</v>
      </c>
      <c r="D93" s="25"/>
      <c r="E93" s="25"/>
      <c r="F93" s="22">
        <v>1593896.551724138</v>
      </c>
      <c r="G93" s="46"/>
      <c r="H93" s="25"/>
      <c r="I93" s="22"/>
      <c r="J93" s="23"/>
      <c r="K93" s="25"/>
      <c r="L93" s="22">
        <v>1396670.81</v>
      </c>
      <c r="M93" s="137"/>
      <c r="N93" s="138"/>
      <c r="O93" s="23"/>
      <c r="P93" s="25"/>
      <c r="Q93" s="22">
        <v>1084525.48</v>
      </c>
      <c r="R93" s="137"/>
      <c r="S93" s="139"/>
      <c r="T93" s="13"/>
      <c r="U93" s="13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11"/>
      <c r="AH93" s="11"/>
      <c r="AI93" s="11"/>
      <c r="AJ93" s="11"/>
      <c r="AK93" s="11"/>
      <c r="AL93" s="11"/>
      <c r="AM93" s="11"/>
      <c r="AN93" s="11"/>
    </row>
    <row r="94" spans="1:40" ht="20.25">
      <c r="A94" t="str">
        <f t="shared" si="29"/>
        <v>Véhicules usagésCertifié</v>
      </c>
      <c r="B94" s="11" t="s">
        <v>70</v>
      </c>
      <c r="C94" s="29" t="s">
        <v>72</v>
      </c>
      <c r="D94" s="30">
        <v>7</v>
      </c>
      <c r="E94" s="30">
        <f>IF(D94=0,0,F94/D94)</f>
        <v>3000</v>
      </c>
      <c r="F94" s="30">
        <v>21000</v>
      </c>
      <c r="G94" s="31"/>
      <c r="H94" s="30"/>
      <c r="I94" s="30"/>
      <c r="J94" s="31">
        <v>4</v>
      </c>
      <c r="K94" s="30">
        <f>IF(J94=0,0,L94/J94)</f>
        <v>1431.6625000000058</v>
      </c>
      <c r="L94" s="33">
        <v>5726.6500000000233</v>
      </c>
      <c r="M94" s="31">
        <f>J94-D94</f>
        <v>-3</v>
      </c>
      <c r="N94" s="33">
        <f>L94-F94</f>
        <v>-15273.349999999977</v>
      </c>
      <c r="O94" s="31">
        <v>8</v>
      </c>
      <c r="P94" s="30">
        <f t="shared" ref="P94:P96" si="30">IF(O94=0,0,Q94/O94)</f>
        <v>3135.9624999999874</v>
      </c>
      <c r="Q94" s="33">
        <v>25087.699999999899</v>
      </c>
      <c r="R94" s="31">
        <f>J94-O94</f>
        <v>-4</v>
      </c>
      <c r="S94" s="34">
        <f>L94-Q94</f>
        <v>-19361.049999999876</v>
      </c>
      <c r="T94" s="13"/>
      <c r="U94" s="13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11"/>
      <c r="AJ94" s="11"/>
      <c r="AK94" s="11"/>
      <c r="AL94" s="11"/>
      <c r="AM94" s="11"/>
      <c r="AN94" s="11"/>
    </row>
    <row r="95" spans="1:40" ht="25.5">
      <c r="A95" t="str">
        <f t="shared" si="29"/>
        <v>Véhicules usagésNon Certifié</v>
      </c>
      <c r="B95" s="11" t="s">
        <v>70</v>
      </c>
      <c r="C95" s="29" t="s">
        <v>73</v>
      </c>
      <c r="D95" s="30">
        <v>5</v>
      </c>
      <c r="E95" s="30">
        <f t="shared" ref="E95:E100" si="31">IF(D95=0,0,F95/D95)</f>
        <v>2200</v>
      </c>
      <c r="F95" s="30">
        <v>11000</v>
      </c>
      <c r="G95" s="31"/>
      <c r="H95" s="30"/>
      <c r="I95" s="30"/>
      <c r="J95" s="31">
        <v>5</v>
      </c>
      <c r="K95" s="30">
        <f>IF(J95=0,0,L95/J95)</f>
        <v>3000.8599999999947</v>
      </c>
      <c r="L95" s="32">
        <v>15004.299999999974</v>
      </c>
      <c r="M95" s="31">
        <f>J95-D95</f>
        <v>0</v>
      </c>
      <c r="N95" s="33">
        <f>L95-F95</f>
        <v>4004.2999999999738</v>
      </c>
      <c r="O95" s="31">
        <v>10</v>
      </c>
      <c r="P95" s="30">
        <f t="shared" si="30"/>
        <v>1906.8099999999899</v>
      </c>
      <c r="Q95" s="32">
        <v>19068.0999999999</v>
      </c>
      <c r="R95" s="31">
        <f>J95-O95</f>
        <v>-5</v>
      </c>
      <c r="S95" s="34">
        <f>L95-Q95</f>
        <v>-4063.7999999999265</v>
      </c>
      <c r="T95" s="13"/>
      <c r="U95" s="13"/>
      <c r="V95" s="140"/>
      <c r="W95" s="13"/>
      <c r="X95" s="13"/>
      <c r="Y95" s="13"/>
      <c r="Z95" s="13"/>
      <c r="AA95" s="13"/>
      <c r="AB95" s="13"/>
      <c r="AC95" s="13"/>
      <c r="AD95" s="13"/>
      <c r="AE95" s="13"/>
      <c r="AF95" s="13"/>
      <c r="AG95" s="13"/>
      <c r="AH95" s="13"/>
      <c r="AI95" s="13"/>
      <c r="AJ95" s="13"/>
      <c r="AK95" s="13"/>
      <c r="AL95" s="13"/>
      <c r="AM95" s="13"/>
      <c r="AN95" s="13"/>
    </row>
    <row r="96" spans="1:40" ht="25.5">
      <c r="A96" t="str">
        <f t="shared" si="29"/>
        <v>Véhicules usagésAutres marques</v>
      </c>
      <c r="B96" s="11" t="s">
        <v>70</v>
      </c>
      <c r="C96" s="29" t="s">
        <v>207</v>
      </c>
      <c r="D96" s="30">
        <v>8</v>
      </c>
      <c r="E96" s="25">
        <f t="shared" si="31"/>
        <v>1850</v>
      </c>
      <c r="F96" s="30">
        <v>14800</v>
      </c>
      <c r="G96" s="31"/>
      <c r="H96" s="30"/>
      <c r="I96" s="30"/>
      <c r="J96" s="31">
        <v>9</v>
      </c>
      <c r="K96" s="30">
        <f>IF(J96=0,0,L96/J96)</f>
        <v>1597.0133333333297</v>
      </c>
      <c r="L96" s="32">
        <v>14373.119999999966</v>
      </c>
      <c r="M96" s="31">
        <f>J96-D96</f>
        <v>1</v>
      </c>
      <c r="N96" s="33">
        <f>L96-F96</f>
        <v>-426.88000000003376</v>
      </c>
      <c r="O96" s="31">
        <v>0</v>
      </c>
      <c r="P96" s="30">
        <f t="shared" si="30"/>
        <v>0</v>
      </c>
      <c r="Q96" s="32">
        <v>0</v>
      </c>
      <c r="R96" s="31">
        <f>J96-O96</f>
        <v>9</v>
      </c>
      <c r="S96" s="34">
        <f>L96-Q96</f>
        <v>14373.119999999966</v>
      </c>
      <c r="T96" s="13"/>
      <c r="U96" s="13"/>
      <c r="V96" s="140"/>
      <c r="W96" s="13"/>
      <c r="X96" s="13"/>
      <c r="Y96" s="13"/>
      <c r="Z96" s="13"/>
      <c r="AA96" s="13"/>
      <c r="AB96" s="13"/>
      <c r="AC96" s="13"/>
      <c r="AD96" s="13"/>
      <c r="AE96" s="13"/>
      <c r="AF96" s="13"/>
      <c r="AG96" s="13"/>
      <c r="AH96" s="13"/>
      <c r="AI96" s="13"/>
      <c r="AJ96" s="13"/>
      <c r="AK96" s="13"/>
      <c r="AL96" s="13"/>
      <c r="AM96" s="13"/>
      <c r="AN96" s="13"/>
    </row>
    <row r="97" spans="1:40" ht="20.25">
      <c r="A97" t="str">
        <f t="shared" si="29"/>
        <v>Véhicules usagésTotal Usagés</v>
      </c>
      <c r="B97" s="11" t="s">
        <v>70</v>
      </c>
      <c r="C97" s="35" t="s">
        <v>74</v>
      </c>
      <c r="D97" s="36">
        <f>+D95+D94+D96</f>
        <v>20</v>
      </c>
      <c r="E97" s="30">
        <f t="shared" si="31"/>
        <v>2340</v>
      </c>
      <c r="F97" s="37">
        <f>+F94+F95+F96</f>
        <v>46800</v>
      </c>
      <c r="G97" s="38"/>
      <c r="H97" s="36"/>
      <c r="I97" s="37"/>
      <c r="J97" s="38">
        <f>+J94+J95+J96</f>
        <v>18</v>
      </c>
      <c r="K97" s="36">
        <f>IF(J97&lt;=0,0,L97/J97)</f>
        <v>1950.226111111109</v>
      </c>
      <c r="L97" s="37">
        <f>+L94+L95+L96</f>
        <v>35104.069999999963</v>
      </c>
      <c r="M97" s="38">
        <f>J97-D97</f>
        <v>-2</v>
      </c>
      <c r="N97" s="37">
        <f>L97-F97</f>
        <v>-11695.930000000037</v>
      </c>
      <c r="O97" s="38">
        <f>+O95+O94+O96</f>
        <v>18</v>
      </c>
      <c r="P97" s="36">
        <f>IF(O97=0,0,Q97/O97)</f>
        <v>2453.099999999989</v>
      </c>
      <c r="Q97" s="37">
        <f>+Q94+Q95+Q96</f>
        <v>44155.799999999799</v>
      </c>
      <c r="R97" s="38">
        <f>R94+R95</f>
        <v>-9</v>
      </c>
      <c r="S97" s="39">
        <f>S94+S95</f>
        <v>-23424.849999999802</v>
      </c>
      <c r="T97" s="13"/>
      <c r="U97" s="13"/>
      <c r="V97" s="13"/>
      <c r="W97" s="462"/>
      <c r="X97" s="13"/>
      <c r="Y97" s="13"/>
      <c r="Z97" s="13"/>
      <c r="AA97" s="13"/>
      <c r="AB97" s="13"/>
      <c r="AC97" s="82"/>
      <c r="AD97" s="13"/>
      <c r="AE97" s="13"/>
      <c r="AF97" s="82"/>
      <c r="AG97" s="13"/>
      <c r="AH97" s="13"/>
      <c r="AI97" s="13"/>
      <c r="AJ97" s="13"/>
      <c r="AK97" s="13"/>
      <c r="AL97" s="13"/>
      <c r="AM97" s="13"/>
      <c r="AN97" s="13"/>
    </row>
    <row r="98" spans="1:40" ht="20.25">
      <c r="A98" t="str">
        <f t="shared" si="29"/>
        <v>Véhicules usagés</v>
      </c>
      <c r="B98" s="11" t="s">
        <v>70</v>
      </c>
      <c r="C98" s="29"/>
      <c r="D98" s="13"/>
      <c r="E98" s="30"/>
      <c r="F98" s="40"/>
      <c r="G98" s="41"/>
      <c r="H98" s="13"/>
      <c r="I98" s="40"/>
      <c r="J98" s="41"/>
      <c r="K98" s="13"/>
      <c r="L98" s="40"/>
      <c r="M98" s="42">
        <f>M97/D97</f>
        <v>-0.1</v>
      </c>
      <c r="N98" s="43">
        <f>N97/F97</f>
        <v>-0.24991303418803498</v>
      </c>
      <c r="O98" s="41"/>
      <c r="P98" s="13"/>
      <c r="Q98" s="40"/>
      <c r="R98" s="42">
        <f>R97/O97</f>
        <v>-0.5</v>
      </c>
      <c r="S98" s="44">
        <f>IF(Q97=0,0,(S97/Q97))</f>
        <v>-0.53050448638683723</v>
      </c>
      <c r="T98" s="13"/>
      <c r="U98" s="13"/>
      <c r="V98" s="13"/>
      <c r="W98" s="13"/>
      <c r="X98" s="13"/>
      <c r="Y98" s="13"/>
      <c r="Z98" s="13"/>
      <c r="AA98" s="13"/>
      <c r="AB98" s="13"/>
      <c r="AC98" s="11"/>
      <c r="AD98" s="13"/>
      <c r="AE98" s="13"/>
      <c r="AF98" s="13"/>
      <c r="AG98" s="13"/>
      <c r="AH98" s="13"/>
      <c r="AI98" s="13"/>
      <c r="AJ98" s="13"/>
      <c r="AK98" s="13"/>
      <c r="AL98" s="13"/>
      <c r="AM98" s="13"/>
      <c r="AN98" s="13"/>
    </row>
    <row r="99" spans="1:40" ht="20.25">
      <c r="A99" t="str">
        <f t="shared" si="29"/>
        <v>Véhicules usagés</v>
      </c>
      <c r="B99" s="11" t="s">
        <v>70</v>
      </c>
      <c r="C99" s="29"/>
      <c r="D99" s="30"/>
      <c r="E99" s="30"/>
      <c r="F99" s="30"/>
      <c r="G99" s="41"/>
      <c r="H99" s="30"/>
      <c r="I99" s="30"/>
      <c r="J99" s="31"/>
      <c r="K99" s="30"/>
      <c r="L99" s="33"/>
      <c r="M99" s="31"/>
      <c r="N99" s="33"/>
      <c r="O99" s="31"/>
      <c r="P99" s="30"/>
      <c r="Q99" s="33"/>
      <c r="R99" s="31"/>
      <c r="S99" s="34"/>
      <c r="T99" s="13"/>
      <c r="U99" s="13"/>
      <c r="V99" s="13"/>
      <c r="W99" s="13"/>
      <c r="X99" s="13"/>
      <c r="Y99" s="13"/>
      <c r="Z99" s="13"/>
      <c r="AA99" s="13"/>
      <c r="AB99" s="13"/>
      <c r="AC99" s="11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</row>
    <row r="100" spans="1:40" ht="20.25">
      <c r="A100" t="str">
        <f t="shared" si="29"/>
        <v>Véhicules usagésVentes au Gros</v>
      </c>
      <c r="B100" s="11" t="s">
        <v>70</v>
      </c>
      <c r="C100" s="29" t="s">
        <v>75</v>
      </c>
      <c r="D100" s="30">
        <v>22</v>
      </c>
      <c r="E100" s="30">
        <f t="shared" si="31"/>
        <v>375</v>
      </c>
      <c r="F100" s="30">
        <v>8250</v>
      </c>
      <c r="G100" s="31"/>
      <c r="H100" s="30"/>
      <c r="I100" s="30"/>
      <c r="J100" s="31">
        <v>20</v>
      </c>
      <c r="K100" s="30">
        <f>IF(J100=0,0,L100/J100)</f>
        <v>179.12650000000139</v>
      </c>
      <c r="L100" s="33">
        <v>3582.5300000000279</v>
      </c>
      <c r="M100" s="31">
        <f>J100-D100</f>
        <v>-2</v>
      </c>
      <c r="N100" s="33">
        <f>L100-F100</f>
        <v>-4667.4699999999721</v>
      </c>
      <c r="O100" s="31">
        <v>14</v>
      </c>
      <c r="P100" s="30">
        <f>IF(O100=0,0,Q100/O100)</f>
        <v>530.30785714285651</v>
      </c>
      <c r="Q100" s="33">
        <v>7424.3099999999904</v>
      </c>
      <c r="R100" s="31">
        <f>J100-O100</f>
        <v>6</v>
      </c>
      <c r="S100" s="34">
        <f>L100-Q100</f>
        <v>-3841.7799999999625</v>
      </c>
      <c r="T100" s="13"/>
      <c r="U100" s="13"/>
      <c r="V100" s="13"/>
      <c r="W100" s="462"/>
      <c r="X100" s="13"/>
      <c r="Y100" s="13"/>
      <c r="Z100" s="13"/>
      <c r="AA100" s="13"/>
      <c r="AB100" s="13"/>
      <c r="AC100" s="82"/>
      <c r="AD100" s="13"/>
      <c r="AE100" s="13"/>
      <c r="AF100" s="141"/>
      <c r="AG100" s="13"/>
      <c r="AH100" s="13"/>
      <c r="AI100" s="13"/>
      <c r="AJ100" s="13"/>
      <c r="AK100" s="13"/>
      <c r="AL100" s="13"/>
      <c r="AM100" s="13"/>
      <c r="AN100" s="13"/>
    </row>
    <row r="101" spans="1:40" ht="20.25">
      <c r="A101" t="str">
        <f t="shared" si="29"/>
        <v>Véhicules usagés</v>
      </c>
      <c r="B101" s="11" t="s">
        <v>70</v>
      </c>
      <c r="C101" s="86"/>
      <c r="D101" s="25"/>
      <c r="E101" s="25"/>
      <c r="F101" s="48"/>
      <c r="G101" s="51"/>
      <c r="H101" s="47"/>
      <c r="I101" s="48"/>
      <c r="J101" s="51"/>
      <c r="K101" s="47"/>
      <c r="L101" s="48"/>
      <c r="M101" s="49"/>
      <c r="N101" s="142"/>
      <c r="O101" s="51"/>
      <c r="P101" s="47"/>
      <c r="Q101" s="48"/>
      <c r="R101" s="49"/>
      <c r="S101" s="14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41"/>
      <c r="AG101" s="13"/>
      <c r="AH101" s="13"/>
      <c r="AI101" s="13"/>
      <c r="AJ101" s="13"/>
      <c r="AK101" s="13"/>
      <c r="AL101" s="13"/>
      <c r="AM101" s="13"/>
      <c r="AN101" s="13"/>
    </row>
    <row r="102" spans="1:40" ht="20.25">
      <c r="A102" t="str">
        <f t="shared" si="29"/>
        <v>Véhicules usagésRev. Finances</v>
      </c>
      <c r="B102" s="11" t="s">
        <v>70</v>
      </c>
      <c r="C102" s="29" t="s">
        <v>24</v>
      </c>
      <c r="D102" s="30">
        <v>0</v>
      </c>
      <c r="E102" s="30">
        <f t="shared" ref="E102:E105" si="32">IF(D102=0,0,F102/D102)</f>
        <v>0</v>
      </c>
      <c r="F102" s="33">
        <v>12000</v>
      </c>
      <c r="G102" s="31"/>
      <c r="H102" s="30"/>
      <c r="I102" s="30"/>
      <c r="J102" s="31"/>
      <c r="K102" s="30">
        <f>IF(J97=0,0,L102/J97)</f>
        <v>503.19722222222219</v>
      </c>
      <c r="L102" s="33">
        <v>9057.5499999999993</v>
      </c>
      <c r="M102" s="31"/>
      <c r="N102" s="33">
        <f>L102-F102</f>
        <v>-2942.4500000000007</v>
      </c>
      <c r="O102" s="31"/>
      <c r="P102" s="30"/>
      <c r="Q102" s="33">
        <v>6411.48</v>
      </c>
      <c r="R102" s="31">
        <f>O102-K102</f>
        <v>-503.19722222222219</v>
      </c>
      <c r="S102" s="34">
        <f>L102-Q102</f>
        <v>2646.0699999999997</v>
      </c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</row>
    <row r="103" spans="1:40" ht="20.25">
      <c r="A103" t="str">
        <f t="shared" si="29"/>
        <v>Véhicules usagésRev. Protections</v>
      </c>
      <c r="B103" s="11" t="s">
        <v>70</v>
      </c>
      <c r="C103" s="29" t="s">
        <v>25</v>
      </c>
      <c r="D103" s="30">
        <v>0</v>
      </c>
      <c r="E103" s="30">
        <f t="shared" si="32"/>
        <v>0</v>
      </c>
      <c r="F103" s="33">
        <v>17600</v>
      </c>
      <c r="G103" s="31"/>
      <c r="H103" s="30"/>
      <c r="I103" s="30"/>
      <c r="J103" s="31"/>
      <c r="K103" s="30">
        <f>IF(J97=0,0,L103/J97)</f>
        <v>806.55555555555554</v>
      </c>
      <c r="L103" s="33">
        <v>14518</v>
      </c>
      <c r="M103" s="31"/>
      <c r="N103" s="33">
        <f>L103-F103</f>
        <v>-3082</v>
      </c>
      <c r="O103" s="31"/>
      <c r="P103" s="30"/>
      <c r="Q103" s="33">
        <v>25447</v>
      </c>
      <c r="R103" s="31">
        <f>O103-K103</f>
        <v>-806.55555555555554</v>
      </c>
      <c r="S103" s="34">
        <f>L103-Q103</f>
        <v>-10929</v>
      </c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</row>
    <row r="104" spans="1:40" ht="20.25">
      <c r="A104" t="str">
        <f t="shared" si="29"/>
        <v>Véhicules usagésRev. Autres</v>
      </c>
      <c r="B104" s="11" t="s">
        <v>70</v>
      </c>
      <c r="C104" s="29" t="s">
        <v>26</v>
      </c>
      <c r="D104" s="30">
        <v>0</v>
      </c>
      <c r="E104" s="25">
        <f t="shared" si="32"/>
        <v>0</v>
      </c>
      <c r="F104" s="33">
        <v>3400</v>
      </c>
      <c r="G104" s="31"/>
      <c r="H104" s="47"/>
      <c r="I104" s="30"/>
      <c r="J104" s="31"/>
      <c r="K104" s="47">
        <f>IF(J97=0,0,L104/J97)</f>
        <v>201.05555555555554</v>
      </c>
      <c r="L104" s="33">
        <v>3619</v>
      </c>
      <c r="M104" s="51"/>
      <c r="N104" s="33">
        <f>L104-F104</f>
        <v>219</v>
      </c>
      <c r="O104" s="31"/>
      <c r="P104" s="47"/>
      <c r="Q104" s="33">
        <v>3569</v>
      </c>
      <c r="R104" s="31">
        <f>O104-K104</f>
        <v>-201.05555555555554</v>
      </c>
      <c r="S104" s="34">
        <f>L104-Q104</f>
        <v>50</v>
      </c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</row>
    <row r="105" spans="1:40" ht="20.25">
      <c r="A105" t="str">
        <f t="shared" si="29"/>
        <v>Véhicules usagésTotal F&amp;I</v>
      </c>
      <c r="B105" s="11" t="s">
        <v>70</v>
      </c>
      <c r="C105" s="35" t="s">
        <v>27</v>
      </c>
      <c r="D105" s="36">
        <f>D97</f>
        <v>20</v>
      </c>
      <c r="E105" s="30">
        <f t="shared" si="32"/>
        <v>1650</v>
      </c>
      <c r="F105" s="37">
        <f>F102+F103+F104</f>
        <v>33000</v>
      </c>
      <c r="G105" s="38"/>
      <c r="H105" s="36"/>
      <c r="I105" s="37"/>
      <c r="J105" s="38">
        <f>J97</f>
        <v>18</v>
      </c>
      <c r="K105" s="36">
        <f>IF(J105&lt;=0,0,L105/J105)</f>
        <v>1510.8083333333334</v>
      </c>
      <c r="L105" s="37">
        <f>L102+L103+L104</f>
        <v>27194.55</v>
      </c>
      <c r="M105" s="31">
        <f>J105-D105</f>
        <v>-2</v>
      </c>
      <c r="N105" s="37">
        <f>L105-F105</f>
        <v>-5805.4500000000007</v>
      </c>
      <c r="O105" s="38">
        <f>O97</f>
        <v>18</v>
      </c>
      <c r="P105" s="36">
        <f t="shared" ref="P105" si="33">IF(O105=0,0,Q105/O105)</f>
        <v>1968.1933333333332</v>
      </c>
      <c r="Q105" s="37">
        <f>Q102+Q103+Q104</f>
        <v>35427.479999999996</v>
      </c>
      <c r="R105" s="56"/>
      <c r="S105" s="39">
        <f>L105-Q105</f>
        <v>-8232.9299999999967</v>
      </c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</row>
    <row r="106" spans="1:40" ht="20.25">
      <c r="A106" t="str">
        <f t="shared" si="29"/>
        <v>Véhicules usagés</v>
      </c>
      <c r="B106" s="11" t="s">
        <v>70</v>
      </c>
      <c r="C106" s="29"/>
      <c r="D106" s="13"/>
      <c r="E106" s="13"/>
      <c r="F106" s="59"/>
      <c r="G106" s="41"/>
      <c r="H106" s="144"/>
      <c r="I106" s="59"/>
      <c r="J106" s="41"/>
      <c r="K106" s="13"/>
      <c r="L106" s="59"/>
      <c r="M106" s="42"/>
      <c r="N106" s="43">
        <f>N105/F105</f>
        <v>-0.17592272727272729</v>
      </c>
      <c r="O106" s="41"/>
      <c r="P106" s="13"/>
      <c r="Q106" s="59"/>
      <c r="R106" s="60"/>
      <c r="S106" s="44">
        <f>IF(Q105=0,0,(S105/Q105))</f>
        <v>-0.2323882477669876</v>
      </c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</row>
    <row r="107" spans="1:40" ht="21" thickBot="1">
      <c r="A107" t="str">
        <f t="shared" si="29"/>
        <v>Véhicules usagés</v>
      </c>
      <c r="B107" s="11" t="s">
        <v>70</v>
      </c>
      <c r="C107" s="29"/>
      <c r="D107" s="13"/>
      <c r="E107" s="13"/>
      <c r="F107" s="59"/>
      <c r="G107" s="41"/>
      <c r="H107" s="144"/>
      <c r="I107" s="59"/>
      <c r="J107" s="41"/>
      <c r="K107" s="13"/>
      <c r="L107" s="59"/>
      <c r="M107" s="42"/>
      <c r="N107" s="43"/>
      <c r="O107" s="41"/>
      <c r="P107" s="13"/>
      <c r="Q107" s="59"/>
      <c r="R107" s="60"/>
      <c r="S107" s="44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</row>
    <row r="108" spans="1:40" ht="21" thickTop="1">
      <c r="A108" t="str">
        <f t="shared" si="29"/>
        <v>Véhicules usagésTotal Dépt. Usagés</v>
      </c>
      <c r="B108" s="11" t="s">
        <v>70</v>
      </c>
      <c r="C108" s="62" t="s">
        <v>76</v>
      </c>
      <c r="D108" s="63">
        <f>D97+D100</f>
        <v>42</v>
      </c>
      <c r="E108" s="67">
        <f>IF(D108&lt;=0,0,F108/D108)</f>
        <v>2096.4285714285716</v>
      </c>
      <c r="F108" s="65">
        <f>F97+F105+F100</f>
        <v>88050</v>
      </c>
      <c r="G108" s="66"/>
      <c r="H108" s="67"/>
      <c r="I108" s="65"/>
      <c r="J108" s="66">
        <f>J97+J100</f>
        <v>38</v>
      </c>
      <c r="K108" s="67">
        <f>IF(J108&lt;=0,0,L108/J108)</f>
        <v>1733.7144736842104</v>
      </c>
      <c r="L108" s="65">
        <f>L97+L105+L100</f>
        <v>65881.149999999994</v>
      </c>
      <c r="M108" s="66">
        <f>J108-D108</f>
        <v>-4</v>
      </c>
      <c r="N108" s="65">
        <f>L108-F108</f>
        <v>-22168.850000000006</v>
      </c>
      <c r="O108" s="66">
        <f>O97+O100</f>
        <v>32</v>
      </c>
      <c r="P108" s="67">
        <f>IF(O108&lt;=0,0,Q108/O108)</f>
        <v>2718.9871874999935</v>
      </c>
      <c r="Q108" s="65">
        <f>Q97+Q105+Q100</f>
        <v>87007.589999999793</v>
      </c>
      <c r="R108" s="66">
        <f>J108-O108</f>
        <v>6</v>
      </c>
      <c r="S108" s="68">
        <f>L108-Q108</f>
        <v>-21126.439999999799</v>
      </c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</row>
    <row r="109" spans="1:40" ht="21" thickBot="1">
      <c r="A109" t="str">
        <f t="shared" si="29"/>
        <v>Véhicules usagés</v>
      </c>
      <c r="B109" s="11" t="s">
        <v>70</v>
      </c>
      <c r="C109" s="69"/>
      <c r="D109" s="70"/>
      <c r="E109" s="70"/>
      <c r="F109" s="71"/>
      <c r="G109" s="72"/>
      <c r="H109" s="70"/>
      <c r="I109" s="71"/>
      <c r="J109" s="72"/>
      <c r="K109" s="70"/>
      <c r="L109" s="71"/>
      <c r="M109" s="73">
        <f>M108/D108</f>
        <v>-9.5238095238095233E-2</v>
      </c>
      <c r="N109" s="74">
        <f>N108/F108</f>
        <v>-0.25177569562748447</v>
      </c>
      <c r="O109" s="72"/>
      <c r="P109" s="70"/>
      <c r="Q109" s="71"/>
      <c r="R109" s="73">
        <f>O108/R108</f>
        <v>5.333333333333333</v>
      </c>
      <c r="S109" s="145">
        <f>IF(Q108=0,0,(S108/Q108))</f>
        <v>-0.24281146047143529</v>
      </c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</row>
    <row r="110" spans="1:40" ht="21" thickTop="1">
      <c r="A110" t="str">
        <f t="shared" si="29"/>
        <v>Véhicules usagés</v>
      </c>
      <c r="B110" s="11" t="s">
        <v>70</v>
      </c>
      <c r="C110" s="53"/>
      <c r="D110" s="76"/>
      <c r="E110" s="76"/>
      <c r="F110" s="77"/>
      <c r="G110" s="78"/>
      <c r="H110" s="76"/>
      <c r="I110" s="77"/>
      <c r="J110" s="78"/>
      <c r="K110" s="76"/>
      <c r="L110" s="77"/>
      <c r="M110" s="42"/>
      <c r="N110" s="43"/>
      <c r="O110" s="78"/>
      <c r="P110" s="76"/>
      <c r="Q110" s="77"/>
      <c r="R110" s="42"/>
      <c r="S110" s="44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</row>
    <row r="111" spans="1:40" ht="20.25">
      <c r="A111" t="str">
        <f t="shared" si="29"/>
        <v>Véhicules usagésDEPENSES</v>
      </c>
      <c r="B111" s="11" t="s">
        <v>70</v>
      </c>
      <c r="C111" s="79" t="s">
        <v>29</v>
      </c>
      <c r="D111" s="13"/>
      <c r="E111" s="80"/>
      <c r="F111" s="59"/>
      <c r="G111" s="41"/>
      <c r="H111" s="80"/>
      <c r="I111" s="59"/>
      <c r="J111" s="41"/>
      <c r="K111" s="80"/>
      <c r="L111" s="40"/>
      <c r="M111" s="41"/>
      <c r="N111" s="40"/>
      <c r="O111" s="41"/>
      <c r="P111" s="80"/>
      <c r="Q111" s="40"/>
      <c r="R111" s="41"/>
      <c r="S111" s="61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</row>
    <row r="112" spans="1:40" ht="20.25">
      <c r="A112" t="str">
        <f t="shared" si="29"/>
        <v>Véhicules usagésComm. vendeurs</v>
      </c>
      <c r="B112" s="11" t="s">
        <v>70</v>
      </c>
      <c r="C112" s="29" t="s">
        <v>30</v>
      </c>
      <c r="D112" s="148">
        <f>F112/(F97+F105)</f>
        <v>0.19596127723889878</v>
      </c>
      <c r="E112" s="82">
        <f t="shared" ref="E112:E121" si="34">F112/D$97</f>
        <v>781.8854961832061</v>
      </c>
      <c r="F112" s="30">
        <v>15637.709923664122</v>
      </c>
      <c r="G112" s="157"/>
      <c r="H112" s="82"/>
      <c r="I112" s="30"/>
      <c r="J112" s="157">
        <f>L112/L97</f>
        <v>0.30565002861491591</v>
      </c>
      <c r="K112" s="82">
        <f>IF($J$97=0,0,L112/(J$94+J$95+J96))</f>
        <v>596.08666666666659</v>
      </c>
      <c r="L112" s="33">
        <v>10729.56</v>
      </c>
      <c r="M112" s="41"/>
      <c r="N112" s="59">
        <f t="shared" ref="N112:N153" si="35">L112-F112</f>
        <v>-4908.149923664123</v>
      </c>
      <c r="O112" s="157">
        <f>Q112/Q97</f>
        <v>0.34913895796248895</v>
      </c>
      <c r="P112" s="82">
        <f t="shared" ref="P112:P121" si="36">Q112/O$97</f>
        <v>856.47277777777776</v>
      </c>
      <c r="Q112" s="33">
        <v>15416.51</v>
      </c>
      <c r="R112" s="41"/>
      <c r="S112" s="85">
        <f t="shared" ref="S112:S117" si="37">L112-Q112</f>
        <v>-4686.9500000000007</v>
      </c>
      <c r="T112" s="13"/>
      <c r="U112" s="13"/>
      <c r="V112" s="11" t="s">
        <v>246</v>
      </c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</row>
    <row r="113" spans="1:40" ht="20.25">
      <c r="A113" t="str">
        <f t="shared" si="29"/>
        <v>Véhicules usagésComm. F&amp;I</v>
      </c>
      <c r="B113" s="11" t="s">
        <v>70</v>
      </c>
      <c r="C113" s="86" t="s">
        <v>31</v>
      </c>
      <c r="D113" s="218">
        <f>F113/(F105+F19)</f>
        <v>0.23688288025235138</v>
      </c>
      <c r="E113" s="88">
        <f t="shared" si="34"/>
        <v>412.5</v>
      </c>
      <c r="F113" s="22">
        <v>8250</v>
      </c>
      <c r="G113" s="162"/>
      <c r="H113" s="88"/>
      <c r="I113" s="22"/>
      <c r="J113" s="162">
        <f>L113/L105</f>
        <v>0.31441115958896176</v>
      </c>
      <c r="K113" s="88">
        <f>IF($J$97=0,0,L113/(J$94+J$95+J96))</f>
        <v>475.01500000000004</v>
      </c>
      <c r="L113" s="33">
        <v>8550.27</v>
      </c>
      <c r="M113" s="23"/>
      <c r="N113" s="91">
        <f t="shared" si="35"/>
        <v>300.27000000000044</v>
      </c>
      <c r="O113" s="162">
        <f>Q113/(Q105+Q19)</f>
        <v>0.21281545623778703</v>
      </c>
      <c r="P113" s="88">
        <f t="shared" si="36"/>
        <v>460.07722222222219</v>
      </c>
      <c r="Q113" s="33">
        <v>8281.39</v>
      </c>
      <c r="R113" s="23"/>
      <c r="S113" s="92">
        <f t="shared" si="37"/>
        <v>268.88000000000102</v>
      </c>
      <c r="T113" s="13"/>
      <c r="U113" s="13"/>
      <c r="V113" s="11" t="s">
        <v>247</v>
      </c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</row>
    <row r="114" spans="1:40" ht="20.25">
      <c r="A114" t="str">
        <f t="shared" si="29"/>
        <v>Véhicules usagésFrais de livraison</v>
      </c>
      <c r="B114" s="11" t="s">
        <v>70</v>
      </c>
      <c r="C114" s="29" t="s">
        <v>32</v>
      </c>
      <c r="D114" s="81"/>
      <c r="E114" s="82">
        <f t="shared" si="34"/>
        <v>110</v>
      </c>
      <c r="F114" s="30">
        <v>2200</v>
      </c>
      <c r="G114" s="83"/>
      <c r="H114" s="82"/>
      <c r="I114" s="30"/>
      <c r="J114" s="41"/>
      <c r="K114" s="82">
        <f>IF($J$97=0,0,L114/(J$94+J$95+J96))</f>
        <v>66.86666666666666</v>
      </c>
      <c r="L114" s="108">
        <v>1203.5999999999999</v>
      </c>
      <c r="M114" s="41"/>
      <c r="N114" s="59">
        <f t="shared" si="35"/>
        <v>-996.40000000000009</v>
      </c>
      <c r="O114" s="41"/>
      <c r="P114" s="82">
        <f t="shared" si="36"/>
        <v>104.76888888888888</v>
      </c>
      <c r="Q114" s="108">
        <v>1885.84</v>
      </c>
      <c r="R114" s="41"/>
      <c r="S114" s="85">
        <f t="shared" si="37"/>
        <v>-682.24</v>
      </c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</row>
    <row r="115" spans="1:40" ht="20.25">
      <c r="A115" t="str">
        <f t="shared" si="29"/>
        <v>Véhicules usagésService gratuit 1</v>
      </c>
      <c r="B115" s="11" t="s">
        <v>70</v>
      </c>
      <c r="C115" s="29" t="s">
        <v>33</v>
      </c>
      <c r="D115" s="81"/>
      <c r="E115" s="82">
        <f t="shared" si="34"/>
        <v>90</v>
      </c>
      <c r="F115" s="30">
        <v>1800</v>
      </c>
      <c r="G115" s="83"/>
      <c r="H115" s="82"/>
      <c r="I115" s="30"/>
      <c r="J115" s="41"/>
      <c r="K115" s="82">
        <f>IF($J$97=0,0,L115/(J$94+J$95+J96))</f>
        <v>49.123888888888892</v>
      </c>
      <c r="L115" s="33">
        <v>884.23</v>
      </c>
      <c r="M115" s="41"/>
      <c r="N115" s="59">
        <f t="shared" si="35"/>
        <v>-915.77</v>
      </c>
      <c r="O115" s="41"/>
      <c r="P115" s="82">
        <f t="shared" si="36"/>
        <v>88.027222222222221</v>
      </c>
      <c r="Q115" s="33">
        <v>1584.49</v>
      </c>
      <c r="R115" s="41"/>
      <c r="S115" s="85">
        <f t="shared" si="37"/>
        <v>-700.26</v>
      </c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</row>
    <row r="116" spans="1:40" ht="20.25">
      <c r="A116" t="str">
        <f t="shared" si="29"/>
        <v>Véhicules usagésEntretien stock</v>
      </c>
      <c r="B116" s="11" t="s">
        <v>70</v>
      </c>
      <c r="C116" s="86" t="s">
        <v>34</v>
      </c>
      <c r="D116" s="87"/>
      <c r="E116" s="88">
        <f t="shared" si="34"/>
        <v>105</v>
      </c>
      <c r="F116" s="22">
        <v>2100</v>
      </c>
      <c r="G116" s="89"/>
      <c r="H116" s="88"/>
      <c r="I116" s="22"/>
      <c r="J116" s="23"/>
      <c r="K116" s="88">
        <f>IF($J$97=0,0,L116/(J$94+J$95+J96))</f>
        <v>93.684444444444438</v>
      </c>
      <c r="L116" s="48">
        <v>1686.32</v>
      </c>
      <c r="M116" s="23"/>
      <c r="N116" s="91">
        <f t="shared" si="35"/>
        <v>-413.68000000000006</v>
      </c>
      <c r="O116" s="23"/>
      <c r="P116" s="88">
        <f t="shared" si="36"/>
        <v>92.417222222222222</v>
      </c>
      <c r="Q116" s="48">
        <v>1663.51</v>
      </c>
      <c r="R116" s="23"/>
      <c r="S116" s="92">
        <f t="shared" si="37"/>
        <v>22.809999999999945</v>
      </c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</row>
    <row r="117" spans="1:40" ht="20.25">
      <c r="A117" t="str">
        <f t="shared" si="29"/>
        <v>Véhicules usagésPublicité 1</v>
      </c>
      <c r="B117" s="11" t="s">
        <v>70</v>
      </c>
      <c r="C117" s="29" t="s">
        <v>35</v>
      </c>
      <c r="D117" s="81"/>
      <c r="E117" s="82">
        <f t="shared" si="34"/>
        <v>321.80416666666667</v>
      </c>
      <c r="F117" s="30">
        <v>6436.0833333333339</v>
      </c>
      <c r="G117" s="83"/>
      <c r="H117" s="82"/>
      <c r="I117" s="30"/>
      <c r="J117" s="41"/>
      <c r="K117" s="82">
        <f>IF($J$97=0,0,L117/(J$94+J$95+J96))</f>
        <v>292.10111111111109</v>
      </c>
      <c r="L117" s="33">
        <v>5257.82</v>
      </c>
      <c r="M117" s="41"/>
      <c r="N117" s="59">
        <f t="shared" si="35"/>
        <v>-1178.2633333333342</v>
      </c>
      <c r="O117" s="41"/>
      <c r="P117" s="82">
        <f t="shared" si="36"/>
        <v>479.74</v>
      </c>
      <c r="Q117" s="33">
        <v>8635.32</v>
      </c>
      <c r="R117" s="41"/>
      <c r="S117" s="85">
        <f t="shared" si="37"/>
        <v>-3377.5</v>
      </c>
      <c r="T117" s="13"/>
      <c r="U117" s="13"/>
      <c r="V117" s="13">
        <v>5258</v>
      </c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</row>
    <row r="118" spans="1:40" ht="20.25">
      <c r="A118" t="str">
        <f>+B118&amp;C118</f>
        <v>Véhicules usagésIntérêt de gros</v>
      </c>
      <c r="B118" s="11" t="s">
        <v>70</v>
      </c>
      <c r="C118" s="29" t="s">
        <v>36</v>
      </c>
      <c r="D118" s="81"/>
      <c r="E118" s="82">
        <f t="shared" si="34"/>
        <v>433.53413328377803</v>
      </c>
      <c r="F118" s="30">
        <v>8670.6826656755602</v>
      </c>
      <c r="G118" s="83"/>
      <c r="H118" s="82"/>
      <c r="I118" s="30"/>
      <c r="J118" s="41"/>
      <c r="K118" s="82">
        <f>IF($J$97=0,0,L118/(J$94+J$95+J96))</f>
        <v>334.63777777777773</v>
      </c>
      <c r="L118" s="33">
        <v>6023.48</v>
      </c>
      <c r="M118" s="41"/>
      <c r="N118" s="59">
        <f t="shared" si="35"/>
        <v>-2647.2026656755606</v>
      </c>
      <c r="O118" s="41"/>
      <c r="P118" s="82">
        <f t="shared" si="36"/>
        <v>339.82277777777779</v>
      </c>
      <c r="Q118" s="33">
        <v>6116.81</v>
      </c>
      <c r="R118" s="41"/>
      <c r="S118" s="85">
        <f>L118-Q118</f>
        <v>-93.330000000000837</v>
      </c>
      <c r="T118" s="13"/>
      <c r="U118" s="13"/>
      <c r="V118" s="13">
        <v>6023</v>
      </c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</row>
    <row r="119" spans="1:40" ht="20.25" hidden="1">
      <c r="A119" t="str">
        <f>+B119&amp;C119</f>
        <v>Véhicules usagés[...]</v>
      </c>
      <c r="B119" s="11" t="s">
        <v>70</v>
      </c>
      <c r="C119" s="29" t="s">
        <v>19</v>
      </c>
      <c r="D119" s="81"/>
      <c r="E119" s="82">
        <f t="shared" si="34"/>
        <v>0</v>
      </c>
      <c r="F119" s="30">
        <v>0</v>
      </c>
      <c r="G119" s="83"/>
      <c r="H119" s="82"/>
      <c r="I119" s="30"/>
      <c r="J119" s="41"/>
      <c r="K119" s="82">
        <f t="shared" ref="K119:K121" si="38">IF($J$97=0,0,L119/(J$94+J$95))</f>
        <v>0</v>
      </c>
      <c r="L119" s="33">
        <v>0</v>
      </c>
      <c r="M119" s="41"/>
      <c r="N119" s="59">
        <f t="shared" si="35"/>
        <v>0</v>
      </c>
      <c r="O119" s="41"/>
      <c r="P119" s="82">
        <f t="shared" si="36"/>
        <v>0</v>
      </c>
      <c r="Q119" s="33">
        <v>0</v>
      </c>
      <c r="R119" s="41"/>
      <c r="S119" s="85">
        <f>L119-Q119</f>
        <v>0</v>
      </c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</row>
    <row r="120" spans="1:40" ht="20.25" hidden="1">
      <c r="A120" t="str">
        <f>+B120&amp;C120</f>
        <v>Véhicules usagés[...]</v>
      </c>
      <c r="B120" s="11" t="s">
        <v>70</v>
      </c>
      <c r="C120" s="29" t="s">
        <v>19</v>
      </c>
      <c r="D120" s="81"/>
      <c r="E120" s="82">
        <f t="shared" si="34"/>
        <v>0</v>
      </c>
      <c r="F120" s="30">
        <v>0</v>
      </c>
      <c r="G120" s="83"/>
      <c r="H120" s="82"/>
      <c r="I120" s="30"/>
      <c r="J120" s="41"/>
      <c r="K120" s="82">
        <f t="shared" si="38"/>
        <v>0</v>
      </c>
      <c r="L120" s="33">
        <v>0</v>
      </c>
      <c r="M120" s="41"/>
      <c r="N120" s="59">
        <f t="shared" si="35"/>
        <v>0</v>
      </c>
      <c r="O120" s="41"/>
      <c r="P120" s="82">
        <f t="shared" si="36"/>
        <v>0</v>
      </c>
      <c r="Q120" s="33">
        <v>0</v>
      </c>
      <c r="R120" s="41"/>
      <c r="S120" s="85">
        <f>L120-Q120</f>
        <v>0</v>
      </c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</row>
    <row r="121" spans="1:40" ht="20.25" hidden="1">
      <c r="A121" t="str">
        <f>+B121&amp;C121</f>
        <v>Véhicules usagés[...]</v>
      </c>
      <c r="B121" s="11" t="s">
        <v>70</v>
      </c>
      <c r="C121" s="29" t="s">
        <v>19</v>
      </c>
      <c r="D121" s="81"/>
      <c r="E121" s="82">
        <f t="shared" si="34"/>
        <v>0</v>
      </c>
      <c r="F121" s="30">
        <v>0</v>
      </c>
      <c r="G121" s="83"/>
      <c r="H121" s="82"/>
      <c r="I121" s="30"/>
      <c r="J121" s="41"/>
      <c r="K121" s="82">
        <f t="shared" si="38"/>
        <v>0</v>
      </c>
      <c r="L121" s="33">
        <v>0</v>
      </c>
      <c r="M121" s="41"/>
      <c r="N121" s="59">
        <f t="shared" si="35"/>
        <v>0</v>
      </c>
      <c r="O121" s="41"/>
      <c r="P121" s="82">
        <f t="shared" si="36"/>
        <v>0</v>
      </c>
      <c r="Q121" s="33">
        <v>0</v>
      </c>
      <c r="R121" s="41"/>
      <c r="S121" s="85">
        <f t="shared" ref="S121:S126" si="39">L121-Q121</f>
        <v>0</v>
      </c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</row>
    <row r="122" spans="1:40" ht="20.25">
      <c r="A122" t="str">
        <f t="shared" ref="A122:A126" si="40">+B122&amp;C122</f>
        <v>Véhicules usagésTOTAL VARIABLES</v>
      </c>
      <c r="B122" s="11" t="s">
        <v>70</v>
      </c>
      <c r="C122" s="93" t="s">
        <v>37</v>
      </c>
      <c r="D122" s="94" t="s">
        <v>38</v>
      </c>
      <c r="E122" s="95">
        <f>F122/F$108</f>
        <v>0.51214623421548</v>
      </c>
      <c r="F122" s="96">
        <f>SUM(F112:F121)</f>
        <v>45094.475922673017</v>
      </c>
      <c r="G122" s="97"/>
      <c r="H122" s="95"/>
      <c r="I122" s="96"/>
      <c r="J122" s="97" t="s">
        <v>38</v>
      </c>
      <c r="K122" s="95">
        <f>L122/L$108</f>
        <v>0.5211700160060958</v>
      </c>
      <c r="L122" s="96">
        <f>SUM(L112:L121)</f>
        <v>34335.279999999999</v>
      </c>
      <c r="M122" s="100"/>
      <c r="N122" s="96">
        <f t="shared" si="35"/>
        <v>-10759.195922673018</v>
      </c>
      <c r="O122" s="97" t="s">
        <v>38</v>
      </c>
      <c r="P122" s="95">
        <f>Q122/Q$108</f>
        <v>0.5009203220086903</v>
      </c>
      <c r="Q122" s="96">
        <f>SUM(Q112:Q121)</f>
        <v>43583.869999999995</v>
      </c>
      <c r="R122" s="100"/>
      <c r="S122" s="101">
        <f t="shared" si="39"/>
        <v>-9248.5899999999965</v>
      </c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</row>
    <row r="123" spans="1:40" ht="20.25">
      <c r="A123" t="str">
        <f t="shared" si="40"/>
        <v>Véhicules usagésSalaires cadres</v>
      </c>
      <c r="B123" s="11" t="s">
        <v>70</v>
      </c>
      <c r="C123" s="102" t="s">
        <v>40</v>
      </c>
      <c r="D123" s="13"/>
      <c r="E123" s="13"/>
      <c r="F123" s="30">
        <v>5133.4486005089057</v>
      </c>
      <c r="G123" s="41"/>
      <c r="H123" s="13"/>
      <c r="I123" s="30"/>
      <c r="J123" s="41"/>
      <c r="K123" s="13"/>
      <c r="L123" s="33">
        <v>3986.27</v>
      </c>
      <c r="M123" s="41"/>
      <c r="N123" s="59">
        <f t="shared" si="35"/>
        <v>-1147.1786005089057</v>
      </c>
      <c r="O123" s="41"/>
      <c r="P123" s="13"/>
      <c r="Q123" s="33">
        <v>1417.1</v>
      </c>
      <c r="R123" s="41"/>
      <c r="S123" s="85">
        <f t="shared" si="39"/>
        <v>2569.17</v>
      </c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</row>
    <row r="124" spans="1:40" ht="20.25">
      <c r="A124" t="str">
        <f t="shared" si="40"/>
        <v>Véhicules usagésSalaires commis</v>
      </c>
      <c r="B124" s="11" t="s">
        <v>70</v>
      </c>
      <c r="C124" s="103" t="s">
        <v>41</v>
      </c>
      <c r="D124" s="81"/>
      <c r="E124" s="13"/>
      <c r="F124" s="22">
        <v>2825.1366412213742</v>
      </c>
      <c r="G124" s="83"/>
      <c r="H124" s="13"/>
      <c r="I124" s="22"/>
      <c r="J124" s="41"/>
      <c r="K124" s="13"/>
      <c r="L124" s="22">
        <v>2825.31</v>
      </c>
      <c r="M124" s="41"/>
      <c r="N124" s="59">
        <f t="shared" si="35"/>
        <v>0.1733587786256976</v>
      </c>
      <c r="O124" s="41"/>
      <c r="P124" s="13"/>
      <c r="Q124" s="22">
        <v>4259.63</v>
      </c>
      <c r="R124" s="41"/>
      <c r="S124" s="85">
        <f t="shared" si="39"/>
        <v>-1434.3200000000002</v>
      </c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</row>
    <row r="125" spans="1:40" ht="20.25">
      <c r="A125" t="str">
        <f t="shared" si="40"/>
        <v>Véhicules usagésSalaires autres</v>
      </c>
      <c r="B125" s="11" t="s">
        <v>70</v>
      </c>
      <c r="C125" s="102" t="s">
        <v>42</v>
      </c>
      <c r="D125" s="104"/>
      <c r="E125" s="105"/>
      <c r="F125" s="30">
        <v>2809</v>
      </c>
      <c r="G125" s="106"/>
      <c r="H125" s="105"/>
      <c r="I125" s="30"/>
      <c r="J125" s="107"/>
      <c r="K125" s="105"/>
      <c r="L125" s="33">
        <v>2809</v>
      </c>
      <c r="M125" s="107"/>
      <c r="N125" s="109">
        <f t="shared" si="35"/>
        <v>0</v>
      </c>
      <c r="O125" s="107"/>
      <c r="P125" s="105"/>
      <c r="Q125" s="33">
        <v>2809</v>
      </c>
      <c r="R125" s="107"/>
      <c r="S125" s="110">
        <f t="shared" si="39"/>
        <v>0</v>
      </c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</row>
    <row r="126" spans="1:40" ht="20.25">
      <c r="A126" t="str">
        <f t="shared" si="40"/>
        <v>Véhicules usagésSalaires spécialistes</v>
      </c>
      <c r="B126" s="11" t="s">
        <v>70</v>
      </c>
      <c r="C126" s="102" t="s">
        <v>43</v>
      </c>
      <c r="D126" s="81"/>
      <c r="E126" s="13"/>
      <c r="F126" s="30">
        <v>0</v>
      </c>
      <c r="G126" s="83"/>
      <c r="H126" s="13"/>
      <c r="I126" s="30"/>
      <c r="J126" s="41"/>
      <c r="K126" s="13"/>
      <c r="L126" s="33">
        <v>0</v>
      </c>
      <c r="M126" s="41"/>
      <c r="N126" s="59">
        <f t="shared" si="35"/>
        <v>0</v>
      </c>
      <c r="O126" s="41"/>
      <c r="P126" s="13"/>
      <c r="Q126" s="33">
        <v>0</v>
      </c>
      <c r="R126" s="41"/>
      <c r="S126" s="85">
        <f t="shared" si="39"/>
        <v>0</v>
      </c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</row>
    <row r="127" spans="1:40" ht="20.25" hidden="1">
      <c r="A127" t="str">
        <f>+B127&amp;C127</f>
        <v>Véhicules usagés[...]</v>
      </c>
      <c r="B127" s="11" t="s">
        <v>70</v>
      </c>
      <c r="C127" s="102" t="s">
        <v>19</v>
      </c>
      <c r="D127" s="81"/>
      <c r="E127" s="13"/>
      <c r="F127" s="30">
        <v>0</v>
      </c>
      <c r="G127" s="83"/>
      <c r="H127" s="13"/>
      <c r="I127" s="30"/>
      <c r="J127" s="41"/>
      <c r="K127" s="13"/>
      <c r="L127" s="33">
        <v>0</v>
      </c>
      <c r="M127" s="41"/>
      <c r="N127" s="59">
        <f t="shared" si="35"/>
        <v>0</v>
      </c>
      <c r="O127" s="41"/>
      <c r="P127" s="13"/>
      <c r="Q127" s="33">
        <v>0</v>
      </c>
      <c r="R127" s="41"/>
      <c r="S127" s="85">
        <f>L127-Q127</f>
        <v>0</v>
      </c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</row>
    <row r="128" spans="1:40" ht="20.25" hidden="1">
      <c r="A128" t="str">
        <f>+B128&amp;C128</f>
        <v>Véhicules usagés[...]</v>
      </c>
      <c r="B128" s="11" t="s">
        <v>70</v>
      </c>
      <c r="C128" s="102" t="s">
        <v>19</v>
      </c>
      <c r="D128" s="81"/>
      <c r="E128" s="13"/>
      <c r="F128" s="30">
        <v>0</v>
      </c>
      <c r="G128" s="83"/>
      <c r="H128" s="13"/>
      <c r="I128" s="30"/>
      <c r="J128" s="41"/>
      <c r="K128" s="13"/>
      <c r="L128" s="33">
        <v>0</v>
      </c>
      <c r="M128" s="41"/>
      <c r="N128" s="59">
        <f t="shared" si="35"/>
        <v>0</v>
      </c>
      <c r="O128" s="41"/>
      <c r="P128" s="13"/>
      <c r="Q128" s="33">
        <v>0</v>
      </c>
      <c r="R128" s="41"/>
      <c r="S128" s="85">
        <f>L128-Q128</f>
        <v>0</v>
      </c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</row>
    <row r="129" spans="1:40" ht="20.25" hidden="1">
      <c r="A129" t="str">
        <f>+B129&amp;C129</f>
        <v>Véhicules usagés[...]</v>
      </c>
      <c r="B129" s="11" t="s">
        <v>70</v>
      </c>
      <c r="C129" s="102" t="s">
        <v>19</v>
      </c>
      <c r="D129" s="81"/>
      <c r="E129" s="13"/>
      <c r="F129" s="30">
        <v>0</v>
      </c>
      <c r="G129" s="83"/>
      <c r="H129" s="13"/>
      <c r="I129" s="30"/>
      <c r="J129" s="41"/>
      <c r="K129" s="13"/>
      <c r="L129" s="33">
        <v>0</v>
      </c>
      <c r="M129" s="41"/>
      <c r="N129" s="59">
        <f t="shared" si="35"/>
        <v>0</v>
      </c>
      <c r="O129" s="41"/>
      <c r="P129" s="13"/>
      <c r="Q129" s="33">
        <v>0</v>
      </c>
      <c r="R129" s="41"/>
      <c r="S129" s="85">
        <f>L129-Q129</f>
        <v>0</v>
      </c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</row>
    <row r="130" spans="1:40" ht="20.25">
      <c r="A130" t="str">
        <f t="shared" ref="A130:A148" si="41">+B130&amp;C130</f>
        <v>Véhicules usagésSalaires en absences</v>
      </c>
      <c r="B130" s="11" t="s">
        <v>70</v>
      </c>
      <c r="C130" s="103" t="s">
        <v>44</v>
      </c>
      <c r="D130" s="81"/>
      <c r="E130" s="13"/>
      <c r="F130" s="30">
        <v>3734.1215621232141</v>
      </c>
      <c r="G130" s="83"/>
      <c r="H130" s="13"/>
      <c r="I130" s="30"/>
      <c r="J130" s="41"/>
      <c r="K130" s="13"/>
      <c r="L130" s="33">
        <v>3627.13</v>
      </c>
      <c r="M130" s="41"/>
      <c r="N130" s="59">
        <f t="shared" si="35"/>
        <v>-106.99156212321395</v>
      </c>
      <c r="O130" s="41"/>
      <c r="P130" s="13"/>
      <c r="Q130" s="33">
        <v>3174.38</v>
      </c>
      <c r="R130" s="41"/>
      <c r="S130" s="85">
        <f>L130-Q130</f>
        <v>452.75</v>
      </c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</row>
    <row r="131" spans="1:40" ht="20.25">
      <c r="A131" t="str">
        <f t="shared" si="41"/>
        <v>Véhicules usagésDéduction à la source</v>
      </c>
      <c r="B131" s="11" t="s">
        <v>70</v>
      </c>
      <c r="C131" s="102" t="s">
        <v>45</v>
      </c>
      <c r="D131" s="104"/>
      <c r="E131" s="105"/>
      <c r="F131" s="54">
        <v>4852.547378753181</v>
      </c>
      <c r="G131" s="106"/>
      <c r="H131" s="105"/>
      <c r="I131" s="54"/>
      <c r="J131" s="107"/>
      <c r="K131" s="105"/>
      <c r="L131" s="55">
        <v>2567.4</v>
      </c>
      <c r="M131" s="107"/>
      <c r="N131" s="109">
        <f t="shared" si="35"/>
        <v>-2285.1473787531809</v>
      </c>
      <c r="O131" s="107"/>
      <c r="P131" s="105"/>
      <c r="Q131" s="55">
        <v>3012.42</v>
      </c>
      <c r="R131" s="107"/>
      <c r="S131" s="110">
        <f t="shared" ref="S131:S148" si="42">L131-Q131</f>
        <v>-445.02</v>
      </c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</row>
    <row r="132" spans="1:40" ht="20.25">
      <c r="A132" t="str">
        <f t="shared" si="41"/>
        <v>Véhicules usagésBénéfices marginaux</v>
      </c>
      <c r="B132" s="11" t="s">
        <v>70</v>
      </c>
      <c r="C132" s="102" t="s">
        <v>46</v>
      </c>
      <c r="D132" s="81"/>
      <c r="E132" s="13"/>
      <c r="F132" s="30">
        <v>2245.2084886768448</v>
      </c>
      <c r="G132" s="83"/>
      <c r="H132" s="13"/>
      <c r="I132" s="30"/>
      <c r="J132" s="41"/>
      <c r="K132" s="13"/>
      <c r="L132" s="33">
        <v>2097.0100000000002</v>
      </c>
      <c r="M132" s="41"/>
      <c r="N132" s="59">
        <f t="shared" si="35"/>
        <v>-148.19848867684459</v>
      </c>
      <c r="O132" s="41"/>
      <c r="P132" s="13"/>
      <c r="Q132" s="33">
        <v>1971.58</v>
      </c>
      <c r="R132" s="41"/>
      <c r="S132" s="85">
        <f t="shared" si="42"/>
        <v>125.43000000000029</v>
      </c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</row>
    <row r="133" spans="1:40" ht="20.25">
      <c r="A133" t="str">
        <f t="shared" si="41"/>
        <v>Véhicules usagésCsst</v>
      </c>
      <c r="B133" s="11" t="s">
        <v>70</v>
      </c>
      <c r="C133" s="102" t="s">
        <v>47</v>
      </c>
      <c r="D133" s="81"/>
      <c r="E133" s="13"/>
      <c r="F133" s="30">
        <v>506.98256195928752</v>
      </c>
      <c r="G133" s="83"/>
      <c r="H133" s="13"/>
      <c r="I133" s="30"/>
      <c r="J133" s="41"/>
      <c r="K133" s="13"/>
      <c r="L133" s="33">
        <v>129.19</v>
      </c>
      <c r="M133" s="41"/>
      <c r="N133" s="59">
        <f t="shared" si="35"/>
        <v>-377.79256195928753</v>
      </c>
      <c r="O133" s="41"/>
      <c r="P133" s="13"/>
      <c r="Q133" s="33">
        <v>469.33</v>
      </c>
      <c r="R133" s="41"/>
      <c r="S133" s="85">
        <f t="shared" si="42"/>
        <v>-340.14</v>
      </c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</row>
    <row r="134" spans="1:40" ht="20.25" hidden="1">
      <c r="A134" t="str">
        <f t="shared" si="41"/>
        <v>Véhicules usagés[...]</v>
      </c>
      <c r="B134" s="11" t="s">
        <v>70</v>
      </c>
      <c r="C134" s="29" t="s">
        <v>19</v>
      </c>
      <c r="D134" s="87"/>
      <c r="E134" s="111"/>
      <c r="F134" s="30">
        <v>0</v>
      </c>
      <c r="G134" s="89"/>
      <c r="H134" s="111"/>
      <c r="I134" s="30"/>
      <c r="J134" s="23"/>
      <c r="K134" s="111"/>
      <c r="L134" s="33">
        <v>0</v>
      </c>
      <c r="M134" s="41"/>
      <c r="N134" s="59">
        <f t="shared" si="35"/>
        <v>0</v>
      </c>
      <c r="O134" s="23"/>
      <c r="P134" s="111"/>
      <c r="Q134" s="33">
        <v>0</v>
      </c>
      <c r="R134" s="23"/>
      <c r="S134" s="92">
        <f t="shared" si="42"/>
        <v>0</v>
      </c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</row>
    <row r="135" spans="1:40" ht="20.25">
      <c r="A135" t="str">
        <f t="shared" si="41"/>
        <v>Véhicules usagésTOTAL PERSONNEL</v>
      </c>
      <c r="B135" s="11" t="s">
        <v>70</v>
      </c>
      <c r="C135" s="93" t="s">
        <v>48</v>
      </c>
      <c r="D135" s="94" t="s">
        <v>38</v>
      </c>
      <c r="E135" s="95">
        <f>F135/F$108</f>
        <v>0.25106695324523348</v>
      </c>
      <c r="F135" s="96">
        <f>+SUM(F123:F134)</f>
        <v>22106.445233242808</v>
      </c>
      <c r="G135" s="97"/>
      <c r="H135" s="95"/>
      <c r="I135" s="96"/>
      <c r="J135" s="97" t="s">
        <v>38</v>
      </c>
      <c r="K135" s="95">
        <f>L135/L$108</f>
        <v>0.27384631264026205</v>
      </c>
      <c r="L135" s="96">
        <f>SUM(L123:L134)</f>
        <v>18041.309999999998</v>
      </c>
      <c r="M135" s="463"/>
      <c r="N135" s="464">
        <f t="shared" si="35"/>
        <v>-4065.1352332428105</v>
      </c>
      <c r="O135" s="97" t="s">
        <v>38</v>
      </c>
      <c r="P135" s="95">
        <f>Q135/Q$108</f>
        <v>0.19668904747275545</v>
      </c>
      <c r="Q135" s="96">
        <f>+SUM(Q123:Q134)</f>
        <v>17113.440000000002</v>
      </c>
      <c r="R135" s="147"/>
      <c r="S135" s="114">
        <f t="shared" si="42"/>
        <v>927.86999999999534</v>
      </c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</row>
    <row r="136" spans="1:40" ht="20.25">
      <c r="A136" t="str">
        <f t="shared" si="41"/>
        <v>Véhicules usagésPublicité 2</v>
      </c>
      <c r="B136" s="11" t="s">
        <v>70</v>
      </c>
      <c r="C136" s="29" t="s">
        <v>49</v>
      </c>
      <c r="D136" s="81"/>
      <c r="E136" s="13"/>
      <c r="F136" s="30">
        <v>0</v>
      </c>
      <c r="G136" s="83"/>
      <c r="H136" s="13"/>
      <c r="I136" s="30"/>
      <c r="J136" s="41"/>
      <c r="K136" s="13"/>
      <c r="L136" s="33">
        <v>0</v>
      </c>
      <c r="M136" s="41"/>
      <c r="N136" s="59">
        <f t="shared" si="35"/>
        <v>0</v>
      </c>
      <c r="O136" s="41"/>
      <c r="P136" s="13"/>
      <c r="Q136" s="33">
        <v>0</v>
      </c>
      <c r="R136" s="41"/>
      <c r="S136" s="85">
        <f t="shared" si="42"/>
        <v>0</v>
      </c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</row>
    <row r="137" spans="1:40" ht="20.25">
      <c r="A137" t="str">
        <f t="shared" si="41"/>
        <v>Véhicules usagésService gratuit 2</v>
      </c>
      <c r="B137" s="11" t="s">
        <v>70</v>
      </c>
      <c r="C137" s="29" t="s">
        <v>50</v>
      </c>
      <c r="D137" s="81"/>
      <c r="E137" s="13"/>
      <c r="F137" s="30">
        <v>0</v>
      </c>
      <c r="G137" s="83"/>
      <c r="H137" s="13"/>
      <c r="I137" s="30"/>
      <c r="J137" s="41"/>
      <c r="K137" s="13"/>
      <c r="L137" s="33">
        <v>0</v>
      </c>
      <c r="M137" s="41"/>
      <c r="N137" s="59">
        <f t="shared" si="35"/>
        <v>0</v>
      </c>
      <c r="O137" s="41"/>
      <c r="P137" s="13"/>
      <c r="Q137" s="33">
        <v>0</v>
      </c>
      <c r="R137" s="41"/>
      <c r="S137" s="85">
        <f t="shared" si="42"/>
        <v>0</v>
      </c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</row>
    <row r="138" spans="1:40" ht="20.25">
      <c r="A138" t="str">
        <f t="shared" si="41"/>
        <v>Véhicules usagésFrais véhicules de cie</v>
      </c>
      <c r="B138" s="11" t="s">
        <v>70</v>
      </c>
      <c r="C138" s="86" t="s">
        <v>51</v>
      </c>
      <c r="D138" s="87"/>
      <c r="E138" s="111"/>
      <c r="F138" s="22">
        <v>857.83333333333326</v>
      </c>
      <c r="G138" s="89"/>
      <c r="H138" s="111"/>
      <c r="I138" s="22"/>
      <c r="J138" s="23"/>
      <c r="K138" s="111"/>
      <c r="L138" s="22">
        <v>976.6</v>
      </c>
      <c r="M138" s="23"/>
      <c r="N138" s="91">
        <f t="shared" si="35"/>
        <v>118.76666666666677</v>
      </c>
      <c r="O138" s="23"/>
      <c r="P138" s="111"/>
      <c r="Q138" s="22">
        <v>824.91</v>
      </c>
      <c r="R138" s="23"/>
      <c r="S138" s="92">
        <f t="shared" si="42"/>
        <v>151.69000000000005</v>
      </c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</row>
    <row r="139" spans="1:40" ht="20.25">
      <c r="A139" t="str">
        <f t="shared" si="41"/>
        <v>Véhicules usagésInformatique</v>
      </c>
      <c r="B139" s="11" t="s">
        <v>70</v>
      </c>
      <c r="C139" s="29" t="s">
        <v>52</v>
      </c>
      <c r="D139" s="81"/>
      <c r="E139" s="13"/>
      <c r="F139" s="30">
        <v>1419.9</v>
      </c>
      <c r="G139" s="83"/>
      <c r="H139" s="13"/>
      <c r="I139" s="30"/>
      <c r="J139" s="41"/>
      <c r="K139" s="13"/>
      <c r="L139" s="33">
        <v>1615.42</v>
      </c>
      <c r="M139" s="41"/>
      <c r="N139" s="59">
        <f t="shared" si="35"/>
        <v>195.51999999999998</v>
      </c>
      <c r="O139" s="41"/>
      <c r="P139" s="13"/>
      <c r="Q139" s="33">
        <v>1537.81</v>
      </c>
      <c r="R139" s="41"/>
      <c r="S139" s="85">
        <f t="shared" si="42"/>
        <v>77.610000000000127</v>
      </c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</row>
    <row r="140" spans="1:40" ht="20.25">
      <c r="A140" t="str">
        <f t="shared" si="41"/>
        <v>Véhicules usagésFrais de déplacement</v>
      </c>
      <c r="B140" s="11" t="s">
        <v>70</v>
      </c>
      <c r="C140" s="29" t="s">
        <v>53</v>
      </c>
      <c r="D140" s="81"/>
      <c r="E140" s="13"/>
      <c r="F140" s="30">
        <v>182.8</v>
      </c>
      <c r="G140" s="83"/>
      <c r="H140" s="13"/>
      <c r="I140" s="30"/>
      <c r="J140" s="41"/>
      <c r="K140" s="13"/>
      <c r="L140" s="33">
        <v>-291.69</v>
      </c>
      <c r="M140" s="41"/>
      <c r="N140" s="59">
        <f t="shared" si="35"/>
        <v>-474.49</v>
      </c>
      <c r="O140" s="41"/>
      <c r="P140" s="13"/>
      <c r="Q140" s="33">
        <v>181.74</v>
      </c>
      <c r="R140" s="41"/>
      <c r="S140" s="85">
        <f t="shared" si="42"/>
        <v>-473.43</v>
      </c>
      <c r="T140" s="148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</row>
    <row r="141" spans="1:40" ht="20.25">
      <c r="A141" t="str">
        <f t="shared" si="41"/>
        <v>Véhicules usagésServices extérieurs</v>
      </c>
      <c r="B141" s="11" t="s">
        <v>70</v>
      </c>
      <c r="C141" s="86" t="s">
        <v>54</v>
      </c>
      <c r="D141" s="87"/>
      <c r="E141" s="111"/>
      <c r="F141" s="22">
        <v>612.1</v>
      </c>
      <c r="G141" s="89"/>
      <c r="H141" s="111"/>
      <c r="I141" s="22"/>
      <c r="J141" s="23"/>
      <c r="K141" s="111"/>
      <c r="L141" s="22">
        <v>938.9</v>
      </c>
      <c r="M141" s="23"/>
      <c r="N141" s="91">
        <f t="shared" si="35"/>
        <v>326.79999999999995</v>
      </c>
      <c r="O141" s="23"/>
      <c r="P141" s="111"/>
      <c r="Q141" s="22">
        <v>559.87</v>
      </c>
      <c r="R141" s="23"/>
      <c r="S141" s="92">
        <f t="shared" si="42"/>
        <v>379.03</v>
      </c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</row>
    <row r="142" spans="1:40" ht="20.25">
      <c r="A142" t="str">
        <f t="shared" si="41"/>
        <v>Véhicules usagésFournitures autres</v>
      </c>
      <c r="B142" s="11" t="s">
        <v>70</v>
      </c>
      <c r="C142" s="29" t="s">
        <v>55</v>
      </c>
      <c r="D142" s="81"/>
      <c r="E142" s="13"/>
      <c r="F142" s="30">
        <v>44.117647058823536</v>
      </c>
      <c r="G142" s="83"/>
      <c r="H142" s="13"/>
      <c r="I142" s="30"/>
      <c r="J142" s="41"/>
      <c r="K142" s="13"/>
      <c r="L142" s="33">
        <v>0</v>
      </c>
      <c r="M142" s="41"/>
      <c r="N142" s="59">
        <f t="shared" si="35"/>
        <v>-44.117647058823536</v>
      </c>
      <c r="O142" s="41"/>
      <c r="P142" s="13"/>
      <c r="Q142" s="33">
        <v>0</v>
      </c>
      <c r="R142" s="41"/>
      <c r="S142" s="85">
        <f t="shared" si="42"/>
        <v>0</v>
      </c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</row>
    <row r="143" spans="1:40" ht="20.25">
      <c r="A143" t="str">
        <f t="shared" si="41"/>
        <v>Véhicules usagésUniformes</v>
      </c>
      <c r="B143" s="11" t="s">
        <v>70</v>
      </c>
      <c r="C143" s="29" t="s">
        <v>56</v>
      </c>
      <c r="D143" s="81"/>
      <c r="E143" s="13"/>
      <c r="F143" s="30">
        <v>5</v>
      </c>
      <c r="G143" s="83"/>
      <c r="H143" s="13"/>
      <c r="I143" s="30"/>
      <c r="J143" s="41"/>
      <c r="K143" s="13"/>
      <c r="L143" s="33">
        <v>112.72</v>
      </c>
      <c r="M143" s="41"/>
      <c r="N143" s="59">
        <f t="shared" si="35"/>
        <v>107.72</v>
      </c>
      <c r="O143" s="41"/>
      <c r="P143" s="13"/>
      <c r="Q143" s="33">
        <v>0</v>
      </c>
      <c r="R143" s="41"/>
      <c r="S143" s="85">
        <f t="shared" si="42"/>
        <v>112.72</v>
      </c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</row>
    <row r="144" spans="1:40" ht="20.25">
      <c r="A144" t="str">
        <f t="shared" si="41"/>
        <v>Véhicules usagésPapeterie</v>
      </c>
      <c r="B144" s="11" t="s">
        <v>70</v>
      </c>
      <c r="C144" s="29" t="s">
        <v>57</v>
      </c>
      <c r="D144" s="81"/>
      <c r="E144" s="13"/>
      <c r="F144" s="30">
        <v>175</v>
      </c>
      <c r="G144" s="83"/>
      <c r="H144" s="13"/>
      <c r="I144" s="30"/>
      <c r="J144" s="41"/>
      <c r="K144" s="13"/>
      <c r="L144" s="32">
        <v>166.96</v>
      </c>
      <c r="M144" s="41"/>
      <c r="N144" s="59">
        <f t="shared" si="35"/>
        <v>-8.039999999999992</v>
      </c>
      <c r="O144" s="41"/>
      <c r="P144" s="13"/>
      <c r="Q144" s="32">
        <v>131.30000000000001</v>
      </c>
      <c r="R144" s="41"/>
      <c r="S144" s="85">
        <f t="shared" si="42"/>
        <v>35.659999999999997</v>
      </c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</row>
    <row r="145" spans="1:40" ht="20.25">
      <c r="A145" t="str">
        <f t="shared" si="41"/>
        <v>Véhicules usagésTéléphone</v>
      </c>
      <c r="B145" s="11" t="s">
        <v>70</v>
      </c>
      <c r="C145" s="29" t="s">
        <v>58</v>
      </c>
      <c r="D145" s="81"/>
      <c r="E145" s="13"/>
      <c r="F145" s="30">
        <v>63.2</v>
      </c>
      <c r="G145" s="83"/>
      <c r="H145" s="13"/>
      <c r="I145" s="30"/>
      <c r="J145" s="41"/>
      <c r="K145" s="13"/>
      <c r="L145" s="33">
        <v>74.790000000000006</v>
      </c>
      <c r="M145" s="41"/>
      <c r="N145" s="59">
        <f t="shared" si="35"/>
        <v>11.590000000000003</v>
      </c>
      <c r="O145" s="41"/>
      <c r="P145" s="13"/>
      <c r="Q145" s="33">
        <v>30.75</v>
      </c>
      <c r="R145" s="41"/>
      <c r="S145" s="85">
        <f t="shared" si="42"/>
        <v>44.040000000000006</v>
      </c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</row>
    <row r="146" spans="1:40" ht="20.25">
      <c r="A146" t="str">
        <f t="shared" si="41"/>
        <v>Véhicules usagésFrais postaux</v>
      </c>
      <c r="B146" s="11" t="s">
        <v>70</v>
      </c>
      <c r="C146" s="29" t="s">
        <v>59</v>
      </c>
      <c r="D146" s="81"/>
      <c r="E146" s="13"/>
      <c r="F146" s="30">
        <v>50</v>
      </c>
      <c r="G146" s="83"/>
      <c r="H146" s="13"/>
      <c r="I146" s="30"/>
      <c r="J146" s="41"/>
      <c r="K146" s="13"/>
      <c r="L146" s="33">
        <v>178.6</v>
      </c>
      <c r="M146" s="41"/>
      <c r="N146" s="59">
        <f t="shared" si="35"/>
        <v>128.6</v>
      </c>
      <c r="O146" s="41"/>
      <c r="P146" s="13"/>
      <c r="Q146" s="33">
        <v>59.22</v>
      </c>
      <c r="R146" s="41"/>
      <c r="S146" s="85">
        <f t="shared" si="42"/>
        <v>119.38</v>
      </c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</row>
    <row r="147" spans="1:40" ht="20.25">
      <c r="A147" t="str">
        <f t="shared" si="41"/>
        <v>Véhicules usagésDivers</v>
      </c>
      <c r="B147" s="11" t="s">
        <v>70</v>
      </c>
      <c r="C147" s="29" t="s">
        <v>60</v>
      </c>
      <c r="D147" s="81"/>
      <c r="E147" s="13"/>
      <c r="F147" s="30">
        <v>185.8</v>
      </c>
      <c r="G147" s="83"/>
      <c r="H147" s="13"/>
      <c r="I147" s="30"/>
      <c r="J147" s="41"/>
      <c r="K147" s="13"/>
      <c r="L147" s="33">
        <v>144.6</v>
      </c>
      <c r="M147" s="41"/>
      <c r="N147" s="59">
        <f t="shared" si="35"/>
        <v>-41.200000000000017</v>
      </c>
      <c r="O147" s="41"/>
      <c r="P147" s="13"/>
      <c r="Q147" s="33">
        <v>148.47999999999999</v>
      </c>
      <c r="R147" s="41"/>
      <c r="S147" s="85">
        <f t="shared" si="42"/>
        <v>-3.8799999999999955</v>
      </c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</row>
    <row r="148" spans="1:40" ht="20.25">
      <c r="A148" t="str">
        <f t="shared" si="41"/>
        <v>Véhicules usagésFormation</v>
      </c>
      <c r="B148" s="11" t="s">
        <v>70</v>
      </c>
      <c r="C148" s="29" t="s">
        <v>61</v>
      </c>
      <c r="D148" s="81"/>
      <c r="E148" s="13"/>
      <c r="F148" s="30">
        <v>137.24010666666663</v>
      </c>
      <c r="G148" s="83"/>
      <c r="H148" s="13"/>
      <c r="I148" s="30"/>
      <c r="J148" s="41"/>
      <c r="K148" s="13"/>
      <c r="L148" s="59">
        <v>499.67</v>
      </c>
      <c r="M148" s="41"/>
      <c r="N148" s="59">
        <f t="shared" si="35"/>
        <v>362.42989333333338</v>
      </c>
      <c r="O148" s="41"/>
      <c r="P148" s="13"/>
      <c r="Q148" s="33">
        <v>224.59</v>
      </c>
      <c r="R148" s="41"/>
      <c r="S148" s="85">
        <f t="shared" si="42"/>
        <v>275.08000000000004</v>
      </c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</row>
    <row r="149" spans="1:40" ht="20.25">
      <c r="A149" t="str">
        <f>+B149&amp;C149</f>
        <v>Véhicules usagésFrais bancaires</v>
      </c>
      <c r="B149" s="11" t="s">
        <v>70</v>
      </c>
      <c r="C149" s="29" t="s">
        <v>62</v>
      </c>
      <c r="D149" s="81"/>
      <c r="E149" s="13"/>
      <c r="F149" s="30">
        <v>547.00993095470994</v>
      </c>
      <c r="G149" s="83"/>
      <c r="H149" s="13"/>
      <c r="I149" s="30"/>
      <c r="J149" s="41"/>
      <c r="K149" s="13"/>
      <c r="L149" s="33">
        <v>665.27</v>
      </c>
      <c r="M149" s="41"/>
      <c r="N149" s="59">
        <f t="shared" si="35"/>
        <v>118.26006904529004</v>
      </c>
      <c r="O149" s="41"/>
      <c r="P149" s="13"/>
      <c r="Q149" s="33">
        <v>539.76</v>
      </c>
      <c r="R149" s="41"/>
      <c r="S149" s="85">
        <f>L149-Q149</f>
        <v>125.50999999999999</v>
      </c>
      <c r="T149" s="82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</row>
    <row r="150" spans="1:40" ht="20.25" hidden="1">
      <c r="A150" t="str">
        <f>+B150&amp;C150</f>
        <v>Véhicules usagés[...]</v>
      </c>
      <c r="B150" s="11" t="s">
        <v>70</v>
      </c>
      <c r="C150" s="29" t="s">
        <v>19</v>
      </c>
      <c r="D150" s="81"/>
      <c r="E150" s="13"/>
      <c r="F150" s="30">
        <v>0</v>
      </c>
      <c r="G150" s="83"/>
      <c r="H150" s="13"/>
      <c r="I150" s="30"/>
      <c r="J150" s="41"/>
      <c r="K150" s="13"/>
      <c r="L150" s="33">
        <v>0</v>
      </c>
      <c r="M150" s="41"/>
      <c r="N150" s="59">
        <f t="shared" si="35"/>
        <v>0</v>
      </c>
      <c r="O150" s="41"/>
      <c r="P150" s="13"/>
      <c r="Q150" s="33">
        <v>0</v>
      </c>
      <c r="R150" s="41"/>
      <c r="S150" s="85">
        <f>L150-Q150</f>
        <v>0</v>
      </c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</row>
    <row r="151" spans="1:40" ht="20.25" hidden="1">
      <c r="A151" t="str">
        <f>+B151&amp;C151</f>
        <v>Véhicules usagés[...]</v>
      </c>
      <c r="B151" s="11" t="s">
        <v>70</v>
      </c>
      <c r="C151" s="29" t="s">
        <v>19</v>
      </c>
      <c r="D151" s="81"/>
      <c r="E151" s="13"/>
      <c r="F151" s="30">
        <v>0</v>
      </c>
      <c r="G151" s="83"/>
      <c r="H151" s="13"/>
      <c r="I151" s="30"/>
      <c r="J151" s="41"/>
      <c r="K151" s="13"/>
      <c r="L151" s="33">
        <v>0</v>
      </c>
      <c r="M151" s="41"/>
      <c r="N151" s="59">
        <f t="shared" si="35"/>
        <v>0</v>
      </c>
      <c r="O151" s="41"/>
      <c r="P151" s="13"/>
      <c r="Q151" s="33">
        <v>0</v>
      </c>
      <c r="R151" s="41"/>
      <c r="S151" s="85">
        <f>L151-Q151</f>
        <v>0</v>
      </c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</row>
    <row r="152" spans="1:40" ht="20.25" hidden="1">
      <c r="A152" t="str">
        <f>+B152&amp;C152</f>
        <v>Véhicules usagés[...]</v>
      </c>
      <c r="B152" s="11" t="s">
        <v>70</v>
      </c>
      <c r="C152" s="29" t="s">
        <v>19</v>
      </c>
      <c r="D152" s="81"/>
      <c r="E152" s="13"/>
      <c r="F152" s="30">
        <v>0</v>
      </c>
      <c r="G152" s="83"/>
      <c r="H152" s="13"/>
      <c r="I152" s="30"/>
      <c r="J152" s="41"/>
      <c r="K152" s="13"/>
      <c r="L152" s="33">
        <v>0</v>
      </c>
      <c r="M152" s="41"/>
      <c r="N152" s="59">
        <f t="shared" si="35"/>
        <v>0</v>
      </c>
      <c r="O152" s="41"/>
      <c r="P152" s="13"/>
      <c r="Q152" s="33">
        <v>0</v>
      </c>
      <c r="R152" s="41"/>
      <c r="S152" s="85">
        <f>L152-Q152</f>
        <v>0</v>
      </c>
      <c r="T152" s="82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</row>
    <row r="153" spans="1:40" ht="20.25">
      <c r="A153" t="str">
        <f t="shared" ref="A153:A158" si="43">+B153&amp;C153</f>
        <v>Véhicules usagésTOTAL SEMI-FIXES</v>
      </c>
      <c r="B153" s="11" t="s">
        <v>70</v>
      </c>
      <c r="C153" s="93" t="s">
        <v>63</v>
      </c>
      <c r="D153" s="94" t="s">
        <v>38</v>
      </c>
      <c r="E153" s="95">
        <f>F153/F$108</f>
        <v>4.8608756592998681E-2</v>
      </c>
      <c r="F153" s="96">
        <f>+SUM(F136:F152)</f>
        <v>4280.0010180135341</v>
      </c>
      <c r="G153" s="97"/>
      <c r="H153" s="95"/>
      <c r="I153" s="96"/>
      <c r="J153" s="97" t="s">
        <v>38</v>
      </c>
      <c r="K153" s="95">
        <f>L153/L$108</f>
        <v>7.7136479858047419E-2</v>
      </c>
      <c r="L153" s="96">
        <f>+SUM(L136:L152)</f>
        <v>5081.84</v>
      </c>
      <c r="M153" s="100"/>
      <c r="N153" s="96">
        <f t="shared" si="35"/>
        <v>801.83898198646602</v>
      </c>
      <c r="O153" s="97" t="s">
        <v>38</v>
      </c>
      <c r="P153" s="95">
        <f>Q153/Q$108</f>
        <v>4.8713336388239353E-2</v>
      </c>
      <c r="Q153" s="96">
        <f>+SUM(Q136:Q152)</f>
        <v>4238.43</v>
      </c>
      <c r="R153" s="100"/>
      <c r="S153" s="101">
        <f>L153-Q153</f>
        <v>843.40999999999985</v>
      </c>
      <c r="T153" s="112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</row>
    <row r="154" spans="1:40" ht="20.25">
      <c r="A154" t="str">
        <f t="shared" si="43"/>
        <v>Véhicules usagés</v>
      </c>
      <c r="B154" s="11" t="s">
        <v>70</v>
      </c>
      <c r="C154" s="86"/>
      <c r="D154" s="87"/>
      <c r="E154" s="111"/>
      <c r="F154" s="59"/>
      <c r="G154" s="89"/>
      <c r="H154" s="111"/>
      <c r="I154" s="59"/>
      <c r="J154" s="23"/>
      <c r="K154" s="111"/>
      <c r="L154" s="91"/>
      <c r="M154" s="23"/>
      <c r="N154" s="91"/>
      <c r="O154" s="23"/>
      <c r="P154" s="111"/>
      <c r="Q154" s="91"/>
      <c r="R154" s="23"/>
      <c r="S154" s="92"/>
      <c r="T154" s="112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</row>
    <row r="155" spans="1:40" ht="20.25">
      <c r="A155" t="str">
        <f t="shared" si="43"/>
        <v>Véhicules usagésTOTAL DES DÉPENSES</v>
      </c>
      <c r="B155" s="11" t="s">
        <v>70</v>
      </c>
      <c r="C155" s="93" t="s">
        <v>64</v>
      </c>
      <c r="D155" s="94" t="s">
        <v>38</v>
      </c>
      <c r="E155" s="95">
        <f>F155/F$108</f>
        <v>0.81182194405371222</v>
      </c>
      <c r="F155" s="96">
        <f>F122+F135+F153</f>
        <v>71480.922173929357</v>
      </c>
      <c r="G155" s="97"/>
      <c r="H155" s="95"/>
      <c r="I155" s="96"/>
      <c r="J155" s="97" t="s">
        <v>38</v>
      </c>
      <c r="K155" s="95">
        <f>L155/L$108</f>
        <v>0.87215280850440524</v>
      </c>
      <c r="L155" s="96">
        <f>L122+L135+L153</f>
        <v>57458.429999999993</v>
      </c>
      <c r="M155" s="100"/>
      <c r="N155" s="113">
        <f t="shared" ref="N155:N162" si="44">L155-F155</f>
        <v>-14022.492173929364</v>
      </c>
      <c r="O155" s="97" t="s">
        <v>38</v>
      </c>
      <c r="P155" s="95">
        <f>Q155/Q$108</f>
        <v>0.74632270586968508</v>
      </c>
      <c r="Q155" s="96">
        <f>Q122+Q135+Q153</f>
        <v>64935.74</v>
      </c>
      <c r="R155" s="100"/>
      <c r="S155" s="114">
        <f t="shared" ref="S155:S162" si="45">L155-Q155</f>
        <v>-7477.3100000000049</v>
      </c>
      <c r="T155" s="112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</row>
    <row r="156" spans="1:40" ht="20.25">
      <c r="A156" t="str">
        <f t="shared" si="43"/>
        <v>Véhicules usagésRBSC used</v>
      </c>
      <c r="B156" s="11" t="s">
        <v>70</v>
      </c>
      <c r="C156" s="29" t="s">
        <v>218</v>
      </c>
      <c r="D156" s="149"/>
      <c r="E156" s="150"/>
      <c r="F156" s="30">
        <v>2625</v>
      </c>
      <c r="G156" s="151"/>
      <c r="H156" s="150"/>
      <c r="I156" s="30"/>
      <c r="J156" s="151"/>
      <c r="K156" s="150"/>
      <c r="L156" s="32">
        <v>0</v>
      </c>
      <c r="M156" s="41"/>
      <c r="N156" s="59">
        <f t="shared" si="44"/>
        <v>-2625</v>
      </c>
      <c r="O156" s="151"/>
      <c r="P156" s="150"/>
      <c r="Q156" s="33">
        <v>3375</v>
      </c>
      <c r="R156" s="41"/>
      <c r="S156" s="85">
        <f t="shared" si="45"/>
        <v>-3375</v>
      </c>
      <c r="T156" s="112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</row>
    <row r="157" spans="1:40" ht="20.25">
      <c r="A157" t="str">
        <f t="shared" si="43"/>
        <v>Véhicules usagésProgramme 360</v>
      </c>
      <c r="B157" s="11" t="s">
        <v>70</v>
      </c>
      <c r="C157" s="29" t="s">
        <v>219</v>
      </c>
      <c r="D157" s="149"/>
      <c r="E157" s="150"/>
      <c r="F157" s="30">
        <v>1735.294117647059</v>
      </c>
      <c r="G157" s="151"/>
      <c r="H157" s="150"/>
      <c r="I157" s="30"/>
      <c r="J157" s="151"/>
      <c r="K157" s="150"/>
      <c r="L157" s="33">
        <v>0</v>
      </c>
      <c r="M157" s="41"/>
      <c r="N157" s="59">
        <f t="shared" si="44"/>
        <v>-1735.294117647059</v>
      </c>
      <c r="O157" s="151"/>
      <c r="P157" s="150"/>
      <c r="Q157" s="33">
        <v>3875</v>
      </c>
      <c r="R157" s="41"/>
      <c r="S157" s="85">
        <f t="shared" si="45"/>
        <v>-3875</v>
      </c>
      <c r="T157" s="112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</row>
    <row r="158" spans="1:40" ht="20.25" hidden="1">
      <c r="A158" t="str">
        <f t="shared" si="43"/>
        <v>Véhicules usagésProgramme used 3</v>
      </c>
      <c r="B158" s="11" t="s">
        <v>70</v>
      </c>
      <c r="C158" s="29" t="s">
        <v>77</v>
      </c>
      <c r="D158" s="81"/>
      <c r="E158" s="13"/>
      <c r="F158" s="30">
        <v>0</v>
      </c>
      <c r="G158" s="83"/>
      <c r="H158" s="13"/>
      <c r="I158" s="30"/>
      <c r="J158" s="41"/>
      <c r="K158" s="13"/>
      <c r="L158" s="33">
        <v>0</v>
      </c>
      <c r="M158" s="41"/>
      <c r="N158" s="59">
        <f t="shared" si="44"/>
        <v>0</v>
      </c>
      <c r="O158" s="41"/>
      <c r="P158" s="13"/>
      <c r="Q158" s="33">
        <v>0</v>
      </c>
      <c r="R158" s="41"/>
      <c r="S158" s="85">
        <f t="shared" si="45"/>
        <v>0</v>
      </c>
      <c r="T158" s="112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</row>
    <row r="159" spans="1:40" ht="20.25">
      <c r="A159" t="str">
        <f>+B159&amp;C159</f>
        <v>Véhicules usagésFrais administration</v>
      </c>
      <c r="B159" s="11" t="s">
        <v>70</v>
      </c>
      <c r="C159" s="29" t="s">
        <v>67</v>
      </c>
      <c r="D159" s="81"/>
      <c r="E159" s="13"/>
      <c r="F159" s="30">
        <v>10115</v>
      </c>
      <c r="G159" s="83"/>
      <c r="H159" s="13"/>
      <c r="I159" s="30"/>
      <c r="J159" s="41"/>
      <c r="K159" s="13"/>
      <c r="L159" s="32">
        <v>10115</v>
      </c>
      <c r="M159" s="41"/>
      <c r="N159" s="59">
        <f t="shared" si="44"/>
        <v>0</v>
      </c>
      <c r="O159" s="41"/>
      <c r="P159" s="13"/>
      <c r="Q159" s="33">
        <v>9520</v>
      </c>
      <c r="R159" s="41"/>
      <c r="S159" s="85">
        <f t="shared" si="45"/>
        <v>595</v>
      </c>
      <c r="T159" s="112"/>
      <c r="U159" s="13"/>
      <c r="V159" s="13">
        <f>L159/595</f>
        <v>17</v>
      </c>
      <c r="W159" s="454">
        <f>V159/J97</f>
        <v>0.94444444444444442</v>
      </c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</row>
    <row r="160" spans="1:40" ht="20.25" hidden="1">
      <c r="A160" t="str">
        <f>+B160&amp;C160</f>
        <v>Véhicules usagés[...]</v>
      </c>
      <c r="B160" s="11" t="s">
        <v>70</v>
      </c>
      <c r="C160" s="29" t="s">
        <v>19</v>
      </c>
      <c r="D160" s="81"/>
      <c r="E160" s="13"/>
      <c r="F160" s="30">
        <v>0</v>
      </c>
      <c r="G160" s="83"/>
      <c r="H160" s="13"/>
      <c r="I160" s="30"/>
      <c r="J160" s="41"/>
      <c r="K160" s="13"/>
      <c r="L160" s="32">
        <v>0</v>
      </c>
      <c r="M160" s="41"/>
      <c r="N160" s="59">
        <f t="shared" si="44"/>
        <v>0</v>
      </c>
      <c r="O160" s="41"/>
      <c r="P160" s="13"/>
      <c r="Q160" s="33">
        <v>0</v>
      </c>
      <c r="R160" s="41"/>
      <c r="S160" s="85">
        <f t="shared" si="45"/>
        <v>0</v>
      </c>
      <c r="T160" s="112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</row>
    <row r="161" spans="1:40" ht="20.25" hidden="1">
      <c r="A161" t="str">
        <f>+B161&amp;C161</f>
        <v>Véhicules usagés[...]</v>
      </c>
      <c r="B161" s="11" t="s">
        <v>70</v>
      </c>
      <c r="C161" s="29" t="s">
        <v>19</v>
      </c>
      <c r="D161" s="81"/>
      <c r="E161" s="13"/>
      <c r="F161" s="30">
        <v>0</v>
      </c>
      <c r="G161" s="83"/>
      <c r="H161" s="13"/>
      <c r="I161" s="30"/>
      <c r="J161" s="41"/>
      <c r="K161" s="13"/>
      <c r="L161" s="32">
        <v>0</v>
      </c>
      <c r="M161" s="41"/>
      <c r="N161" s="59">
        <f t="shared" si="44"/>
        <v>0</v>
      </c>
      <c r="O161" s="41"/>
      <c r="P161" s="13"/>
      <c r="Q161" s="33">
        <v>0</v>
      </c>
      <c r="R161" s="41"/>
      <c r="S161" s="85">
        <f t="shared" si="45"/>
        <v>0</v>
      </c>
      <c r="T161" s="112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</row>
    <row r="162" spans="1:40" ht="20.25" hidden="1">
      <c r="A162" t="str">
        <f>+B162&amp;C162</f>
        <v>Véhicules usagés[...]</v>
      </c>
      <c r="B162" s="11" t="s">
        <v>70</v>
      </c>
      <c r="C162" s="86" t="s">
        <v>19</v>
      </c>
      <c r="D162" s="87"/>
      <c r="E162" s="111"/>
      <c r="F162" s="30">
        <v>0</v>
      </c>
      <c r="G162" s="83"/>
      <c r="H162" s="13"/>
      <c r="I162" s="30"/>
      <c r="J162" s="41"/>
      <c r="K162" s="13"/>
      <c r="L162" s="32">
        <v>0</v>
      </c>
      <c r="M162" s="41"/>
      <c r="N162" s="59">
        <f t="shared" si="44"/>
        <v>0</v>
      </c>
      <c r="O162" s="41"/>
      <c r="P162" s="13"/>
      <c r="Q162" s="33">
        <v>0</v>
      </c>
      <c r="R162" s="41"/>
      <c r="S162" s="85">
        <f t="shared" si="45"/>
        <v>0</v>
      </c>
      <c r="T162" s="112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</row>
    <row r="163" spans="1:40" ht="20.25">
      <c r="B163" s="11"/>
      <c r="C163" s="93" t="s">
        <v>68</v>
      </c>
      <c r="D163" s="94"/>
      <c r="E163" s="95"/>
      <c r="F163" s="96">
        <f>+SUM(F156:F162)</f>
        <v>14475.294117647059</v>
      </c>
      <c r="G163" s="97"/>
      <c r="H163" s="95"/>
      <c r="I163" s="96"/>
      <c r="J163" s="97"/>
      <c r="K163" s="95"/>
      <c r="L163" s="96">
        <f>+SUM(L156:L162)</f>
        <v>10115</v>
      </c>
      <c r="M163" s="100"/>
      <c r="N163" s="96">
        <f>SUM(N156:N159)</f>
        <v>-4360.2941176470595</v>
      </c>
      <c r="O163" s="97"/>
      <c r="P163" s="95"/>
      <c r="Q163" s="96">
        <f>+SUM(Q156:Q162)</f>
        <v>16770</v>
      </c>
      <c r="R163" s="100"/>
      <c r="S163" s="101">
        <f>+SUM(S156:S162)</f>
        <v>-6655</v>
      </c>
      <c r="T163" s="112"/>
      <c r="U163" s="13"/>
      <c r="V163" s="13">
        <v>20</v>
      </c>
      <c r="W163" s="13" t="s">
        <v>242</v>
      </c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</row>
    <row r="164" spans="1:40" ht="20.25">
      <c r="B164" s="11"/>
      <c r="C164" s="29"/>
      <c r="D164" s="81"/>
      <c r="E164" s="13"/>
      <c r="F164" s="59"/>
      <c r="G164" s="83"/>
      <c r="H164" s="13"/>
      <c r="I164" s="59"/>
      <c r="J164" s="41"/>
      <c r="K164" s="13"/>
      <c r="L164" s="59"/>
      <c r="M164" s="41"/>
      <c r="N164" s="59"/>
      <c r="O164" s="41"/>
      <c r="P164" s="13"/>
      <c r="Q164" s="59"/>
      <c r="R164" s="41"/>
      <c r="S164" s="85"/>
      <c r="T164" s="150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</row>
    <row r="165" spans="1:40" ht="21" thickBot="1">
      <c r="B165" s="11"/>
      <c r="C165" s="124" t="s">
        <v>69</v>
      </c>
      <c r="D165" s="152"/>
      <c r="E165" s="125"/>
      <c r="F165" s="127">
        <f>F108-F155+F163</f>
        <v>31044.371943717702</v>
      </c>
      <c r="G165" s="153"/>
      <c r="H165" s="125"/>
      <c r="I165" s="127"/>
      <c r="J165" s="154"/>
      <c r="K165" s="126"/>
      <c r="L165" s="127">
        <f>L108-L155+L163</f>
        <v>18537.72</v>
      </c>
      <c r="M165" s="154"/>
      <c r="N165" s="127">
        <f>L165-F165</f>
        <v>-12506.651943717701</v>
      </c>
      <c r="O165" s="154"/>
      <c r="P165" s="126"/>
      <c r="Q165" s="127">
        <f>Q108-Q155+Q163</f>
        <v>38841.849999999795</v>
      </c>
      <c r="R165" s="154"/>
      <c r="S165" s="129">
        <f>L165-Q165</f>
        <v>-20304.129999999794</v>
      </c>
      <c r="T165" s="82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</row>
    <row r="166" spans="1:40" ht="21" thickTop="1">
      <c r="B166" s="11"/>
      <c r="C166" s="10"/>
      <c r="D166" s="10"/>
      <c r="E166" s="10"/>
      <c r="F166" s="10"/>
      <c r="G166" s="10"/>
      <c r="H166" s="10"/>
      <c r="I166" s="10"/>
      <c r="J166" s="10"/>
      <c r="K166" s="10"/>
      <c r="L166" s="155"/>
      <c r="M166" s="10"/>
      <c r="N166" s="10"/>
      <c r="O166" s="10"/>
      <c r="P166" s="10"/>
      <c r="Q166" s="10"/>
      <c r="R166" s="10"/>
      <c r="S166" s="10"/>
      <c r="T166" s="155"/>
      <c r="U166" s="10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</row>
    <row r="167" spans="1:40" ht="20.25">
      <c r="B167" s="11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55"/>
      <c r="U167" s="10"/>
      <c r="V167" s="10"/>
      <c r="W167" s="10"/>
      <c r="X167" s="10"/>
      <c r="Y167" s="10"/>
      <c r="Z167" s="10"/>
      <c r="AA167" s="10"/>
      <c r="AB167" s="10"/>
      <c r="AC167" s="10"/>
      <c r="AD167" s="10"/>
      <c r="AE167" s="10"/>
      <c r="AF167" s="10"/>
      <c r="AG167" s="10"/>
      <c r="AH167" s="10"/>
      <c r="AI167" s="10"/>
      <c r="AJ167" s="10"/>
      <c r="AK167" s="10"/>
      <c r="AL167" s="10"/>
      <c r="AM167" s="10"/>
      <c r="AN167" s="10"/>
    </row>
    <row r="168" spans="1:40" ht="35.25">
      <c r="B168" s="11"/>
      <c r="C168" s="6" t="str">
        <f>C1</f>
        <v>BMW Sherbrooke</v>
      </c>
      <c r="D168" s="2"/>
      <c r="E168" s="2"/>
      <c r="F168" s="2"/>
      <c r="G168" s="2"/>
      <c r="H168" s="1"/>
      <c r="I168" s="1"/>
      <c r="J168" s="1"/>
      <c r="K168" s="3" t="s">
        <v>78</v>
      </c>
      <c r="L168" s="2"/>
      <c r="M168" s="2"/>
      <c r="N168" s="1"/>
      <c r="O168" s="1"/>
      <c r="P168" s="2"/>
      <c r="Q168" s="1"/>
      <c r="R168" s="2"/>
      <c r="S168" s="5" t="str">
        <f>$S$1</f>
        <v>Réalisé, Juillet 2024</v>
      </c>
      <c r="T168" s="2"/>
      <c r="U168" s="6"/>
      <c r="V168" s="10"/>
      <c r="W168" s="10"/>
      <c r="X168" s="10"/>
      <c r="Y168" s="10"/>
      <c r="Z168" s="10"/>
      <c r="AA168" s="10"/>
      <c r="AB168" s="10"/>
      <c r="AC168" s="10"/>
      <c r="AD168" s="10"/>
      <c r="AE168" s="10"/>
      <c r="AF168" s="10"/>
      <c r="AG168" s="10"/>
      <c r="AH168" s="10"/>
      <c r="AI168" s="10"/>
      <c r="AJ168" s="10"/>
      <c r="AK168" s="10"/>
      <c r="AL168" s="10"/>
      <c r="AM168" s="10"/>
      <c r="AN168" s="10"/>
    </row>
    <row r="169" spans="1:40" ht="36" thickBot="1">
      <c r="B169" s="11"/>
      <c r="C169" s="8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6"/>
      <c r="W169" s="6"/>
      <c r="X169" s="6"/>
      <c r="Y169" s="6"/>
      <c r="Z169" s="6"/>
      <c r="AA169" s="6"/>
      <c r="AB169" s="6"/>
      <c r="AC169" s="6"/>
      <c r="AD169" s="6"/>
      <c r="AE169" s="6"/>
      <c r="AF169" s="6"/>
      <c r="AG169" s="6"/>
      <c r="AH169" s="6"/>
      <c r="AI169" s="6"/>
      <c r="AJ169" s="6"/>
      <c r="AK169" s="6"/>
      <c r="AL169" s="6"/>
      <c r="AM169" s="6"/>
      <c r="AN169" s="6"/>
    </row>
    <row r="170" spans="1:40" ht="21" thickTop="1">
      <c r="B170" s="11"/>
      <c r="C170" s="12"/>
      <c r="D170" s="496" t="s">
        <v>5</v>
      </c>
      <c r="E170" s="497"/>
      <c r="F170" s="498"/>
      <c r="G170" s="499"/>
      <c r="H170" s="497"/>
      <c r="I170" s="498"/>
      <c r="J170" s="499" t="s">
        <v>7</v>
      </c>
      <c r="K170" s="497"/>
      <c r="L170" s="498"/>
      <c r="M170" s="499" t="s">
        <v>213</v>
      </c>
      <c r="N170" s="498"/>
      <c r="O170" s="496" t="s">
        <v>8</v>
      </c>
      <c r="P170" s="497"/>
      <c r="Q170" s="498"/>
      <c r="R170" s="494" t="s">
        <v>214</v>
      </c>
      <c r="S170" s="495"/>
      <c r="T170" s="149"/>
      <c r="U170" s="13"/>
      <c r="V170" s="10"/>
      <c r="W170" s="10"/>
      <c r="X170" s="10"/>
      <c r="Y170" s="10"/>
      <c r="Z170" s="10"/>
      <c r="AA170" s="10"/>
      <c r="AB170" s="10"/>
      <c r="AC170" s="10"/>
      <c r="AD170" s="10"/>
      <c r="AE170" s="10"/>
      <c r="AF170" s="10"/>
      <c r="AG170" s="10"/>
      <c r="AH170" s="10"/>
      <c r="AI170" s="10"/>
      <c r="AJ170" s="10"/>
      <c r="AK170" s="10"/>
      <c r="AL170" s="10"/>
      <c r="AM170" s="10"/>
      <c r="AN170" s="10"/>
    </row>
    <row r="171" spans="1:40" ht="20.25">
      <c r="A171" t="str">
        <f t="shared" ref="A171:A216" si="46">+B171&amp;C171</f>
        <v>Service</v>
      </c>
      <c r="B171" s="11" t="s">
        <v>78</v>
      </c>
      <c r="C171" s="29"/>
      <c r="D171" s="80" t="s">
        <v>39</v>
      </c>
      <c r="E171" s="80" t="s">
        <v>79</v>
      </c>
      <c r="F171" s="134" t="s">
        <v>12</v>
      </c>
      <c r="G171" s="135"/>
      <c r="H171" s="80"/>
      <c r="I171" s="134"/>
      <c r="J171" s="135" t="s">
        <v>39</v>
      </c>
      <c r="K171" s="80" t="s">
        <v>79</v>
      </c>
      <c r="L171" s="134" t="s">
        <v>12</v>
      </c>
      <c r="M171" s="135" t="s">
        <v>220</v>
      </c>
      <c r="N171" s="134" t="s">
        <v>217</v>
      </c>
      <c r="O171" s="80" t="s">
        <v>39</v>
      </c>
      <c r="P171" s="80" t="s">
        <v>79</v>
      </c>
      <c r="Q171" s="134" t="s">
        <v>12</v>
      </c>
      <c r="R171" s="135" t="s">
        <v>80</v>
      </c>
      <c r="S171" s="136" t="s">
        <v>12</v>
      </c>
      <c r="T171" s="80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</row>
    <row r="172" spans="1:40" ht="20.25">
      <c r="A172" t="str">
        <f t="shared" si="46"/>
        <v>ServiceM/O Client</v>
      </c>
      <c r="B172" s="11" t="s">
        <v>78</v>
      </c>
      <c r="C172" s="29" t="s">
        <v>81</v>
      </c>
      <c r="D172" s="13">
        <v>0</v>
      </c>
      <c r="E172" s="82">
        <v>53635.707589127953</v>
      </c>
      <c r="F172" s="82">
        <v>42694.023240945855</v>
      </c>
      <c r="G172" s="156"/>
      <c r="H172" s="82"/>
      <c r="I172" s="82"/>
      <c r="J172" s="60">
        <v>188</v>
      </c>
      <c r="K172" s="30">
        <v>71899.94</v>
      </c>
      <c r="L172" s="33">
        <v>56652.22</v>
      </c>
      <c r="M172" s="157">
        <f>(K172-E172)/E172</f>
        <v>0.34052375239987026</v>
      </c>
      <c r="N172" s="59">
        <f>L172-F172</f>
        <v>13958.196759054146</v>
      </c>
      <c r="O172" s="60">
        <v>178</v>
      </c>
      <c r="P172" s="30">
        <v>50533.55</v>
      </c>
      <c r="Q172" s="33">
        <v>40434.870000000003</v>
      </c>
      <c r="R172" s="157">
        <f>IF(O172=0,0,J172/O172)</f>
        <v>1.0561797752808988</v>
      </c>
      <c r="S172" s="85">
        <f>L172-Q172</f>
        <v>16217.349999999999</v>
      </c>
      <c r="T172" s="82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</row>
    <row r="173" spans="1:40" ht="20.25">
      <c r="A173" t="str">
        <f t="shared" si="46"/>
        <v>Service% profit / ventes</v>
      </c>
      <c r="B173" s="11" t="s">
        <v>78</v>
      </c>
      <c r="C173" s="29" t="s">
        <v>82</v>
      </c>
      <c r="D173" s="13"/>
      <c r="E173" s="144"/>
      <c r="F173" s="158">
        <f>F172/E172</f>
        <v>0.79600000000000004</v>
      </c>
      <c r="G173" s="41"/>
      <c r="H173" s="144"/>
      <c r="I173" s="158"/>
      <c r="J173" s="60"/>
      <c r="K173" s="13"/>
      <c r="L173" s="158">
        <f>IF(L172=0,0,L172/K172)</f>
        <v>0.78793139465763118</v>
      </c>
      <c r="M173" s="157"/>
      <c r="N173" s="59"/>
      <c r="O173" s="60"/>
      <c r="P173" s="13"/>
      <c r="Q173" s="158">
        <f>Q172/P172</f>
        <v>0.80015890433187453</v>
      </c>
      <c r="R173" s="60"/>
      <c r="S173" s="85"/>
      <c r="T173" s="82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</row>
    <row r="174" spans="1:40" ht="20.25">
      <c r="A174" t="str">
        <f t="shared" si="46"/>
        <v>Service</v>
      </c>
      <c r="B174" s="11" t="s">
        <v>78</v>
      </c>
      <c r="C174" s="86"/>
      <c r="D174" s="111"/>
      <c r="E174" s="159">
        <f>IFERROR(E172/D172,0)</f>
        <v>0</v>
      </c>
      <c r="F174" s="160"/>
      <c r="G174" s="23"/>
      <c r="H174" s="159"/>
      <c r="I174" s="160"/>
      <c r="J174" s="161"/>
      <c r="K174" s="465">
        <f>IFERROR(K172/J172,0)</f>
        <v>382.44648936170216</v>
      </c>
      <c r="L174" s="160"/>
      <c r="M174" s="162"/>
      <c r="N174" s="91"/>
      <c r="O174" s="161"/>
      <c r="P174" s="465">
        <f>IFERROR(P172/O172,0)</f>
        <v>283.89634831460677</v>
      </c>
      <c r="Q174" s="160"/>
      <c r="R174" s="161"/>
      <c r="S174" s="92"/>
      <c r="T174" s="82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</row>
    <row r="175" spans="1:40" ht="20.25">
      <c r="A175" t="str">
        <f t="shared" si="46"/>
        <v>ServiceM/O Garantie</v>
      </c>
      <c r="B175" s="11" t="s">
        <v>78</v>
      </c>
      <c r="C175" s="14" t="s">
        <v>83</v>
      </c>
      <c r="D175" s="163">
        <v>0</v>
      </c>
      <c r="E175" s="82">
        <v>31954.832594655505</v>
      </c>
      <c r="F175" s="82">
        <v>23039.43430074662</v>
      </c>
      <c r="G175" s="164"/>
      <c r="H175" s="82"/>
      <c r="I175" s="82"/>
      <c r="J175" s="164">
        <v>206</v>
      </c>
      <c r="K175" s="165">
        <v>33520.949999999997</v>
      </c>
      <c r="L175" s="33">
        <v>22940.14</v>
      </c>
      <c r="M175" s="157">
        <f>(K175-E175)/E175</f>
        <v>4.9010346109790839E-2</v>
      </c>
      <c r="N175" s="109">
        <f>L175-F175</f>
        <v>-99.294300746620138</v>
      </c>
      <c r="O175" s="164">
        <v>253</v>
      </c>
      <c r="P175" s="165">
        <v>36239.18</v>
      </c>
      <c r="Q175" s="33">
        <v>26899.38</v>
      </c>
      <c r="R175" s="157">
        <f>IF(O175=0,0,J175/O175)</f>
        <v>0.81422924901185767</v>
      </c>
      <c r="S175" s="85">
        <f>L175-Q175</f>
        <v>-3959.2400000000016</v>
      </c>
      <c r="T175" s="82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</row>
    <row r="176" spans="1:40" ht="20.25">
      <c r="A176" t="str">
        <f t="shared" si="46"/>
        <v>Service% profit / ventes</v>
      </c>
      <c r="B176" s="11" t="s">
        <v>78</v>
      </c>
      <c r="C176" s="29" t="s">
        <v>82</v>
      </c>
      <c r="D176" s="13"/>
      <c r="E176" s="13"/>
      <c r="F176" s="158">
        <f>F175/E175</f>
        <v>0.72099999999999997</v>
      </c>
      <c r="G176" s="41"/>
      <c r="H176" s="13"/>
      <c r="I176" s="158"/>
      <c r="J176" s="41"/>
      <c r="K176" s="13"/>
      <c r="L176" s="158">
        <f>IF(L175=0,0,L175/K175)</f>
        <v>0.68435232295027437</v>
      </c>
      <c r="M176" s="42"/>
      <c r="N176" s="43"/>
      <c r="O176" s="41"/>
      <c r="P176" s="13"/>
      <c r="Q176" s="158">
        <f>Q175/P175</f>
        <v>0.74227341788638712</v>
      </c>
      <c r="R176" s="42"/>
      <c r="S176" s="44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</row>
    <row r="177" spans="1:40" ht="20.25">
      <c r="A177" t="str">
        <f t="shared" si="46"/>
        <v>Service</v>
      </c>
      <c r="B177" s="11" t="s">
        <v>78</v>
      </c>
      <c r="C177" s="86"/>
      <c r="D177" s="111"/>
      <c r="E177" s="111"/>
      <c r="F177" s="160"/>
      <c r="G177" s="23"/>
      <c r="H177" s="111"/>
      <c r="I177" s="160"/>
      <c r="J177" s="23"/>
      <c r="K177" s="166"/>
      <c r="L177" s="160"/>
      <c r="M177" s="167"/>
      <c r="N177" s="168"/>
      <c r="O177" s="23"/>
      <c r="P177" s="166">
        <f>IFERROR(P175/O175,0)</f>
        <v>143.23786561264822</v>
      </c>
      <c r="Q177" s="160"/>
      <c r="R177" s="167"/>
      <c r="S177" s="169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</row>
    <row r="178" spans="1:40" ht="20.25">
      <c r="A178" t="str">
        <f t="shared" si="46"/>
        <v>ServiceM/O Interne</v>
      </c>
      <c r="B178" s="11" t="s">
        <v>78</v>
      </c>
      <c r="C178" s="29" t="s">
        <v>84</v>
      </c>
      <c r="D178" s="13">
        <v>0</v>
      </c>
      <c r="E178" s="82">
        <v>38048.94246961271</v>
      </c>
      <c r="F178" s="82">
        <v>23514.246446220655</v>
      </c>
      <c r="G178" s="41"/>
      <c r="H178" s="82"/>
      <c r="I178" s="82"/>
      <c r="J178" s="60">
        <v>172</v>
      </c>
      <c r="K178" s="165">
        <v>41479.699999999997</v>
      </c>
      <c r="L178" s="33">
        <v>27521.299999999996</v>
      </c>
      <c r="M178" s="157">
        <f>(K178-E178)/E178</f>
        <v>9.0166961489855257E-2</v>
      </c>
      <c r="N178" s="59">
        <f>L178-F178</f>
        <v>4007.0535537793403</v>
      </c>
      <c r="O178" s="60">
        <v>172</v>
      </c>
      <c r="P178" s="165">
        <v>32689.9199999999</v>
      </c>
      <c r="Q178" s="33">
        <v>20468.2399999999</v>
      </c>
      <c r="R178" s="157">
        <f>IF(O178=0,0,J178/O178)</f>
        <v>1</v>
      </c>
      <c r="S178" s="85">
        <f>L178-Q178</f>
        <v>7053.0600000000959</v>
      </c>
      <c r="T178" s="82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</row>
    <row r="179" spans="1:40" ht="20.25">
      <c r="A179" t="str">
        <f t="shared" si="46"/>
        <v>Service% profit / ventes</v>
      </c>
      <c r="B179" s="11" t="s">
        <v>78</v>
      </c>
      <c r="C179" s="29" t="s">
        <v>82</v>
      </c>
      <c r="D179" s="13"/>
      <c r="E179" s="144"/>
      <c r="F179" s="158">
        <f>F178/E178</f>
        <v>0.61799999999999999</v>
      </c>
      <c r="G179" s="41"/>
      <c r="H179" s="144"/>
      <c r="I179" s="158"/>
      <c r="J179" s="60"/>
      <c r="K179" s="144"/>
      <c r="L179" s="158">
        <f>IF(L178=0,0,L178/K178)</f>
        <v>0.66348840517168628</v>
      </c>
      <c r="M179" s="157"/>
      <c r="N179" s="59">
        <f>L179-F179</f>
        <v>4.5488405171686286E-2</v>
      </c>
      <c r="O179" s="60"/>
      <c r="P179" s="144"/>
      <c r="Q179" s="158">
        <f>Q178/P178</f>
        <v>0.62613307098946591</v>
      </c>
      <c r="R179" s="60">
        <f>O179-K179</f>
        <v>0</v>
      </c>
      <c r="S179" s="85"/>
      <c r="T179" s="82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</row>
    <row r="180" spans="1:40" ht="20.25">
      <c r="A180" t="str">
        <f t="shared" si="46"/>
        <v>Service</v>
      </c>
      <c r="B180" s="11" t="s">
        <v>78</v>
      </c>
      <c r="C180" s="29"/>
      <c r="D180" s="13"/>
      <c r="E180" s="170"/>
      <c r="F180" s="171"/>
      <c r="G180" s="41"/>
      <c r="H180" s="170"/>
      <c r="I180" s="160"/>
      <c r="J180" s="60"/>
      <c r="K180" s="455"/>
      <c r="L180" s="158"/>
      <c r="M180" s="157"/>
      <c r="N180" s="59"/>
      <c r="O180" s="60"/>
      <c r="P180" s="455">
        <f>IFERROR(P178/O178,0)</f>
        <v>190.05767441860408</v>
      </c>
      <c r="Q180" s="158"/>
      <c r="R180" s="172"/>
      <c r="S180" s="85"/>
      <c r="T180" s="82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</row>
    <row r="181" spans="1:40" ht="20.25">
      <c r="A181" t="str">
        <f t="shared" si="46"/>
        <v>ServiceM/O Esthétique</v>
      </c>
      <c r="B181" s="11" t="s">
        <v>78</v>
      </c>
      <c r="C181" s="14" t="s">
        <v>85</v>
      </c>
      <c r="D181" s="105">
        <v>0</v>
      </c>
      <c r="E181" s="82">
        <v>9413.3532347075125</v>
      </c>
      <c r="F181" s="82">
        <v>3765.3412938830052</v>
      </c>
      <c r="G181" s="107"/>
      <c r="H181" s="82"/>
      <c r="I181" s="82"/>
      <c r="J181" s="164">
        <v>42</v>
      </c>
      <c r="K181" s="165">
        <v>7268.21</v>
      </c>
      <c r="L181" s="108">
        <v>2318.71</v>
      </c>
      <c r="M181" s="173">
        <f>IF(E181=0,0,(K181-E181)/E181)</f>
        <v>-0.22788300632321543</v>
      </c>
      <c r="N181" s="109">
        <f>L181-F181</f>
        <v>-1446.6312938830051</v>
      </c>
      <c r="O181" s="164">
        <v>52</v>
      </c>
      <c r="P181" s="165">
        <v>10166.51</v>
      </c>
      <c r="Q181" s="108">
        <v>3792.81</v>
      </c>
      <c r="R181" s="157">
        <f>IF(O181=0,0,J181/O181)</f>
        <v>0.80769230769230771</v>
      </c>
      <c r="S181" s="110">
        <f>L181-Q181</f>
        <v>-1474.1</v>
      </c>
      <c r="T181" s="82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</row>
    <row r="182" spans="1:40" ht="20.25">
      <c r="A182" t="str">
        <f t="shared" si="46"/>
        <v>Service% profit / ventes</v>
      </c>
      <c r="B182" s="11" t="s">
        <v>78</v>
      </c>
      <c r="C182" s="29" t="s">
        <v>82</v>
      </c>
      <c r="D182" s="76"/>
      <c r="E182" s="174"/>
      <c r="F182" s="158">
        <f>IFERROR(F181/E181,0)</f>
        <v>0.4</v>
      </c>
      <c r="G182" s="78"/>
      <c r="H182" s="174"/>
      <c r="I182" s="158"/>
      <c r="J182" s="175"/>
      <c r="K182" s="174"/>
      <c r="L182" s="158">
        <f>IF(L181=0,0,L181/K181)</f>
        <v>0.31902077677997748</v>
      </c>
      <c r="M182" s="60">
        <f>J182-D182</f>
        <v>0</v>
      </c>
      <c r="N182" s="176"/>
      <c r="O182" s="175"/>
      <c r="P182" s="174"/>
      <c r="Q182" s="158">
        <f>IFERROR(Q181/P181,0)</f>
        <v>0.37306902762108135</v>
      </c>
      <c r="R182" s="41"/>
      <c r="S182" s="177"/>
      <c r="T182" s="112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</row>
    <row r="183" spans="1:40" ht="20.25">
      <c r="A183" t="str">
        <f t="shared" si="46"/>
        <v>Service</v>
      </c>
      <c r="B183" s="11" t="s">
        <v>78</v>
      </c>
      <c r="C183" s="86"/>
      <c r="D183" s="178"/>
      <c r="E183" s="179"/>
      <c r="F183" s="160"/>
      <c r="G183" s="180"/>
      <c r="H183" s="179"/>
      <c r="I183" s="160"/>
      <c r="J183" s="181"/>
      <c r="K183" s="25"/>
      <c r="L183" s="160"/>
      <c r="M183" s="161"/>
      <c r="N183" s="182"/>
      <c r="O183" s="181"/>
      <c r="P183" s="25">
        <f>IFERROR(P181/O181,0)</f>
        <v>195.5098076923077</v>
      </c>
      <c r="Q183" s="160"/>
      <c r="R183" s="23"/>
      <c r="S183" s="183"/>
      <c r="T183" s="112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</row>
    <row r="184" spans="1:40" ht="21" thickBot="1">
      <c r="A184" t="str">
        <f t="shared" si="46"/>
        <v>ServiceAjustement M/O</v>
      </c>
      <c r="B184" s="11" t="s">
        <v>78</v>
      </c>
      <c r="C184" s="29" t="s">
        <v>86</v>
      </c>
      <c r="D184" s="13"/>
      <c r="E184" s="13"/>
      <c r="F184" s="59">
        <v>-2001.9895303153758</v>
      </c>
      <c r="G184" s="41"/>
      <c r="H184" s="82"/>
      <c r="I184" s="82"/>
      <c r="J184" s="60"/>
      <c r="K184" s="82"/>
      <c r="L184" s="82">
        <v>-3364.45</v>
      </c>
      <c r="M184" s="175"/>
      <c r="N184" s="59">
        <f>L184-F184</f>
        <v>-1362.4604696846241</v>
      </c>
      <c r="O184" s="60"/>
      <c r="P184" s="82"/>
      <c r="Q184" s="82">
        <v>-1438.67</v>
      </c>
      <c r="R184" s="184"/>
      <c r="S184" s="85">
        <f>L184-Q184</f>
        <v>-1925.7799999999997</v>
      </c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</row>
    <row r="185" spans="1:40" ht="21" thickTop="1">
      <c r="A185" t="str">
        <f t="shared" si="46"/>
        <v>ServiceSous-total M/O</v>
      </c>
      <c r="B185" s="11" t="s">
        <v>78</v>
      </c>
      <c r="C185" s="185" t="s">
        <v>87</v>
      </c>
      <c r="D185" s="186">
        <f>D172+D175+D178+D181+D184</f>
        <v>0</v>
      </c>
      <c r="E185" s="186">
        <f>E172+E175+E178+E181+E184</f>
        <v>133052.83588810367</v>
      </c>
      <c r="F185" s="187">
        <f>F172+F175+F178+F181+F184</f>
        <v>91011.055751480759</v>
      </c>
      <c r="G185" s="188"/>
      <c r="H185" s="186"/>
      <c r="I185" s="187"/>
      <c r="J185" s="188">
        <f>J172+J175+J178+J181+J184</f>
        <v>608</v>
      </c>
      <c r="K185" s="186">
        <f>K172+K175+K178+K181+K184</f>
        <v>154168.79999999999</v>
      </c>
      <c r="L185" s="187">
        <f>L172+L175+L178+L181+L184</f>
        <v>106067.92000000001</v>
      </c>
      <c r="M185" s="189">
        <f>(K185-E185)/E185</f>
        <v>0.15870360049788543</v>
      </c>
      <c r="N185" s="187">
        <f>L185-F185</f>
        <v>15056.864248519254</v>
      </c>
      <c r="O185" s="188">
        <f t="shared" ref="O185:Q185" si="47">O172+O175+O178+O181+O184</f>
        <v>655</v>
      </c>
      <c r="P185" s="186">
        <f t="shared" si="47"/>
        <v>129629.1599999999</v>
      </c>
      <c r="Q185" s="187">
        <f t="shared" si="47"/>
        <v>90156.629999999903</v>
      </c>
      <c r="R185" s="42">
        <f>IF(O185=0,0,J185/O185)</f>
        <v>0.92824427480916027</v>
      </c>
      <c r="S185" s="190">
        <f>L185-Q185</f>
        <v>15911.29000000011</v>
      </c>
      <c r="T185" s="112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</row>
    <row r="186" spans="1:40" ht="20.25">
      <c r="A186" t="str">
        <f t="shared" si="46"/>
        <v>Service% protit / ventes</v>
      </c>
      <c r="B186" s="11" t="s">
        <v>78</v>
      </c>
      <c r="C186" s="191" t="s">
        <v>88</v>
      </c>
      <c r="D186" s="192"/>
      <c r="E186" s="192"/>
      <c r="F186" s="193">
        <f>F185/E185</f>
        <v>0.68402191613578456</v>
      </c>
      <c r="G186" s="194"/>
      <c r="H186" s="192"/>
      <c r="I186" s="43"/>
      <c r="J186" s="194"/>
      <c r="K186" s="443">
        <f>IF(J185=0,0,K185/J185)</f>
        <v>253.56710526315788</v>
      </c>
      <c r="L186" s="43">
        <f>IF(L185=0,0,L185/K185)</f>
        <v>0.68799860931654144</v>
      </c>
      <c r="M186" s="194"/>
      <c r="N186" s="193">
        <f>N185/F185</f>
        <v>0.16543994709427681</v>
      </c>
      <c r="O186" s="194"/>
      <c r="P186" s="443">
        <f>IF(O185=0,0,P185/O185)</f>
        <v>197.90711450381664</v>
      </c>
      <c r="Q186" s="43">
        <f>Q185/P185</f>
        <v>0.69549652254168715</v>
      </c>
      <c r="R186" s="194"/>
      <c r="S186" s="44">
        <f>IF(R185=0,0,S185/R185)</f>
        <v>17141.274588815908</v>
      </c>
      <c r="T186" s="112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</row>
    <row r="187" spans="1:40" ht="20.25">
      <c r="A187" t="str">
        <f t="shared" si="46"/>
        <v>Service</v>
      </c>
      <c r="B187" s="11" t="s">
        <v>78</v>
      </c>
      <c r="C187" s="35"/>
      <c r="D187" s="195"/>
      <c r="E187" s="196"/>
      <c r="F187" s="197"/>
      <c r="G187" s="198"/>
      <c r="H187" s="196"/>
      <c r="I187" s="197"/>
      <c r="J187" s="198"/>
      <c r="K187" s="196"/>
      <c r="L187" s="197"/>
      <c r="M187" s="198"/>
      <c r="N187" s="197"/>
      <c r="O187" s="198"/>
      <c r="P187" s="196"/>
      <c r="Q187" s="197"/>
      <c r="R187" s="198"/>
      <c r="S187" s="199"/>
      <c r="T187" s="112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</row>
    <row r="188" spans="1:40" ht="20.25">
      <c r="A188" t="str">
        <f t="shared" si="46"/>
        <v>ServiceSous-traitement</v>
      </c>
      <c r="B188" s="11" t="s">
        <v>78</v>
      </c>
      <c r="C188" s="29" t="s">
        <v>89</v>
      </c>
      <c r="D188" s="82"/>
      <c r="E188" s="82">
        <v>4512.6097702047173</v>
      </c>
      <c r="F188" s="82">
        <v>771.6562707050067</v>
      </c>
      <c r="G188" s="60"/>
      <c r="H188" s="82"/>
      <c r="I188" s="82"/>
      <c r="J188" s="60"/>
      <c r="K188" s="30">
        <v>3451.71</v>
      </c>
      <c r="L188" s="33">
        <v>111.90000000000009</v>
      </c>
      <c r="M188" s="84">
        <f>IF(E188=0,0,(K188-E188)/E188)</f>
        <v>-0.23509672323308134</v>
      </c>
      <c r="N188" s="59">
        <f>L188-F188</f>
        <v>-659.75627070500661</v>
      </c>
      <c r="O188" s="60"/>
      <c r="P188" s="30">
        <v>5681.3099999999904</v>
      </c>
      <c r="Q188" s="33">
        <v>119.94999999999899</v>
      </c>
      <c r="R188" s="157">
        <f>IF(O188=0,0,J188/O188)</f>
        <v>0</v>
      </c>
      <c r="S188" s="85">
        <f>L188-Q188</f>
        <v>-8.0499999999989029</v>
      </c>
      <c r="T188" s="112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</row>
    <row r="189" spans="1:40" ht="20.25">
      <c r="A189" t="str">
        <f t="shared" si="46"/>
        <v>Service% profit / ventes</v>
      </c>
      <c r="B189" s="11" t="s">
        <v>78</v>
      </c>
      <c r="C189" s="29" t="s">
        <v>82</v>
      </c>
      <c r="D189" s="13"/>
      <c r="E189" s="144"/>
      <c r="F189" s="158">
        <f>IFERROR(F188/E188,0)</f>
        <v>0.17100000000000001</v>
      </c>
      <c r="G189" s="41"/>
      <c r="H189" s="144"/>
      <c r="I189" s="158"/>
      <c r="J189" s="175"/>
      <c r="K189" s="174"/>
      <c r="L189" s="158">
        <f>IF(L188=0,0,L188/K188)</f>
        <v>3.2418714202525734E-2</v>
      </c>
      <c r="M189" s="175"/>
      <c r="N189" s="176"/>
      <c r="O189" s="175"/>
      <c r="P189" s="174"/>
      <c r="Q189" s="158">
        <f>IFERROR(Q188/P188,0)</f>
        <v>2.1113088354622295E-2</v>
      </c>
      <c r="R189" s="175"/>
      <c r="S189" s="177"/>
      <c r="T189" s="112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</row>
    <row r="190" spans="1:40" ht="20.25" hidden="1">
      <c r="A190" t="str">
        <f t="shared" si="46"/>
        <v>Service</v>
      </c>
      <c r="B190" s="11" t="s">
        <v>78</v>
      </c>
      <c r="C190" s="29"/>
      <c r="D190" s="13"/>
      <c r="E190" s="144"/>
      <c r="F190" s="158"/>
      <c r="G190" s="41"/>
      <c r="H190" s="144"/>
      <c r="I190" s="158"/>
      <c r="J190" s="175"/>
      <c r="K190" s="174"/>
      <c r="L190" s="158"/>
      <c r="M190" s="175"/>
      <c r="N190" s="176"/>
      <c r="O190" s="175"/>
      <c r="P190" s="174"/>
      <c r="Q190" s="158"/>
      <c r="R190" s="175"/>
      <c r="S190" s="177"/>
      <c r="T190" s="112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</row>
    <row r="191" spans="1:40" ht="20.25" hidden="1">
      <c r="A191" t="str">
        <f t="shared" si="46"/>
        <v>ServiceM.O. Recond. MCPA</v>
      </c>
      <c r="B191" s="11" t="s">
        <v>78</v>
      </c>
      <c r="C191" s="29" t="s">
        <v>90</v>
      </c>
      <c r="D191" s="13"/>
      <c r="E191" s="82">
        <v>0</v>
      </c>
      <c r="F191" s="82">
        <v>0</v>
      </c>
      <c r="G191" s="41"/>
      <c r="H191" s="82"/>
      <c r="I191" s="82"/>
      <c r="J191" s="175"/>
      <c r="K191" s="30">
        <v>0</v>
      </c>
      <c r="L191" s="158"/>
      <c r="M191" s="175"/>
      <c r="N191" s="176"/>
      <c r="O191" s="175"/>
      <c r="P191" s="30">
        <v>0</v>
      </c>
      <c r="Q191" s="158">
        <v>0</v>
      </c>
      <c r="R191" s="175"/>
      <c r="S191" s="177"/>
      <c r="T191" s="112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</row>
    <row r="192" spans="1:40" ht="20.25" hidden="1">
      <c r="A192" t="str">
        <f t="shared" si="46"/>
        <v>Service% profit / ventes</v>
      </c>
      <c r="B192" s="11" t="s">
        <v>78</v>
      </c>
      <c r="C192" s="29" t="s">
        <v>82</v>
      </c>
      <c r="D192" s="13"/>
      <c r="E192" s="144"/>
      <c r="F192" s="158">
        <f>IF(F191=0,0,F191/E191)</f>
        <v>0</v>
      </c>
      <c r="G192" s="41"/>
      <c r="H192" s="144"/>
      <c r="I192" s="158"/>
      <c r="J192" s="175"/>
      <c r="K192" s="174"/>
      <c r="L192" s="158">
        <f>IF(L191=0,0,L191/K191)</f>
        <v>0</v>
      </c>
      <c r="M192" s="175"/>
      <c r="N192" s="176"/>
      <c r="O192" s="175"/>
      <c r="P192" s="174"/>
      <c r="Q192" s="158">
        <f>IF(Q191=0,0,Q191/P191)</f>
        <v>0</v>
      </c>
      <c r="R192" s="175"/>
      <c r="S192" s="177"/>
      <c r="T192" s="112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</row>
    <row r="193" spans="1:40" ht="21" thickBot="1">
      <c r="A193" t="str">
        <f t="shared" si="46"/>
        <v>Service</v>
      </c>
      <c r="B193" s="11" t="s">
        <v>78</v>
      </c>
      <c r="C193" s="200"/>
      <c r="D193" s="201"/>
      <c r="E193" s="202"/>
      <c r="F193" s="203"/>
      <c r="G193" s="204"/>
      <c r="H193" s="202"/>
      <c r="I193" s="203"/>
      <c r="J193" s="204"/>
      <c r="K193" s="202"/>
      <c r="L193" s="203"/>
      <c r="M193" s="204"/>
      <c r="N193" s="203"/>
      <c r="O193" s="204"/>
      <c r="P193" s="202"/>
      <c r="Q193" s="203"/>
      <c r="R193" s="204"/>
      <c r="S193" s="205"/>
      <c r="T193" s="112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</row>
    <row r="194" spans="1:40" ht="21" thickTop="1">
      <c r="A194" t="str">
        <f t="shared" si="46"/>
        <v>ServiceTotal Mécanique</v>
      </c>
      <c r="B194" s="11" t="s">
        <v>78</v>
      </c>
      <c r="C194" s="62" t="s">
        <v>91</v>
      </c>
      <c r="D194" s="63"/>
      <c r="E194" s="63">
        <f>E185+E188+E191</f>
        <v>137565.4456583084</v>
      </c>
      <c r="F194" s="65">
        <f>F185+F188+F191</f>
        <v>91782.712022185762</v>
      </c>
      <c r="G194" s="66"/>
      <c r="H194" s="63"/>
      <c r="I194" s="65"/>
      <c r="J194" s="66"/>
      <c r="K194" s="63">
        <f>K185+K188+K191</f>
        <v>157620.50999999998</v>
      </c>
      <c r="L194" s="65">
        <f>L185+L188+L191</f>
        <v>106179.82</v>
      </c>
      <c r="M194" s="206">
        <f>L195-F195</f>
        <v>6.4490847640322757E-3</v>
      </c>
      <c r="N194" s="65">
        <f>L194-F194</f>
        <v>14397.107977814245</v>
      </c>
      <c r="O194" s="66"/>
      <c r="P194" s="63">
        <f t="shared" ref="P194:Q194" si="48">P185+P188+P191</f>
        <v>135310.46999999988</v>
      </c>
      <c r="Q194" s="65">
        <f t="shared" si="48"/>
        <v>90276.5799999999</v>
      </c>
      <c r="R194" s="206">
        <f>L195-Q195</f>
        <v>6.4611155390401631E-3</v>
      </c>
      <c r="S194" s="68">
        <f>L194-Q194</f>
        <v>15903.240000000107</v>
      </c>
      <c r="T194" s="112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</row>
    <row r="195" spans="1:40" ht="21" thickBot="1">
      <c r="A195" t="str">
        <f t="shared" si="46"/>
        <v>Service</v>
      </c>
      <c r="B195" s="11" t="s">
        <v>78</v>
      </c>
      <c r="C195" s="69"/>
      <c r="D195" s="70"/>
      <c r="E195" s="70"/>
      <c r="F195" s="74">
        <f>F194/E194</f>
        <v>0.66719307005452544</v>
      </c>
      <c r="G195" s="72"/>
      <c r="H195" s="70"/>
      <c r="I195" s="74"/>
      <c r="J195" s="72"/>
      <c r="K195" s="70"/>
      <c r="L195" s="74">
        <f>L194/K194</f>
        <v>0.67364215481855771</v>
      </c>
      <c r="M195" s="73"/>
      <c r="N195" s="74">
        <f>N194/F194</f>
        <v>0.156860781955693</v>
      </c>
      <c r="O195" s="72"/>
      <c r="P195" s="70"/>
      <c r="Q195" s="74">
        <f>Q194/P194</f>
        <v>0.66718103927951755</v>
      </c>
      <c r="R195" s="73"/>
      <c r="S195" s="75">
        <f>L194/S194</f>
        <v>6.676615582736555</v>
      </c>
      <c r="T195" s="76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</row>
    <row r="196" spans="1:40" ht="21" thickTop="1">
      <c r="A196" t="str">
        <f t="shared" si="46"/>
        <v>Service</v>
      </c>
      <c r="B196" s="11" t="s">
        <v>78</v>
      </c>
      <c r="C196" s="53"/>
      <c r="D196" s="76"/>
      <c r="E196" s="76"/>
      <c r="F196" s="43"/>
      <c r="G196" s="78"/>
      <c r="H196" s="76"/>
      <c r="I196" s="43"/>
      <c r="J196" s="78"/>
      <c r="K196" s="76"/>
      <c r="L196" s="466"/>
      <c r="M196" s="42"/>
      <c r="N196" s="43"/>
      <c r="O196" s="78"/>
      <c r="P196" s="76"/>
      <c r="Q196" s="43"/>
      <c r="R196" s="42"/>
      <c r="S196" s="44"/>
      <c r="T196" s="76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</row>
    <row r="197" spans="1:40" ht="20.25">
      <c r="A197" t="str">
        <f t="shared" si="46"/>
        <v>ServiceDEPENSES</v>
      </c>
      <c r="B197" s="11" t="s">
        <v>78</v>
      </c>
      <c r="C197" s="79" t="s">
        <v>29</v>
      </c>
      <c r="D197" s="13"/>
      <c r="E197" s="13"/>
      <c r="F197" s="59"/>
      <c r="G197" s="41"/>
      <c r="H197" s="13"/>
      <c r="I197" s="59"/>
      <c r="J197" s="41"/>
      <c r="K197" s="13"/>
      <c r="L197" s="40"/>
      <c r="M197" s="41"/>
      <c r="N197" s="40"/>
      <c r="O197" s="41"/>
      <c r="P197" s="13"/>
      <c r="Q197" s="40"/>
      <c r="R197" s="41"/>
      <c r="S197" s="61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</row>
    <row r="198" spans="1:40" ht="20.25">
      <c r="A198" t="str">
        <f t="shared" si="46"/>
        <v>ServiceSalaires cadres</v>
      </c>
      <c r="B198" s="11" t="s">
        <v>78</v>
      </c>
      <c r="C198" s="102" t="s">
        <v>40</v>
      </c>
      <c r="D198" s="13"/>
      <c r="E198" s="13"/>
      <c r="F198" s="30">
        <v>9894.0984096692118</v>
      </c>
      <c r="G198" s="41"/>
      <c r="H198" s="13"/>
      <c r="I198" s="30"/>
      <c r="J198" s="41"/>
      <c r="K198" s="13"/>
      <c r="L198" s="33">
        <v>7802.49</v>
      </c>
      <c r="M198" s="41"/>
      <c r="N198" s="59">
        <f t="shared" ref="N198:N229" si="49">L198-F198</f>
        <v>-2091.6084096692121</v>
      </c>
      <c r="O198" s="41"/>
      <c r="P198" s="13"/>
      <c r="Q198" s="33">
        <v>6300.7</v>
      </c>
      <c r="R198" s="41"/>
      <c r="S198" s="85">
        <f t="shared" ref="S198:S203" si="50">L198-Q198</f>
        <v>1501.79</v>
      </c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</row>
    <row r="199" spans="1:40" ht="20.25">
      <c r="A199" t="str">
        <f t="shared" si="46"/>
        <v>ServiceSalaires commis</v>
      </c>
      <c r="B199" s="11" t="s">
        <v>78</v>
      </c>
      <c r="C199" s="103" t="s">
        <v>41</v>
      </c>
      <c r="D199" s="81"/>
      <c r="E199" s="13"/>
      <c r="F199" s="22">
        <v>5158.1075699745543</v>
      </c>
      <c r="G199" s="83"/>
      <c r="H199" s="13"/>
      <c r="I199" s="22"/>
      <c r="J199" s="41"/>
      <c r="K199" s="13"/>
      <c r="L199" s="33">
        <v>3844.26</v>
      </c>
      <c r="M199" s="41"/>
      <c r="N199" s="59">
        <f t="shared" si="49"/>
        <v>-1313.8475699745541</v>
      </c>
      <c r="O199" s="41"/>
      <c r="P199" s="13"/>
      <c r="Q199" s="33">
        <v>3935.96</v>
      </c>
      <c r="R199" s="41"/>
      <c r="S199" s="85">
        <f t="shared" si="50"/>
        <v>-91.699999999999818</v>
      </c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</row>
    <row r="200" spans="1:40" ht="20.25">
      <c r="A200" t="str">
        <f t="shared" si="46"/>
        <v>ServiceSalaires autres</v>
      </c>
      <c r="B200" s="11" t="s">
        <v>78</v>
      </c>
      <c r="C200" s="102" t="s">
        <v>42</v>
      </c>
      <c r="D200" s="104"/>
      <c r="E200" s="105"/>
      <c r="F200" s="30">
        <v>4622.2290076335885</v>
      </c>
      <c r="G200" s="106"/>
      <c r="H200" s="105"/>
      <c r="I200" s="30"/>
      <c r="J200" s="107"/>
      <c r="K200" s="105"/>
      <c r="L200" s="108">
        <v>4358.63</v>
      </c>
      <c r="M200" s="107"/>
      <c r="N200" s="109">
        <f t="shared" si="49"/>
        <v>-263.59900763358837</v>
      </c>
      <c r="O200" s="107"/>
      <c r="P200" s="105"/>
      <c r="Q200" s="108">
        <v>4026.4</v>
      </c>
      <c r="R200" s="107"/>
      <c r="S200" s="110">
        <f t="shared" si="50"/>
        <v>332.23</v>
      </c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</row>
    <row r="201" spans="1:40" ht="20.25">
      <c r="A201" t="str">
        <f t="shared" si="46"/>
        <v>ServiceSalaires spécialistes</v>
      </c>
      <c r="B201" s="11" t="s">
        <v>78</v>
      </c>
      <c r="C201" s="102" t="s">
        <v>43</v>
      </c>
      <c r="D201" s="81"/>
      <c r="E201" s="13"/>
      <c r="F201" s="30">
        <v>13843.692830312786</v>
      </c>
      <c r="G201" s="83"/>
      <c r="H201" s="13"/>
      <c r="I201" s="30"/>
      <c r="J201" s="41"/>
      <c r="K201" s="13"/>
      <c r="L201" s="33">
        <v>11978.69</v>
      </c>
      <c r="M201" s="41"/>
      <c r="N201" s="59">
        <f t="shared" si="49"/>
        <v>-1865.0028303127856</v>
      </c>
      <c r="O201" s="41"/>
      <c r="P201" s="13"/>
      <c r="Q201" s="33">
        <v>8957.89</v>
      </c>
      <c r="R201" s="41"/>
      <c r="S201" s="85">
        <f t="shared" si="50"/>
        <v>3020.8000000000011</v>
      </c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</row>
    <row r="202" spans="1:40" ht="20.25" hidden="1">
      <c r="A202" t="str">
        <f t="shared" si="46"/>
        <v>Service[...]</v>
      </c>
      <c r="B202" s="11" t="s">
        <v>78</v>
      </c>
      <c r="C202" s="29" t="s">
        <v>19</v>
      </c>
      <c r="D202" s="81"/>
      <c r="E202" s="13"/>
      <c r="F202" s="30">
        <v>0</v>
      </c>
      <c r="G202" s="83"/>
      <c r="H202" s="13"/>
      <c r="I202" s="30"/>
      <c r="J202" s="41"/>
      <c r="K202" s="13"/>
      <c r="L202" s="33">
        <v>0</v>
      </c>
      <c r="M202" s="41"/>
      <c r="N202" s="59">
        <f t="shared" si="49"/>
        <v>0</v>
      </c>
      <c r="O202" s="41"/>
      <c r="P202" s="13"/>
      <c r="Q202" s="33">
        <v>0</v>
      </c>
      <c r="R202" s="41"/>
      <c r="S202" s="85">
        <f t="shared" si="50"/>
        <v>0</v>
      </c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</row>
    <row r="203" spans="1:40" ht="20.25" hidden="1">
      <c r="A203" t="str">
        <f t="shared" si="46"/>
        <v>Service[...]</v>
      </c>
      <c r="B203" s="11" t="s">
        <v>78</v>
      </c>
      <c r="C203" s="29" t="s">
        <v>19</v>
      </c>
      <c r="D203" s="81"/>
      <c r="E203" s="13"/>
      <c r="F203" s="30">
        <v>0</v>
      </c>
      <c r="G203" s="83"/>
      <c r="H203" s="13"/>
      <c r="I203" s="30"/>
      <c r="J203" s="41"/>
      <c r="K203" s="13"/>
      <c r="L203" s="33">
        <v>0</v>
      </c>
      <c r="M203" s="41"/>
      <c r="N203" s="59">
        <f t="shared" si="49"/>
        <v>0</v>
      </c>
      <c r="O203" s="41"/>
      <c r="P203" s="13"/>
      <c r="Q203" s="33">
        <v>0</v>
      </c>
      <c r="R203" s="41"/>
      <c r="S203" s="85">
        <f t="shared" si="50"/>
        <v>0</v>
      </c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</row>
    <row r="204" spans="1:40" ht="20.25" hidden="1">
      <c r="A204" t="str">
        <f t="shared" si="46"/>
        <v>Service[...]</v>
      </c>
      <c r="B204" s="11" t="s">
        <v>78</v>
      </c>
      <c r="C204" s="29" t="s">
        <v>19</v>
      </c>
      <c r="D204" s="81"/>
      <c r="E204" s="13"/>
      <c r="F204" s="30">
        <v>0</v>
      </c>
      <c r="G204" s="83"/>
      <c r="H204" s="13"/>
      <c r="I204" s="30"/>
      <c r="J204" s="41"/>
      <c r="K204" s="13"/>
      <c r="L204" s="33">
        <v>0</v>
      </c>
      <c r="M204" s="41"/>
      <c r="N204" s="59">
        <f t="shared" si="49"/>
        <v>0</v>
      </c>
      <c r="O204" s="41"/>
      <c r="P204" s="13"/>
      <c r="Q204" s="33">
        <v>0</v>
      </c>
      <c r="R204" s="41"/>
      <c r="S204" s="85">
        <f>L204-Q204</f>
        <v>0</v>
      </c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</row>
    <row r="205" spans="1:40" ht="20.25">
      <c r="A205" t="str">
        <f t="shared" si="46"/>
        <v>ServiceSalaires en absences</v>
      </c>
      <c r="B205" s="11" t="s">
        <v>78</v>
      </c>
      <c r="C205" s="103" t="s">
        <v>44</v>
      </c>
      <c r="D205" s="81"/>
      <c r="E205" s="13"/>
      <c r="F205" s="30">
        <v>8049.6285467121852</v>
      </c>
      <c r="G205" s="83"/>
      <c r="H205" s="13"/>
      <c r="I205" s="30"/>
      <c r="J205" s="41"/>
      <c r="K205" s="13"/>
      <c r="L205" s="33">
        <v>6574.63</v>
      </c>
      <c r="M205" s="41"/>
      <c r="N205" s="59">
        <f t="shared" si="49"/>
        <v>-1474.9985467121851</v>
      </c>
      <c r="O205" s="41"/>
      <c r="P205" s="13"/>
      <c r="Q205" s="33">
        <v>4698.5600000000004</v>
      </c>
      <c r="R205" s="41"/>
      <c r="S205" s="85">
        <f>L205-Q205</f>
        <v>1876.0699999999997</v>
      </c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</row>
    <row r="206" spans="1:40" ht="20.25">
      <c r="A206" t="str">
        <f t="shared" si="46"/>
        <v>ServiceDéduction à la source</v>
      </c>
      <c r="B206" s="11" t="s">
        <v>78</v>
      </c>
      <c r="C206" s="102" t="s">
        <v>45</v>
      </c>
      <c r="D206" s="104"/>
      <c r="E206" s="105"/>
      <c r="F206" s="55">
        <v>10460.613896585324</v>
      </c>
      <c r="G206" s="106"/>
      <c r="H206" s="105"/>
      <c r="I206" s="55"/>
      <c r="J206" s="107"/>
      <c r="K206" s="105"/>
      <c r="L206" s="108">
        <v>11172.14</v>
      </c>
      <c r="M206" s="107"/>
      <c r="N206" s="109">
        <f t="shared" si="49"/>
        <v>711.52610341467516</v>
      </c>
      <c r="O206" s="107"/>
      <c r="P206" s="105"/>
      <c r="Q206" s="108">
        <v>9656.89</v>
      </c>
      <c r="R206" s="107"/>
      <c r="S206" s="110">
        <f t="shared" ref="S206:S216" si="51">L206-Q206</f>
        <v>1515.25</v>
      </c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</row>
    <row r="207" spans="1:40" ht="20.25">
      <c r="A207" t="str">
        <f t="shared" si="46"/>
        <v>ServiceBénéfices marginaux</v>
      </c>
      <c r="B207" s="11" t="s">
        <v>78</v>
      </c>
      <c r="C207" s="102" t="s">
        <v>46</v>
      </c>
      <c r="D207" s="81"/>
      <c r="E207" s="13"/>
      <c r="F207" s="30">
        <v>4839.9855342409701</v>
      </c>
      <c r="G207" s="83"/>
      <c r="H207" s="13"/>
      <c r="I207" s="30"/>
      <c r="J207" s="41"/>
      <c r="K207" s="13"/>
      <c r="L207" s="33">
        <v>4627.91</v>
      </c>
      <c r="M207" s="41"/>
      <c r="N207" s="59">
        <f t="shared" si="49"/>
        <v>-212.07553424097023</v>
      </c>
      <c r="O207" s="41"/>
      <c r="P207" s="13"/>
      <c r="Q207" s="33">
        <v>4621.3999999999996</v>
      </c>
      <c r="R207" s="41"/>
      <c r="S207" s="85">
        <f t="shared" si="51"/>
        <v>6.5100000000002183</v>
      </c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</row>
    <row r="208" spans="1:40" ht="20.25">
      <c r="A208" t="str">
        <f t="shared" si="46"/>
        <v>ServiceCsst</v>
      </c>
      <c r="B208" s="11" t="s">
        <v>78</v>
      </c>
      <c r="C208" s="102" t="s">
        <v>47</v>
      </c>
      <c r="D208" s="81"/>
      <c r="E208" s="13"/>
      <c r="F208" s="30">
        <v>1092.8999593447354</v>
      </c>
      <c r="G208" s="83"/>
      <c r="H208" s="13"/>
      <c r="I208" s="30"/>
      <c r="J208" s="41"/>
      <c r="K208" s="13"/>
      <c r="L208" s="33">
        <v>893.99</v>
      </c>
      <c r="M208" s="467"/>
      <c r="N208" s="146">
        <f t="shared" si="49"/>
        <v>-198.9099593447354</v>
      </c>
      <c r="O208" s="467"/>
      <c r="P208" s="468"/>
      <c r="Q208" s="22">
        <v>1019.14</v>
      </c>
      <c r="R208" s="467"/>
      <c r="S208" s="469">
        <f t="shared" si="51"/>
        <v>-125.14999999999998</v>
      </c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</row>
    <row r="209" spans="1:40" ht="20.25" hidden="1">
      <c r="A209" t="str">
        <f t="shared" si="46"/>
        <v>Service[...]</v>
      </c>
      <c r="B209" s="11" t="s">
        <v>78</v>
      </c>
      <c r="C209" s="29" t="s">
        <v>19</v>
      </c>
      <c r="D209" s="87"/>
      <c r="E209" s="111"/>
      <c r="F209" s="30">
        <v>0</v>
      </c>
      <c r="G209" s="89"/>
      <c r="H209" s="111"/>
      <c r="I209" s="30"/>
      <c r="J209" s="23"/>
      <c r="K209" s="111"/>
      <c r="L209" s="33">
        <v>0</v>
      </c>
      <c r="M209" s="23"/>
      <c r="N209" s="91">
        <f t="shared" si="49"/>
        <v>0</v>
      </c>
      <c r="O209" s="23"/>
      <c r="P209" s="111"/>
      <c r="Q209" s="33">
        <v>0</v>
      </c>
      <c r="R209" s="23"/>
      <c r="S209" s="92">
        <f t="shared" si="51"/>
        <v>0</v>
      </c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</row>
    <row r="210" spans="1:40" ht="20.25">
      <c r="A210" t="str">
        <f t="shared" si="46"/>
        <v>ServiceTOTAL PERSONNEL</v>
      </c>
      <c r="B210" s="11" t="s">
        <v>78</v>
      </c>
      <c r="C210" s="93" t="s">
        <v>48</v>
      </c>
      <c r="D210" s="94" t="s">
        <v>92</v>
      </c>
      <c r="E210" s="95">
        <f>F210/F$194</f>
        <v>0.63150515470127899</v>
      </c>
      <c r="F210" s="96">
        <f>+SUM(F198:F209)</f>
        <v>57961.255754473357</v>
      </c>
      <c r="G210" s="97"/>
      <c r="H210" s="95"/>
      <c r="I210" s="96"/>
      <c r="J210" s="97" t="s">
        <v>92</v>
      </c>
      <c r="K210" s="95">
        <f>L210/L$194</f>
        <v>0.48269755966811767</v>
      </c>
      <c r="L210" s="96">
        <f>+SUM(L198:L209)</f>
        <v>51252.74</v>
      </c>
      <c r="M210" s="147"/>
      <c r="N210" s="113">
        <f t="shared" si="49"/>
        <v>-6708.5157544733593</v>
      </c>
      <c r="O210" s="97" t="s">
        <v>92</v>
      </c>
      <c r="P210" s="95">
        <f>Q210/Q$194</f>
        <v>0.47871707147080717</v>
      </c>
      <c r="Q210" s="96">
        <f>+SUM(Q198:Q209)</f>
        <v>43216.939999999995</v>
      </c>
      <c r="R210" s="147"/>
      <c r="S210" s="114">
        <f t="shared" si="51"/>
        <v>8035.8000000000029</v>
      </c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</row>
    <row r="211" spans="1:40" ht="20.25">
      <c r="A211" t="str">
        <f t="shared" si="46"/>
        <v>ServicePublicité 2</v>
      </c>
      <c r="B211" s="11" t="s">
        <v>78</v>
      </c>
      <c r="C211" s="29" t="s">
        <v>49</v>
      </c>
      <c r="D211" s="81"/>
      <c r="E211" s="13"/>
      <c r="F211" s="30">
        <v>4203.4735481734233</v>
      </c>
      <c r="G211" s="83"/>
      <c r="H211" s="13"/>
      <c r="I211" s="30"/>
      <c r="J211" s="41"/>
      <c r="K211" s="13"/>
      <c r="L211" s="33">
        <v>4679.3999999999996</v>
      </c>
      <c r="M211" s="41"/>
      <c r="N211" s="59">
        <f t="shared" si="49"/>
        <v>475.92645182657634</v>
      </c>
      <c r="O211" s="41"/>
      <c r="P211" s="13"/>
      <c r="Q211" s="33">
        <v>3779.95</v>
      </c>
      <c r="R211" s="41"/>
      <c r="S211" s="85">
        <f t="shared" si="51"/>
        <v>899.44999999999982</v>
      </c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</row>
    <row r="212" spans="1:40" ht="20.25">
      <c r="A212" t="str">
        <f t="shared" si="46"/>
        <v>ServiceService gratuit 2</v>
      </c>
      <c r="B212" s="11" t="s">
        <v>78</v>
      </c>
      <c r="C212" s="29" t="s">
        <v>50</v>
      </c>
      <c r="D212" s="81"/>
      <c r="E212" s="13"/>
      <c r="F212" s="30">
        <v>3700</v>
      </c>
      <c r="G212" s="83"/>
      <c r="H212" s="13"/>
      <c r="I212" s="30"/>
      <c r="J212" s="41"/>
      <c r="K212" s="13"/>
      <c r="L212" s="33">
        <v>5937.4600000000009</v>
      </c>
      <c r="M212" s="41"/>
      <c r="N212" s="59">
        <f t="shared" si="49"/>
        <v>2237.4600000000009</v>
      </c>
      <c r="O212" s="41"/>
      <c r="P212" s="13"/>
      <c r="Q212" s="33">
        <v>7943</v>
      </c>
      <c r="R212" s="41"/>
      <c r="S212" s="85">
        <f t="shared" si="51"/>
        <v>-2005.5399999999991</v>
      </c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</row>
    <row r="213" spans="1:40" ht="20.25">
      <c r="A213" t="str">
        <f t="shared" si="46"/>
        <v>ServiceFrais véhicules de cie</v>
      </c>
      <c r="B213" s="11" t="s">
        <v>78</v>
      </c>
      <c r="C213" s="86" t="s">
        <v>51</v>
      </c>
      <c r="D213" s="87"/>
      <c r="E213" s="111"/>
      <c r="F213" s="22">
        <v>4822.7083333333339</v>
      </c>
      <c r="G213" s="89"/>
      <c r="H213" s="111"/>
      <c r="I213" s="22"/>
      <c r="J213" s="23"/>
      <c r="K213" s="111"/>
      <c r="L213" s="33">
        <v>6651.28</v>
      </c>
      <c r="M213" s="23"/>
      <c r="N213" s="91">
        <f t="shared" si="49"/>
        <v>1828.5716666666658</v>
      </c>
      <c r="O213" s="23"/>
      <c r="P213" s="111"/>
      <c r="Q213" s="33">
        <v>4889.4299999999903</v>
      </c>
      <c r="R213" s="23"/>
      <c r="S213" s="92">
        <f t="shared" si="51"/>
        <v>1761.8500000000095</v>
      </c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</row>
    <row r="214" spans="1:40" ht="20.25">
      <c r="A214" t="str">
        <f t="shared" si="46"/>
        <v>ServiceInformatique</v>
      </c>
      <c r="B214" s="11" t="s">
        <v>78</v>
      </c>
      <c r="C214" s="29" t="s">
        <v>52</v>
      </c>
      <c r="D214" s="81"/>
      <c r="E214" s="13"/>
      <c r="F214" s="30">
        <v>5527.0249999999996</v>
      </c>
      <c r="G214" s="83"/>
      <c r="H214" s="13"/>
      <c r="I214" s="30"/>
      <c r="J214" s="41"/>
      <c r="K214" s="13"/>
      <c r="L214" s="108">
        <v>5592.82</v>
      </c>
      <c r="M214" s="41"/>
      <c r="N214" s="59">
        <f t="shared" si="49"/>
        <v>65.795000000000073</v>
      </c>
      <c r="O214" s="41"/>
      <c r="P214" s="13"/>
      <c r="Q214" s="108">
        <v>5906.55</v>
      </c>
      <c r="R214" s="41"/>
      <c r="S214" s="85">
        <f t="shared" si="51"/>
        <v>-313.73000000000047</v>
      </c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</row>
    <row r="215" spans="1:40" ht="20.25">
      <c r="A215" t="str">
        <f t="shared" si="46"/>
        <v>ServiceFrais de déplacement</v>
      </c>
      <c r="B215" s="11" t="s">
        <v>78</v>
      </c>
      <c r="C215" s="29" t="s">
        <v>53</v>
      </c>
      <c r="D215" s="81"/>
      <c r="E215" s="13"/>
      <c r="F215" s="30">
        <v>411.3</v>
      </c>
      <c r="G215" s="83"/>
      <c r="H215" s="13"/>
      <c r="I215" s="30"/>
      <c r="J215" s="41"/>
      <c r="K215" s="13"/>
      <c r="L215" s="33">
        <v>-479.83</v>
      </c>
      <c r="M215" s="41"/>
      <c r="N215" s="59">
        <f t="shared" si="49"/>
        <v>-891.13</v>
      </c>
      <c r="O215" s="41"/>
      <c r="P215" s="13"/>
      <c r="Q215" s="33">
        <v>679.08</v>
      </c>
      <c r="R215" s="41"/>
      <c r="S215" s="85">
        <f t="shared" si="51"/>
        <v>-1158.9100000000001</v>
      </c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</row>
    <row r="216" spans="1:40" ht="20.25">
      <c r="A216" t="str">
        <f t="shared" si="46"/>
        <v>ServiceServices extérieurs</v>
      </c>
      <c r="B216" s="11" t="s">
        <v>78</v>
      </c>
      <c r="C216" s="86" t="s">
        <v>54</v>
      </c>
      <c r="D216" s="87"/>
      <c r="E216" s="111"/>
      <c r="F216" s="22">
        <v>5452.2250000000004</v>
      </c>
      <c r="G216" s="89"/>
      <c r="H216" s="111"/>
      <c r="I216" s="22"/>
      <c r="J216" s="23"/>
      <c r="K216" s="111"/>
      <c r="L216" s="33">
        <v>5555.76</v>
      </c>
      <c r="M216" s="23"/>
      <c r="N216" s="91">
        <f t="shared" si="49"/>
        <v>103.53499999999985</v>
      </c>
      <c r="O216" s="23"/>
      <c r="P216" s="111"/>
      <c r="Q216" s="33">
        <v>4799.83</v>
      </c>
      <c r="R216" s="23"/>
      <c r="S216" s="92">
        <f t="shared" si="51"/>
        <v>755.93000000000029</v>
      </c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</row>
    <row r="217" spans="1:40" ht="20.25">
      <c r="A217" t="str">
        <f>+B217&amp;C217</f>
        <v>ServiceFournitures d'atelier</v>
      </c>
      <c r="B217" s="11" t="s">
        <v>78</v>
      </c>
      <c r="C217" s="29" t="s">
        <v>93</v>
      </c>
      <c r="D217" s="81"/>
      <c r="E217" s="13"/>
      <c r="F217" s="30"/>
      <c r="G217" s="83"/>
      <c r="H217" s="13"/>
      <c r="I217" s="30"/>
      <c r="J217" s="41"/>
      <c r="K217" s="13"/>
      <c r="L217" s="108">
        <v>0</v>
      </c>
      <c r="M217" s="41"/>
      <c r="N217" s="59">
        <f t="shared" si="49"/>
        <v>0</v>
      </c>
      <c r="O217" s="41"/>
      <c r="P217" s="13"/>
      <c r="Q217" s="108">
        <v>0</v>
      </c>
      <c r="R217" s="41"/>
      <c r="S217" s="85">
        <f>L217-Q217</f>
        <v>0</v>
      </c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</row>
    <row r="218" spans="1:40" ht="20.25">
      <c r="A218" t="str">
        <f t="shared" ref="A218:A226" si="52">+B218&amp;C218</f>
        <v>ServiceFournitures autres</v>
      </c>
      <c r="B218" s="11" t="s">
        <v>78</v>
      </c>
      <c r="C218" s="29" t="s">
        <v>55</v>
      </c>
      <c r="D218" s="81"/>
      <c r="E218" s="13"/>
      <c r="F218" s="30">
        <v>1289.9598393574297</v>
      </c>
      <c r="G218" s="83"/>
      <c r="H218" s="13"/>
      <c r="I218" s="30"/>
      <c r="J218" s="41"/>
      <c r="K218" s="13"/>
      <c r="L218" s="33">
        <v>1021.89</v>
      </c>
      <c r="M218" s="41"/>
      <c r="N218" s="59">
        <f t="shared" si="49"/>
        <v>-268.06983935742971</v>
      </c>
      <c r="O218" s="41"/>
      <c r="P218" s="13"/>
      <c r="Q218" s="33">
        <v>1213.31</v>
      </c>
      <c r="R218" s="41"/>
      <c r="S218" s="85">
        <f t="shared" ref="S218:S226" si="53">L218-Q218</f>
        <v>-191.41999999999996</v>
      </c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</row>
    <row r="219" spans="1:40" ht="20.25">
      <c r="A219" t="str">
        <f t="shared" si="52"/>
        <v>ServiceUniformes</v>
      </c>
      <c r="B219" s="11" t="s">
        <v>78</v>
      </c>
      <c r="C219" s="29" t="s">
        <v>56</v>
      </c>
      <c r="D219" s="81"/>
      <c r="E219" s="13"/>
      <c r="F219" s="30">
        <v>950</v>
      </c>
      <c r="G219" s="83"/>
      <c r="H219" s="13"/>
      <c r="I219" s="30"/>
      <c r="J219" s="41"/>
      <c r="K219" s="13"/>
      <c r="L219" s="33">
        <v>1297.26</v>
      </c>
      <c r="M219" s="41"/>
      <c r="N219" s="59">
        <f t="shared" si="49"/>
        <v>347.26</v>
      </c>
      <c r="O219" s="41"/>
      <c r="P219" s="13"/>
      <c r="Q219" s="33">
        <v>816.55</v>
      </c>
      <c r="R219" s="41"/>
      <c r="S219" s="85">
        <f t="shared" si="53"/>
        <v>480.71000000000004</v>
      </c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</row>
    <row r="220" spans="1:40" ht="20.25">
      <c r="A220" t="str">
        <f t="shared" si="52"/>
        <v>ServicePapeterie</v>
      </c>
      <c r="B220" s="11" t="s">
        <v>78</v>
      </c>
      <c r="C220" s="29" t="s">
        <v>57</v>
      </c>
      <c r="D220" s="81"/>
      <c r="E220" s="13"/>
      <c r="F220" s="30">
        <v>393.75</v>
      </c>
      <c r="G220" s="83"/>
      <c r="H220" s="13"/>
      <c r="I220" s="30"/>
      <c r="J220" s="41"/>
      <c r="K220" s="13"/>
      <c r="L220" s="32">
        <v>375.66</v>
      </c>
      <c r="M220" s="41"/>
      <c r="N220" s="59">
        <f t="shared" si="49"/>
        <v>-18.089999999999975</v>
      </c>
      <c r="O220" s="41"/>
      <c r="P220" s="13"/>
      <c r="Q220" s="32">
        <v>295.43</v>
      </c>
      <c r="R220" s="41"/>
      <c r="S220" s="85">
        <f t="shared" si="53"/>
        <v>80.230000000000018</v>
      </c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</row>
    <row r="221" spans="1:40" ht="20.25">
      <c r="A221" t="str">
        <f t="shared" si="52"/>
        <v>ServiceTéléphone</v>
      </c>
      <c r="B221" s="11" t="s">
        <v>78</v>
      </c>
      <c r="C221" s="29" t="s">
        <v>58</v>
      </c>
      <c r="D221" s="81"/>
      <c r="E221" s="13"/>
      <c r="F221" s="30">
        <v>111.2</v>
      </c>
      <c r="G221" s="83"/>
      <c r="H221" s="13"/>
      <c r="I221" s="30"/>
      <c r="J221" s="41"/>
      <c r="K221" s="13"/>
      <c r="L221" s="33">
        <v>83.34</v>
      </c>
      <c r="M221" s="41"/>
      <c r="N221" s="59">
        <f t="shared" si="49"/>
        <v>-27.86</v>
      </c>
      <c r="O221" s="41"/>
      <c r="P221" s="13"/>
      <c r="Q221" s="33">
        <v>69.180000000000007</v>
      </c>
      <c r="R221" s="41"/>
      <c r="S221" s="85">
        <f t="shared" si="53"/>
        <v>14.159999999999997</v>
      </c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</row>
    <row r="222" spans="1:40" ht="20.25">
      <c r="A222" t="str">
        <f t="shared" si="52"/>
        <v>ServiceFrais postaux</v>
      </c>
      <c r="B222" s="11" t="s">
        <v>78</v>
      </c>
      <c r="C222" s="29" t="s">
        <v>59</v>
      </c>
      <c r="D222" s="81"/>
      <c r="E222" s="13"/>
      <c r="F222" s="30">
        <v>112.5</v>
      </c>
      <c r="G222" s="83"/>
      <c r="H222" s="13"/>
      <c r="I222" s="30"/>
      <c r="J222" s="41"/>
      <c r="K222" s="13"/>
      <c r="L222" s="33">
        <v>74.459999999999994</v>
      </c>
      <c r="M222" s="41"/>
      <c r="N222" s="59">
        <f t="shared" si="49"/>
        <v>-38.040000000000006</v>
      </c>
      <c r="O222" s="41"/>
      <c r="P222" s="13"/>
      <c r="Q222" s="33">
        <v>133.25</v>
      </c>
      <c r="R222" s="41"/>
      <c r="S222" s="85">
        <f t="shared" si="53"/>
        <v>-58.790000000000006</v>
      </c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</row>
    <row r="223" spans="1:40" ht="20.25">
      <c r="A223" t="str">
        <f t="shared" si="52"/>
        <v>ServiceDivers</v>
      </c>
      <c r="B223" s="11" t="s">
        <v>78</v>
      </c>
      <c r="C223" s="29" t="s">
        <v>60</v>
      </c>
      <c r="D223" s="81"/>
      <c r="E223" s="13"/>
      <c r="F223" s="30">
        <v>418.05</v>
      </c>
      <c r="G223" s="83"/>
      <c r="H223" s="13"/>
      <c r="I223" s="30"/>
      <c r="J223" s="41"/>
      <c r="K223" s="13"/>
      <c r="L223" s="33">
        <v>325.36</v>
      </c>
      <c r="M223" s="41"/>
      <c r="N223" s="59">
        <f t="shared" si="49"/>
        <v>-92.69</v>
      </c>
      <c r="O223" s="41"/>
      <c r="P223" s="13"/>
      <c r="Q223" s="33">
        <v>334.1</v>
      </c>
      <c r="R223" s="41"/>
      <c r="S223" s="85">
        <f t="shared" si="53"/>
        <v>-8.7400000000000091</v>
      </c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</row>
    <row r="224" spans="1:40" ht="20.25">
      <c r="A224" t="str">
        <f t="shared" si="52"/>
        <v>ServiceFormation</v>
      </c>
      <c r="B224" s="11" t="s">
        <v>78</v>
      </c>
      <c r="C224" s="29" t="s">
        <v>61</v>
      </c>
      <c r="D224" s="81"/>
      <c r="E224" s="13"/>
      <c r="F224" s="30">
        <v>1728.5819066666668</v>
      </c>
      <c r="G224" s="83"/>
      <c r="H224" s="13"/>
      <c r="I224" s="30"/>
      <c r="J224" s="41"/>
      <c r="K224" s="13"/>
      <c r="L224" s="33">
        <v>251.7</v>
      </c>
      <c r="M224" s="41"/>
      <c r="N224" s="59">
        <f t="shared" si="49"/>
        <v>-1476.8819066666667</v>
      </c>
      <c r="O224" s="41"/>
      <c r="P224" s="13"/>
      <c r="Q224" s="33">
        <v>1945.97</v>
      </c>
      <c r="R224" s="41"/>
      <c r="S224" s="85">
        <f t="shared" si="53"/>
        <v>-1694.27</v>
      </c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</row>
    <row r="225" spans="1:40" ht="20.25">
      <c r="A225" t="str">
        <f t="shared" si="52"/>
        <v>ServiceFrais bancaires</v>
      </c>
      <c r="B225" s="11" t="s">
        <v>78</v>
      </c>
      <c r="C225" s="29" t="s">
        <v>62</v>
      </c>
      <c r="D225" s="81"/>
      <c r="E225" s="13"/>
      <c r="F225" s="30">
        <v>1230.7723446480975</v>
      </c>
      <c r="G225" s="83"/>
      <c r="H225" s="13"/>
      <c r="I225" s="30"/>
      <c r="J225" s="41"/>
      <c r="K225" s="13"/>
      <c r="L225" s="33">
        <v>1496.88</v>
      </c>
      <c r="M225" s="41"/>
      <c r="N225" s="59">
        <f t="shared" si="49"/>
        <v>266.10765535190262</v>
      </c>
      <c r="O225" s="41"/>
      <c r="P225" s="13"/>
      <c r="Q225" s="33">
        <v>1214.47</v>
      </c>
      <c r="R225" s="41"/>
      <c r="S225" s="85">
        <f t="shared" si="53"/>
        <v>282.41000000000008</v>
      </c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</row>
    <row r="226" spans="1:40" ht="20.25" hidden="1">
      <c r="A226" t="str">
        <f t="shared" si="52"/>
        <v>Service[...]</v>
      </c>
      <c r="B226" s="11" t="s">
        <v>78</v>
      </c>
      <c r="C226" s="29" t="s">
        <v>19</v>
      </c>
      <c r="D226" s="81"/>
      <c r="E226" s="13"/>
      <c r="F226" s="30">
        <v>0</v>
      </c>
      <c r="G226" s="83"/>
      <c r="H226" s="13"/>
      <c r="I226" s="30"/>
      <c r="J226" s="41"/>
      <c r="K226" s="13"/>
      <c r="L226" s="33">
        <v>0</v>
      </c>
      <c r="M226" s="41"/>
      <c r="N226" s="59">
        <f t="shared" si="49"/>
        <v>0</v>
      </c>
      <c r="O226" s="41"/>
      <c r="P226" s="13"/>
      <c r="Q226" s="33">
        <v>0</v>
      </c>
      <c r="R226" s="41"/>
      <c r="S226" s="85">
        <f t="shared" si="53"/>
        <v>0</v>
      </c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</row>
    <row r="227" spans="1:40" ht="20.25" hidden="1">
      <c r="A227" t="str">
        <f>+B227&amp;C227</f>
        <v>Service[...]</v>
      </c>
      <c r="B227" s="11" t="s">
        <v>78</v>
      </c>
      <c r="C227" s="29" t="s">
        <v>19</v>
      </c>
      <c r="D227" s="81"/>
      <c r="E227" s="13"/>
      <c r="F227" s="30">
        <v>0</v>
      </c>
      <c r="G227" s="83"/>
      <c r="H227" s="13"/>
      <c r="I227" s="30"/>
      <c r="J227" s="41"/>
      <c r="K227" s="13"/>
      <c r="L227" s="33">
        <v>0</v>
      </c>
      <c r="M227" s="41"/>
      <c r="N227" s="59">
        <f t="shared" si="49"/>
        <v>0</v>
      </c>
      <c r="O227" s="41"/>
      <c r="P227" s="13"/>
      <c r="Q227" s="33">
        <v>0</v>
      </c>
      <c r="R227" s="41"/>
      <c r="S227" s="85">
        <f>L227-Q227</f>
        <v>0</v>
      </c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</row>
    <row r="228" spans="1:40" ht="20.25" hidden="1">
      <c r="A228" t="str">
        <f t="shared" ref="A228" si="54">+B228&amp;C228</f>
        <v>Service[...]</v>
      </c>
      <c r="B228" s="11" t="s">
        <v>78</v>
      </c>
      <c r="C228" s="29" t="s">
        <v>19</v>
      </c>
      <c r="D228" s="81"/>
      <c r="E228" s="13"/>
      <c r="F228" s="30">
        <v>0</v>
      </c>
      <c r="G228" s="83"/>
      <c r="H228" s="13"/>
      <c r="I228" s="30"/>
      <c r="J228" s="41"/>
      <c r="K228" s="13"/>
      <c r="L228" s="33">
        <v>0</v>
      </c>
      <c r="M228" s="41"/>
      <c r="N228" s="59">
        <f t="shared" si="49"/>
        <v>0</v>
      </c>
      <c r="O228" s="41"/>
      <c r="P228" s="13"/>
      <c r="Q228" s="33">
        <v>0</v>
      </c>
      <c r="R228" s="41"/>
      <c r="S228" s="85">
        <f t="shared" ref="S228" si="55">L228-Q228</f>
        <v>0</v>
      </c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</row>
    <row r="229" spans="1:40" ht="20.25">
      <c r="B229" s="11"/>
      <c r="C229" s="93" t="s">
        <v>63</v>
      </c>
      <c r="D229" s="94" t="s">
        <v>92</v>
      </c>
      <c r="E229" s="95">
        <f>F229/F$194</f>
        <v>0.33068913854759879</v>
      </c>
      <c r="F229" s="96">
        <f>+SUM(F211:F228)</f>
        <v>30351.545972178948</v>
      </c>
      <c r="G229" s="97"/>
      <c r="H229" s="95"/>
      <c r="I229" s="96"/>
      <c r="J229" s="97" t="s">
        <v>92</v>
      </c>
      <c r="K229" s="95">
        <f>L229/L$194</f>
        <v>0.30950739980534903</v>
      </c>
      <c r="L229" s="96">
        <f>+SUM(L211:L228)</f>
        <v>32863.439999999995</v>
      </c>
      <c r="M229" s="100"/>
      <c r="N229" s="96">
        <f t="shared" si="49"/>
        <v>2511.8940278210466</v>
      </c>
      <c r="O229" s="97" t="s">
        <v>92</v>
      </c>
      <c r="P229" s="95">
        <f>Q229/Q$194</f>
        <v>0.37684303060660945</v>
      </c>
      <c r="Q229" s="96">
        <f>+SUM(Q211:Q228)</f>
        <v>34020.099999999991</v>
      </c>
      <c r="R229" s="100"/>
      <c r="S229" s="101">
        <f>L229-Q229</f>
        <v>-1156.6599999999962</v>
      </c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</row>
    <row r="230" spans="1:40" ht="20.25">
      <c r="B230" s="11"/>
      <c r="C230" s="86"/>
      <c r="D230" s="87"/>
      <c r="E230" s="111"/>
      <c r="F230" s="59"/>
      <c r="G230" s="89"/>
      <c r="H230" s="111"/>
      <c r="I230" s="59"/>
      <c r="J230" s="23"/>
      <c r="K230" s="111"/>
      <c r="L230" s="91"/>
      <c r="M230" s="23"/>
      <c r="N230" s="91"/>
      <c r="O230" s="23"/>
      <c r="P230" s="111"/>
      <c r="Q230" s="91"/>
      <c r="R230" s="23"/>
      <c r="S230" s="92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</row>
    <row r="231" spans="1:40" ht="20.25">
      <c r="B231" s="11"/>
      <c r="C231" s="93" t="s">
        <v>64</v>
      </c>
      <c r="D231" s="94" t="s">
        <v>38</v>
      </c>
      <c r="E231" s="95">
        <f>F231/F$194</f>
        <v>0.96219429324887784</v>
      </c>
      <c r="F231" s="96">
        <f>F210+F229</f>
        <v>88312.801726652309</v>
      </c>
      <c r="G231" s="97"/>
      <c r="H231" s="95"/>
      <c r="I231" s="96"/>
      <c r="J231" s="97" t="s">
        <v>38</v>
      </c>
      <c r="K231" s="95">
        <f>L231/L$194</f>
        <v>0.7922049594734667</v>
      </c>
      <c r="L231" s="96">
        <f>L210+L229</f>
        <v>84116.18</v>
      </c>
      <c r="M231" s="100"/>
      <c r="N231" s="113">
        <f>L231-F231</f>
        <v>-4196.6217266523163</v>
      </c>
      <c r="O231" s="97" t="s">
        <v>38</v>
      </c>
      <c r="P231" s="95">
        <f>Q231/Q$194</f>
        <v>0.85556010207741662</v>
      </c>
      <c r="Q231" s="96">
        <f>Q210+Q229</f>
        <v>77237.039999999979</v>
      </c>
      <c r="R231" s="100"/>
      <c r="S231" s="114">
        <f>L231-Q231</f>
        <v>6879.140000000014</v>
      </c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</row>
    <row r="232" spans="1:40" ht="20.25">
      <c r="B232" s="11"/>
      <c r="C232" s="29"/>
      <c r="D232" s="81"/>
      <c r="E232" s="13"/>
      <c r="F232" s="59"/>
      <c r="G232" s="83"/>
      <c r="H232" s="13"/>
      <c r="I232" s="59"/>
      <c r="J232" s="41"/>
      <c r="K232" s="13"/>
      <c r="L232" s="59"/>
      <c r="M232" s="41"/>
      <c r="N232" s="59">
        <f>L232-F232</f>
        <v>0</v>
      </c>
      <c r="O232" s="41"/>
      <c r="P232" s="13"/>
      <c r="Q232" s="59"/>
      <c r="R232" s="41"/>
      <c r="S232" s="85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</row>
    <row r="233" spans="1:40" ht="21" thickBot="1">
      <c r="B233" s="11"/>
      <c r="C233" s="124" t="s">
        <v>69</v>
      </c>
      <c r="D233" s="152"/>
      <c r="E233" s="125"/>
      <c r="F233" s="127">
        <f>F194-F231</f>
        <v>3469.9102955334529</v>
      </c>
      <c r="G233" s="153"/>
      <c r="H233" s="125"/>
      <c r="I233" s="127"/>
      <c r="J233" s="154"/>
      <c r="K233" s="126"/>
      <c r="L233" s="127">
        <f>L194-L231</f>
        <v>22063.640000000014</v>
      </c>
      <c r="M233" s="154"/>
      <c r="N233" s="127">
        <f>L233-F233</f>
        <v>18593.729704466561</v>
      </c>
      <c r="O233" s="154"/>
      <c r="P233" s="126"/>
      <c r="Q233" s="127">
        <f>Q194-Q231</f>
        <v>13039.539999999921</v>
      </c>
      <c r="R233" s="154"/>
      <c r="S233" s="129">
        <f>L233-Q233</f>
        <v>9024.1000000000931</v>
      </c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  <c r="AM233" s="13"/>
      <c r="AN233" s="13"/>
    </row>
    <row r="234" spans="1:40" ht="21" thickTop="1">
      <c r="B234" s="11"/>
      <c r="C234" s="13"/>
      <c r="D234" s="13"/>
      <c r="E234" s="13"/>
      <c r="F234" s="13"/>
      <c r="G234" s="13"/>
      <c r="H234" s="13"/>
      <c r="I234" s="13"/>
      <c r="J234" s="13"/>
      <c r="K234" s="13"/>
      <c r="L234" s="82"/>
      <c r="M234" s="82"/>
      <c r="N234" s="13"/>
      <c r="O234" s="82"/>
      <c r="P234" s="13"/>
      <c r="Q234" s="82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  <c r="AL234" s="13"/>
      <c r="AM234" s="13"/>
      <c r="AN234" s="13"/>
    </row>
    <row r="235" spans="1:40" ht="20.25">
      <c r="B235" s="11"/>
      <c r="C235" s="10"/>
      <c r="D235" s="10"/>
      <c r="E235" s="10"/>
      <c r="F235" s="10"/>
      <c r="G235" s="10"/>
      <c r="H235" s="10"/>
      <c r="I235" s="10"/>
      <c r="J235" s="10"/>
      <c r="K235" s="10"/>
      <c r="L235" s="155"/>
      <c r="M235" s="155"/>
      <c r="N235" s="10"/>
      <c r="O235" s="155"/>
      <c r="P235" s="10"/>
      <c r="Q235" s="155"/>
      <c r="R235" s="10"/>
      <c r="S235" s="10"/>
      <c r="T235" s="10"/>
      <c r="U235" s="10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  <c r="AL235" s="13"/>
      <c r="AM235" s="13"/>
      <c r="AN235" s="13"/>
    </row>
    <row r="236" spans="1:40" ht="35.25">
      <c r="B236" s="11"/>
      <c r="C236" s="6" t="str">
        <f>C1</f>
        <v>BMW Sherbrooke</v>
      </c>
      <c r="D236" s="2"/>
      <c r="E236" s="2"/>
      <c r="F236" s="2"/>
      <c r="G236" s="2"/>
      <c r="H236" s="1"/>
      <c r="I236" s="1"/>
      <c r="J236" s="1"/>
      <c r="K236" s="3" t="s">
        <v>94</v>
      </c>
      <c r="L236" s="2"/>
      <c r="M236" s="2"/>
      <c r="N236" s="1"/>
      <c r="O236" s="1"/>
      <c r="P236" s="2"/>
      <c r="Q236" s="1"/>
      <c r="R236" s="2"/>
      <c r="S236" s="5" t="str">
        <f>$S$1</f>
        <v>Réalisé, Juillet 2024</v>
      </c>
      <c r="T236" s="2"/>
      <c r="U236" s="6"/>
      <c r="V236" s="10"/>
      <c r="W236" s="10"/>
      <c r="X236" s="10"/>
      <c r="Y236" s="10"/>
      <c r="Z236" s="10"/>
      <c r="AA236" s="10"/>
      <c r="AB236" s="10"/>
      <c r="AC236" s="10"/>
      <c r="AD236" s="10"/>
      <c r="AE236" s="10"/>
      <c r="AF236" s="10"/>
      <c r="AG236" s="10"/>
      <c r="AH236" s="10"/>
      <c r="AI236" s="10"/>
      <c r="AJ236" s="10"/>
      <c r="AK236" s="10"/>
      <c r="AL236" s="10"/>
      <c r="AM236" s="10"/>
      <c r="AN236" s="10"/>
    </row>
    <row r="237" spans="1:40" ht="36" thickBot="1">
      <c r="B237" s="11"/>
      <c r="C237" s="8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6"/>
      <c r="W237" s="6"/>
      <c r="X237" s="6"/>
      <c r="Y237" s="6"/>
      <c r="Z237" s="6"/>
      <c r="AA237" s="6"/>
      <c r="AB237" s="6"/>
      <c r="AC237" s="6"/>
      <c r="AD237" s="6"/>
      <c r="AE237" s="6"/>
      <c r="AF237" s="6"/>
      <c r="AG237" s="6"/>
      <c r="AH237" s="6"/>
      <c r="AI237" s="6"/>
      <c r="AJ237" s="6"/>
      <c r="AK237" s="6"/>
      <c r="AL237" s="6"/>
      <c r="AM237" s="6"/>
      <c r="AN237" s="6"/>
    </row>
    <row r="238" spans="1:40" ht="21" thickTop="1">
      <c r="B238" s="11"/>
      <c r="C238" s="12"/>
      <c r="D238" s="496" t="s">
        <v>5</v>
      </c>
      <c r="E238" s="497"/>
      <c r="F238" s="498"/>
      <c r="G238" s="499"/>
      <c r="H238" s="497"/>
      <c r="I238" s="498"/>
      <c r="J238" s="499" t="s">
        <v>7</v>
      </c>
      <c r="K238" s="497"/>
      <c r="L238" s="498"/>
      <c r="M238" s="499" t="s">
        <v>213</v>
      </c>
      <c r="N238" s="498"/>
      <c r="O238" s="496" t="s">
        <v>8</v>
      </c>
      <c r="P238" s="497"/>
      <c r="Q238" s="498"/>
      <c r="R238" s="494" t="s">
        <v>214</v>
      </c>
      <c r="S238" s="495"/>
      <c r="T238" s="149"/>
      <c r="U238" s="13"/>
      <c r="V238" s="10"/>
      <c r="W238" s="10"/>
      <c r="X238" s="10"/>
      <c r="Y238" s="10"/>
      <c r="Z238" s="10"/>
      <c r="AA238" s="10"/>
      <c r="AB238" s="10"/>
      <c r="AC238" s="10"/>
      <c r="AD238" s="10"/>
      <c r="AE238" s="10"/>
      <c r="AF238" s="10"/>
      <c r="AG238" s="10"/>
      <c r="AH238" s="10"/>
      <c r="AI238" s="10"/>
      <c r="AJ238" s="10"/>
      <c r="AK238" s="10"/>
      <c r="AL238" s="10"/>
      <c r="AM238" s="10"/>
      <c r="AN238" s="10"/>
    </row>
    <row r="239" spans="1:40" ht="20.25">
      <c r="A239" t="str">
        <f t="shared" ref="A239:A272" si="56">+B239&amp;C239</f>
        <v>Carrosserie</v>
      </c>
      <c r="B239" s="11" t="s">
        <v>94</v>
      </c>
      <c r="C239" s="29"/>
      <c r="D239" s="80" t="s">
        <v>39</v>
      </c>
      <c r="E239" s="80" t="s">
        <v>79</v>
      </c>
      <c r="F239" s="134" t="s">
        <v>12</v>
      </c>
      <c r="G239" s="135"/>
      <c r="H239" s="80"/>
      <c r="I239" s="134"/>
      <c r="J239" s="135" t="s">
        <v>39</v>
      </c>
      <c r="K239" s="80" t="s">
        <v>79</v>
      </c>
      <c r="L239" s="134" t="s">
        <v>12</v>
      </c>
      <c r="M239" s="135" t="s">
        <v>39</v>
      </c>
      <c r="N239" s="134" t="s">
        <v>217</v>
      </c>
      <c r="O239" s="80" t="s">
        <v>39</v>
      </c>
      <c r="P239" s="80" t="s">
        <v>79</v>
      </c>
      <c r="Q239" s="134" t="s">
        <v>12</v>
      </c>
      <c r="R239" s="135" t="s">
        <v>80</v>
      </c>
      <c r="S239" s="136" t="s">
        <v>12</v>
      </c>
      <c r="T239" s="80"/>
      <c r="U239" s="13"/>
      <c r="V239" s="13"/>
      <c r="W239" s="13"/>
      <c r="X239" s="13"/>
      <c r="Y239" s="13"/>
      <c r="Z239" s="13"/>
      <c r="AA239" s="13"/>
      <c r="AB239" s="13"/>
      <c r="AC239" s="13"/>
      <c r="AD239" s="13"/>
      <c r="AE239" s="13"/>
      <c r="AF239" s="13"/>
      <c r="AG239" s="13"/>
      <c r="AH239" s="13"/>
      <c r="AI239" s="13"/>
      <c r="AJ239" s="13"/>
      <c r="AK239" s="13"/>
      <c r="AL239" s="13"/>
      <c r="AM239" s="13"/>
      <c r="AN239" s="13"/>
    </row>
    <row r="240" spans="1:40" ht="20.25">
      <c r="A240" t="str">
        <f t="shared" si="56"/>
        <v>Carrosserie</v>
      </c>
      <c r="B240" s="11" t="s">
        <v>94</v>
      </c>
      <c r="C240" s="29"/>
      <c r="D240" s="80"/>
      <c r="E240" s="80"/>
      <c r="F240" s="134"/>
      <c r="G240" s="135"/>
      <c r="H240" s="80"/>
      <c r="I240" s="134"/>
      <c r="J240" s="135"/>
      <c r="K240" s="30"/>
      <c r="L240" s="33"/>
      <c r="M240" s="135"/>
      <c r="N240" s="134"/>
      <c r="O240" s="80"/>
      <c r="P240" s="80"/>
      <c r="Q240" s="134"/>
      <c r="R240" s="135"/>
      <c r="S240" s="136"/>
      <c r="T240" s="80"/>
      <c r="U240" s="13"/>
      <c r="V240" s="13"/>
      <c r="W240" s="13"/>
      <c r="X240" s="13"/>
      <c r="Y240" s="13"/>
      <c r="Z240" s="13"/>
      <c r="AA240" s="13"/>
      <c r="AB240" s="13"/>
      <c r="AC240" s="13"/>
      <c r="AD240" s="13"/>
      <c r="AE240" s="13"/>
      <c r="AF240" s="13"/>
      <c r="AG240" s="13"/>
      <c r="AH240" s="13"/>
      <c r="AI240" s="13"/>
      <c r="AJ240" s="13"/>
      <c r="AK240" s="13"/>
      <c r="AL240" s="13"/>
      <c r="AM240" s="13"/>
      <c r="AN240" s="13"/>
    </row>
    <row r="241" spans="1:40" ht="20.25">
      <c r="A241" t="str">
        <f t="shared" si="56"/>
        <v>CarrosserieM/O Sous-traitement</v>
      </c>
      <c r="B241" s="11" t="s">
        <v>94</v>
      </c>
      <c r="C241" s="29" t="s">
        <v>95</v>
      </c>
      <c r="D241" s="80">
        <v>0</v>
      </c>
      <c r="E241" s="82">
        <v>2318.8162338570964</v>
      </c>
      <c r="F241" s="82">
        <v>417.38692209427734</v>
      </c>
      <c r="G241" s="156"/>
      <c r="H241" s="82"/>
      <c r="I241" s="82"/>
      <c r="J241" s="60">
        <v>6</v>
      </c>
      <c r="K241" s="30">
        <v>567.51</v>
      </c>
      <c r="L241" s="33">
        <v>132.01999999999998</v>
      </c>
      <c r="M241" s="157">
        <f>IFERROR((K241-E241)/E241,0)</f>
        <v>-0.75525874292504436</v>
      </c>
      <c r="N241" s="59">
        <f>L241-F241</f>
        <v>-285.36692209427736</v>
      </c>
      <c r="O241" s="60">
        <v>16</v>
      </c>
      <c r="P241" s="30">
        <v>3629.82</v>
      </c>
      <c r="Q241" s="33">
        <v>555.34</v>
      </c>
      <c r="R241" s="157">
        <f>IF(O241=0,0,J241/O241)</f>
        <v>0.375</v>
      </c>
      <c r="S241" s="85">
        <f>L241-Q241</f>
        <v>-423.32000000000005</v>
      </c>
      <c r="T241" s="80"/>
      <c r="U241" s="13"/>
      <c r="V241" s="13"/>
      <c r="W241" s="13"/>
      <c r="X241" s="13"/>
      <c r="Y241" s="13"/>
      <c r="Z241" s="13"/>
      <c r="AA241" s="13"/>
      <c r="AB241" s="13"/>
      <c r="AC241" s="13"/>
      <c r="AD241" s="13"/>
      <c r="AE241" s="13"/>
      <c r="AF241" s="13"/>
      <c r="AG241" s="13"/>
      <c r="AH241" s="13"/>
      <c r="AI241" s="13"/>
      <c r="AJ241" s="13"/>
      <c r="AK241" s="13"/>
      <c r="AL241" s="13"/>
      <c r="AM241" s="13"/>
      <c r="AN241" s="13"/>
    </row>
    <row r="242" spans="1:40" ht="20.25">
      <c r="A242" t="str">
        <f t="shared" si="56"/>
        <v>Carrosserie% profit / ventes</v>
      </c>
      <c r="B242" s="11" t="s">
        <v>94</v>
      </c>
      <c r="C242" s="29" t="s">
        <v>82</v>
      </c>
      <c r="D242" s="80"/>
      <c r="E242" s="144"/>
      <c r="F242" s="158">
        <f>IFERROR(F241/E241,0)</f>
        <v>0.18</v>
      </c>
      <c r="G242" s="41"/>
      <c r="H242" s="144"/>
      <c r="I242" s="158"/>
      <c r="J242" s="60"/>
      <c r="K242" s="13"/>
      <c r="L242" s="158">
        <f>IFERROR(L241/K241,0)</f>
        <v>0.23263026202181455</v>
      </c>
      <c r="M242" s="157"/>
      <c r="N242" s="470">
        <f>IFERROR(N241/M241,0)</f>
        <v>377.83994527369356</v>
      </c>
      <c r="O242" s="60"/>
      <c r="P242" s="13"/>
      <c r="Q242" s="158">
        <f>IFERROR(Q241/P241,0)</f>
        <v>0.15299381236535145</v>
      </c>
      <c r="R242" s="60"/>
      <c r="S242" s="85">
        <f>IFERROR(S241/R241,0)</f>
        <v>-1128.8533333333335</v>
      </c>
      <c r="T242" s="80"/>
      <c r="U242" s="13"/>
      <c r="V242" s="13"/>
      <c r="W242" s="13"/>
      <c r="X242" s="13"/>
      <c r="Y242" s="13"/>
      <c r="Z242" s="13"/>
      <c r="AA242" s="13"/>
      <c r="AB242" s="13"/>
      <c r="AC242" s="13"/>
      <c r="AD242" s="13"/>
      <c r="AE242" s="13"/>
      <c r="AF242" s="13"/>
      <c r="AG242" s="13"/>
      <c r="AH242" s="13"/>
      <c r="AI242" s="13"/>
      <c r="AJ242" s="13"/>
      <c r="AK242" s="13"/>
      <c r="AL242" s="13"/>
      <c r="AM242" s="13"/>
      <c r="AN242" s="13"/>
    </row>
    <row r="243" spans="1:40" ht="20.25">
      <c r="A243" t="str">
        <f t="shared" si="56"/>
        <v>Carrosserie</v>
      </c>
      <c r="B243" s="11" t="s">
        <v>94</v>
      </c>
      <c r="C243" s="29"/>
      <c r="D243" s="80"/>
      <c r="E243" s="207"/>
      <c r="F243" s="471"/>
      <c r="G243" s="135"/>
      <c r="H243" s="207"/>
      <c r="I243" s="471"/>
      <c r="J243" s="135"/>
      <c r="K243" s="80"/>
      <c r="L243" s="134"/>
      <c r="M243" s="135"/>
      <c r="N243" s="134"/>
      <c r="O243" s="135"/>
      <c r="P243" s="80"/>
      <c r="Q243" s="134"/>
      <c r="R243" s="208"/>
      <c r="S243" s="136"/>
      <c r="T243" s="80"/>
      <c r="U243" s="13"/>
      <c r="V243" s="13"/>
      <c r="W243" s="13"/>
      <c r="X243" s="13"/>
      <c r="Y243" s="13"/>
      <c r="Z243" s="13"/>
      <c r="AA243" s="13"/>
      <c r="AB243" s="13"/>
      <c r="AC243" s="13"/>
      <c r="AD243" s="13"/>
      <c r="AE243" s="13"/>
      <c r="AF243" s="13"/>
      <c r="AG243" s="13"/>
      <c r="AH243" s="13"/>
      <c r="AI243" s="13"/>
      <c r="AJ243" s="13"/>
      <c r="AK243" s="13"/>
      <c r="AL243" s="13"/>
      <c r="AM243" s="13"/>
      <c r="AN243" s="13"/>
    </row>
    <row r="244" spans="1:40" ht="20.25">
      <c r="A244" t="str">
        <f t="shared" si="56"/>
        <v>CarrosserieM/O Carrosserie</v>
      </c>
      <c r="B244" s="11" t="s">
        <v>94</v>
      </c>
      <c r="C244" s="14" t="s">
        <v>96</v>
      </c>
      <c r="D244" s="105">
        <v>0</v>
      </c>
      <c r="E244" s="82">
        <v>0</v>
      </c>
      <c r="F244" s="82">
        <v>0</v>
      </c>
      <c r="G244" s="209"/>
      <c r="H244" s="82"/>
      <c r="I244" s="82"/>
      <c r="J244" s="164">
        <v>0</v>
      </c>
      <c r="K244" s="165">
        <v>0</v>
      </c>
      <c r="L244" s="108">
        <v>0</v>
      </c>
      <c r="M244" s="173">
        <f>IFERROR((K244-E244)/E244,0)</f>
        <v>0</v>
      </c>
      <c r="N244" s="109">
        <f>L244-F244</f>
        <v>0</v>
      </c>
      <c r="O244" s="164">
        <v>0</v>
      </c>
      <c r="P244" s="165">
        <v>0</v>
      </c>
      <c r="Q244" s="108">
        <v>0</v>
      </c>
      <c r="R244" s="157">
        <f>IF(O244=0,0,J244/O244)</f>
        <v>0</v>
      </c>
      <c r="S244" s="110">
        <f>L244-Q244</f>
        <v>0</v>
      </c>
      <c r="T244" s="148"/>
      <c r="U244" s="13"/>
      <c r="V244" s="13"/>
      <c r="W244" s="13"/>
      <c r="X244" s="13"/>
      <c r="Y244" s="13"/>
      <c r="Z244" s="13"/>
      <c r="AA244" s="13"/>
      <c r="AB244" s="13"/>
      <c r="AC244" s="13"/>
      <c r="AD244" s="13"/>
      <c r="AE244" s="13"/>
      <c r="AF244" s="13"/>
      <c r="AG244" s="13"/>
      <c r="AH244" s="13"/>
      <c r="AI244" s="13"/>
      <c r="AJ244" s="13"/>
      <c r="AK244" s="13"/>
      <c r="AL244" s="13"/>
      <c r="AM244" s="13"/>
      <c r="AN244" s="13"/>
    </row>
    <row r="245" spans="1:40" ht="20.25">
      <c r="A245" t="str">
        <f t="shared" si="56"/>
        <v>Carrosserie% profit / ventes</v>
      </c>
      <c r="B245" s="11" t="s">
        <v>94</v>
      </c>
      <c r="C245" s="29" t="s">
        <v>82</v>
      </c>
      <c r="D245" s="13"/>
      <c r="E245" s="144"/>
      <c r="F245" s="158" t="e">
        <f>F244/E244</f>
        <v>#DIV/0!</v>
      </c>
      <c r="G245" s="41"/>
      <c r="H245" s="144"/>
      <c r="I245" s="158"/>
      <c r="J245" s="60"/>
      <c r="K245" s="13"/>
      <c r="L245" s="158">
        <f>IFERROR(L244/K244,0)</f>
        <v>0</v>
      </c>
      <c r="M245" s="157"/>
      <c r="N245" s="59">
        <f>IFERROR(N244/F244,0)</f>
        <v>0</v>
      </c>
      <c r="O245" s="60"/>
      <c r="P245" s="13"/>
      <c r="Q245" s="158">
        <f>IFERROR(Q244/P244,0)</f>
        <v>0</v>
      </c>
      <c r="R245" s="60"/>
      <c r="S245" s="85">
        <f>IF(Q244=0,0,S244/Q244)</f>
        <v>0</v>
      </c>
      <c r="T245" s="148"/>
      <c r="U245" s="13"/>
      <c r="V245" s="13"/>
      <c r="W245" s="13"/>
      <c r="X245" s="13"/>
      <c r="Y245" s="13"/>
      <c r="Z245" s="13"/>
      <c r="AA245" s="13"/>
      <c r="AB245" s="13"/>
      <c r="AC245" s="13"/>
      <c r="AD245" s="13"/>
      <c r="AE245" s="13"/>
      <c r="AF245" s="13"/>
      <c r="AG245" s="13"/>
      <c r="AH245" s="13"/>
      <c r="AI245" s="13"/>
      <c r="AJ245" s="13"/>
      <c r="AK245" s="13"/>
      <c r="AL245" s="13"/>
      <c r="AM245" s="13"/>
      <c r="AN245" s="13"/>
    </row>
    <row r="246" spans="1:40" ht="20.25">
      <c r="A246" t="str">
        <f t="shared" si="56"/>
        <v>Carrosserie</v>
      </c>
      <c r="B246" s="11" t="s">
        <v>94</v>
      </c>
      <c r="C246" s="86"/>
      <c r="D246" s="111"/>
      <c r="E246" s="159"/>
      <c r="F246" s="160"/>
      <c r="G246" s="23"/>
      <c r="H246" s="170"/>
      <c r="I246" s="160"/>
      <c r="J246" s="161"/>
      <c r="K246" s="210"/>
      <c r="L246" s="160"/>
      <c r="M246" s="162"/>
      <c r="N246" s="91"/>
      <c r="O246" s="161"/>
      <c r="P246" s="210"/>
      <c r="Q246" s="160"/>
      <c r="R246" s="161"/>
      <c r="S246" s="92"/>
      <c r="T246" s="148"/>
      <c r="U246" s="13"/>
      <c r="V246" s="13"/>
      <c r="W246" s="13"/>
      <c r="X246" s="13"/>
      <c r="Y246" s="13"/>
      <c r="Z246" s="13"/>
      <c r="AA246" s="13"/>
      <c r="AB246" s="13"/>
      <c r="AC246" s="13"/>
      <c r="AD246" s="13"/>
      <c r="AE246" s="13"/>
      <c r="AF246" s="13"/>
      <c r="AG246" s="13"/>
      <c r="AH246" s="13"/>
      <c r="AI246" s="13"/>
      <c r="AJ246" s="13"/>
      <c r="AK246" s="13"/>
      <c r="AL246" s="13"/>
      <c r="AM246" s="13"/>
      <c r="AN246" s="13"/>
    </row>
    <row r="247" spans="1:40" ht="20.25">
      <c r="A247" t="str">
        <f t="shared" si="56"/>
        <v>CarrosserieM/O Esthétique Carr.</v>
      </c>
      <c r="B247" s="11" t="s">
        <v>94</v>
      </c>
      <c r="C247" s="14" t="s">
        <v>97</v>
      </c>
      <c r="D247" s="163">
        <v>0</v>
      </c>
      <c r="E247" s="82">
        <v>0</v>
      </c>
      <c r="F247" s="82">
        <v>0</v>
      </c>
      <c r="G247" s="164"/>
      <c r="H247" s="82"/>
      <c r="I247" s="82"/>
      <c r="J247" s="164">
        <v>0</v>
      </c>
      <c r="K247" s="30">
        <v>0</v>
      </c>
      <c r="L247" s="33">
        <v>0</v>
      </c>
      <c r="M247" s="157">
        <f>IFERROR((K247-E247)/E247,0)</f>
        <v>0</v>
      </c>
      <c r="N247" s="109">
        <f>L247-F247</f>
        <v>0</v>
      </c>
      <c r="O247" s="164">
        <v>0</v>
      </c>
      <c r="P247" s="30">
        <v>0</v>
      </c>
      <c r="Q247" s="33">
        <v>0</v>
      </c>
      <c r="R247" s="157">
        <f>IF(O247=0,0,J247/O247)</f>
        <v>0</v>
      </c>
      <c r="S247" s="85">
        <f>L247-Q247</f>
        <v>0</v>
      </c>
      <c r="T247" s="148"/>
      <c r="U247" s="13"/>
      <c r="V247" s="13"/>
      <c r="W247" s="13"/>
      <c r="X247" s="13"/>
      <c r="Y247" s="13"/>
      <c r="Z247" s="13"/>
      <c r="AA247" s="13"/>
      <c r="AB247" s="13"/>
      <c r="AC247" s="13"/>
      <c r="AD247" s="13"/>
      <c r="AE247" s="13"/>
      <c r="AF247" s="13"/>
      <c r="AG247" s="13"/>
      <c r="AH247" s="13"/>
      <c r="AI247" s="13"/>
      <c r="AJ247" s="13"/>
      <c r="AK247" s="13"/>
      <c r="AL247" s="13"/>
      <c r="AM247" s="13"/>
      <c r="AN247" s="13"/>
    </row>
    <row r="248" spans="1:40" ht="20.25">
      <c r="A248" t="str">
        <f t="shared" si="56"/>
        <v>Carrosserie% profit / ventes</v>
      </c>
      <c r="B248" s="11" t="s">
        <v>94</v>
      </c>
      <c r="C248" s="29" t="s">
        <v>82</v>
      </c>
      <c r="D248" s="13"/>
      <c r="E248" s="13"/>
      <c r="F248" s="158" t="e">
        <f>F247/E247</f>
        <v>#DIV/0!</v>
      </c>
      <c r="G248" s="41"/>
      <c r="H248" s="13"/>
      <c r="I248" s="158"/>
      <c r="J248" s="41"/>
      <c r="K248" s="13"/>
      <c r="L248" s="158">
        <f>IFERROR(L247/K247,0)</f>
        <v>0</v>
      </c>
      <c r="M248" s="42"/>
      <c r="N248" s="43">
        <f>IF(L247=0,0,N247/L247)</f>
        <v>0</v>
      </c>
      <c r="O248" s="41"/>
      <c r="P248" s="13"/>
      <c r="Q248" s="158">
        <f>IFERROR(Q247/P247,0)</f>
        <v>0</v>
      </c>
      <c r="R248" s="42"/>
      <c r="S248" s="44">
        <f>IF(Q247=0,0,S247/Q247)</f>
        <v>0</v>
      </c>
      <c r="T248" s="148"/>
      <c r="U248" s="13"/>
      <c r="V248" s="13"/>
      <c r="W248" s="13"/>
      <c r="X248" s="13"/>
      <c r="Y248" s="13"/>
      <c r="Z248" s="13"/>
      <c r="AA248" s="13"/>
      <c r="AB248" s="13"/>
      <c r="AC248" s="13"/>
      <c r="AD248" s="13"/>
      <c r="AE248" s="13"/>
      <c r="AF248" s="13"/>
      <c r="AG248" s="13"/>
      <c r="AH248" s="13"/>
      <c r="AI248" s="13"/>
      <c r="AJ248" s="13"/>
      <c r="AK248" s="13"/>
      <c r="AL248" s="13"/>
      <c r="AM248" s="13"/>
      <c r="AN248" s="13"/>
    </row>
    <row r="249" spans="1:40" ht="21" thickBot="1">
      <c r="A249" t="str">
        <f t="shared" si="56"/>
        <v>Carrosserie</v>
      </c>
      <c r="B249" s="11" t="s">
        <v>94</v>
      </c>
      <c r="C249" s="29"/>
      <c r="D249" s="13"/>
      <c r="E249" s="13"/>
      <c r="F249" s="158"/>
      <c r="G249" s="41"/>
      <c r="H249" s="13"/>
      <c r="I249" s="158"/>
      <c r="J249" s="41"/>
      <c r="K249" s="13"/>
      <c r="L249" s="158"/>
      <c r="M249" s="42"/>
      <c r="N249" s="43"/>
      <c r="O249" s="41"/>
      <c r="P249" s="13"/>
      <c r="Q249" s="158"/>
      <c r="R249" s="42"/>
      <c r="S249" s="44"/>
      <c r="T249" s="148"/>
      <c r="U249" s="13"/>
      <c r="V249" s="13"/>
      <c r="W249" s="13"/>
      <c r="X249" s="13"/>
      <c r="Y249" s="13"/>
      <c r="Z249" s="13"/>
      <c r="AA249" s="13"/>
      <c r="AB249" s="13"/>
      <c r="AC249" s="13"/>
      <c r="AD249" s="13"/>
      <c r="AE249" s="13"/>
      <c r="AF249" s="13"/>
      <c r="AG249" s="13"/>
      <c r="AH249" s="13"/>
      <c r="AI249" s="13"/>
      <c r="AJ249" s="13"/>
      <c r="AK249" s="13"/>
      <c r="AL249" s="13"/>
      <c r="AM249" s="13"/>
      <c r="AN249" s="13"/>
    </row>
    <row r="250" spans="1:40" ht="21" thickTop="1">
      <c r="A250" t="str">
        <f t="shared" si="56"/>
        <v>CarrosserieTotal Mécanique</v>
      </c>
      <c r="B250" s="11" t="s">
        <v>94</v>
      </c>
      <c r="C250" s="62" t="s">
        <v>91</v>
      </c>
      <c r="D250" s="63"/>
      <c r="E250" s="63">
        <f>E244+E247+E241</f>
        <v>2318.8162338570964</v>
      </c>
      <c r="F250" s="65">
        <f>F244+F247+F241</f>
        <v>417.38692209427734</v>
      </c>
      <c r="G250" s="66"/>
      <c r="H250" s="63"/>
      <c r="I250" s="65"/>
      <c r="J250" s="66"/>
      <c r="K250" s="63">
        <f>K244+K247+K241</f>
        <v>567.51</v>
      </c>
      <c r="L250" s="65">
        <f>L244+L247+L241</f>
        <v>132.01999999999998</v>
      </c>
      <c r="M250" s="206">
        <f>L251-F251</f>
        <v>5.2630262021814561E-2</v>
      </c>
      <c r="N250" s="65">
        <f>L250-F250</f>
        <v>-285.36692209427736</v>
      </c>
      <c r="O250" s="66"/>
      <c r="P250" s="63">
        <f t="shared" ref="P250:Q250" si="57">P244+P247+P241</f>
        <v>3629.82</v>
      </c>
      <c r="Q250" s="65">
        <f t="shared" si="57"/>
        <v>555.34</v>
      </c>
      <c r="R250" s="206">
        <f>L251-Q251</f>
        <v>7.9636449656463104E-2</v>
      </c>
      <c r="S250" s="68">
        <f>L250-Q250</f>
        <v>-423.32000000000005</v>
      </c>
      <c r="T250" s="148"/>
      <c r="U250" s="13"/>
      <c r="V250" s="13"/>
      <c r="W250" s="13"/>
      <c r="X250" s="13"/>
      <c r="Y250" s="13"/>
      <c r="Z250" s="13"/>
      <c r="AA250" s="13"/>
      <c r="AB250" s="13"/>
      <c r="AC250" s="13"/>
      <c r="AD250" s="13"/>
      <c r="AE250" s="13"/>
      <c r="AF250" s="13"/>
      <c r="AG250" s="13"/>
      <c r="AH250" s="13"/>
      <c r="AI250" s="13"/>
      <c r="AJ250" s="13"/>
      <c r="AK250" s="13"/>
      <c r="AL250" s="13"/>
      <c r="AM250" s="13"/>
      <c r="AN250" s="13"/>
    </row>
    <row r="251" spans="1:40" ht="21" thickBot="1">
      <c r="A251" t="str">
        <f t="shared" si="56"/>
        <v>Carrosserie</v>
      </c>
      <c r="B251" s="11" t="s">
        <v>94</v>
      </c>
      <c r="C251" s="69"/>
      <c r="D251" s="70"/>
      <c r="E251" s="70"/>
      <c r="F251" s="74">
        <f>F250/E250</f>
        <v>0.18</v>
      </c>
      <c r="G251" s="72"/>
      <c r="H251" s="70"/>
      <c r="I251" s="74"/>
      <c r="J251" s="72"/>
      <c r="K251" s="70"/>
      <c r="L251" s="74">
        <f>IF(K250=0,0,L250/K250)</f>
        <v>0.23263026202181455</v>
      </c>
      <c r="M251" s="73"/>
      <c r="N251" s="74">
        <f>N250/F250</f>
        <v>-0.68369876243947114</v>
      </c>
      <c r="O251" s="72"/>
      <c r="P251" s="70"/>
      <c r="Q251" s="74">
        <f>Q250/P250</f>
        <v>0.15299381236535145</v>
      </c>
      <c r="R251" s="73"/>
      <c r="S251" s="75">
        <f>IF(R250=0,0,S250/R250)</f>
        <v>-5315.6563586915809</v>
      </c>
      <c r="T251" s="148"/>
      <c r="U251" s="13"/>
      <c r="V251" s="13"/>
      <c r="W251" s="13"/>
      <c r="X251" s="13"/>
      <c r="Y251" s="13"/>
      <c r="Z251" s="13"/>
      <c r="AA251" s="13"/>
      <c r="AB251" s="13"/>
      <c r="AC251" s="13"/>
      <c r="AD251" s="13"/>
      <c r="AE251" s="13"/>
      <c r="AF251" s="13"/>
      <c r="AG251" s="13"/>
      <c r="AH251" s="13"/>
      <c r="AI251" s="13"/>
      <c r="AJ251" s="13"/>
      <c r="AK251" s="13"/>
      <c r="AL251" s="13"/>
      <c r="AM251" s="13"/>
      <c r="AN251" s="13"/>
    </row>
    <row r="252" spans="1:40" ht="21" thickTop="1">
      <c r="A252" t="str">
        <f t="shared" si="56"/>
        <v>Carrosserie</v>
      </c>
      <c r="B252" s="11" t="s">
        <v>94</v>
      </c>
      <c r="C252" s="29"/>
      <c r="D252" s="13"/>
      <c r="E252" s="13"/>
      <c r="F252" s="59"/>
      <c r="G252" s="41"/>
      <c r="H252" s="13"/>
      <c r="I252" s="59"/>
      <c r="J252" s="41"/>
      <c r="K252" s="13"/>
      <c r="L252" s="40"/>
      <c r="M252" s="41"/>
      <c r="N252" s="40"/>
      <c r="O252" s="41"/>
      <c r="P252" s="13"/>
      <c r="Q252" s="40"/>
      <c r="R252" s="41"/>
      <c r="S252" s="61"/>
      <c r="T252" s="13"/>
      <c r="U252" s="13"/>
      <c r="V252" s="13"/>
      <c r="W252" s="13"/>
      <c r="X252" s="13"/>
      <c r="Y252" s="13"/>
      <c r="Z252" s="13"/>
      <c r="AA252" s="13"/>
      <c r="AB252" s="13"/>
      <c r="AC252" s="13"/>
      <c r="AD252" s="13"/>
      <c r="AE252" s="13"/>
      <c r="AF252" s="13"/>
      <c r="AG252" s="13"/>
      <c r="AH252" s="13"/>
      <c r="AI252" s="13"/>
      <c r="AJ252" s="13"/>
      <c r="AK252" s="13"/>
      <c r="AL252" s="13"/>
      <c r="AM252" s="13"/>
      <c r="AN252" s="13"/>
    </row>
    <row r="253" spans="1:40" ht="20.25">
      <c r="A253" t="str">
        <f t="shared" si="56"/>
        <v>CarrosserieDEPENSES</v>
      </c>
      <c r="B253" s="11" t="s">
        <v>94</v>
      </c>
      <c r="C253" s="79" t="s">
        <v>29</v>
      </c>
      <c r="D253" s="13"/>
      <c r="E253" s="13"/>
      <c r="F253" s="59"/>
      <c r="G253" s="41"/>
      <c r="H253" s="13"/>
      <c r="I253" s="59"/>
      <c r="J253" s="41"/>
      <c r="K253" s="13"/>
      <c r="L253" s="40"/>
      <c r="M253" s="41"/>
      <c r="N253" s="40"/>
      <c r="O253" s="41"/>
      <c r="P253" s="13"/>
      <c r="Q253" s="40"/>
      <c r="R253" s="41"/>
      <c r="S253" s="61"/>
      <c r="T253" s="13"/>
      <c r="U253" s="13"/>
      <c r="V253" s="13"/>
      <c r="W253" s="13"/>
      <c r="X253" s="13"/>
      <c r="Y253" s="13"/>
      <c r="Z253" s="13"/>
      <c r="AA253" s="13"/>
      <c r="AB253" s="13"/>
      <c r="AC253" s="13"/>
      <c r="AD253" s="13"/>
      <c r="AE253" s="13"/>
      <c r="AF253" s="13"/>
      <c r="AG253" s="13"/>
      <c r="AH253" s="13"/>
      <c r="AI253" s="13"/>
      <c r="AJ253" s="13"/>
      <c r="AK253" s="13"/>
      <c r="AL253" s="13"/>
      <c r="AM253" s="13"/>
      <c r="AN253" s="13"/>
    </row>
    <row r="254" spans="1:40" ht="20.25">
      <c r="A254" t="str">
        <f t="shared" si="56"/>
        <v>CarrosserieSalaires cadres</v>
      </c>
      <c r="B254" s="11" t="s">
        <v>94</v>
      </c>
      <c r="C254" s="102" t="s">
        <v>40</v>
      </c>
      <c r="D254" s="13"/>
      <c r="E254" s="13"/>
      <c r="F254" s="30">
        <v>304.27500000000003</v>
      </c>
      <c r="G254" s="41"/>
      <c r="H254" s="13"/>
      <c r="I254" s="30"/>
      <c r="J254" s="41"/>
      <c r="K254" s="13"/>
      <c r="L254" s="33">
        <v>304.27</v>
      </c>
      <c r="M254" s="41"/>
      <c r="N254" s="59">
        <f t="shared" ref="N254:N284" si="58">L254-F254</f>
        <v>-5.0000000000522959E-3</v>
      </c>
      <c r="O254" s="41"/>
      <c r="P254" s="13"/>
      <c r="Q254" s="33">
        <v>304.27</v>
      </c>
      <c r="R254" s="41"/>
      <c r="S254" s="85">
        <f t="shared" ref="S254" si="59">L254-Q254</f>
        <v>0</v>
      </c>
      <c r="T254" s="13"/>
      <c r="U254" s="13"/>
      <c r="V254" s="13"/>
      <c r="W254" s="13"/>
      <c r="X254" s="13"/>
      <c r="Y254" s="13"/>
      <c r="Z254" s="13"/>
      <c r="AA254" s="13"/>
      <c r="AB254" s="13"/>
      <c r="AC254" s="13"/>
      <c r="AD254" s="13"/>
      <c r="AE254" s="13"/>
      <c r="AF254" s="13"/>
      <c r="AG254" s="13"/>
      <c r="AH254" s="13"/>
      <c r="AI254" s="13"/>
      <c r="AJ254" s="13"/>
      <c r="AK254" s="13"/>
      <c r="AL254" s="13"/>
      <c r="AM254" s="13"/>
      <c r="AN254" s="13"/>
    </row>
    <row r="255" spans="1:40" ht="20.25">
      <c r="A255" t="str">
        <f t="shared" si="56"/>
        <v>CarrosserieSalaires commis</v>
      </c>
      <c r="B255" s="11" t="s">
        <v>94</v>
      </c>
      <c r="C255" s="103" t="s">
        <v>41</v>
      </c>
      <c r="D255" s="81"/>
      <c r="E255" s="13"/>
      <c r="F255" s="22">
        <v>356.44713740458019</v>
      </c>
      <c r="G255" s="83"/>
      <c r="H255" s="13"/>
      <c r="I255" s="22"/>
      <c r="J255" s="41"/>
      <c r="K255" s="13"/>
      <c r="L255" s="33">
        <v>321.19</v>
      </c>
      <c r="M255" s="41"/>
      <c r="N255" s="59">
        <f t="shared" si="58"/>
        <v>-35.257137404580192</v>
      </c>
      <c r="O255" s="41"/>
      <c r="P255" s="13"/>
      <c r="Q255" s="33">
        <v>308.08</v>
      </c>
      <c r="R255" s="41"/>
      <c r="S255" s="85">
        <f>L255-Q255</f>
        <v>13.110000000000014</v>
      </c>
      <c r="T255" s="13"/>
      <c r="U255" s="13"/>
      <c r="V255" s="13"/>
      <c r="W255" s="13"/>
      <c r="X255" s="13"/>
      <c r="Y255" s="13"/>
      <c r="Z255" s="13"/>
      <c r="AA255" s="13"/>
      <c r="AB255" s="13"/>
      <c r="AC255" s="13"/>
      <c r="AD255" s="13"/>
      <c r="AE255" s="13"/>
      <c r="AF255" s="13"/>
      <c r="AG255" s="13"/>
      <c r="AH255" s="13"/>
      <c r="AI255" s="13"/>
      <c r="AJ255" s="13"/>
      <c r="AK255" s="13"/>
      <c r="AL255" s="13"/>
      <c r="AM255" s="13"/>
      <c r="AN255" s="13"/>
    </row>
    <row r="256" spans="1:40" ht="20.25">
      <c r="A256" t="str">
        <f t="shared" si="56"/>
        <v>CarrosserieSalaires autres</v>
      </c>
      <c r="B256" s="11" t="s">
        <v>94</v>
      </c>
      <c r="C256" s="102" t="s">
        <v>42</v>
      </c>
      <c r="D256" s="104"/>
      <c r="E256" s="105"/>
      <c r="F256" s="30">
        <v>19</v>
      </c>
      <c r="G256" s="106"/>
      <c r="H256" s="105"/>
      <c r="I256" s="30"/>
      <c r="J256" s="107"/>
      <c r="K256" s="105"/>
      <c r="L256" s="108">
        <v>19</v>
      </c>
      <c r="M256" s="107"/>
      <c r="N256" s="109">
        <f t="shared" si="58"/>
        <v>0</v>
      </c>
      <c r="O256" s="107"/>
      <c r="P256" s="105"/>
      <c r="Q256" s="108">
        <v>19</v>
      </c>
      <c r="R256" s="107"/>
      <c r="S256" s="110">
        <f t="shared" ref="S256:S272" si="60">L256-Q256</f>
        <v>0</v>
      </c>
      <c r="T256" s="13"/>
      <c r="U256" s="13"/>
      <c r="V256" s="13"/>
      <c r="W256" s="13"/>
      <c r="X256" s="13"/>
      <c r="Y256" s="13"/>
      <c r="Z256" s="13"/>
      <c r="AA256" s="13"/>
      <c r="AB256" s="13"/>
      <c r="AC256" s="13"/>
      <c r="AD256" s="13"/>
      <c r="AE256" s="13"/>
      <c r="AF256" s="13"/>
      <c r="AG256" s="13"/>
      <c r="AH256" s="13"/>
      <c r="AI256" s="13"/>
      <c r="AJ256" s="13"/>
      <c r="AK256" s="13"/>
      <c r="AL256" s="13"/>
      <c r="AM256" s="13"/>
      <c r="AN256" s="13"/>
    </row>
    <row r="257" spans="1:40" ht="20.25">
      <c r="A257" t="str">
        <f t="shared" si="56"/>
        <v>CarrosserieSalaires spécialistes</v>
      </c>
      <c r="B257" s="11" t="s">
        <v>94</v>
      </c>
      <c r="C257" s="102" t="s">
        <v>43</v>
      </c>
      <c r="D257" s="81"/>
      <c r="E257" s="13"/>
      <c r="F257" s="30">
        <v>0</v>
      </c>
      <c r="G257" s="83"/>
      <c r="H257" s="13"/>
      <c r="I257" s="30"/>
      <c r="J257" s="41"/>
      <c r="K257" s="13"/>
      <c r="L257" s="33">
        <v>0</v>
      </c>
      <c r="M257" s="41"/>
      <c r="N257" s="59">
        <f t="shared" si="58"/>
        <v>0</v>
      </c>
      <c r="O257" s="41"/>
      <c r="P257" s="13"/>
      <c r="Q257" s="33">
        <v>0</v>
      </c>
      <c r="R257" s="41"/>
      <c r="S257" s="85">
        <f t="shared" si="60"/>
        <v>0</v>
      </c>
      <c r="T257" s="13"/>
      <c r="U257" s="13"/>
      <c r="V257" s="13"/>
      <c r="W257" s="13"/>
      <c r="X257" s="13"/>
      <c r="Y257" s="13"/>
      <c r="Z257" s="13"/>
      <c r="AA257" s="13"/>
      <c r="AB257" s="13"/>
      <c r="AC257" s="13"/>
      <c r="AD257" s="13"/>
      <c r="AE257" s="13"/>
      <c r="AF257" s="13"/>
      <c r="AG257" s="13"/>
      <c r="AH257" s="13"/>
      <c r="AI257" s="13"/>
      <c r="AJ257" s="13"/>
      <c r="AK257" s="13"/>
      <c r="AL257" s="13"/>
      <c r="AM257" s="13"/>
      <c r="AN257" s="13"/>
    </row>
    <row r="258" spans="1:40" ht="20.25" hidden="1">
      <c r="A258" t="str">
        <f t="shared" si="56"/>
        <v>Carrosserie[...]</v>
      </c>
      <c r="B258" s="11" t="s">
        <v>94</v>
      </c>
      <c r="C258" s="29" t="s">
        <v>19</v>
      </c>
      <c r="D258" s="81"/>
      <c r="E258" s="13"/>
      <c r="F258" s="30">
        <v>0</v>
      </c>
      <c r="G258" s="83"/>
      <c r="H258" s="13"/>
      <c r="I258" s="30"/>
      <c r="J258" s="41"/>
      <c r="K258" s="13"/>
      <c r="L258" s="33">
        <v>0</v>
      </c>
      <c r="M258" s="41"/>
      <c r="N258" s="59">
        <f t="shared" si="58"/>
        <v>0</v>
      </c>
      <c r="O258" s="41"/>
      <c r="P258" s="13"/>
      <c r="Q258" s="33">
        <v>0</v>
      </c>
      <c r="R258" s="41"/>
      <c r="S258" s="85">
        <f t="shared" si="60"/>
        <v>0</v>
      </c>
      <c r="T258" s="13"/>
      <c r="U258" s="13"/>
      <c r="V258" s="13"/>
      <c r="W258" s="13"/>
      <c r="X258" s="13"/>
      <c r="Y258" s="13"/>
      <c r="Z258" s="13"/>
      <c r="AA258" s="13"/>
      <c r="AB258" s="13"/>
      <c r="AC258" s="13"/>
      <c r="AD258" s="13"/>
      <c r="AE258" s="13"/>
      <c r="AF258" s="13"/>
      <c r="AG258" s="13"/>
      <c r="AH258" s="13"/>
      <c r="AI258" s="13"/>
      <c r="AJ258" s="13"/>
      <c r="AK258" s="13"/>
      <c r="AL258" s="13"/>
      <c r="AM258" s="13"/>
      <c r="AN258" s="13"/>
    </row>
    <row r="259" spans="1:40" ht="20.25" hidden="1">
      <c r="A259" t="str">
        <f t="shared" si="56"/>
        <v>Carrosserie[...]</v>
      </c>
      <c r="B259" s="11" t="s">
        <v>94</v>
      </c>
      <c r="C259" s="29" t="s">
        <v>19</v>
      </c>
      <c r="D259" s="81"/>
      <c r="E259" s="13"/>
      <c r="F259" s="30">
        <v>0</v>
      </c>
      <c r="G259" s="83"/>
      <c r="H259" s="13"/>
      <c r="I259" s="30"/>
      <c r="J259" s="41"/>
      <c r="K259" s="13"/>
      <c r="L259" s="33">
        <v>0</v>
      </c>
      <c r="M259" s="41"/>
      <c r="N259" s="59">
        <f t="shared" si="58"/>
        <v>0</v>
      </c>
      <c r="O259" s="41"/>
      <c r="P259" s="13"/>
      <c r="Q259" s="33">
        <v>0</v>
      </c>
      <c r="R259" s="41"/>
      <c r="S259" s="85">
        <f t="shared" si="60"/>
        <v>0</v>
      </c>
      <c r="T259" s="13"/>
      <c r="U259" s="13"/>
      <c r="V259" s="13"/>
      <c r="W259" s="13"/>
      <c r="X259" s="13"/>
      <c r="Y259" s="13"/>
      <c r="Z259" s="13"/>
      <c r="AA259" s="13"/>
      <c r="AB259" s="13"/>
      <c r="AC259" s="13"/>
      <c r="AD259" s="13"/>
      <c r="AE259" s="13"/>
      <c r="AF259" s="13"/>
      <c r="AG259" s="13"/>
      <c r="AH259" s="13"/>
      <c r="AI259" s="13"/>
      <c r="AJ259" s="13"/>
      <c r="AK259" s="13"/>
      <c r="AL259" s="13"/>
      <c r="AM259" s="13"/>
      <c r="AN259" s="13"/>
    </row>
    <row r="260" spans="1:40" ht="20.25" hidden="1">
      <c r="A260" t="str">
        <f t="shared" si="56"/>
        <v>Carrosserie[...]</v>
      </c>
      <c r="B260" s="11" t="s">
        <v>94</v>
      </c>
      <c r="C260" s="29" t="s">
        <v>19</v>
      </c>
      <c r="D260" s="81"/>
      <c r="E260" s="13"/>
      <c r="F260" s="30">
        <v>0</v>
      </c>
      <c r="G260" s="83"/>
      <c r="H260" s="13"/>
      <c r="I260" s="30"/>
      <c r="J260" s="41"/>
      <c r="K260" s="13"/>
      <c r="L260" s="33">
        <v>0</v>
      </c>
      <c r="M260" s="41"/>
      <c r="N260" s="59">
        <f t="shared" si="58"/>
        <v>0</v>
      </c>
      <c r="O260" s="41"/>
      <c r="P260" s="13"/>
      <c r="Q260" s="33">
        <v>0</v>
      </c>
      <c r="R260" s="41"/>
      <c r="S260" s="85">
        <f t="shared" si="60"/>
        <v>0</v>
      </c>
      <c r="T260" s="13"/>
      <c r="U260" s="13"/>
      <c r="V260" s="13"/>
      <c r="W260" s="13"/>
      <c r="X260" s="13"/>
      <c r="Y260" s="13"/>
      <c r="Z260" s="13"/>
      <c r="AA260" s="13"/>
      <c r="AB260" s="13"/>
      <c r="AC260" s="13"/>
      <c r="AD260" s="13"/>
      <c r="AE260" s="13"/>
      <c r="AF260" s="13"/>
      <c r="AG260" s="13"/>
      <c r="AH260" s="13"/>
      <c r="AI260" s="13"/>
      <c r="AJ260" s="13"/>
      <c r="AK260" s="13"/>
      <c r="AL260" s="13"/>
      <c r="AM260" s="13"/>
      <c r="AN260" s="13"/>
    </row>
    <row r="261" spans="1:40" ht="20.25">
      <c r="A261" t="str">
        <f t="shared" si="56"/>
        <v>CarrosserieSalaires en absences</v>
      </c>
      <c r="B261" s="11" t="s">
        <v>94</v>
      </c>
      <c r="C261" s="103" t="s">
        <v>44</v>
      </c>
      <c r="D261" s="81"/>
      <c r="E261" s="13"/>
      <c r="F261" s="22">
        <v>110.24667767603741</v>
      </c>
      <c r="G261" s="83"/>
      <c r="H261" s="13"/>
      <c r="I261" s="22"/>
      <c r="J261" s="41"/>
      <c r="K261" s="13"/>
      <c r="L261" s="33">
        <v>52.3</v>
      </c>
      <c r="M261" s="41"/>
      <c r="N261" s="59">
        <f t="shared" si="58"/>
        <v>-57.94667767603741</v>
      </c>
      <c r="O261" s="41"/>
      <c r="P261" s="13"/>
      <c r="Q261" s="33">
        <v>54.23</v>
      </c>
      <c r="R261" s="41"/>
      <c r="S261" s="85">
        <f t="shared" si="60"/>
        <v>-1.9299999999999997</v>
      </c>
      <c r="T261" s="13"/>
      <c r="U261" s="13"/>
      <c r="V261" s="13"/>
      <c r="W261" s="13"/>
      <c r="X261" s="13"/>
      <c r="Y261" s="13"/>
      <c r="Z261" s="13"/>
      <c r="AA261" s="13"/>
      <c r="AB261" s="13"/>
      <c r="AC261" s="13"/>
      <c r="AD261" s="13"/>
      <c r="AE261" s="13"/>
      <c r="AF261" s="13"/>
      <c r="AG261" s="13"/>
      <c r="AH261" s="13"/>
      <c r="AI261" s="13"/>
      <c r="AJ261" s="13"/>
      <c r="AK261" s="13"/>
      <c r="AL261" s="13"/>
      <c r="AM261" s="13"/>
      <c r="AN261" s="13"/>
    </row>
    <row r="262" spans="1:40" ht="20.25">
      <c r="A262" t="str">
        <f t="shared" si="56"/>
        <v>CarrosserieDéduction à la source</v>
      </c>
      <c r="B262" s="11" t="s">
        <v>94</v>
      </c>
      <c r="C262" s="102" t="s">
        <v>45</v>
      </c>
      <c r="D262" s="104"/>
      <c r="E262" s="105"/>
      <c r="F262" s="30">
        <v>143.26722305979646</v>
      </c>
      <c r="G262" s="106"/>
      <c r="H262" s="105"/>
      <c r="I262" s="30"/>
      <c r="J262" s="107"/>
      <c r="K262" s="105"/>
      <c r="L262" s="108">
        <v>220.64</v>
      </c>
      <c r="M262" s="107"/>
      <c r="N262" s="109">
        <f t="shared" si="58"/>
        <v>77.372776940203522</v>
      </c>
      <c r="O262" s="107"/>
      <c r="P262" s="105"/>
      <c r="Q262" s="108">
        <v>219.1</v>
      </c>
      <c r="R262" s="107"/>
      <c r="S262" s="110">
        <f t="shared" si="60"/>
        <v>1.539999999999992</v>
      </c>
      <c r="T262" s="13"/>
      <c r="U262" s="13"/>
      <c r="V262" s="13"/>
      <c r="W262" s="13"/>
      <c r="X262" s="13"/>
      <c r="Y262" s="13"/>
      <c r="Z262" s="13"/>
      <c r="AA262" s="13"/>
      <c r="AB262" s="13"/>
      <c r="AC262" s="13"/>
      <c r="AD262" s="13"/>
      <c r="AE262" s="13"/>
      <c r="AF262" s="13"/>
      <c r="AG262" s="13"/>
      <c r="AH262" s="13"/>
      <c r="AI262" s="13"/>
      <c r="AJ262" s="13"/>
      <c r="AK262" s="13"/>
      <c r="AL262" s="13"/>
      <c r="AM262" s="13"/>
      <c r="AN262" s="13"/>
    </row>
    <row r="263" spans="1:40" ht="20.25">
      <c r="A263" t="str">
        <f t="shared" si="56"/>
        <v>CarrosserieBénéfices marginaux</v>
      </c>
      <c r="B263" s="11" t="s">
        <v>94</v>
      </c>
      <c r="C263" s="102" t="s">
        <v>46</v>
      </c>
      <c r="D263" s="81"/>
      <c r="E263" s="13"/>
      <c r="F263" s="30">
        <v>66.287819624681944</v>
      </c>
      <c r="G263" s="83"/>
      <c r="H263" s="13"/>
      <c r="I263" s="30"/>
      <c r="J263" s="41"/>
      <c r="K263" s="13"/>
      <c r="L263" s="33">
        <v>50.78</v>
      </c>
      <c r="M263" s="41"/>
      <c r="N263" s="59">
        <f t="shared" si="58"/>
        <v>-15.507819624681943</v>
      </c>
      <c r="O263" s="41"/>
      <c r="P263" s="13"/>
      <c r="Q263" s="33">
        <v>42.9</v>
      </c>
      <c r="R263" s="41"/>
      <c r="S263" s="85">
        <f t="shared" si="60"/>
        <v>7.8800000000000026</v>
      </c>
      <c r="T263" s="13"/>
      <c r="U263" s="13"/>
      <c r="V263" s="13"/>
      <c r="W263" s="13"/>
      <c r="X263" s="13"/>
      <c r="Y263" s="13"/>
      <c r="Z263" s="13"/>
      <c r="AA263" s="13"/>
      <c r="AB263" s="13"/>
      <c r="AC263" s="13"/>
      <c r="AD263" s="13"/>
      <c r="AE263" s="13"/>
      <c r="AF263" s="13"/>
      <c r="AG263" s="13"/>
      <c r="AH263" s="13"/>
      <c r="AI263" s="13"/>
      <c r="AJ263" s="13"/>
      <c r="AK263" s="13"/>
      <c r="AL263" s="13"/>
      <c r="AM263" s="13"/>
      <c r="AN263" s="13"/>
    </row>
    <row r="264" spans="1:40" ht="20.25">
      <c r="A264" t="str">
        <f t="shared" si="56"/>
        <v>CarrosserieCsst</v>
      </c>
      <c r="B264" s="11" t="s">
        <v>94</v>
      </c>
      <c r="C264" s="102" t="s">
        <v>47</v>
      </c>
      <c r="D264" s="81"/>
      <c r="E264" s="13"/>
      <c r="F264" s="30">
        <v>14.968217334605599</v>
      </c>
      <c r="G264" s="83"/>
      <c r="H264" s="13"/>
      <c r="I264" s="30"/>
      <c r="J264" s="41"/>
      <c r="K264" s="13"/>
      <c r="L264" s="33">
        <v>-45.55</v>
      </c>
      <c r="M264" s="467"/>
      <c r="N264" s="146">
        <f t="shared" si="58"/>
        <v>-60.518217334605595</v>
      </c>
      <c r="O264" s="41"/>
      <c r="P264" s="13"/>
      <c r="Q264" s="33">
        <v>4.07</v>
      </c>
      <c r="R264" s="41"/>
      <c r="S264" s="85">
        <f t="shared" si="60"/>
        <v>-49.62</v>
      </c>
      <c r="T264" s="13"/>
      <c r="U264" s="13"/>
      <c r="V264" s="13"/>
      <c r="W264" s="13"/>
      <c r="X264" s="13"/>
      <c r="Y264" s="13"/>
      <c r="Z264" s="13"/>
      <c r="AA264" s="13"/>
      <c r="AB264" s="13"/>
      <c r="AC264" s="13"/>
      <c r="AD264" s="13"/>
      <c r="AE264" s="13"/>
      <c r="AF264" s="13"/>
      <c r="AG264" s="13"/>
      <c r="AH264" s="13"/>
      <c r="AI264" s="13"/>
      <c r="AJ264" s="13"/>
      <c r="AK264" s="13"/>
      <c r="AL264" s="13"/>
      <c r="AM264" s="13"/>
      <c r="AN264" s="13"/>
    </row>
    <row r="265" spans="1:40" ht="20.25" hidden="1">
      <c r="A265" t="str">
        <f t="shared" si="56"/>
        <v>Carrosserie[...]</v>
      </c>
      <c r="B265" s="11" t="s">
        <v>94</v>
      </c>
      <c r="C265" s="29" t="s">
        <v>19</v>
      </c>
      <c r="D265" s="87"/>
      <c r="E265" s="111"/>
      <c r="F265" s="30">
        <v>0</v>
      </c>
      <c r="G265" s="89"/>
      <c r="H265" s="111"/>
      <c r="I265" s="30"/>
      <c r="J265" s="23"/>
      <c r="K265" s="111"/>
      <c r="L265" s="33">
        <v>0</v>
      </c>
      <c r="M265" s="23"/>
      <c r="N265" s="91">
        <f t="shared" si="58"/>
        <v>0</v>
      </c>
      <c r="O265" s="23"/>
      <c r="P265" s="111"/>
      <c r="Q265" s="33">
        <v>0</v>
      </c>
      <c r="R265" s="23"/>
      <c r="S265" s="92">
        <f t="shared" si="60"/>
        <v>0</v>
      </c>
      <c r="T265" s="13"/>
      <c r="U265" s="13"/>
      <c r="V265" s="13"/>
      <c r="W265" s="13"/>
      <c r="X265" s="13"/>
      <c r="Y265" s="13"/>
      <c r="Z265" s="13"/>
      <c r="AA265" s="13"/>
      <c r="AB265" s="13"/>
      <c r="AC265" s="13"/>
      <c r="AD265" s="13"/>
      <c r="AE265" s="13"/>
      <c r="AF265" s="13"/>
      <c r="AG265" s="13"/>
      <c r="AH265" s="13"/>
      <c r="AI265" s="13"/>
      <c r="AJ265" s="13"/>
      <c r="AK265" s="13"/>
      <c r="AL265" s="13"/>
      <c r="AM265" s="13"/>
      <c r="AN265" s="13"/>
    </row>
    <row r="266" spans="1:40" ht="20.25">
      <c r="A266" t="str">
        <f t="shared" si="56"/>
        <v>CarrosserieTOTAL PERSONNEL</v>
      </c>
      <c r="B266" s="11" t="s">
        <v>94</v>
      </c>
      <c r="C266" s="93" t="s">
        <v>48</v>
      </c>
      <c r="D266" s="94" t="s">
        <v>38</v>
      </c>
      <c r="E266" s="95" t="e">
        <f>F266/F$244</f>
        <v>#DIV/0!</v>
      </c>
      <c r="F266" s="96">
        <f>+SUM(F254:F265)</f>
        <v>1014.4920750997017</v>
      </c>
      <c r="G266" s="97"/>
      <c r="H266" s="95"/>
      <c r="I266" s="96"/>
      <c r="J266" s="97" t="s">
        <v>38</v>
      </c>
      <c r="K266" s="95">
        <f>IF(L244=0,0,L266/L$244)</f>
        <v>0</v>
      </c>
      <c r="L266" s="96">
        <f>+SUM(L254:L265)</f>
        <v>922.63</v>
      </c>
      <c r="M266" s="147"/>
      <c r="N266" s="113">
        <f t="shared" si="58"/>
        <v>-91.862075099701656</v>
      </c>
      <c r="O266" s="97" t="s">
        <v>38</v>
      </c>
      <c r="P266" s="95">
        <f>IF(Q244=0,0,Q266/Q$244)</f>
        <v>0</v>
      </c>
      <c r="Q266" s="96">
        <f>+SUM(Q254:Q265)</f>
        <v>951.65</v>
      </c>
      <c r="R266" s="147"/>
      <c r="S266" s="114">
        <f t="shared" si="60"/>
        <v>-29.019999999999982</v>
      </c>
      <c r="T266" s="13"/>
      <c r="U266" s="13"/>
      <c r="V266" s="13"/>
      <c r="W266" s="13"/>
      <c r="X266" s="13"/>
      <c r="Y266" s="13"/>
      <c r="Z266" s="13"/>
      <c r="AA266" s="13"/>
      <c r="AB266" s="13"/>
      <c r="AC266" s="13"/>
      <c r="AD266" s="13"/>
      <c r="AE266" s="13"/>
      <c r="AF266" s="13"/>
      <c r="AG266" s="13"/>
      <c r="AH266" s="13"/>
      <c r="AI266" s="13"/>
      <c r="AJ266" s="13"/>
      <c r="AK266" s="13"/>
      <c r="AL266" s="13"/>
      <c r="AM266" s="13"/>
      <c r="AN266" s="13"/>
    </row>
    <row r="267" spans="1:40" ht="20.25">
      <c r="A267" t="str">
        <f t="shared" si="56"/>
        <v>CarrosseriePublicité 2</v>
      </c>
      <c r="B267" s="11" t="s">
        <v>94</v>
      </c>
      <c r="C267" s="211" t="s">
        <v>49</v>
      </c>
      <c r="D267" s="81"/>
      <c r="E267" s="13"/>
      <c r="F267" s="30">
        <v>0</v>
      </c>
      <c r="G267" s="83"/>
      <c r="H267" s="13"/>
      <c r="I267" s="30"/>
      <c r="J267" s="41"/>
      <c r="K267" s="13"/>
      <c r="L267" s="33">
        <v>0</v>
      </c>
      <c r="M267" s="41"/>
      <c r="N267" s="59">
        <f t="shared" si="58"/>
        <v>0</v>
      </c>
      <c r="O267" s="41"/>
      <c r="P267" s="13"/>
      <c r="Q267" s="33">
        <v>0</v>
      </c>
      <c r="R267" s="41"/>
      <c r="S267" s="85">
        <f t="shared" si="60"/>
        <v>0</v>
      </c>
      <c r="T267" s="13"/>
      <c r="U267" s="13"/>
      <c r="V267" s="13"/>
      <c r="W267" s="13"/>
      <c r="X267" s="13"/>
      <c r="Y267" s="13"/>
      <c r="Z267" s="13"/>
      <c r="AA267" s="13"/>
      <c r="AB267" s="13"/>
      <c r="AC267" s="13"/>
      <c r="AD267" s="13"/>
      <c r="AE267" s="13"/>
      <c r="AF267" s="13"/>
      <c r="AG267" s="13"/>
      <c r="AH267" s="13"/>
      <c r="AI267" s="13"/>
      <c r="AJ267" s="13"/>
      <c r="AK267" s="13"/>
      <c r="AL267" s="13"/>
      <c r="AM267" s="13"/>
      <c r="AN267" s="13"/>
    </row>
    <row r="268" spans="1:40" ht="20.25">
      <c r="A268" t="str">
        <f t="shared" si="56"/>
        <v>CarrosserieService gratuit 2</v>
      </c>
      <c r="B268" s="11" t="s">
        <v>94</v>
      </c>
      <c r="C268" s="102" t="s">
        <v>50</v>
      </c>
      <c r="D268" s="81"/>
      <c r="E268" s="13"/>
      <c r="F268" s="30">
        <v>0</v>
      </c>
      <c r="G268" s="83"/>
      <c r="H268" s="13"/>
      <c r="I268" s="30"/>
      <c r="J268" s="41"/>
      <c r="K268" s="13"/>
      <c r="L268" s="33">
        <v>12.07</v>
      </c>
      <c r="M268" s="41"/>
      <c r="N268" s="59">
        <f t="shared" si="58"/>
        <v>12.07</v>
      </c>
      <c r="O268" s="41"/>
      <c r="P268" s="13"/>
      <c r="Q268" s="33">
        <v>39.33</v>
      </c>
      <c r="R268" s="41"/>
      <c r="S268" s="85">
        <f t="shared" si="60"/>
        <v>-27.259999999999998</v>
      </c>
      <c r="T268" s="13"/>
      <c r="U268" s="13"/>
      <c r="V268" s="13"/>
      <c r="W268" s="13"/>
      <c r="X268" s="13"/>
      <c r="Y268" s="13"/>
      <c r="Z268" s="13"/>
      <c r="AA268" s="13"/>
      <c r="AB268" s="13"/>
      <c r="AC268" s="13"/>
      <c r="AD268" s="13"/>
      <c r="AE268" s="13"/>
      <c r="AF268" s="13"/>
      <c r="AG268" s="13"/>
      <c r="AH268" s="13"/>
      <c r="AI268" s="13"/>
      <c r="AJ268" s="13"/>
      <c r="AK268" s="13"/>
      <c r="AL268" s="13"/>
      <c r="AM268" s="13"/>
      <c r="AN268" s="13"/>
    </row>
    <row r="269" spans="1:40" ht="20.25">
      <c r="A269" t="str">
        <f t="shared" si="56"/>
        <v>CarrosserieFrais véhicules de cie</v>
      </c>
      <c r="B269" s="11" t="s">
        <v>94</v>
      </c>
      <c r="C269" s="103" t="s">
        <v>51</v>
      </c>
      <c r="D269" s="87"/>
      <c r="E269" s="111"/>
      <c r="F269" s="22">
        <v>119.375</v>
      </c>
      <c r="G269" s="89"/>
      <c r="H269" s="111"/>
      <c r="I269" s="22"/>
      <c r="J269" s="23"/>
      <c r="K269" s="111"/>
      <c r="L269" s="33">
        <v>126.05</v>
      </c>
      <c r="M269" s="23"/>
      <c r="N269" s="91">
        <f t="shared" si="58"/>
        <v>6.6749999999999972</v>
      </c>
      <c r="O269" s="23"/>
      <c r="P269" s="111"/>
      <c r="Q269" s="33">
        <v>142.97999999999999</v>
      </c>
      <c r="R269" s="23"/>
      <c r="S269" s="92">
        <f t="shared" si="60"/>
        <v>-16.929999999999993</v>
      </c>
      <c r="T269" s="13"/>
      <c r="U269" s="13"/>
      <c r="V269" s="13"/>
      <c r="W269" s="13"/>
      <c r="X269" s="13"/>
      <c r="Y269" s="13"/>
      <c r="Z269" s="13"/>
      <c r="AA269" s="13"/>
      <c r="AB269" s="13"/>
      <c r="AC269" s="13"/>
      <c r="AD269" s="13"/>
      <c r="AE269" s="13"/>
      <c r="AF269" s="13"/>
      <c r="AG269" s="13"/>
      <c r="AH269" s="13"/>
      <c r="AI269" s="13"/>
      <c r="AJ269" s="13"/>
      <c r="AK269" s="13"/>
      <c r="AL269" s="13"/>
      <c r="AM269" s="13"/>
      <c r="AN269" s="13"/>
    </row>
    <row r="270" spans="1:40" ht="20.25">
      <c r="A270" t="str">
        <f t="shared" si="56"/>
        <v>CarrosserieInformatique</v>
      </c>
      <c r="B270" s="11" t="s">
        <v>94</v>
      </c>
      <c r="C270" s="102" t="s">
        <v>52</v>
      </c>
      <c r="D270" s="81"/>
      <c r="E270" s="13"/>
      <c r="F270" s="30">
        <v>239.22500000000002</v>
      </c>
      <c r="G270" s="83"/>
      <c r="H270" s="13"/>
      <c r="I270" s="30"/>
      <c r="J270" s="41"/>
      <c r="K270" s="13"/>
      <c r="L270" s="108">
        <v>210.62</v>
      </c>
      <c r="M270" s="41"/>
      <c r="N270" s="59">
        <f t="shared" si="58"/>
        <v>-28.605000000000018</v>
      </c>
      <c r="O270" s="41"/>
      <c r="P270" s="13"/>
      <c r="Q270" s="108">
        <v>235.81</v>
      </c>
      <c r="R270" s="41"/>
      <c r="S270" s="85">
        <f t="shared" si="60"/>
        <v>-25.189999999999998</v>
      </c>
      <c r="T270" s="13"/>
      <c r="U270" s="13"/>
      <c r="V270" s="13"/>
      <c r="W270" s="13"/>
      <c r="X270" s="13"/>
      <c r="Y270" s="13"/>
      <c r="Z270" s="13"/>
      <c r="AA270" s="13"/>
      <c r="AB270" s="13"/>
      <c r="AC270" s="13"/>
      <c r="AD270" s="13"/>
      <c r="AE270" s="13"/>
      <c r="AF270" s="13"/>
      <c r="AG270" s="13"/>
      <c r="AH270" s="13"/>
      <c r="AI270" s="13"/>
      <c r="AJ270" s="13"/>
      <c r="AK270" s="13"/>
      <c r="AL270" s="13"/>
      <c r="AM270" s="13"/>
      <c r="AN270" s="13"/>
    </row>
    <row r="271" spans="1:40" ht="20.25">
      <c r="A271" t="str">
        <f t="shared" si="56"/>
        <v>CarrosserieFrais de déplacement</v>
      </c>
      <c r="B271" s="11" t="s">
        <v>94</v>
      </c>
      <c r="C271" s="102" t="s">
        <v>53</v>
      </c>
      <c r="D271" s="81"/>
      <c r="E271" s="13"/>
      <c r="F271" s="30">
        <v>45.7</v>
      </c>
      <c r="G271" s="83"/>
      <c r="H271" s="13"/>
      <c r="I271" s="30"/>
      <c r="J271" s="41"/>
      <c r="K271" s="13"/>
      <c r="L271" s="33">
        <v>-72.94</v>
      </c>
      <c r="M271" s="41"/>
      <c r="N271" s="59">
        <f t="shared" si="58"/>
        <v>-118.64</v>
      </c>
      <c r="O271" s="41"/>
      <c r="P271" s="13"/>
      <c r="Q271" s="33">
        <v>34.06</v>
      </c>
      <c r="R271" s="41"/>
      <c r="S271" s="85">
        <f t="shared" si="60"/>
        <v>-107</v>
      </c>
      <c r="T271" s="13"/>
      <c r="U271" s="13"/>
      <c r="V271" s="13"/>
      <c r="W271" s="13"/>
      <c r="X271" s="13"/>
      <c r="Y271" s="13"/>
      <c r="Z271" s="13"/>
      <c r="AA271" s="13"/>
      <c r="AB271" s="13"/>
      <c r="AC271" s="13"/>
      <c r="AD271" s="13"/>
      <c r="AE271" s="13"/>
      <c r="AF271" s="13"/>
      <c r="AG271" s="13"/>
      <c r="AH271" s="13"/>
      <c r="AI271" s="13"/>
      <c r="AJ271" s="13"/>
      <c r="AK271" s="13"/>
      <c r="AL271" s="13"/>
      <c r="AM271" s="13"/>
      <c r="AN271" s="13"/>
    </row>
    <row r="272" spans="1:40" ht="20.25">
      <c r="A272" t="str">
        <f t="shared" si="56"/>
        <v>CarrosserieServices extérieurs</v>
      </c>
      <c r="B272" s="11" t="s">
        <v>94</v>
      </c>
      <c r="C272" s="102" t="s">
        <v>54</v>
      </c>
      <c r="D272" s="87"/>
      <c r="E272" s="111"/>
      <c r="F272" s="22">
        <v>153.02500000000001</v>
      </c>
      <c r="G272" s="89"/>
      <c r="H272" s="111"/>
      <c r="I272" s="22"/>
      <c r="J272" s="23"/>
      <c r="K272" s="111"/>
      <c r="L272" s="33">
        <v>150.44999999999999</v>
      </c>
      <c r="M272" s="23"/>
      <c r="N272" s="91">
        <f t="shared" si="58"/>
        <v>-2.5750000000000171</v>
      </c>
      <c r="O272" s="23"/>
      <c r="P272" s="111"/>
      <c r="Q272" s="22">
        <v>135.54</v>
      </c>
      <c r="R272" s="23"/>
      <c r="S272" s="92">
        <f t="shared" si="60"/>
        <v>14.909999999999997</v>
      </c>
      <c r="T272" s="13"/>
      <c r="U272" s="13"/>
      <c r="V272" s="13"/>
      <c r="W272" s="13"/>
      <c r="X272" s="13"/>
      <c r="Y272" s="13"/>
      <c r="Z272" s="13"/>
      <c r="AA272" s="13"/>
      <c r="AB272" s="13"/>
      <c r="AC272" s="13"/>
      <c r="AD272" s="13"/>
      <c r="AE272" s="13"/>
      <c r="AF272" s="13"/>
      <c r="AG272" s="13"/>
      <c r="AH272" s="13"/>
      <c r="AI272" s="13"/>
      <c r="AJ272" s="13"/>
      <c r="AK272" s="13"/>
      <c r="AL272" s="13"/>
      <c r="AM272" s="13"/>
      <c r="AN272" s="13"/>
    </row>
    <row r="273" spans="1:40" ht="20.25">
      <c r="A273" t="str">
        <f>+B273&amp;C273</f>
        <v>CarrosserieFournitures d'atelier</v>
      </c>
      <c r="B273" s="11" t="s">
        <v>94</v>
      </c>
      <c r="C273" s="212" t="s">
        <v>93</v>
      </c>
      <c r="D273" s="81"/>
      <c r="E273" s="13"/>
      <c r="F273" s="30"/>
      <c r="G273" s="83"/>
      <c r="H273" s="13"/>
      <c r="I273" s="30"/>
      <c r="J273" s="41"/>
      <c r="K273" s="13"/>
      <c r="L273" s="55">
        <v>0</v>
      </c>
      <c r="M273" s="41"/>
      <c r="N273" s="59">
        <f t="shared" si="58"/>
        <v>0</v>
      </c>
      <c r="O273" s="41"/>
      <c r="P273" s="13"/>
      <c r="Q273" s="33">
        <v>0</v>
      </c>
      <c r="R273" s="41"/>
      <c r="S273" s="85">
        <f>L273-Q273</f>
        <v>0</v>
      </c>
      <c r="T273" s="13"/>
      <c r="U273" s="13"/>
      <c r="V273" s="13"/>
      <c r="W273" s="13"/>
      <c r="X273" s="13"/>
      <c r="Y273" s="13"/>
      <c r="Z273" s="13"/>
      <c r="AA273" s="13"/>
      <c r="AB273" s="13"/>
      <c r="AC273" s="13"/>
      <c r="AD273" s="13"/>
      <c r="AE273" s="13"/>
      <c r="AF273" s="13"/>
      <c r="AG273" s="13"/>
      <c r="AH273" s="13"/>
      <c r="AI273" s="13"/>
      <c r="AJ273" s="13"/>
      <c r="AK273" s="13"/>
      <c r="AL273" s="13"/>
      <c r="AM273" s="13"/>
      <c r="AN273" s="13"/>
    </row>
    <row r="274" spans="1:40" ht="20.25">
      <c r="A274" t="str">
        <f t="shared" ref="A274:A282" si="61">+B274&amp;C274</f>
        <v>CarrosserieFournitures autres</v>
      </c>
      <c r="B274" s="11" t="s">
        <v>94</v>
      </c>
      <c r="C274" s="102" t="s">
        <v>55</v>
      </c>
      <c r="D274" s="81"/>
      <c r="E274" s="13"/>
      <c r="F274" s="30">
        <v>2.6506024096385543</v>
      </c>
      <c r="G274" s="83"/>
      <c r="H274" s="13"/>
      <c r="I274" s="30"/>
      <c r="J274" s="41"/>
      <c r="K274" s="13"/>
      <c r="L274" s="33">
        <v>0</v>
      </c>
      <c r="M274" s="41"/>
      <c r="N274" s="59">
        <f t="shared" si="58"/>
        <v>-2.6506024096385543</v>
      </c>
      <c r="O274" s="41"/>
      <c r="P274" s="13"/>
      <c r="Q274" s="33">
        <v>0</v>
      </c>
      <c r="R274" s="41"/>
      <c r="S274" s="85">
        <f t="shared" ref="S274:S282" si="62">L274-Q274</f>
        <v>0</v>
      </c>
      <c r="T274" s="13"/>
      <c r="U274" s="13"/>
      <c r="V274" s="13"/>
      <c r="W274" s="13"/>
      <c r="X274" s="13"/>
      <c r="Y274" s="13"/>
      <c r="Z274" s="13"/>
      <c r="AA274" s="13"/>
      <c r="AB274" s="13"/>
      <c r="AC274" s="13"/>
      <c r="AD274" s="13"/>
      <c r="AE274" s="13"/>
      <c r="AF274" s="13"/>
      <c r="AG274" s="13"/>
      <c r="AH274" s="13"/>
      <c r="AI274" s="13"/>
      <c r="AJ274" s="13"/>
      <c r="AK274" s="13"/>
      <c r="AL274" s="13"/>
      <c r="AM274" s="13"/>
      <c r="AN274" s="13"/>
    </row>
    <row r="275" spans="1:40" ht="20.25">
      <c r="A275" t="str">
        <f t="shared" si="61"/>
        <v>CarrosserieUniformes</v>
      </c>
      <c r="B275" s="11" t="s">
        <v>94</v>
      </c>
      <c r="C275" s="102" t="s">
        <v>56</v>
      </c>
      <c r="D275" s="81"/>
      <c r="E275" s="13"/>
      <c r="F275" s="30">
        <v>0</v>
      </c>
      <c r="G275" s="83"/>
      <c r="H275" s="13"/>
      <c r="I275" s="30"/>
      <c r="J275" s="41"/>
      <c r="K275" s="13"/>
      <c r="L275" s="33">
        <v>5</v>
      </c>
      <c r="M275" s="41"/>
      <c r="N275" s="59">
        <f t="shared" si="58"/>
        <v>5</v>
      </c>
      <c r="O275" s="41"/>
      <c r="P275" s="13"/>
      <c r="Q275" s="33">
        <v>0</v>
      </c>
      <c r="R275" s="41"/>
      <c r="S275" s="85">
        <f t="shared" si="62"/>
        <v>5</v>
      </c>
      <c r="T275" s="13"/>
      <c r="U275" s="13"/>
      <c r="V275" s="13"/>
      <c r="W275" s="13"/>
      <c r="X275" s="13"/>
      <c r="Y275" s="13"/>
      <c r="Z275" s="13"/>
      <c r="AA275" s="13"/>
      <c r="AB275" s="13"/>
      <c r="AC275" s="13"/>
      <c r="AD275" s="13"/>
      <c r="AE275" s="13"/>
      <c r="AF275" s="13"/>
      <c r="AG275" s="13"/>
      <c r="AH275" s="13"/>
      <c r="AI275" s="13"/>
      <c r="AJ275" s="13"/>
      <c r="AK275" s="13"/>
      <c r="AL275" s="13"/>
      <c r="AM275" s="13"/>
      <c r="AN275" s="13"/>
    </row>
    <row r="276" spans="1:40" ht="20.25">
      <c r="A276" t="str">
        <f t="shared" si="61"/>
        <v>CarrosseriePapeterie</v>
      </c>
      <c r="B276" s="11" t="s">
        <v>94</v>
      </c>
      <c r="C276" s="102" t="s">
        <v>57</v>
      </c>
      <c r="D276" s="81"/>
      <c r="E276" s="13"/>
      <c r="F276" s="30">
        <v>43.75</v>
      </c>
      <c r="G276" s="83"/>
      <c r="H276" s="13"/>
      <c r="I276" s="30"/>
      <c r="J276" s="41"/>
      <c r="K276" s="13"/>
      <c r="L276" s="32">
        <v>41.73</v>
      </c>
      <c r="M276" s="41"/>
      <c r="N276" s="59">
        <f t="shared" si="58"/>
        <v>-2.0200000000000031</v>
      </c>
      <c r="O276" s="41"/>
      <c r="P276" s="13"/>
      <c r="Q276" s="32">
        <v>32.83</v>
      </c>
      <c r="R276" s="41"/>
      <c r="S276" s="85">
        <f t="shared" si="62"/>
        <v>8.8999999999999986</v>
      </c>
      <c r="T276" s="13"/>
      <c r="U276" s="13"/>
      <c r="V276" s="13"/>
      <c r="W276" s="13"/>
      <c r="X276" s="13"/>
      <c r="Y276" s="13"/>
      <c r="Z276" s="13"/>
      <c r="AA276" s="13"/>
      <c r="AB276" s="13"/>
      <c r="AC276" s="13"/>
      <c r="AD276" s="13"/>
      <c r="AE276" s="13"/>
      <c r="AF276" s="13"/>
      <c r="AG276" s="13"/>
      <c r="AH276" s="13"/>
      <c r="AI276" s="13"/>
      <c r="AJ276" s="13"/>
      <c r="AK276" s="13"/>
      <c r="AL276" s="13"/>
      <c r="AM276" s="13"/>
      <c r="AN276" s="13"/>
    </row>
    <row r="277" spans="1:40" ht="20.25">
      <c r="A277" t="str">
        <f t="shared" si="61"/>
        <v>CarrosserieTéléphone</v>
      </c>
      <c r="B277" s="11" t="s">
        <v>94</v>
      </c>
      <c r="C277" s="102" t="s">
        <v>58</v>
      </c>
      <c r="D277" s="81"/>
      <c r="E277" s="13"/>
      <c r="F277" s="30">
        <v>8.8000000000000007</v>
      </c>
      <c r="G277" s="83"/>
      <c r="H277" s="13"/>
      <c r="I277" s="30"/>
      <c r="J277" s="41"/>
      <c r="K277" s="13"/>
      <c r="L277" s="33">
        <v>7.62</v>
      </c>
      <c r="M277" s="41"/>
      <c r="N277" s="59">
        <f t="shared" si="58"/>
        <v>-1.1800000000000006</v>
      </c>
      <c r="O277" s="41"/>
      <c r="P277" s="13"/>
      <c r="Q277" s="33">
        <v>7.67</v>
      </c>
      <c r="R277" s="41"/>
      <c r="S277" s="85">
        <f t="shared" si="62"/>
        <v>-4.9999999999999822E-2</v>
      </c>
      <c r="T277" s="13"/>
      <c r="U277" s="13"/>
      <c r="V277" s="13"/>
      <c r="W277" s="13"/>
      <c r="X277" s="13"/>
      <c r="Y277" s="13"/>
      <c r="Z277" s="13"/>
      <c r="AA277" s="13"/>
      <c r="AB277" s="13"/>
      <c r="AC277" s="13"/>
      <c r="AD277" s="13"/>
      <c r="AE277" s="13"/>
      <c r="AF277" s="13"/>
      <c r="AG277" s="13"/>
      <c r="AH277" s="13"/>
      <c r="AI277" s="13"/>
      <c r="AJ277" s="13"/>
      <c r="AK277" s="13"/>
      <c r="AL277" s="13"/>
      <c r="AM277" s="13"/>
      <c r="AN277" s="13"/>
    </row>
    <row r="278" spans="1:40" ht="20.25">
      <c r="A278" t="str">
        <f t="shared" si="61"/>
        <v>CarrosserieFrais postaux</v>
      </c>
      <c r="B278" s="11" t="s">
        <v>94</v>
      </c>
      <c r="C278" s="102" t="s">
        <v>59</v>
      </c>
      <c r="D278" s="81"/>
      <c r="E278" s="13"/>
      <c r="F278" s="30">
        <v>12.5</v>
      </c>
      <c r="G278" s="83"/>
      <c r="H278" s="13"/>
      <c r="I278" s="30"/>
      <c r="J278" s="41"/>
      <c r="K278" s="13"/>
      <c r="L278" s="33">
        <v>12.13</v>
      </c>
      <c r="M278" s="41"/>
      <c r="N278" s="59">
        <f t="shared" si="58"/>
        <v>-0.36999999999999922</v>
      </c>
      <c r="O278" s="41"/>
      <c r="P278" s="13"/>
      <c r="Q278" s="33">
        <v>14.79</v>
      </c>
      <c r="R278" s="41"/>
      <c r="S278" s="85">
        <f t="shared" si="62"/>
        <v>-2.6599999999999984</v>
      </c>
      <c r="T278" s="13"/>
      <c r="U278" s="13"/>
      <c r="V278" s="13"/>
      <c r="W278" s="13"/>
      <c r="X278" s="13"/>
      <c r="Y278" s="13"/>
      <c r="Z278" s="13"/>
      <c r="AA278" s="13"/>
      <c r="AB278" s="13"/>
      <c r="AC278" s="13"/>
      <c r="AD278" s="13"/>
      <c r="AE278" s="13"/>
      <c r="AF278" s="13"/>
      <c r="AG278" s="13"/>
      <c r="AH278" s="13"/>
      <c r="AI278" s="13"/>
      <c r="AJ278" s="13"/>
      <c r="AK278" s="13"/>
      <c r="AL278" s="13"/>
      <c r="AM278" s="13"/>
      <c r="AN278" s="13"/>
    </row>
    <row r="279" spans="1:40" ht="20.25">
      <c r="A279" t="str">
        <f t="shared" si="61"/>
        <v>CarrosserieDivers</v>
      </c>
      <c r="B279" s="11" t="s">
        <v>94</v>
      </c>
      <c r="C279" s="102" t="s">
        <v>60</v>
      </c>
      <c r="D279" s="81"/>
      <c r="E279" s="13"/>
      <c r="F279" s="30">
        <v>46.45</v>
      </c>
      <c r="G279" s="83"/>
      <c r="H279" s="13"/>
      <c r="I279" s="30"/>
      <c r="J279" s="41"/>
      <c r="K279" s="13"/>
      <c r="L279" s="33">
        <v>36.14</v>
      </c>
      <c r="M279" s="41"/>
      <c r="N279" s="59">
        <f t="shared" si="58"/>
        <v>-10.310000000000002</v>
      </c>
      <c r="O279" s="41"/>
      <c r="P279" s="13"/>
      <c r="Q279" s="33">
        <v>37.089999999999897</v>
      </c>
      <c r="R279" s="41"/>
      <c r="S279" s="85">
        <f t="shared" si="62"/>
        <v>-0.94999999999989626</v>
      </c>
      <c r="T279" s="13"/>
      <c r="U279" s="13"/>
      <c r="V279" s="13"/>
      <c r="W279" s="13"/>
      <c r="X279" s="13"/>
      <c r="Y279" s="13"/>
      <c r="Z279" s="13"/>
      <c r="AA279" s="13"/>
      <c r="AB279" s="13"/>
      <c r="AC279" s="13"/>
      <c r="AD279" s="13"/>
      <c r="AE279" s="13"/>
      <c r="AF279" s="13"/>
      <c r="AG279" s="13"/>
      <c r="AH279" s="13"/>
      <c r="AI279" s="13"/>
      <c r="AJ279" s="13"/>
      <c r="AK279" s="13"/>
      <c r="AL279" s="13"/>
      <c r="AM279" s="13"/>
      <c r="AN279" s="13"/>
    </row>
    <row r="280" spans="1:40" ht="20.25">
      <c r="A280" t="str">
        <f t="shared" si="61"/>
        <v>CarrosserieFormation</v>
      </c>
      <c r="B280" s="11" t="s">
        <v>94</v>
      </c>
      <c r="C280" s="102" t="s">
        <v>61</v>
      </c>
      <c r="D280" s="81"/>
      <c r="E280" s="13"/>
      <c r="F280" s="30">
        <v>20.768359999999994</v>
      </c>
      <c r="G280" s="83"/>
      <c r="H280" s="13"/>
      <c r="I280" s="30"/>
      <c r="J280" s="41"/>
      <c r="K280" s="13"/>
      <c r="L280" s="33">
        <v>27.97</v>
      </c>
      <c r="M280" s="41"/>
      <c r="N280" s="59">
        <f t="shared" si="58"/>
        <v>7.2016400000000047</v>
      </c>
      <c r="O280" s="41"/>
      <c r="P280" s="13"/>
      <c r="Q280" s="33">
        <v>56.13</v>
      </c>
      <c r="R280" s="41"/>
      <c r="S280" s="85">
        <f t="shared" si="62"/>
        <v>-28.160000000000004</v>
      </c>
      <c r="T280" s="13"/>
      <c r="U280" s="13"/>
      <c r="V280" s="13"/>
      <c r="W280" s="13"/>
      <c r="X280" s="13"/>
      <c r="Y280" s="13"/>
      <c r="Z280" s="13"/>
      <c r="AA280" s="13"/>
      <c r="AB280" s="13"/>
      <c r="AC280" s="13"/>
      <c r="AD280" s="13"/>
      <c r="AE280" s="13"/>
      <c r="AF280" s="13"/>
      <c r="AG280" s="13"/>
      <c r="AH280" s="13"/>
      <c r="AI280" s="13"/>
      <c r="AJ280" s="13"/>
      <c r="AK280" s="13"/>
      <c r="AL280" s="13"/>
      <c r="AM280" s="13"/>
      <c r="AN280" s="13"/>
    </row>
    <row r="281" spans="1:40" ht="20.25">
      <c r="A281" t="str">
        <f t="shared" si="61"/>
        <v>CarrosserieFrais bancaires</v>
      </c>
      <c r="B281" s="11" t="s">
        <v>94</v>
      </c>
      <c r="C281" s="102" t="s">
        <v>62</v>
      </c>
      <c r="D281" s="81"/>
      <c r="E281" s="13"/>
      <c r="F281" s="30">
        <v>136.75248273867749</v>
      </c>
      <c r="G281" s="83"/>
      <c r="H281" s="13"/>
      <c r="I281" s="30"/>
      <c r="J281" s="41"/>
      <c r="K281" s="13"/>
      <c r="L281" s="33">
        <v>166.34</v>
      </c>
      <c r="M281" s="41"/>
      <c r="N281" s="59">
        <f t="shared" si="58"/>
        <v>29.587517261322517</v>
      </c>
      <c r="O281" s="41"/>
      <c r="P281" s="13"/>
      <c r="Q281" s="33">
        <v>134.94999999999999</v>
      </c>
      <c r="R281" s="41"/>
      <c r="S281" s="85">
        <f t="shared" si="62"/>
        <v>31.390000000000015</v>
      </c>
      <c r="T281" s="13"/>
      <c r="U281" s="13"/>
      <c r="V281" s="13"/>
      <c r="W281" s="13"/>
      <c r="X281" s="13"/>
      <c r="Y281" s="13"/>
      <c r="Z281" s="13"/>
      <c r="AA281" s="13"/>
      <c r="AB281" s="13"/>
      <c r="AC281" s="13"/>
      <c r="AD281" s="13"/>
      <c r="AE281" s="13"/>
      <c r="AF281" s="13"/>
      <c r="AG281" s="13"/>
      <c r="AH281" s="13"/>
      <c r="AI281" s="13"/>
      <c r="AJ281" s="13"/>
      <c r="AK281" s="13"/>
      <c r="AL281" s="13"/>
      <c r="AM281" s="13"/>
      <c r="AN281" s="13"/>
    </row>
    <row r="282" spans="1:40" ht="20.25" hidden="1">
      <c r="A282" t="str">
        <f t="shared" si="61"/>
        <v>Carrosserie[...]</v>
      </c>
      <c r="B282" s="11" t="s">
        <v>94</v>
      </c>
      <c r="C282" s="102" t="s">
        <v>19</v>
      </c>
      <c r="D282" s="81"/>
      <c r="E282" s="13"/>
      <c r="F282" s="30">
        <v>0</v>
      </c>
      <c r="G282" s="83"/>
      <c r="H282" s="13"/>
      <c r="I282" s="30"/>
      <c r="J282" s="41"/>
      <c r="K282" s="13"/>
      <c r="L282" s="33">
        <v>0</v>
      </c>
      <c r="M282" s="41"/>
      <c r="N282" s="59">
        <f t="shared" si="58"/>
        <v>0</v>
      </c>
      <c r="O282" s="41"/>
      <c r="P282" s="13"/>
      <c r="Q282" s="33">
        <v>0</v>
      </c>
      <c r="R282" s="41"/>
      <c r="S282" s="85">
        <f t="shared" si="62"/>
        <v>0</v>
      </c>
      <c r="T282" s="13"/>
      <c r="U282" s="13"/>
      <c r="V282" s="13"/>
      <c r="W282" s="13"/>
      <c r="X282" s="13"/>
      <c r="Y282" s="13"/>
      <c r="Z282" s="13"/>
      <c r="AA282" s="13"/>
      <c r="AB282" s="13"/>
      <c r="AC282" s="13"/>
      <c r="AD282" s="13"/>
      <c r="AE282" s="13"/>
      <c r="AF282" s="13"/>
      <c r="AG282" s="13"/>
      <c r="AH282" s="13"/>
      <c r="AI282" s="13"/>
      <c r="AJ282" s="13"/>
      <c r="AK282" s="13"/>
      <c r="AL282" s="13"/>
      <c r="AM282" s="13"/>
      <c r="AN282" s="13"/>
    </row>
    <row r="283" spans="1:40" ht="20.25" hidden="1">
      <c r="A283" t="str">
        <f>+B283&amp;C283</f>
        <v>Carrosserie[...]</v>
      </c>
      <c r="B283" s="11" t="s">
        <v>94</v>
      </c>
      <c r="C283" s="102" t="s">
        <v>19</v>
      </c>
      <c r="D283" s="81"/>
      <c r="E283" s="13"/>
      <c r="F283" s="30">
        <v>0</v>
      </c>
      <c r="G283" s="83"/>
      <c r="H283" s="13"/>
      <c r="I283" s="30"/>
      <c r="J283" s="41"/>
      <c r="K283" s="13"/>
      <c r="L283" s="33">
        <v>0</v>
      </c>
      <c r="M283" s="41"/>
      <c r="N283" s="59">
        <f t="shared" si="58"/>
        <v>0</v>
      </c>
      <c r="O283" s="41"/>
      <c r="P283" s="13"/>
      <c r="Q283" s="33">
        <v>0</v>
      </c>
      <c r="R283" s="41"/>
      <c r="S283" s="85">
        <f>L283-Q283</f>
        <v>0</v>
      </c>
      <c r="T283" s="13"/>
      <c r="U283" s="13"/>
      <c r="V283" s="13"/>
      <c r="W283" s="13"/>
      <c r="X283" s="13"/>
      <c r="Y283" s="13"/>
      <c r="Z283" s="13"/>
      <c r="AA283" s="13"/>
      <c r="AB283" s="13"/>
      <c r="AC283" s="13"/>
      <c r="AD283" s="13"/>
      <c r="AE283" s="13"/>
      <c r="AF283" s="13"/>
      <c r="AG283" s="13"/>
      <c r="AH283" s="13"/>
      <c r="AI283" s="13"/>
      <c r="AJ283" s="13"/>
      <c r="AK283" s="13"/>
      <c r="AL283" s="13"/>
      <c r="AM283" s="13"/>
      <c r="AN283" s="13"/>
    </row>
    <row r="284" spans="1:40" ht="20.25" hidden="1">
      <c r="A284" t="str">
        <f t="shared" ref="A284" si="63">+B284&amp;C284</f>
        <v>Carrosserie[...]</v>
      </c>
      <c r="B284" s="11" t="s">
        <v>94</v>
      </c>
      <c r="C284" s="102" t="s">
        <v>19</v>
      </c>
      <c r="D284" s="81"/>
      <c r="E284" s="13"/>
      <c r="F284" s="30">
        <v>0</v>
      </c>
      <c r="G284" s="83"/>
      <c r="H284" s="13"/>
      <c r="I284" s="30"/>
      <c r="J284" s="41"/>
      <c r="K284" s="13"/>
      <c r="L284" s="33">
        <v>0</v>
      </c>
      <c r="M284" s="41"/>
      <c r="N284" s="59">
        <f t="shared" si="58"/>
        <v>0</v>
      </c>
      <c r="O284" s="41"/>
      <c r="P284" s="13"/>
      <c r="Q284" s="33">
        <v>0</v>
      </c>
      <c r="R284" s="41"/>
      <c r="S284" s="85">
        <f t="shared" ref="S284" si="64">L284-Q284</f>
        <v>0</v>
      </c>
      <c r="T284" s="13"/>
      <c r="U284" s="13"/>
      <c r="V284" s="13"/>
      <c r="W284" s="13"/>
      <c r="X284" s="13"/>
      <c r="Y284" s="13"/>
      <c r="Z284" s="13"/>
      <c r="AA284" s="13"/>
      <c r="AB284" s="13"/>
      <c r="AC284" s="13"/>
      <c r="AD284" s="13"/>
      <c r="AE284" s="13"/>
      <c r="AF284" s="13"/>
      <c r="AG284" s="13"/>
      <c r="AH284" s="13"/>
      <c r="AI284" s="13"/>
      <c r="AJ284" s="13"/>
      <c r="AK284" s="13"/>
      <c r="AL284" s="13"/>
      <c r="AM284" s="13"/>
      <c r="AN284" s="13"/>
    </row>
    <row r="285" spans="1:40" ht="20.25">
      <c r="B285" s="11"/>
      <c r="C285" s="93" t="s">
        <v>63</v>
      </c>
      <c r="D285" s="94" t="s">
        <v>38</v>
      </c>
      <c r="E285" s="95" t="e">
        <f>F285/F$244</f>
        <v>#DIV/0!</v>
      </c>
      <c r="F285" s="96">
        <f>+SUM(F267:F284)</f>
        <v>828.99644514831607</v>
      </c>
      <c r="G285" s="97"/>
      <c r="H285" s="95"/>
      <c r="I285" s="96"/>
      <c r="J285" s="97" t="s">
        <v>38</v>
      </c>
      <c r="K285" s="95" t="e">
        <f>IF(L262=0,0,L285/L$244)</f>
        <v>#DIV/0!</v>
      </c>
      <c r="L285" s="96">
        <f>+SUM(L267:L284)</f>
        <v>723.18000000000006</v>
      </c>
      <c r="M285" s="100"/>
      <c r="N285" s="96">
        <f>+SUM(N267:N284)</f>
        <v>-105.81644514831612</v>
      </c>
      <c r="O285" s="97" t="s">
        <v>38</v>
      </c>
      <c r="P285" s="95">
        <f>IF(Q$244=0,0,Q285/Q$244)</f>
        <v>0</v>
      </c>
      <c r="Q285" s="96">
        <f>+SUM(Q267:Q284)</f>
        <v>871.17999999999984</v>
      </c>
      <c r="R285" s="100"/>
      <c r="S285" s="101">
        <f>L285-Q285</f>
        <v>-147.99999999999977</v>
      </c>
      <c r="T285" s="76"/>
      <c r="U285" s="13"/>
      <c r="V285" s="13"/>
      <c r="W285" s="13"/>
      <c r="X285" s="13"/>
      <c r="Y285" s="13"/>
      <c r="Z285" s="13"/>
      <c r="AA285" s="13"/>
      <c r="AB285" s="13"/>
      <c r="AC285" s="13"/>
      <c r="AD285" s="13"/>
      <c r="AE285" s="13"/>
      <c r="AF285" s="13"/>
      <c r="AG285" s="13"/>
      <c r="AH285" s="13"/>
      <c r="AI285" s="13"/>
      <c r="AJ285" s="13"/>
      <c r="AK285" s="13"/>
      <c r="AL285" s="13"/>
      <c r="AM285" s="13"/>
      <c r="AN285" s="13"/>
    </row>
    <row r="286" spans="1:40" ht="20.25">
      <c r="B286" s="11"/>
      <c r="C286" s="86"/>
      <c r="D286" s="87"/>
      <c r="E286" s="111"/>
      <c r="F286" s="59"/>
      <c r="G286" s="89"/>
      <c r="H286" s="111"/>
      <c r="I286" s="59"/>
      <c r="J286" s="23"/>
      <c r="K286" s="111"/>
      <c r="L286" s="91"/>
      <c r="M286" s="23"/>
      <c r="N286" s="91"/>
      <c r="O286" s="23"/>
      <c r="P286" s="111"/>
      <c r="Q286" s="91"/>
      <c r="R286" s="23"/>
      <c r="S286" s="92"/>
      <c r="T286" s="76"/>
      <c r="U286" s="13"/>
      <c r="V286" s="13"/>
      <c r="W286" s="13"/>
      <c r="X286" s="13"/>
      <c r="Y286" s="13"/>
      <c r="Z286" s="13"/>
      <c r="AA286" s="13"/>
      <c r="AB286" s="13"/>
      <c r="AC286" s="13"/>
      <c r="AD286" s="13"/>
      <c r="AE286" s="13"/>
      <c r="AF286" s="13"/>
      <c r="AG286" s="13"/>
      <c r="AH286" s="13"/>
      <c r="AI286" s="13"/>
      <c r="AJ286" s="13"/>
      <c r="AK286" s="13"/>
      <c r="AL286" s="13"/>
      <c r="AM286" s="13"/>
      <c r="AN286" s="13"/>
    </row>
    <row r="287" spans="1:40" ht="20.25">
      <c r="B287" s="11"/>
      <c r="C287" s="93" t="s">
        <v>64</v>
      </c>
      <c r="D287" s="94" t="s">
        <v>38</v>
      </c>
      <c r="E287" s="95" t="e">
        <f>F287/F$244</f>
        <v>#DIV/0!</v>
      </c>
      <c r="F287" s="96">
        <f>F266+F285</f>
        <v>1843.4885202480177</v>
      </c>
      <c r="G287" s="97"/>
      <c r="H287" s="95"/>
      <c r="I287" s="96"/>
      <c r="J287" s="97" t="s">
        <v>38</v>
      </c>
      <c r="K287" s="95" t="e">
        <f>IF(L264=0,0,L287/L$244)</f>
        <v>#DIV/0!</v>
      </c>
      <c r="L287" s="96">
        <f>L266+L285</f>
        <v>1645.81</v>
      </c>
      <c r="M287" s="100"/>
      <c r="N287" s="113">
        <f>L287-F287</f>
        <v>-197.67852024801778</v>
      </c>
      <c r="O287" s="97" t="s">
        <v>38</v>
      </c>
      <c r="P287" s="95">
        <f>IF(Q$244=0,0,Q287/Q$244)</f>
        <v>0</v>
      </c>
      <c r="Q287" s="96">
        <f>Q266+Q285</f>
        <v>1822.83</v>
      </c>
      <c r="R287" s="100"/>
      <c r="S287" s="114">
        <f>L287-Q287</f>
        <v>-177.01999999999998</v>
      </c>
      <c r="T287" s="76"/>
      <c r="U287" s="13"/>
      <c r="V287" s="13"/>
      <c r="W287" s="13"/>
      <c r="X287" s="13"/>
      <c r="Y287" s="13"/>
      <c r="Z287" s="13"/>
      <c r="AA287" s="13"/>
      <c r="AB287" s="13"/>
      <c r="AC287" s="13"/>
      <c r="AD287" s="13"/>
      <c r="AE287" s="13"/>
      <c r="AF287" s="13"/>
      <c r="AG287" s="13"/>
      <c r="AH287" s="13"/>
      <c r="AI287" s="13"/>
      <c r="AJ287" s="13"/>
      <c r="AK287" s="13"/>
      <c r="AL287" s="13"/>
      <c r="AM287" s="13"/>
      <c r="AN287" s="13"/>
    </row>
    <row r="288" spans="1:40" ht="20.25">
      <c r="B288" s="11"/>
      <c r="C288" s="29"/>
      <c r="D288" s="81"/>
      <c r="E288" s="13"/>
      <c r="F288" s="59"/>
      <c r="G288" s="83"/>
      <c r="H288" s="13"/>
      <c r="I288" s="59"/>
      <c r="J288" s="41"/>
      <c r="K288" s="13"/>
      <c r="L288" s="59"/>
      <c r="M288" s="41"/>
      <c r="N288" s="59">
        <f>L288-F288</f>
        <v>0</v>
      </c>
      <c r="O288" s="41"/>
      <c r="P288" s="13"/>
      <c r="Q288" s="59"/>
      <c r="R288" s="41"/>
      <c r="S288" s="85"/>
      <c r="T288" s="13"/>
      <c r="U288" s="13"/>
      <c r="V288" s="13"/>
      <c r="W288" s="13"/>
      <c r="X288" s="13"/>
      <c r="Y288" s="13"/>
      <c r="Z288" s="13"/>
      <c r="AA288" s="13"/>
      <c r="AB288" s="13"/>
      <c r="AC288" s="13"/>
      <c r="AD288" s="13"/>
      <c r="AE288" s="13"/>
      <c r="AF288" s="13"/>
      <c r="AG288" s="13"/>
      <c r="AH288" s="13"/>
      <c r="AI288" s="13"/>
      <c r="AJ288" s="13"/>
      <c r="AK288" s="13"/>
      <c r="AL288" s="13"/>
      <c r="AM288" s="13"/>
      <c r="AN288" s="13"/>
    </row>
    <row r="289" spans="1:40" ht="21" thickBot="1">
      <c r="B289" s="11"/>
      <c r="C289" s="124" t="s">
        <v>69</v>
      </c>
      <c r="D289" s="152"/>
      <c r="E289" s="125"/>
      <c r="F289" s="127">
        <f>F250-F287</f>
        <v>-1426.1015981537403</v>
      </c>
      <c r="G289" s="153"/>
      <c r="H289" s="125"/>
      <c r="I289" s="127"/>
      <c r="J289" s="154"/>
      <c r="K289" s="126"/>
      <c r="L289" s="127">
        <f>L250-L287</f>
        <v>-1513.79</v>
      </c>
      <c r="M289" s="154"/>
      <c r="N289" s="127">
        <f>L289-F289</f>
        <v>-87.688401846259694</v>
      </c>
      <c r="O289" s="154"/>
      <c r="P289" s="126"/>
      <c r="Q289" s="127">
        <f>Q250-Q287</f>
        <v>-1267.4899999999998</v>
      </c>
      <c r="R289" s="154"/>
      <c r="S289" s="129">
        <f>L289-Q289</f>
        <v>-246.30000000000018</v>
      </c>
      <c r="T289" s="76"/>
      <c r="U289" s="13"/>
      <c r="V289" s="13"/>
      <c r="W289" s="13"/>
      <c r="X289" s="13"/>
      <c r="Y289" s="13"/>
      <c r="Z289" s="13"/>
      <c r="AA289" s="13"/>
      <c r="AB289" s="13"/>
      <c r="AC289" s="13"/>
      <c r="AD289" s="13"/>
      <c r="AE289" s="13"/>
      <c r="AF289" s="13"/>
      <c r="AG289" s="13"/>
      <c r="AH289" s="13"/>
      <c r="AI289" s="13"/>
      <c r="AJ289" s="13"/>
      <c r="AK289" s="13"/>
      <c r="AL289" s="13"/>
      <c r="AM289" s="13"/>
      <c r="AN289" s="13"/>
    </row>
    <row r="290" spans="1:40" ht="21" thickTop="1">
      <c r="B290" s="11"/>
      <c r="C290" s="13"/>
      <c r="D290" s="13"/>
      <c r="E290" s="13"/>
      <c r="F290" s="13"/>
      <c r="G290" s="13"/>
      <c r="H290" s="13"/>
      <c r="I290" s="13"/>
      <c r="J290" s="13"/>
      <c r="K290" s="13"/>
      <c r="L290" s="82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  <c r="AA290" s="13"/>
      <c r="AB290" s="13"/>
      <c r="AC290" s="13"/>
      <c r="AD290" s="13"/>
      <c r="AE290" s="13"/>
      <c r="AF290" s="13"/>
      <c r="AG290" s="13"/>
      <c r="AH290" s="13"/>
      <c r="AI290" s="13"/>
      <c r="AJ290" s="13"/>
      <c r="AK290" s="13"/>
      <c r="AL290" s="13"/>
      <c r="AM290" s="13"/>
      <c r="AN290" s="13"/>
    </row>
    <row r="291" spans="1:40" ht="35.25">
      <c r="B291" s="11"/>
      <c r="C291" s="6" t="str">
        <f>C1</f>
        <v>BMW Sherbrooke</v>
      </c>
      <c r="D291" s="2"/>
      <c r="E291" s="2"/>
      <c r="F291" s="2"/>
      <c r="G291" s="2"/>
      <c r="H291" s="1"/>
      <c r="I291" s="1"/>
      <c r="J291" s="1"/>
      <c r="K291" s="3" t="s">
        <v>98</v>
      </c>
      <c r="L291" s="2"/>
      <c r="M291" s="2"/>
      <c r="N291" s="1"/>
      <c r="O291" s="1"/>
      <c r="P291" s="2"/>
      <c r="Q291" s="1"/>
      <c r="R291" s="2"/>
      <c r="S291" s="5" t="str">
        <f>$S$1</f>
        <v>Réalisé, Juillet 2024</v>
      </c>
      <c r="T291" s="13"/>
      <c r="U291" s="13"/>
      <c r="V291" s="13"/>
      <c r="W291" s="13"/>
      <c r="X291" s="13"/>
      <c r="Y291" s="13"/>
      <c r="Z291" s="13"/>
      <c r="AA291" s="13"/>
      <c r="AB291" s="13"/>
      <c r="AC291" s="13"/>
      <c r="AD291" s="13"/>
      <c r="AE291" s="13"/>
      <c r="AF291" s="13"/>
      <c r="AG291" s="13"/>
      <c r="AH291" s="13"/>
      <c r="AI291" s="13"/>
      <c r="AJ291" s="13"/>
      <c r="AK291" s="13"/>
      <c r="AL291" s="13"/>
      <c r="AM291" s="13"/>
      <c r="AN291" s="13"/>
    </row>
    <row r="292" spans="1:40" ht="21" thickBot="1">
      <c r="B292" s="11"/>
      <c r="C292" s="8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3"/>
      <c r="U292" s="13"/>
      <c r="V292" s="13"/>
      <c r="W292" s="13"/>
      <c r="X292" s="13"/>
      <c r="Y292" s="13"/>
      <c r="Z292" s="13"/>
      <c r="AA292" s="13"/>
      <c r="AB292" s="13"/>
      <c r="AC292" s="13"/>
      <c r="AD292" s="13"/>
      <c r="AE292" s="13"/>
      <c r="AF292" s="13"/>
      <c r="AG292" s="13"/>
      <c r="AH292" s="13"/>
      <c r="AI292" s="13"/>
      <c r="AJ292" s="13"/>
      <c r="AK292" s="13"/>
      <c r="AL292" s="13"/>
      <c r="AM292" s="13"/>
      <c r="AN292" s="13"/>
    </row>
    <row r="293" spans="1:40" ht="21" thickTop="1">
      <c r="B293" s="11"/>
      <c r="C293" s="12"/>
      <c r="D293" s="496" t="s">
        <v>5</v>
      </c>
      <c r="E293" s="497"/>
      <c r="F293" s="498"/>
      <c r="G293" s="499"/>
      <c r="H293" s="497"/>
      <c r="I293" s="498"/>
      <c r="J293" s="499" t="s">
        <v>7</v>
      </c>
      <c r="K293" s="497"/>
      <c r="L293" s="498"/>
      <c r="M293" s="499" t="s">
        <v>213</v>
      </c>
      <c r="N293" s="498"/>
      <c r="O293" s="496" t="s">
        <v>8</v>
      </c>
      <c r="P293" s="497"/>
      <c r="Q293" s="498"/>
      <c r="R293" s="494" t="s">
        <v>214</v>
      </c>
      <c r="S293" s="495"/>
      <c r="T293" s="13"/>
      <c r="U293" s="13"/>
      <c r="V293" s="13"/>
      <c r="W293" s="13"/>
      <c r="X293" s="13"/>
      <c r="Y293" s="13"/>
      <c r="Z293" s="13"/>
      <c r="AA293" s="13"/>
      <c r="AB293" s="13"/>
      <c r="AC293" s="13"/>
      <c r="AD293" s="13"/>
      <c r="AE293" s="13"/>
      <c r="AF293" s="13"/>
      <c r="AG293" s="13"/>
      <c r="AH293" s="13"/>
      <c r="AI293" s="13"/>
      <c r="AJ293" s="13"/>
      <c r="AK293" s="13"/>
      <c r="AL293" s="13"/>
      <c r="AM293" s="13"/>
      <c r="AN293" s="13"/>
    </row>
    <row r="294" spans="1:40" ht="20.25">
      <c r="A294" t="str">
        <f t="shared" ref="A294:A299" si="65">+B294&amp;C294</f>
        <v>Pièces</v>
      </c>
      <c r="B294" s="11" t="s">
        <v>98</v>
      </c>
      <c r="C294" s="29"/>
      <c r="D294" s="80" t="s">
        <v>79</v>
      </c>
      <c r="E294" s="80" t="s">
        <v>99</v>
      </c>
      <c r="F294" s="134" t="s">
        <v>12</v>
      </c>
      <c r="G294" s="135"/>
      <c r="H294" s="80"/>
      <c r="I294" s="134"/>
      <c r="J294" s="135" t="s">
        <v>79</v>
      </c>
      <c r="K294" s="80" t="s">
        <v>99</v>
      </c>
      <c r="L294" s="134" t="s">
        <v>12</v>
      </c>
      <c r="M294" s="135" t="s">
        <v>39</v>
      </c>
      <c r="N294" s="134" t="s">
        <v>217</v>
      </c>
      <c r="O294" s="80" t="s">
        <v>79</v>
      </c>
      <c r="P294" s="80" t="s">
        <v>99</v>
      </c>
      <c r="Q294" s="134" t="s">
        <v>12</v>
      </c>
      <c r="R294" s="135" t="s">
        <v>80</v>
      </c>
      <c r="S294" s="136" t="s">
        <v>12</v>
      </c>
      <c r="T294" s="13"/>
      <c r="U294" s="13"/>
      <c r="V294" s="13"/>
      <c r="W294" s="13"/>
      <c r="X294" s="13"/>
      <c r="Y294" s="13"/>
      <c r="Z294" s="13"/>
      <c r="AA294" s="13"/>
      <c r="AB294" s="13"/>
      <c r="AC294" s="13"/>
      <c r="AD294" s="13"/>
      <c r="AE294" s="13"/>
      <c r="AF294" s="13"/>
      <c r="AG294" s="13"/>
      <c r="AH294" s="13"/>
      <c r="AI294" s="13"/>
      <c r="AJ294" s="13"/>
      <c r="AK294" s="13"/>
      <c r="AL294" s="13"/>
      <c r="AM294" s="13"/>
      <c r="AN294" s="13"/>
    </row>
    <row r="295" spans="1:40" ht="20.25">
      <c r="A295" t="str">
        <f t="shared" si="65"/>
        <v>PiècesPièces Ro Clients</v>
      </c>
      <c r="B295" s="11" t="s">
        <v>98</v>
      </c>
      <c r="C295" s="29" t="s">
        <v>100</v>
      </c>
      <c r="D295" s="82">
        <v>70021.293723753013</v>
      </c>
      <c r="E295" s="148">
        <f>IF(D295=0,0,F295/D295)</f>
        <v>0.41799999999999998</v>
      </c>
      <c r="F295" s="85">
        <v>29268.900776528757</v>
      </c>
      <c r="G295" s="82"/>
      <c r="H295" s="148"/>
      <c r="I295" s="85"/>
      <c r="J295" s="30">
        <v>74277.59</v>
      </c>
      <c r="K295" s="148">
        <f t="shared" ref="K295:K300" si="66">IF(J295&lt;=0,0,L295/J295)</f>
        <v>0.38412420219880566</v>
      </c>
      <c r="L295" s="33">
        <v>28531.819999999985</v>
      </c>
      <c r="M295" s="157">
        <f t="shared" ref="M295:M301" si="67">(+J295-D295)/D295</f>
        <v>6.078574173506221E-2</v>
      </c>
      <c r="N295" s="59">
        <f t="shared" ref="N295:N304" si="68">L295-F295</f>
        <v>-737.08077652877182</v>
      </c>
      <c r="O295" s="30">
        <v>76115.62</v>
      </c>
      <c r="P295" s="148">
        <f t="shared" ref="P295:P303" si="69">IF(O295=0,0,Q295/O295)</f>
        <v>0.4115030528556412</v>
      </c>
      <c r="Q295" s="33">
        <v>31321.809999999899</v>
      </c>
      <c r="R295" s="157">
        <f>IF(O295=0,0,(J295-O295)/O295)</f>
        <v>-2.4147868729178044E-2</v>
      </c>
      <c r="S295" s="85">
        <f t="shared" ref="S295:S300" si="70">L295-Q295</f>
        <v>-2789.9899999999143</v>
      </c>
      <c r="T295" s="13"/>
      <c r="U295" s="13"/>
      <c r="V295" s="13"/>
      <c r="W295" s="13"/>
      <c r="X295" s="13"/>
      <c r="Y295" s="13"/>
      <c r="Z295" s="13"/>
      <c r="AA295" s="13"/>
      <c r="AB295" s="13"/>
      <c r="AC295" s="13"/>
      <c r="AD295" s="13"/>
      <c r="AE295" s="13"/>
      <c r="AF295" s="13"/>
      <c r="AG295" s="13"/>
      <c r="AH295" s="13"/>
      <c r="AI295" s="13"/>
      <c r="AJ295" s="13"/>
      <c r="AK295" s="13"/>
      <c r="AL295" s="13"/>
      <c r="AM295" s="13"/>
      <c r="AN295" s="13"/>
    </row>
    <row r="296" spans="1:40" ht="20.25">
      <c r="A296" t="str">
        <f t="shared" si="65"/>
        <v>PiècesPièces Ro Carrosserie</v>
      </c>
      <c r="B296" s="11" t="s">
        <v>98</v>
      </c>
      <c r="C296" s="29" t="s">
        <v>101</v>
      </c>
      <c r="D296" s="82">
        <v>833</v>
      </c>
      <c r="E296" s="148">
        <f t="shared" ref="E296:E300" si="71">IF(D296=0,0,F296/D296)</f>
        <v>0.34</v>
      </c>
      <c r="F296" s="85">
        <v>283.22000000000003</v>
      </c>
      <c r="G296" s="82"/>
      <c r="H296" s="148"/>
      <c r="I296" s="85"/>
      <c r="J296" s="30">
        <v>0</v>
      </c>
      <c r="K296" s="148">
        <f t="shared" si="66"/>
        <v>0</v>
      </c>
      <c r="L296" s="33">
        <v>0</v>
      </c>
      <c r="M296" s="157">
        <f t="shared" si="67"/>
        <v>-1</v>
      </c>
      <c r="N296" s="59">
        <f t="shared" si="68"/>
        <v>-283.22000000000003</v>
      </c>
      <c r="O296" s="30">
        <v>0</v>
      </c>
      <c r="P296" s="148">
        <f t="shared" si="69"/>
        <v>0</v>
      </c>
      <c r="Q296" s="33">
        <v>0</v>
      </c>
      <c r="R296" s="157">
        <f t="shared" ref="R296:R300" si="72">IF(O296=0,0,(J296-O296)/O296)</f>
        <v>0</v>
      </c>
      <c r="S296" s="85">
        <f t="shared" si="70"/>
        <v>0</v>
      </c>
      <c r="T296" s="13"/>
      <c r="U296" s="13"/>
      <c r="V296" s="13"/>
      <c r="W296" s="13"/>
      <c r="X296" s="13"/>
      <c r="Y296" s="13"/>
      <c r="Z296" s="13"/>
      <c r="AA296" s="13"/>
      <c r="AB296" s="13"/>
      <c r="AC296" s="13"/>
      <c r="AD296" s="13"/>
      <c r="AE296" s="13"/>
      <c r="AF296" s="13"/>
      <c r="AG296" s="13"/>
      <c r="AH296" s="13"/>
      <c r="AI296" s="13"/>
      <c r="AJ296" s="13"/>
      <c r="AK296" s="13"/>
      <c r="AL296" s="13"/>
      <c r="AM296" s="13"/>
      <c r="AN296" s="13"/>
    </row>
    <row r="297" spans="1:40" ht="20.25">
      <c r="A297" t="str">
        <f t="shared" si="65"/>
        <v>PiècesP/A Garantie</v>
      </c>
      <c r="B297" s="11" t="s">
        <v>98</v>
      </c>
      <c r="C297" s="29" t="s">
        <v>102</v>
      </c>
      <c r="D297" s="82">
        <v>56385.226975877304</v>
      </c>
      <c r="E297" s="148">
        <f t="shared" si="71"/>
        <v>0.28799999999999998</v>
      </c>
      <c r="F297" s="85">
        <v>16238.945369052662</v>
      </c>
      <c r="G297" s="82"/>
      <c r="H297" s="148"/>
      <c r="I297" s="85"/>
      <c r="J297" s="30">
        <v>60599.03</v>
      </c>
      <c r="K297" s="148">
        <f t="shared" si="66"/>
        <v>0.2672630238470815</v>
      </c>
      <c r="L297" s="33">
        <v>16195.880000000008</v>
      </c>
      <c r="M297" s="157">
        <f t="shared" si="67"/>
        <v>7.4732394460794521E-2</v>
      </c>
      <c r="N297" s="59">
        <f t="shared" si="68"/>
        <v>-43.065369052654205</v>
      </c>
      <c r="O297" s="30">
        <v>53023.249999999898</v>
      </c>
      <c r="P297" s="148">
        <f t="shared" si="69"/>
        <v>0.28681399197521706</v>
      </c>
      <c r="Q297" s="33">
        <v>15207.809999999899</v>
      </c>
      <c r="R297" s="157">
        <f t="shared" si="72"/>
        <v>0.14287656829787151</v>
      </c>
      <c r="S297" s="85">
        <f t="shared" si="70"/>
        <v>988.07000000010885</v>
      </c>
      <c r="T297" s="13"/>
      <c r="U297" s="13"/>
      <c r="V297" s="13"/>
      <c r="W297" s="13"/>
      <c r="X297" s="13"/>
      <c r="Y297" s="13"/>
      <c r="Z297" s="13"/>
      <c r="AA297" s="13"/>
      <c r="AB297" s="13"/>
      <c r="AC297" s="13"/>
      <c r="AD297" s="13"/>
      <c r="AE297" s="13"/>
      <c r="AF297" s="13"/>
      <c r="AG297" s="13"/>
      <c r="AH297" s="13"/>
      <c r="AI297" s="13"/>
      <c r="AJ297" s="13"/>
      <c r="AK297" s="13"/>
      <c r="AL297" s="13"/>
      <c r="AM297" s="13"/>
      <c r="AN297" s="13"/>
    </row>
    <row r="298" spans="1:40" ht="20.25">
      <c r="A298" t="str">
        <f t="shared" si="65"/>
        <v>PiècesVentes Internes</v>
      </c>
      <c r="B298" s="11" t="s">
        <v>98</v>
      </c>
      <c r="C298" s="29" t="s">
        <v>103</v>
      </c>
      <c r="D298" s="82">
        <v>20928.92669743139</v>
      </c>
      <c r="E298" s="148">
        <f t="shared" si="71"/>
        <v>0.38500000000000001</v>
      </c>
      <c r="F298" s="85">
        <v>8057.6367785110851</v>
      </c>
      <c r="G298" s="82"/>
      <c r="H298" s="148"/>
      <c r="I298" s="85"/>
      <c r="J298" s="30">
        <v>15301.85</v>
      </c>
      <c r="K298" s="148">
        <f t="shared" si="66"/>
        <v>0.35106016592764933</v>
      </c>
      <c r="L298" s="33">
        <v>5371.8700000000008</v>
      </c>
      <c r="M298" s="157">
        <f t="shared" si="67"/>
        <v>-0.26886599483966855</v>
      </c>
      <c r="N298" s="59">
        <f t="shared" si="68"/>
        <v>-2685.7667785110843</v>
      </c>
      <c r="O298" s="30">
        <v>23871.84</v>
      </c>
      <c r="P298" s="148">
        <f t="shared" si="69"/>
        <v>0.33546262039289804</v>
      </c>
      <c r="Q298" s="33">
        <v>8008.11</v>
      </c>
      <c r="R298" s="157">
        <f t="shared" si="72"/>
        <v>-0.3589999765413977</v>
      </c>
      <c r="S298" s="85">
        <f t="shared" si="70"/>
        <v>-2636.2399999999989</v>
      </c>
      <c r="T298" s="13"/>
      <c r="U298" s="13"/>
      <c r="V298" s="13"/>
      <c r="W298" s="13"/>
      <c r="X298" s="13"/>
      <c r="Y298" s="13"/>
      <c r="Z298" s="13"/>
      <c r="AA298" s="13"/>
      <c r="AB298" s="13"/>
      <c r="AC298" s="13"/>
      <c r="AD298" s="13"/>
      <c r="AE298" s="13"/>
      <c r="AF298" s="13"/>
      <c r="AG298" s="13"/>
      <c r="AH298" s="13"/>
      <c r="AI298" s="13"/>
      <c r="AJ298" s="13"/>
      <c r="AK298" s="13"/>
      <c r="AL298" s="13"/>
      <c r="AM298" s="13"/>
      <c r="AN298" s="13"/>
    </row>
    <row r="299" spans="1:40" ht="20.25">
      <c r="A299" t="str">
        <f t="shared" si="65"/>
        <v>PiècesVentes Détails</v>
      </c>
      <c r="B299" s="11" t="s">
        <v>98</v>
      </c>
      <c r="C299" s="29" t="s">
        <v>104</v>
      </c>
      <c r="D299" s="82">
        <v>23856.371840743734</v>
      </c>
      <c r="E299" s="148">
        <f t="shared" si="71"/>
        <v>0.31</v>
      </c>
      <c r="F299" s="85">
        <v>7395.4752706305571</v>
      </c>
      <c r="G299" s="82"/>
      <c r="H299" s="148"/>
      <c r="I299" s="85"/>
      <c r="J299" s="30">
        <v>22737.75</v>
      </c>
      <c r="K299" s="148">
        <f t="shared" si="66"/>
        <v>0.30379039262899804</v>
      </c>
      <c r="L299" s="33">
        <v>6907.51</v>
      </c>
      <c r="M299" s="157">
        <f t="shared" si="67"/>
        <v>-4.6889856018812792E-2</v>
      </c>
      <c r="N299" s="59">
        <f t="shared" si="68"/>
        <v>-487.96527063055692</v>
      </c>
      <c r="O299" s="30">
        <v>22364.1</v>
      </c>
      <c r="P299" s="148">
        <f t="shared" si="69"/>
        <v>0.26645829700278573</v>
      </c>
      <c r="Q299" s="33">
        <v>5959.1</v>
      </c>
      <c r="R299" s="157">
        <f t="shared" si="72"/>
        <v>1.6707580452600439E-2</v>
      </c>
      <c r="S299" s="85">
        <f t="shared" si="70"/>
        <v>948.40999999999985</v>
      </c>
      <c r="T299" s="13"/>
      <c r="U299" s="13"/>
      <c r="V299" s="13"/>
      <c r="W299" s="13"/>
      <c r="X299" s="13"/>
      <c r="Y299" s="13"/>
      <c r="Z299" s="13"/>
      <c r="AA299" s="13"/>
      <c r="AB299" s="13"/>
      <c r="AC299" s="13"/>
      <c r="AD299" s="13"/>
      <c r="AE299" s="13"/>
      <c r="AF299" s="13"/>
      <c r="AG299" s="13"/>
      <c r="AH299" s="13"/>
      <c r="AI299" s="13"/>
      <c r="AJ299" s="13"/>
      <c r="AK299" s="13"/>
      <c r="AL299" s="13"/>
      <c r="AM299" s="13"/>
      <c r="AN299" s="13"/>
    </row>
    <row r="300" spans="1:40" ht="20.25">
      <c r="A300" t="str">
        <f>+B300&amp;C300</f>
        <v>PiècesVentes de Gros</v>
      </c>
      <c r="B300" s="11" t="s">
        <v>98</v>
      </c>
      <c r="C300" s="29" t="s">
        <v>105</v>
      </c>
      <c r="D300" s="82">
        <v>52781.679940156821</v>
      </c>
      <c r="E300" s="148">
        <f t="shared" si="71"/>
        <v>0.21299999999999999</v>
      </c>
      <c r="F300" s="85">
        <v>11242.497827253403</v>
      </c>
      <c r="G300" s="82"/>
      <c r="H300" s="148"/>
      <c r="I300" s="85"/>
      <c r="J300" s="30">
        <v>54288.38</v>
      </c>
      <c r="K300" s="148">
        <f t="shared" si="66"/>
        <v>0.22613107998433554</v>
      </c>
      <c r="L300" s="33">
        <v>12276.29</v>
      </c>
      <c r="M300" s="157">
        <f t="shared" si="67"/>
        <v>2.8545890573234003E-2</v>
      </c>
      <c r="N300" s="59">
        <f t="shared" si="68"/>
        <v>1033.7921727465982</v>
      </c>
      <c r="O300" s="30">
        <v>34714.29</v>
      </c>
      <c r="P300" s="148">
        <f t="shared" si="69"/>
        <v>0.16534084378508099</v>
      </c>
      <c r="Q300" s="33">
        <v>5739.69</v>
      </c>
      <c r="R300" s="157">
        <f t="shared" si="72"/>
        <v>0.56386260528445187</v>
      </c>
      <c r="S300" s="85">
        <f t="shared" si="70"/>
        <v>6536.6000000000013</v>
      </c>
      <c r="T300" s="13"/>
      <c r="U300" s="13"/>
      <c r="V300" s="13"/>
      <c r="W300" s="13"/>
      <c r="X300" s="13"/>
      <c r="Y300" s="13"/>
      <c r="Z300" s="13"/>
      <c r="AA300" s="13"/>
      <c r="AB300" s="13"/>
      <c r="AC300" s="13"/>
      <c r="AD300" s="13"/>
      <c r="AE300" s="13"/>
      <c r="AF300" s="13"/>
      <c r="AG300" s="13"/>
      <c r="AH300" s="13"/>
      <c r="AI300" s="13"/>
      <c r="AJ300" s="13"/>
      <c r="AK300" s="13"/>
      <c r="AL300" s="13"/>
      <c r="AM300" s="13"/>
      <c r="AN300" s="13"/>
    </row>
    <row r="301" spans="1:40" ht="20.25" hidden="1">
      <c r="A301" t="str">
        <f>+B301&amp;C301</f>
        <v>Pièces[...]</v>
      </c>
      <c r="B301" s="11" t="s">
        <v>98</v>
      </c>
      <c r="C301" s="29" t="s">
        <v>19</v>
      </c>
      <c r="D301" s="82">
        <v>0</v>
      </c>
      <c r="E301" s="148">
        <f>IF(D301=0,0,F301/D301)</f>
        <v>0</v>
      </c>
      <c r="F301" s="85">
        <v>0</v>
      </c>
      <c r="G301" s="82"/>
      <c r="H301" s="148"/>
      <c r="I301" s="85"/>
      <c r="J301" s="30">
        <v>0</v>
      </c>
      <c r="K301" s="148">
        <f>IF(J301&lt;=0,0,L301/J301)</f>
        <v>0</v>
      </c>
      <c r="L301" s="33">
        <v>0</v>
      </c>
      <c r="M301" s="157" t="e">
        <f t="shared" si="67"/>
        <v>#DIV/0!</v>
      </c>
      <c r="N301" s="59">
        <f t="shared" si="68"/>
        <v>0</v>
      </c>
      <c r="O301" s="30">
        <v>0</v>
      </c>
      <c r="P301" s="148">
        <f t="shared" si="69"/>
        <v>0</v>
      </c>
      <c r="Q301" s="33">
        <v>0</v>
      </c>
      <c r="R301" s="157">
        <f>IF(O301=0,0,(J301-O301)/O301)</f>
        <v>0</v>
      </c>
      <c r="S301" s="85">
        <f>L301-Q301</f>
        <v>0</v>
      </c>
      <c r="T301" s="13"/>
      <c r="U301" s="13"/>
      <c r="V301" s="13"/>
      <c r="W301" s="13"/>
      <c r="X301" s="13"/>
      <c r="Y301" s="13"/>
      <c r="Z301" s="13"/>
      <c r="AA301" s="13"/>
      <c r="AB301" s="13"/>
      <c r="AC301" s="13"/>
      <c r="AD301" s="13"/>
      <c r="AE301" s="13"/>
      <c r="AF301" s="13"/>
      <c r="AG301" s="13"/>
      <c r="AH301" s="13"/>
      <c r="AI301" s="13"/>
      <c r="AJ301" s="13"/>
      <c r="AK301" s="13"/>
      <c r="AL301" s="13"/>
      <c r="AM301" s="13"/>
      <c r="AN301" s="13"/>
    </row>
    <row r="302" spans="1:40" ht="20.25">
      <c r="A302" t="str">
        <f t="shared" ref="A302:A321" si="73">+B302&amp;C302</f>
        <v>PiècesEscomptes</v>
      </c>
      <c r="B302" s="11" t="s">
        <v>98</v>
      </c>
      <c r="C302" s="29" t="s">
        <v>106</v>
      </c>
      <c r="D302" s="82">
        <v>0</v>
      </c>
      <c r="E302" s="148">
        <f t="shared" ref="E302:E303" si="74">IF(D302=0,0,F302/D302)</f>
        <v>0</v>
      </c>
      <c r="F302" s="85">
        <v>5589.3389192326995</v>
      </c>
      <c r="G302" s="82"/>
      <c r="H302" s="148"/>
      <c r="I302" s="85"/>
      <c r="J302" s="30">
        <v>0</v>
      </c>
      <c r="K302" s="148">
        <f>IF(J302&lt;=0,0,L302/J302)</f>
        <v>0</v>
      </c>
      <c r="L302" s="33">
        <v>-500.91</v>
      </c>
      <c r="M302" s="157"/>
      <c r="N302" s="59">
        <f t="shared" si="68"/>
        <v>-6090.2489192326993</v>
      </c>
      <c r="O302" s="30">
        <v>0</v>
      </c>
      <c r="P302" s="148">
        <f t="shared" si="69"/>
        <v>0</v>
      </c>
      <c r="Q302" s="33">
        <v>3489.82</v>
      </c>
      <c r="R302" s="157">
        <f t="shared" ref="R302:R303" si="75">IF(O302=0,0,(J302-O302)/O302)</f>
        <v>0</v>
      </c>
      <c r="S302" s="85">
        <f>L302-Q302</f>
        <v>-3990.73</v>
      </c>
      <c r="T302" s="13"/>
      <c r="U302" s="13"/>
      <c r="V302" s="13"/>
      <c r="W302" s="13"/>
      <c r="X302" s="13"/>
      <c r="Y302" s="13"/>
      <c r="Z302" s="13"/>
      <c r="AA302" s="13"/>
      <c r="AB302" s="13"/>
      <c r="AC302" s="13"/>
      <c r="AD302" s="13"/>
      <c r="AE302" s="13"/>
      <c r="AF302" s="13"/>
      <c r="AG302" s="13"/>
      <c r="AH302" s="13"/>
      <c r="AI302" s="13"/>
      <c r="AJ302" s="13"/>
      <c r="AK302" s="13"/>
      <c r="AL302" s="13"/>
      <c r="AM302" s="13"/>
      <c r="AN302" s="13"/>
    </row>
    <row r="303" spans="1:40" ht="20.25">
      <c r="A303" t="str">
        <f t="shared" si="73"/>
        <v>PiècesRectif. Inventaire</v>
      </c>
      <c r="B303" s="11" t="s">
        <v>98</v>
      </c>
      <c r="C303" s="86" t="s">
        <v>107</v>
      </c>
      <c r="D303" s="82">
        <v>0</v>
      </c>
      <c r="E303" s="148">
        <f t="shared" si="74"/>
        <v>0</v>
      </c>
      <c r="F303" s="85">
        <v>0</v>
      </c>
      <c r="G303" s="82"/>
      <c r="H303" s="148"/>
      <c r="I303" s="85"/>
      <c r="J303" s="30">
        <v>0</v>
      </c>
      <c r="K303" s="148">
        <f>IF(J303&lt;=0,0,L303/J303)</f>
        <v>0</v>
      </c>
      <c r="L303" s="33">
        <v>0</v>
      </c>
      <c r="M303" s="157"/>
      <c r="N303" s="59">
        <f t="shared" si="68"/>
        <v>0</v>
      </c>
      <c r="O303" s="30">
        <v>0</v>
      </c>
      <c r="P303" s="148">
        <f t="shared" si="69"/>
        <v>0</v>
      </c>
      <c r="Q303" s="33">
        <v>0</v>
      </c>
      <c r="R303" s="157">
        <f t="shared" si="75"/>
        <v>0</v>
      </c>
      <c r="S303" s="85">
        <f>L303-Q303</f>
        <v>0</v>
      </c>
      <c r="T303" s="13"/>
      <c r="U303" s="13"/>
      <c r="V303" s="13"/>
      <c r="W303" s="13"/>
      <c r="X303" s="13"/>
      <c r="Y303" s="13"/>
      <c r="Z303" s="13"/>
      <c r="AA303" s="13"/>
      <c r="AB303" s="13"/>
      <c r="AC303" s="13"/>
      <c r="AD303" s="13"/>
      <c r="AE303" s="13"/>
      <c r="AF303" s="13"/>
      <c r="AG303" s="13"/>
      <c r="AH303" s="13"/>
      <c r="AI303" s="13"/>
      <c r="AJ303" s="13"/>
      <c r="AK303" s="13"/>
      <c r="AL303" s="13"/>
      <c r="AM303" s="13"/>
      <c r="AN303" s="13"/>
    </row>
    <row r="304" spans="1:40" ht="20.25">
      <c r="A304" t="str">
        <f t="shared" si="73"/>
        <v>PiècesSous-total Pièces</v>
      </c>
      <c r="B304" s="11" t="s">
        <v>98</v>
      </c>
      <c r="C304" s="53" t="s">
        <v>108</v>
      </c>
      <c r="D304" s="195">
        <f>SUM(D295:D303)</f>
        <v>224806.49917796225</v>
      </c>
      <c r="E304" s="213">
        <f>IF(D304&lt;=0,0,F304/D304)</f>
        <v>0.34730319286455463</v>
      </c>
      <c r="F304" s="199">
        <f>SUM(F295:F303)</f>
        <v>78076.014941209171</v>
      </c>
      <c r="G304" s="195"/>
      <c r="H304" s="213"/>
      <c r="I304" s="199"/>
      <c r="J304" s="195">
        <f>SUM(J295:J303)</f>
        <v>227204.6</v>
      </c>
      <c r="K304" s="213">
        <f>IF(J304&lt;=0,0,L304/J304)</f>
        <v>0.30273357141536744</v>
      </c>
      <c r="L304" s="197">
        <f>SUM(L295:L303)</f>
        <v>68782.459999999992</v>
      </c>
      <c r="M304" s="214">
        <f>(+J304-D304)/D304</f>
        <v>1.0667399878592304E-2</v>
      </c>
      <c r="N304" s="197">
        <f t="shared" si="68"/>
        <v>-9293.5549412091787</v>
      </c>
      <c r="O304" s="195">
        <f>SUM(O295:O303)</f>
        <v>210089.09999999992</v>
      </c>
      <c r="P304" s="213">
        <f>IF(O304&lt;=0,0,Q304/O304)</f>
        <v>0.33188937455584244</v>
      </c>
      <c r="Q304" s="197">
        <f t="shared" ref="Q304" si="76">SUM(Q295:Q303)</f>
        <v>69726.339999999807</v>
      </c>
      <c r="R304" s="214">
        <f>IF(O304=0,0,(J304-O304)/O304)</f>
        <v>8.146781532216614E-2</v>
      </c>
      <c r="S304" s="199">
        <f>L304-Q304</f>
        <v>-943.87999999981548</v>
      </c>
      <c r="T304" s="13"/>
      <c r="U304" s="13"/>
      <c r="V304" s="13"/>
      <c r="W304" s="13"/>
      <c r="X304" s="13"/>
      <c r="Y304" s="13"/>
      <c r="Z304" s="13"/>
      <c r="AA304" s="13"/>
      <c r="AB304" s="13"/>
      <c r="AC304" s="13"/>
      <c r="AD304" s="13"/>
      <c r="AE304" s="13"/>
      <c r="AF304" s="13"/>
      <c r="AG304" s="13"/>
      <c r="AH304" s="13"/>
      <c r="AI304" s="13"/>
      <c r="AJ304" s="13"/>
      <c r="AK304" s="13"/>
      <c r="AL304" s="13"/>
      <c r="AM304" s="13"/>
      <c r="AN304" s="13"/>
    </row>
    <row r="305" spans="1:40" ht="20.25">
      <c r="A305" t="str">
        <f t="shared" si="73"/>
        <v>Pièces</v>
      </c>
      <c r="B305" s="11" t="s">
        <v>98</v>
      </c>
      <c r="C305" s="29"/>
      <c r="D305" s="13"/>
      <c r="E305" s="13"/>
      <c r="F305" s="40"/>
      <c r="G305" s="41"/>
      <c r="H305" s="13"/>
      <c r="I305" s="40"/>
      <c r="J305" s="41"/>
      <c r="K305" s="13"/>
      <c r="L305" s="40"/>
      <c r="M305" s="41"/>
      <c r="N305" s="43">
        <f>N304/F304</f>
        <v>-0.11903213743948352</v>
      </c>
      <c r="O305" s="41"/>
      <c r="P305" s="13"/>
      <c r="Q305" s="40"/>
      <c r="R305" s="41"/>
      <c r="S305" s="44">
        <f>IF(Q304=0,0,S304/Q304)</f>
        <v>-1.3536921628179797E-2</v>
      </c>
      <c r="T305" s="13"/>
      <c r="U305" s="13"/>
      <c r="V305" s="13"/>
      <c r="W305" s="13"/>
      <c r="X305" s="13"/>
      <c r="Y305" s="13"/>
      <c r="Z305" s="13"/>
      <c r="AA305" s="13"/>
      <c r="AB305" s="13"/>
      <c r="AC305" s="13"/>
      <c r="AD305" s="13"/>
      <c r="AE305" s="13"/>
      <c r="AF305" s="13"/>
      <c r="AG305" s="13"/>
      <c r="AH305" s="13"/>
      <c r="AI305" s="13"/>
      <c r="AJ305" s="13"/>
      <c r="AK305" s="13"/>
      <c r="AL305" s="13"/>
      <c r="AM305" s="13"/>
      <c r="AN305" s="13"/>
    </row>
    <row r="306" spans="1:40" ht="20.25">
      <c r="A306" t="str">
        <f t="shared" si="73"/>
        <v>Pièces</v>
      </c>
      <c r="B306" s="11" t="s">
        <v>98</v>
      </c>
      <c r="C306" s="86"/>
      <c r="D306" s="111"/>
      <c r="E306" s="111"/>
      <c r="F306" s="215"/>
      <c r="G306" s="23"/>
      <c r="H306" s="216"/>
      <c r="I306" s="215"/>
      <c r="J306" s="23"/>
      <c r="K306" s="111"/>
      <c r="L306" s="215"/>
      <c r="M306" s="23"/>
      <c r="N306" s="168"/>
      <c r="O306" s="23"/>
      <c r="P306" s="111"/>
      <c r="Q306" s="215"/>
      <c r="R306" s="23"/>
      <c r="S306" s="169"/>
      <c r="T306" s="13"/>
      <c r="U306" s="13"/>
      <c r="V306" s="13"/>
      <c r="W306" s="13"/>
      <c r="X306" s="13"/>
      <c r="Y306" s="13"/>
      <c r="Z306" s="13"/>
      <c r="AA306" s="13"/>
      <c r="AB306" s="13"/>
      <c r="AC306" s="13"/>
      <c r="AD306" s="13"/>
      <c r="AE306" s="13"/>
      <c r="AF306" s="13"/>
      <c r="AG306" s="13"/>
      <c r="AH306" s="13"/>
      <c r="AI306" s="13"/>
      <c r="AJ306" s="13"/>
      <c r="AK306" s="13"/>
      <c r="AL306" s="13"/>
      <c r="AM306" s="13"/>
      <c r="AN306" s="13"/>
    </row>
    <row r="307" spans="1:40" ht="20.25">
      <c r="A307" t="str">
        <f t="shared" si="73"/>
        <v>PiècesVentes Pneus</v>
      </c>
      <c r="B307" s="11" t="s">
        <v>98</v>
      </c>
      <c r="C307" s="29" t="s">
        <v>109</v>
      </c>
      <c r="D307" s="82">
        <v>43693.525485393002</v>
      </c>
      <c r="E307" s="148">
        <f>IF(D307=0,0,F307/D307)</f>
        <v>0.25</v>
      </c>
      <c r="F307" s="110">
        <v>10923.38137134825</v>
      </c>
      <c r="G307" s="82"/>
      <c r="H307" s="148"/>
      <c r="I307" s="110"/>
      <c r="J307" s="30">
        <v>50971.67</v>
      </c>
      <c r="K307" s="148">
        <f>IF(J307&lt;=0,0,L307/J307)</f>
        <v>0.24610219755405302</v>
      </c>
      <c r="L307" s="33">
        <v>12544.239999999998</v>
      </c>
      <c r="M307" s="157">
        <f>(+J307-D307)/D307</f>
        <v>0.16657260849871502</v>
      </c>
      <c r="N307" s="59">
        <f>L307-F307</f>
        <v>1620.8586286517475</v>
      </c>
      <c r="O307" s="30">
        <v>38272.51</v>
      </c>
      <c r="P307" s="148">
        <f t="shared" ref="P307:P308" si="77">IF(O307=0,0,Q307/O307)</f>
        <v>0.26309850072545543</v>
      </c>
      <c r="Q307" s="33">
        <v>10069.44</v>
      </c>
      <c r="R307" s="157">
        <f>IF(O307=0,0,(J307-O307)/O307)</f>
        <v>0.33180891454466915</v>
      </c>
      <c r="S307" s="85">
        <f>L307-Q307</f>
        <v>2474.7999999999975</v>
      </c>
      <c r="T307" s="13"/>
      <c r="U307" s="13"/>
      <c r="V307" s="13"/>
      <c r="W307" s="13"/>
      <c r="X307" s="13"/>
      <c r="Y307" s="13"/>
      <c r="Z307" s="13"/>
      <c r="AA307" s="13"/>
      <c r="AB307" s="13"/>
      <c r="AC307" s="13"/>
      <c r="AD307" s="13"/>
      <c r="AE307" s="13"/>
      <c r="AF307" s="13"/>
      <c r="AG307" s="13"/>
      <c r="AH307" s="13"/>
      <c r="AI307" s="13"/>
      <c r="AJ307" s="13"/>
      <c r="AK307" s="13"/>
      <c r="AL307" s="13"/>
      <c r="AM307" s="13"/>
      <c r="AN307" s="13"/>
    </row>
    <row r="308" spans="1:40" ht="20.25">
      <c r="A308" t="str">
        <f t="shared" si="73"/>
        <v>PiècesHuiles et Graisse</v>
      </c>
      <c r="B308" s="11" t="s">
        <v>98</v>
      </c>
      <c r="C308" s="86" t="s">
        <v>110</v>
      </c>
      <c r="D308" s="82">
        <v>12107.908790934634</v>
      </c>
      <c r="E308" s="148">
        <f>IF(D308=0,0,F308/D308)</f>
        <v>0.35</v>
      </c>
      <c r="F308" s="92">
        <v>4237.7680768271221</v>
      </c>
      <c r="G308" s="82"/>
      <c r="H308" s="148"/>
      <c r="I308" s="92"/>
      <c r="J308" s="30">
        <v>11531.75</v>
      </c>
      <c r="K308" s="148">
        <f>IF(J308&lt;=0,0,L308/J308)</f>
        <v>0.33973854792204139</v>
      </c>
      <c r="L308" s="33">
        <v>3917.7800000000007</v>
      </c>
      <c r="M308" s="157">
        <f>(+J308-D308)/D308</f>
        <v>-4.7585326325386E-2</v>
      </c>
      <c r="N308" s="59">
        <f>L308-F308</f>
        <v>-319.9880768271214</v>
      </c>
      <c r="O308" s="30">
        <v>13148.4399999999</v>
      </c>
      <c r="P308" s="148">
        <f t="shared" si="77"/>
        <v>0.35047655843583159</v>
      </c>
      <c r="Q308" s="33">
        <v>4608.2199999999903</v>
      </c>
      <c r="R308" s="157">
        <f>IF(O308=0,0,(J308-O308)/O308)</f>
        <v>-0.12295679183233241</v>
      </c>
      <c r="S308" s="85">
        <f>L308-Q308</f>
        <v>-690.4399999999896</v>
      </c>
      <c r="T308" s="13"/>
      <c r="U308" s="13"/>
      <c r="V308" s="13"/>
      <c r="W308" s="13"/>
      <c r="X308" s="13"/>
      <c r="Y308" s="13"/>
      <c r="Z308" s="13"/>
      <c r="AA308" s="13"/>
      <c r="AB308" s="13"/>
      <c r="AC308" s="13"/>
      <c r="AD308" s="13"/>
      <c r="AE308" s="13"/>
      <c r="AF308" s="13"/>
      <c r="AG308" s="13"/>
      <c r="AH308" s="13"/>
      <c r="AI308" s="13"/>
      <c r="AJ308" s="13"/>
      <c r="AK308" s="13"/>
      <c r="AL308" s="13"/>
      <c r="AM308" s="13"/>
      <c r="AN308" s="13"/>
    </row>
    <row r="309" spans="1:40" ht="20.25">
      <c r="A309" t="str">
        <f t="shared" si="73"/>
        <v>PiècesSous-total Pièces et Acc.</v>
      </c>
      <c r="B309" s="11" t="s">
        <v>98</v>
      </c>
      <c r="C309" s="53" t="s">
        <v>111</v>
      </c>
      <c r="D309" s="195">
        <f>D304+D307+D308</f>
        <v>280607.93345428992</v>
      </c>
      <c r="E309" s="213">
        <f>IF(D309&lt;=0,0,F309/D309)</f>
        <v>0.33226845457159027</v>
      </c>
      <c r="F309" s="197">
        <f>F304+F307+F308</f>
        <v>93237.164389384547</v>
      </c>
      <c r="G309" s="198"/>
      <c r="H309" s="213"/>
      <c r="I309" s="197"/>
      <c r="J309" s="198">
        <f>J304+J307+J308</f>
        <v>289708.02</v>
      </c>
      <c r="K309" s="213">
        <f>IF(J309&lt;=0,0,L309/J309)</f>
        <v>0.29424273446071658</v>
      </c>
      <c r="L309" s="197">
        <f>L304+L307+L308</f>
        <v>85244.479999999981</v>
      </c>
      <c r="M309" s="214">
        <f>(+J309-D309)/D309</f>
        <v>3.2429897593014692E-2</v>
      </c>
      <c r="N309" s="197">
        <f>L309-F309</f>
        <v>-7992.6843893845653</v>
      </c>
      <c r="O309" s="198">
        <f>O304+O307+O308</f>
        <v>261510.04999999981</v>
      </c>
      <c r="P309" s="213">
        <f>IF(O309&lt;=0,0,Q309/O309)</f>
        <v>0.32275623824017419</v>
      </c>
      <c r="Q309" s="197">
        <f t="shared" ref="Q309" si="78">Q304+Q307+Q308</f>
        <v>84403.999999999796</v>
      </c>
      <c r="R309" s="214">
        <f>IF(O309=0,0,(J309-O309)/O309)</f>
        <v>0.10782748120005417</v>
      </c>
      <c r="S309" s="199">
        <f>L309-Q309</f>
        <v>840.4800000001851</v>
      </c>
      <c r="T309" s="13"/>
      <c r="U309" s="13"/>
      <c r="V309" s="13"/>
      <c r="W309" s="13"/>
      <c r="X309" s="13"/>
      <c r="Y309" s="13"/>
      <c r="Z309" s="13"/>
      <c r="AA309" s="13"/>
      <c r="AB309" s="13"/>
      <c r="AC309" s="13"/>
      <c r="AD309" s="13"/>
      <c r="AE309" s="13"/>
      <c r="AF309" s="13"/>
      <c r="AG309" s="13"/>
      <c r="AH309" s="13"/>
      <c r="AI309" s="13"/>
      <c r="AJ309" s="13"/>
      <c r="AK309" s="13"/>
      <c r="AL309" s="13"/>
      <c r="AM309" s="13"/>
      <c r="AN309" s="13"/>
    </row>
    <row r="310" spans="1:40" ht="20.25">
      <c r="A310" t="str">
        <f t="shared" si="73"/>
        <v>Pièces</v>
      </c>
      <c r="B310" s="11" t="s">
        <v>98</v>
      </c>
      <c r="C310" s="29"/>
      <c r="D310" s="13"/>
      <c r="E310" s="13"/>
      <c r="F310" s="40"/>
      <c r="G310" s="41"/>
      <c r="H310" s="13"/>
      <c r="I310" s="40"/>
      <c r="J310" s="41"/>
      <c r="K310" s="13"/>
      <c r="L310" s="40"/>
      <c r="M310" s="41"/>
      <c r="N310" s="43">
        <f>N309/F309</f>
        <v>-8.5724232839223577E-2</v>
      </c>
      <c r="O310" s="41"/>
      <c r="P310" s="13"/>
      <c r="Q310" s="40"/>
      <c r="R310" s="41"/>
      <c r="S310" s="44">
        <f>IF(Q309=0,0,S309/Q309)</f>
        <v>9.957821904177374E-3</v>
      </c>
      <c r="T310" s="13"/>
      <c r="U310" s="13"/>
      <c r="V310" s="13"/>
      <c r="W310" s="13"/>
      <c r="X310" s="13"/>
      <c r="Y310" s="13"/>
      <c r="Z310" s="13"/>
      <c r="AA310" s="13"/>
      <c r="AB310" s="13"/>
      <c r="AC310" s="13"/>
      <c r="AD310" s="13"/>
      <c r="AE310" s="13"/>
      <c r="AF310" s="13"/>
      <c r="AG310" s="13"/>
      <c r="AH310" s="13"/>
      <c r="AI310" s="13"/>
      <c r="AJ310" s="13"/>
      <c r="AK310" s="13"/>
      <c r="AL310" s="13"/>
      <c r="AM310" s="13"/>
      <c r="AN310" s="13"/>
    </row>
    <row r="311" spans="1:40" ht="20.25">
      <c r="A311" t="str">
        <f t="shared" si="73"/>
        <v>Pièces</v>
      </c>
      <c r="B311" s="11" t="s">
        <v>98</v>
      </c>
      <c r="C311" s="29"/>
      <c r="D311" s="13"/>
      <c r="E311" s="13"/>
      <c r="F311" s="40"/>
      <c r="G311" s="41"/>
      <c r="H311" s="13"/>
      <c r="I311" s="40"/>
      <c r="J311" s="41"/>
      <c r="K311" s="13"/>
      <c r="L311" s="40"/>
      <c r="M311" s="41"/>
      <c r="N311" s="43"/>
      <c r="O311" s="41"/>
      <c r="P311" s="13"/>
      <c r="Q311" s="40"/>
      <c r="R311" s="41"/>
      <c r="S311" s="44"/>
      <c r="T311" s="13"/>
      <c r="U311" s="13"/>
      <c r="V311" s="13"/>
      <c r="W311" s="13"/>
      <c r="X311" s="13"/>
      <c r="Y311" s="13"/>
      <c r="Z311" s="13"/>
      <c r="AA311" s="13"/>
      <c r="AB311" s="13"/>
      <c r="AC311" s="13"/>
      <c r="AD311" s="13"/>
      <c r="AE311" s="13"/>
      <c r="AF311" s="13"/>
      <c r="AG311" s="13"/>
      <c r="AH311" s="13"/>
      <c r="AI311" s="13"/>
      <c r="AJ311" s="13"/>
      <c r="AK311" s="13"/>
      <c r="AL311" s="13"/>
      <c r="AM311" s="13"/>
      <c r="AN311" s="13"/>
    </row>
    <row r="312" spans="1:40" ht="20.25">
      <c r="A312" t="str">
        <f t="shared" si="73"/>
        <v>PiècesAutostock</v>
      </c>
      <c r="B312" s="11" t="s">
        <v>98</v>
      </c>
      <c r="C312" s="86" t="s">
        <v>112</v>
      </c>
      <c r="D312" s="90">
        <v>0</v>
      </c>
      <c r="E312" s="217">
        <f>IF(D312=0,0,F312/D312)</f>
        <v>0</v>
      </c>
      <c r="F312" s="146">
        <v>0</v>
      </c>
      <c r="G312" s="172"/>
      <c r="H312" s="217"/>
      <c r="I312" s="146"/>
      <c r="J312" s="46">
        <v>0</v>
      </c>
      <c r="K312" s="218">
        <f>IF(J312&lt;=0,0,L312/J312)</f>
        <v>0</v>
      </c>
      <c r="L312" s="22">
        <v>0</v>
      </c>
      <c r="M312" s="218">
        <f>IF(F312=0,0,(+L312-F312)/F312)</f>
        <v>0</v>
      </c>
      <c r="N312" s="91">
        <f>L312-F312</f>
        <v>0</v>
      </c>
      <c r="O312" s="46">
        <v>0</v>
      </c>
      <c r="P312" s="218">
        <f>IF(O312=0,0,Q312/O312)</f>
        <v>0</v>
      </c>
      <c r="Q312" s="22">
        <v>0</v>
      </c>
      <c r="R312" s="218">
        <f>IF(S312=0,0,(+O312-K312)/K312)</f>
        <v>0</v>
      </c>
      <c r="S312" s="92">
        <f>L312-Q312</f>
        <v>0</v>
      </c>
      <c r="T312" s="13"/>
      <c r="U312" s="13"/>
      <c r="V312" s="13"/>
      <c r="W312" s="13"/>
      <c r="X312" s="13"/>
      <c r="Y312" s="13"/>
      <c r="Z312" s="13"/>
      <c r="AA312" s="13"/>
      <c r="AB312" s="13"/>
      <c r="AC312" s="13"/>
      <c r="AD312" s="13"/>
      <c r="AE312" s="13"/>
      <c r="AF312" s="13"/>
      <c r="AG312" s="13"/>
      <c r="AH312" s="13"/>
      <c r="AI312" s="13"/>
      <c r="AJ312" s="13"/>
      <c r="AK312" s="13"/>
      <c r="AL312" s="13"/>
      <c r="AM312" s="13"/>
      <c r="AN312" s="13"/>
    </row>
    <row r="313" spans="1:40" ht="21" thickBot="1">
      <c r="A313" t="str">
        <f t="shared" si="73"/>
        <v>Pièces</v>
      </c>
      <c r="B313" s="11" t="s">
        <v>98</v>
      </c>
      <c r="C313" s="29"/>
      <c r="D313" s="82"/>
      <c r="E313" s="148"/>
      <c r="F313" s="59"/>
      <c r="G313" s="60"/>
      <c r="H313" s="148"/>
      <c r="I313" s="59"/>
      <c r="J313" s="60"/>
      <c r="K313" s="148"/>
      <c r="L313" s="59"/>
      <c r="M313" s="157"/>
      <c r="N313" s="59"/>
      <c r="O313" s="60"/>
      <c r="P313" s="148"/>
      <c r="Q313" s="59"/>
      <c r="R313" s="157"/>
      <c r="S313" s="85"/>
      <c r="T313" s="13"/>
      <c r="U313" s="13"/>
      <c r="V313" s="13"/>
      <c r="W313" s="13"/>
      <c r="X313" s="13"/>
      <c r="Y313" s="13"/>
      <c r="Z313" s="13"/>
      <c r="AA313" s="13"/>
      <c r="AB313" s="13"/>
      <c r="AC313" s="13"/>
      <c r="AD313" s="13"/>
      <c r="AE313" s="13"/>
      <c r="AF313" s="13"/>
      <c r="AG313" s="13"/>
      <c r="AH313" s="13"/>
      <c r="AI313" s="13"/>
      <c r="AJ313" s="13"/>
      <c r="AK313" s="13"/>
      <c r="AL313" s="13"/>
      <c r="AM313" s="13"/>
      <c r="AN313" s="13"/>
    </row>
    <row r="314" spans="1:40" ht="21" thickTop="1">
      <c r="A314" t="str">
        <f t="shared" si="73"/>
        <v>PiècesTotal Dépt. Pièces</v>
      </c>
      <c r="B314" s="11" t="s">
        <v>98</v>
      </c>
      <c r="C314" s="62" t="s">
        <v>113</v>
      </c>
      <c r="D314" s="63">
        <f>D309+D312</f>
        <v>280607.93345428992</v>
      </c>
      <c r="E314" s="219">
        <f>IF(D314&lt;=0,0,F314/D314)</f>
        <v>0.33226845457159027</v>
      </c>
      <c r="F314" s="65">
        <f>F309+F312</f>
        <v>93237.164389384547</v>
      </c>
      <c r="G314" s="66"/>
      <c r="H314" s="219"/>
      <c r="I314" s="65"/>
      <c r="J314" s="66">
        <f>J309+J312</f>
        <v>289708.02</v>
      </c>
      <c r="K314" s="219">
        <f>IF(J314&lt;=0,0,L314/J314)</f>
        <v>0.29424273446071658</v>
      </c>
      <c r="L314" s="65">
        <f>L309+L312</f>
        <v>85244.479999999981</v>
      </c>
      <c r="M314" s="220">
        <f>(+J314-D314)/D314</f>
        <v>3.2429897593014692E-2</v>
      </c>
      <c r="N314" s="221">
        <f>L314-F314</f>
        <v>-7992.6843893845653</v>
      </c>
      <c r="O314" s="66">
        <f>O309+O312</f>
        <v>261510.04999999981</v>
      </c>
      <c r="P314" s="219">
        <f>IF(O314&lt;=0,0,Q314/O314)</f>
        <v>0.32275623824017419</v>
      </c>
      <c r="Q314" s="65">
        <f t="shared" ref="Q314" si="79">Q309+Q312</f>
        <v>84403.999999999796</v>
      </c>
      <c r="R314" s="220">
        <f>IF(O314=0,0,(J314-O314)/O314)</f>
        <v>0.10782748120005417</v>
      </c>
      <c r="S314" s="222">
        <f>L314-Q314</f>
        <v>840.4800000001851</v>
      </c>
      <c r="T314" s="13"/>
      <c r="U314" s="13"/>
      <c r="V314" s="13"/>
      <c r="W314" s="13"/>
      <c r="X314" s="13"/>
      <c r="Y314" s="13"/>
      <c r="Z314" s="13"/>
      <c r="AA314" s="13"/>
      <c r="AB314" s="13"/>
      <c r="AC314" s="13"/>
      <c r="AD314" s="13"/>
      <c r="AE314" s="13"/>
      <c r="AF314" s="13"/>
      <c r="AG314" s="13"/>
      <c r="AH314" s="13"/>
      <c r="AI314" s="13"/>
      <c r="AJ314" s="13"/>
      <c r="AK314" s="13"/>
      <c r="AL314" s="13"/>
      <c r="AM314" s="13"/>
      <c r="AN314" s="13"/>
    </row>
    <row r="315" spans="1:40" ht="21" thickBot="1">
      <c r="A315" t="str">
        <f t="shared" si="73"/>
        <v>Pièces</v>
      </c>
      <c r="B315" s="11" t="s">
        <v>98</v>
      </c>
      <c r="C315" s="223"/>
      <c r="D315" s="224"/>
      <c r="E315" s="225"/>
      <c r="F315" s="226"/>
      <c r="G315" s="227"/>
      <c r="H315" s="225"/>
      <c r="I315" s="226"/>
      <c r="J315" s="227"/>
      <c r="K315" s="225"/>
      <c r="L315" s="226"/>
      <c r="M315" s="228"/>
      <c r="N315" s="74">
        <f>N314/F314</f>
        <v>-8.5724232839223577E-2</v>
      </c>
      <c r="O315" s="227"/>
      <c r="P315" s="225"/>
      <c r="Q315" s="226"/>
      <c r="R315" s="228"/>
      <c r="S315" s="75">
        <f>IF(Q314=0,0,S314/Q314)</f>
        <v>9.957821904177374E-3</v>
      </c>
      <c r="T315" s="13"/>
      <c r="U315" s="13"/>
      <c r="V315" s="13"/>
      <c r="W315" s="13"/>
      <c r="X315" s="13"/>
      <c r="Y315" s="13"/>
      <c r="Z315" s="13"/>
      <c r="AA315" s="13"/>
      <c r="AB315" s="13"/>
      <c r="AC315" s="13"/>
      <c r="AD315" s="13"/>
      <c r="AE315" s="13"/>
      <c r="AF315" s="13"/>
      <c r="AG315" s="13"/>
      <c r="AH315" s="13"/>
      <c r="AI315" s="13"/>
      <c r="AJ315" s="13"/>
      <c r="AK315" s="13"/>
      <c r="AL315" s="13"/>
      <c r="AM315" s="13"/>
      <c r="AN315" s="13"/>
    </row>
    <row r="316" spans="1:40" ht="21" thickTop="1">
      <c r="A316" t="str">
        <f t="shared" si="73"/>
        <v>Pièces</v>
      </c>
      <c r="B316" s="11" t="s">
        <v>98</v>
      </c>
      <c r="C316" s="53"/>
      <c r="D316" s="112"/>
      <c r="E316" s="174"/>
      <c r="F316" s="176"/>
      <c r="G316" s="175"/>
      <c r="H316" s="174"/>
      <c r="I316" s="176"/>
      <c r="J316" s="175"/>
      <c r="K316" s="174"/>
      <c r="L316" s="176"/>
      <c r="M316" s="41"/>
      <c r="N316" s="43"/>
      <c r="O316" s="175"/>
      <c r="P316" s="174"/>
      <c r="Q316" s="176"/>
      <c r="R316" s="41"/>
      <c r="S316" s="44"/>
      <c r="T316" s="13"/>
      <c r="U316" s="13"/>
      <c r="V316" s="13"/>
      <c r="W316" s="13"/>
      <c r="X316" s="13"/>
      <c r="Y316" s="13"/>
      <c r="Z316" s="13"/>
      <c r="AA316" s="13"/>
      <c r="AB316" s="13"/>
      <c r="AC316" s="13"/>
      <c r="AD316" s="13"/>
      <c r="AE316" s="13"/>
      <c r="AF316" s="13"/>
      <c r="AG316" s="13"/>
      <c r="AH316" s="13"/>
      <c r="AI316" s="13"/>
      <c r="AJ316" s="13"/>
      <c r="AK316" s="13"/>
      <c r="AL316" s="13"/>
      <c r="AM316" s="13"/>
      <c r="AN316" s="13"/>
    </row>
    <row r="317" spans="1:40" ht="20.25">
      <c r="A317" t="str">
        <f t="shared" si="73"/>
        <v>PiècesDEPENSES</v>
      </c>
      <c r="B317" s="11" t="s">
        <v>98</v>
      </c>
      <c r="C317" s="79" t="s">
        <v>29</v>
      </c>
      <c r="D317" s="13"/>
      <c r="E317" s="13"/>
      <c r="F317" s="59"/>
      <c r="G317" s="41"/>
      <c r="H317" s="13"/>
      <c r="I317" s="59"/>
      <c r="J317" s="41"/>
      <c r="K317" s="13"/>
      <c r="L317" s="40"/>
      <c r="M317" s="41"/>
      <c r="N317" s="40"/>
      <c r="O317" s="41"/>
      <c r="P317" s="13"/>
      <c r="Q317" s="40"/>
      <c r="R317" s="41"/>
      <c r="S317" s="61"/>
      <c r="T317" s="13"/>
      <c r="U317" s="13"/>
      <c r="V317" s="13"/>
      <c r="W317" s="13"/>
      <c r="X317" s="13"/>
      <c r="Y317" s="13"/>
      <c r="Z317" s="13"/>
      <c r="AA317" s="13"/>
      <c r="AB317" s="13"/>
      <c r="AC317" s="13"/>
      <c r="AD317" s="13"/>
      <c r="AE317" s="13"/>
      <c r="AF317" s="13"/>
      <c r="AG317" s="13"/>
      <c r="AH317" s="13"/>
      <c r="AI317" s="13"/>
      <c r="AJ317" s="13"/>
      <c r="AK317" s="13"/>
      <c r="AL317" s="13"/>
      <c r="AM317" s="13"/>
      <c r="AN317" s="13"/>
    </row>
    <row r="318" spans="1:40" ht="20.25">
      <c r="A318" t="str">
        <f t="shared" si="73"/>
        <v>PiècesSalaires cadres</v>
      </c>
      <c r="B318" s="11" t="s">
        <v>98</v>
      </c>
      <c r="C318" s="102" t="s">
        <v>40</v>
      </c>
      <c r="D318" s="13"/>
      <c r="E318" s="13"/>
      <c r="F318" s="30">
        <v>4223.1058524173031</v>
      </c>
      <c r="G318" s="41"/>
      <c r="H318" s="13"/>
      <c r="I318" s="30"/>
      <c r="J318" s="41"/>
      <c r="K318" s="13"/>
      <c r="L318" s="33">
        <v>3570.2</v>
      </c>
      <c r="M318" s="41"/>
      <c r="N318" s="59">
        <f t="shared" ref="N318:N348" si="80">L318-F318</f>
        <v>-652.90585241730332</v>
      </c>
      <c r="O318" s="41"/>
      <c r="P318" s="13"/>
      <c r="Q318" s="33">
        <v>3237.25</v>
      </c>
      <c r="R318" s="41"/>
      <c r="S318" s="85">
        <f t="shared" ref="S318:S321" si="81">L318-Q318</f>
        <v>332.94999999999982</v>
      </c>
      <c r="T318" s="13"/>
      <c r="U318" s="13"/>
      <c r="V318" s="13"/>
      <c r="W318" s="13"/>
      <c r="X318" s="13"/>
      <c r="Y318" s="13"/>
      <c r="Z318" s="13"/>
      <c r="AA318" s="13"/>
      <c r="AB318" s="13"/>
      <c r="AC318" s="13"/>
      <c r="AD318" s="13"/>
      <c r="AE318" s="13"/>
      <c r="AF318" s="13"/>
      <c r="AG318" s="13"/>
      <c r="AH318" s="13"/>
      <c r="AI318" s="13"/>
      <c r="AJ318" s="13"/>
      <c r="AK318" s="13"/>
      <c r="AL318" s="13"/>
      <c r="AM318" s="13"/>
      <c r="AN318" s="13"/>
    </row>
    <row r="319" spans="1:40" ht="20.25">
      <c r="A319" t="str">
        <f t="shared" si="73"/>
        <v>PiècesSalaires commis</v>
      </c>
      <c r="B319" s="11" t="s">
        <v>98</v>
      </c>
      <c r="C319" s="103" t="s">
        <v>41</v>
      </c>
      <c r="D319" s="81"/>
      <c r="E319" s="13"/>
      <c r="F319" s="22">
        <v>2851.5770992366415</v>
      </c>
      <c r="G319" s="83"/>
      <c r="H319" s="13"/>
      <c r="I319" s="22"/>
      <c r="J319" s="41"/>
      <c r="K319" s="13"/>
      <c r="L319" s="33">
        <v>2569.71</v>
      </c>
      <c r="M319" s="41"/>
      <c r="N319" s="59">
        <f t="shared" si="80"/>
        <v>-281.86709923664148</v>
      </c>
      <c r="O319" s="41"/>
      <c r="P319" s="13"/>
      <c r="Q319" s="33">
        <v>2464.84</v>
      </c>
      <c r="R319" s="41"/>
      <c r="S319" s="85">
        <f t="shared" si="81"/>
        <v>104.86999999999989</v>
      </c>
      <c r="T319" s="13"/>
      <c r="U319" s="13"/>
      <c r="V319" s="13"/>
      <c r="W319" s="13"/>
      <c r="X319" s="13"/>
      <c r="Y319" s="13"/>
      <c r="Z319" s="13"/>
      <c r="AA319" s="13"/>
      <c r="AB319" s="13"/>
      <c r="AC319" s="13"/>
      <c r="AD319" s="13"/>
      <c r="AE319" s="13"/>
      <c r="AF319" s="13"/>
      <c r="AG319" s="13"/>
      <c r="AH319" s="13"/>
      <c r="AI319" s="13"/>
      <c r="AJ319" s="13"/>
      <c r="AK319" s="13"/>
      <c r="AL319" s="13"/>
      <c r="AM319" s="13"/>
      <c r="AN319" s="13"/>
    </row>
    <row r="320" spans="1:40" ht="20.25">
      <c r="A320" t="str">
        <f t="shared" si="73"/>
        <v>PiècesSalaires autres</v>
      </c>
      <c r="B320" s="11" t="s">
        <v>98</v>
      </c>
      <c r="C320" s="102" t="s">
        <v>42</v>
      </c>
      <c r="D320" s="104"/>
      <c r="E320" s="105"/>
      <c r="F320" s="30">
        <v>13970.545801526718</v>
      </c>
      <c r="G320" s="106"/>
      <c r="H320" s="105"/>
      <c r="I320" s="30"/>
      <c r="J320" s="107"/>
      <c r="K320" s="105"/>
      <c r="L320" s="108">
        <v>11959.8</v>
      </c>
      <c r="M320" s="107"/>
      <c r="N320" s="109">
        <f t="shared" si="80"/>
        <v>-2010.7458015267184</v>
      </c>
      <c r="O320" s="107"/>
      <c r="P320" s="105"/>
      <c r="Q320" s="108">
        <v>11051.83</v>
      </c>
      <c r="R320" s="107"/>
      <c r="S320" s="110">
        <f t="shared" si="81"/>
        <v>907.96999999999935</v>
      </c>
      <c r="T320" s="13"/>
      <c r="U320" s="13"/>
      <c r="V320" s="462"/>
      <c r="W320" s="13"/>
      <c r="X320" s="13"/>
      <c r="Y320" s="13"/>
      <c r="Z320" s="13"/>
      <c r="AA320" s="13"/>
      <c r="AB320" s="13"/>
      <c r="AC320" s="13"/>
      <c r="AD320" s="13"/>
      <c r="AE320" s="13"/>
      <c r="AF320" s="13"/>
      <c r="AG320" s="13"/>
      <c r="AH320" s="13"/>
      <c r="AI320" s="13"/>
      <c r="AJ320" s="13"/>
      <c r="AK320" s="13"/>
      <c r="AL320" s="13"/>
      <c r="AM320" s="13"/>
      <c r="AN320" s="13"/>
    </row>
    <row r="321" spans="1:40" ht="20.25">
      <c r="A321" t="str">
        <f t="shared" si="73"/>
        <v>PiècesSalaires spécialistes</v>
      </c>
      <c r="B321" s="11" t="s">
        <v>98</v>
      </c>
      <c r="C321" s="102" t="s">
        <v>43</v>
      </c>
      <c r="D321" s="81"/>
      <c r="E321" s="13"/>
      <c r="F321" s="30">
        <v>0</v>
      </c>
      <c r="G321" s="83"/>
      <c r="H321" s="13"/>
      <c r="I321" s="30"/>
      <c r="J321" s="41"/>
      <c r="K321" s="13"/>
      <c r="L321" s="33">
        <v>0</v>
      </c>
      <c r="M321" s="41"/>
      <c r="N321" s="59">
        <f t="shared" si="80"/>
        <v>0</v>
      </c>
      <c r="O321" s="41"/>
      <c r="P321" s="13"/>
      <c r="Q321" s="33">
        <v>0</v>
      </c>
      <c r="R321" s="41"/>
      <c r="S321" s="85">
        <f t="shared" si="81"/>
        <v>0</v>
      </c>
      <c r="T321" s="13"/>
      <c r="U321" s="13"/>
      <c r="V321" s="13"/>
      <c r="W321" s="13"/>
      <c r="X321" s="13"/>
      <c r="Y321" s="13"/>
      <c r="Z321" s="13"/>
      <c r="AA321" s="13"/>
      <c r="AB321" s="13"/>
      <c r="AC321" s="13"/>
      <c r="AD321" s="13"/>
      <c r="AE321" s="13"/>
      <c r="AF321" s="13"/>
      <c r="AG321" s="13"/>
      <c r="AH321" s="13"/>
      <c r="AI321" s="13"/>
      <c r="AJ321" s="13"/>
      <c r="AK321" s="13"/>
      <c r="AL321" s="13"/>
      <c r="AM321" s="13"/>
      <c r="AN321" s="13"/>
    </row>
    <row r="322" spans="1:40" ht="20.25" hidden="1">
      <c r="A322" t="str">
        <f>+B322&amp;C322</f>
        <v>Pièces[...]</v>
      </c>
      <c r="B322" s="11" t="s">
        <v>98</v>
      </c>
      <c r="C322" s="229" t="s">
        <v>19</v>
      </c>
      <c r="D322" s="81"/>
      <c r="E322" s="13"/>
      <c r="F322" s="30">
        <v>0</v>
      </c>
      <c r="G322" s="83"/>
      <c r="H322" s="13"/>
      <c r="I322" s="30"/>
      <c r="J322" s="41"/>
      <c r="K322" s="13"/>
      <c r="L322" s="33">
        <v>0</v>
      </c>
      <c r="M322" s="41"/>
      <c r="N322" s="59">
        <f t="shared" si="80"/>
        <v>0</v>
      </c>
      <c r="O322" s="41"/>
      <c r="P322" s="13"/>
      <c r="Q322" s="33">
        <v>0</v>
      </c>
      <c r="R322" s="41"/>
      <c r="S322" s="85">
        <f>L322-Q322</f>
        <v>0</v>
      </c>
      <c r="T322" s="13"/>
      <c r="U322" s="13"/>
      <c r="V322" s="13"/>
      <c r="W322" s="13"/>
      <c r="X322" s="13"/>
      <c r="Y322" s="13"/>
      <c r="Z322" s="13"/>
      <c r="AA322" s="13"/>
      <c r="AB322" s="13"/>
      <c r="AC322" s="13"/>
      <c r="AD322" s="13"/>
      <c r="AE322" s="13"/>
      <c r="AF322" s="13"/>
      <c r="AG322" s="13"/>
      <c r="AH322" s="13"/>
      <c r="AI322" s="13"/>
      <c r="AJ322" s="13"/>
      <c r="AK322" s="13"/>
      <c r="AL322" s="13"/>
      <c r="AM322" s="13"/>
      <c r="AN322" s="13"/>
    </row>
    <row r="323" spans="1:40" ht="20.25" hidden="1">
      <c r="A323" t="str">
        <f>+B323&amp;C323</f>
        <v>Pièces[...]</v>
      </c>
      <c r="B323" s="11" t="s">
        <v>98</v>
      </c>
      <c r="C323" s="229" t="s">
        <v>19</v>
      </c>
      <c r="D323" s="81"/>
      <c r="E323" s="13"/>
      <c r="F323" s="30">
        <v>0</v>
      </c>
      <c r="G323" s="83"/>
      <c r="H323" s="13"/>
      <c r="I323" s="30"/>
      <c r="J323" s="41"/>
      <c r="K323" s="13"/>
      <c r="L323" s="33">
        <v>0</v>
      </c>
      <c r="M323" s="41"/>
      <c r="N323" s="59">
        <f t="shared" si="80"/>
        <v>0</v>
      </c>
      <c r="O323" s="41"/>
      <c r="P323" s="13"/>
      <c r="Q323" s="33">
        <v>0</v>
      </c>
      <c r="R323" s="41"/>
      <c r="S323" s="85">
        <f>L323-Q323</f>
        <v>0</v>
      </c>
      <c r="T323" s="13"/>
      <c r="U323" s="13"/>
      <c r="V323" s="13"/>
      <c r="W323" s="13"/>
      <c r="X323" s="13"/>
      <c r="Y323" s="13"/>
      <c r="Z323" s="13"/>
      <c r="AA323" s="13"/>
      <c r="AB323" s="13"/>
      <c r="AC323" s="13"/>
      <c r="AD323" s="13"/>
      <c r="AE323" s="13"/>
      <c r="AF323" s="13"/>
      <c r="AG323" s="13"/>
      <c r="AH323" s="13"/>
      <c r="AI323" s="13"/>
      <c r="AJ323" s="13"/>
      <c r="AK323" s="13"/>
      <c r="AL323" s="13"/>
      <c r="AM323" s="13"/>
      <c r="AN323" s="13"/>
    </row>
    <row r="324" spans="1:40" ht="20.25" hidden="1">
      <c r="A324" t="str">
        <f>+B324&amp;C324</f>
        <v>Pièces[...]</v>
      </c>
      <c r="B324" s="11" t="s">
        <v>98</v>
      </c>
      <c r="C324" s="229" t="s">
        <v>19</v>
      </c>
      <c r="D324" s="81"/>
      <c r="E324" s="13"/>
      <c r="F324" s="30">
        <v>0</v>
      </c>
      <c r="G324" s="83"/>
      <c r="H324" s="13"/>
      <c r="I324" s="30"/>
      <c r="J324" s="41"/>
      <c r="K324" s="13"/>
      <c r="L324" s="33">
        <v>0</v>
      </c>
      <c r="M324" s="41"/>
      <c r="N324" s="59">
        <f t="shared" si="80"/>
        <v>0</v>
      </c>
      <c r="O324" s="41"/>
      <c r="P324" s="13"/>
      <c r="Q324" s="33">
        <v>0</v>
      </c>
      <c r="R324" s="41"/>
      <c r="S324" s="85">
        <f>L324-Q324</f>
        <v>0</v>
      </c>
      <c r="T324" s="13"/>
      <c r="U324" s="13"/>
      <c r="V324" s="13"/>
      <c r="W324" s="13"/>
      <c r="X324" s="13"/>
      <c r="Y324" s="13"/>
      <c r="Z324" s="13"/>
      <c r="AA324" s="13"/>
      <c r="AB324" s="13"/>
      <c r="AC324" s="13"/>
      <c r="AD324" s="13"/>
      <c r="AE324" s="13"/>
      <c r="AF324" s="13"/>
      <c r="AG324" s="13"/>
      <c r="AH324" s="13"/>
      <c r="AI324" s="13"/>
      <c r="AJ324" s="13"/>
      <c r="AK324" s="13"/>
      <c r="AL324" s="13"/>
      <c r="AM324" s="13"/>
      <c r="AN324" s="13"/>
    </row>
    <row r="325" spans="1:40" ht="20.25">
      <c r="A325" t="str">
        <f t="shared" ref="A325:A336" si="82">+B325&amp;C325</f>
        <v>PiècesSalaires en absences</v>
      </c>
      <c r="B325" s="11" t="s">
        <v>98</v>
      </c>
      <c r="C325" s="103" t="s">
        <v>44</v>
      </c>
      <c r="D325" s="81"/>
      <c r="E325" s="13"/>
      <c r="F325" s="22">
        <v>2491.3418015707575</v>
      </c>
      <c r="G325" s="83"/>
      <c r="H325" s="13"/>
      <c r="I325" s="22"/>
      <c r="J325" s="41"/>
      <c r="K325" s="13"/>
      <c r="L325" s="33">
        <v>2136.89</v>
      </c>
      <c r="M325" s="41"/>
      <c r="N325" s="59">
        <f t="shared" si="80"/>
        <v>-354.45180157075765</v>
      </c>
      <c r="O325" s="41"/>
      <c r="P325" s="13"/>
      <c r="Q325" s="33">
        <v>1319.34</v>
      </c>
      <c r="R325" s="41"/>
      <c r="S325" s="85">
        <f t="shared" ref="S325:S336" si="83">L325-Q325</f>
        <v>817.55</v>
      </c>
      <c r="T325" s="13"/>
      <c r="U325" s="13"/>
      <c r="V325" s="13"/>
      <c r="W325" s="13"/>
      <c r="X325" s="13"/>
      <c r="Y325" s="13"/>
      <c r="Z325" s="13"/>
      <c r="AA325" s="13"/>
      <c r="AB325" s="13"/>
      <c r="AC325" s="13"/>
      <c r="AD325" s="13"/>
      <c r="AE325" s="13"/>
      <c r="AF325" s="13"/>
      <c r="AG325" s="13"/>
      <c r="AH325" s="13"/>
      <c r="AI325" s="13"/>
      <c r="AJ325" s="13"/>
      <c r="AK325" s="13"/>
      <c r="AL325" s="13"/>
      <c r="AM325" s="13"/>
      <c r="AN325" s="13"/>
    </row>
    <row r="326" spans="1:40" ht="20.25">
      <c r="A326" t="str">
        <f t="shared" si="82"/>
        <v>PiècesDéduction à la source</v>
      </c>
      <c r="B326" s="11" t="s">
        <v>98</v>
      </c>
      <c r="C326" s="102" t="s">
        <v>45</v>
      </c>
      <c r="D326" s="104"/>
      <c r="E326" s="105"/>
      <c r="F326" s="30">
        <v>3237.5363061068706</v>
      </c>
      <c r="G326" s="106"/>
      <c r="H326" s="105"/>
      <c r="I326" s="30"/>
      <c r="J326" s="107"/>
      <c r="K326" s="105"/>
      <c r="L326" s="108">
        <v>3586.9</v>
      </c>
      <c r="M326" s="107"/>
      <c r="N326" s="109">
        <f t="shared" si="80"/>
        <v>349.36369389312949</v>
      </c>
      <c r="O326" s="107"/>
      <c r="P326" s="105"/>
      <c r="Q326" s="108">
        <v>3278.52</v>
      </c>
      <c r="R326" s="107"/>
      <c r="S326" s="110">
        <f t="shared" si="83"/>
        <v>308.38000000000011</v>
      </c>
      <c r="T326" s="13"/>
      <c r="U326" s="13"/>
      <c r="V326" s="13"/>
      <c r="W326" s="13"/>
      <c r="X326" s="13"/>
      <c r="Y326" s="13"/>
      <c r="Z326" s="13"/>
      <c r="AA326" s="13"/>
      <c r="AB326" s="13"/>
      <c r="AC326" s="13"/>
      <c r="AD326" s="13"/>
      <c r="AE326" s="13"/>
      <c r="AF326" s="13"/>
      <c r="AG326" s="13"/>
      <c r="AH326" s="13"/>
      <c r="AI326" s="13"/>
      <c r="AJ326" s="13"/>
      <c r="AK326" s="13"/>
      <c r="AL326" s="13"/>
      <c r="AM326" s="13"/>
      <c r="AN326" s="13"/>
    </row>
    <row r="327" spans="1:40" ht="20.25">
      <c r="A327" t="str">
        <f t="shared" si="82"/>
        <v>PiècesBénéfices marginaux</v>
      </c>
      <c r="B327" s="11" t="s">
        <v>98</v>
      </c>
      <c r="C327" s="102" t="s">
        <v>46</v>
      </c>
      <c r="D327" s="81"/>
      <c r="E327" s="13"/>
      <c r="F327" s="30">
        <v>1497.9645595419847</v>
      </c>
      <c r="G327" s="83"/>
      <c r="H327" s="13"/>
      <c r="I327" s="30"/>
      <c r="J327" s="41"/>
      <c r="K327" s="13"/>
      <c r="L327" s="33">
        <v>1863.62</v>
      </c>
      <c r="M327" s="41"/>
      <c r="N327" s="59">
        <f t="shared" si="80"/>
        <v>365.65544045801516</v>
      </c>
      <c r="O327" s="41"/>
      <c r="P327" s="13"/>
      <c r="Q327" s="33">
        <v>1641.27</v>
      </c>
      <c r="R327" s="41"/>
      <c r="S327" s="85">
        <f t="shared" si="83"/>
        <v>222.34999999999991</v>
      </c>
      <c r="T327" s="13"/>
      <c r="U327" s="13"/>
      <c r="V327" s="13"/>
      <c r="W327" s="13"/>
      <c r="X327" s="13"/>
      <c r="Y327" s="13"/>
      <c r="Z327" s="13"/>
      <c r="AA327" s="13"/>
      <c r="AB327" s="13"/>
      <c r="AC327" s="13"/>
      <c r="AD327" s="13"/>
      <c r="AE327" s="13"/>
      <c r="AF327" s="13"/>
      <c r="AG327" s="13"/>
      <c r="AH327" s="13"/>
      <c r="AI327" s="13"/>
      <c r="AJ327" s="13"/>
      <c r="AK327" s="13"/>
      <c r="AL327" s="13"/>
      <c r="AM327" s="13"/>
      <c r="AN327" s="13"/>
    </row>
    <row r="328" spans="1:40" ht="20.25">
      <c r="A328" t="str">
        <f t="shared" si="82"/>
        <v>PiècesCsst</v>
      </c>
      <c r="B328" s="11" t="s">
        <v>98</v>
      </c>
      <c r="C328" s="102" t="s">
        <v>47</v>
      </c>
      <c r="D328" s="81"/>
      <c r="E328" s="13"/>
      <c r="F328" s="30">
        <v>338.25006183206108</v>
      </c>
      <c r="G328" s="83"/>
      <c r="H328" s="13"/>
      <c r="I328" s="30"/>
      <c r="J328" s="41"/>
      <c r="K328" s="13"/>
      <c r="L328" s="33">
        <v>-102.83</v>
      </c>
      <c r="M328" s="467"/>
      <c r="N328" s="146">
        <f t="shared" si="80"/>
        <v>-441.08006183206106</v>
      </c>
      <c r="O328" s="41"/>
      <c r="P328" s="13"/>
      <c r="Q328" s="33">
        <v>229.57</v>
      </c>
      <c r="R328" s="41"/>
      <c r="S328" s="85">
        <f t="shared" si="83"/>
        <v>-332.4</v>
      </c>
      <c r="T328" s="13"/>
      <c r="U328" s="13"/>
      <c r="V328" s="13"/>
      <c r="W328" s="13"/>
      <c r="X328" s="13"/>
      <c r="Y328" s="13"/>
      <c r="Z328" s="13"/>
      <c r="AA328" s="13"/>
      <c r="AB328" s="13"/>
      <c r="AC328" s="13"/>
      <c r="AD328" s="13"/>
      <c r="AE328" s="13"/>
      <c r="AF328" s="13"/>
      <c r="AG328" s="13"/>
      <c r="AH328" s="13"/>
      <c r="AI328" s="13"/>
      <c r="AJ328" s="13"/>
      <c r="AK328" s="13"/>
      <c r="AL328" s="13"/>
      <c r="AM328" s="13"/>
      <c r="AN328" s="13"/>
    </row>
    <row r="329" spans="1:40" ht="20.25" hidden="1">
      <c r="A329" t="str">
        <f t="shared" si="82"/>
        <v>Pièces[...]</v>
      </c>
      <c r="B329" s="11" t="s">
        <v>98</v>
      </c>
      <c r="C329" s="29" t="s">
        <v>19</v>
      </c>
      <c r="D329" s="87"/>
      <c r="E329" s="111"/>
      <c r="F329" s="30">
        <v>0</v>
      </c>
      <c r="G329" s="89"/>
      <c r="H329" s="111"/>
      <c r="I329" s="30"/>
      <c r="J329" s="23"/>
      <c r="K329" s="111"/>
      <c r="L329" s="33">
        <v>0</v>
      </c>
      <c r="M329" s="23"/>
      <c r="N329" s="91">
        <f t="shared" si="80"/>
        <v>0</v>
      </c>
      <c r="O329" s="23"/>
      <c r="P329" s="111"/>
      <c r="Q329" s="33">
        <v>0</v>
      </c>
      <c r="R329" s="23"/>
      <c r="S329" s="92">
        <f t="shared" si="83"/>
        <v>0</v>
      </c>
      <c r="T329" s="13"/>
      <c r="U329" s="13"/>
      <c r="V329" s="13"/>
      <c r="W329" s="13"/>
      <c r="X329" s="13"/>
      <c r="Y329" s="13"/>
      <c r="Z329" s="13"/>
      <c r="AA329" s="13"/>
      <c r="AB329" s="13"/>
      <c r="AC329" s="13"/>
      <c r="AD329" s="13"/>
      <c r="AE329" s="13"/>
      <c r="AF329" s="13"/>
      <c r="AG329" s="13"/>
      <c r="AH329" s="13"/>
      <c r="AI329" s="13"/>
      <c r="AJ329" s="13"/>
      <c r="AK329" s="13"/>
      <c r="AL329" s="13"/>
      <c r="AM329" s="13"/>
      <c r="AN329" s="13"/>
    </row>
    <row r="330" spans="1:40" ht="20.25">
      <c r="A330" t="str">
        <f t="shared" si="82"/>
        <v>PiècesTOTAL PERSONNEL</v>
      </c>
      <c r="B330" s="11" t="s">
        <v>98</v>
      </c>
      <c r="C330" s="93" t="s">
        <v>48</v>
      </c>
      <c r="D330" s="94" t="s">
        <v>38</v>
      </c>
      <c r="E330" s="95">
        <f>F330/F$314</f>
        <v>0.30685533681341504</v>
      </c>
      <c r="F330" s="96">
        <f>+SUM(F318:F329)</f>
        <v>28610.321482232339</v>
      </c>
      <c r="G330" s="97"/>
      <c r="H330" s="95"/>
      <c r="I330" s="96"/>
      <c r="J330" s="97" t="s">
        <v>38</v>
      </c>
      <c r="K330" s="95">
        <f>L330/L$314</f>
        <v>0.30012840714143607</v>
      </c>
      <c r="L330" s="96">
        <f>+SUM(L318:L329)</f>
        <v>25584.289999999997</v>
      </c>
      <c r="M330" s="147"/>
      <c r="N330" s="113">
        <f t="shared" si="80"/>
        <v>-3026.0314822323417</v>
      </c>
      <c r="O330" s="97" t="s">
        <v>38</v>
      </c>
      <c r="P330" s="95">
        <f>Q330/Q$314</f>
        <v>0.27513648642244509</v>
      </c>
      <c r="Q330" s="96">
        <f>+SUM(Q318:Q329)</f>
        <v>23222.62</v>
      </c>
      <c r="R330" s="147"/>
      <c r="S330" s="114">
        <f t="shared" si="83"/>
        <v>2361.6699999999983</v>
      </c>
      <c r="T330" s="13"/>
      <c r="U330" s="13"/>
      <c r="V330" s="13"/>
      <c r="W330" s="13"/>
      <c r="X330" s="13"/>
      <c r="Y330" s="13"/>
      <c r="Z330" s="13"/>
      <c r="AA330" s="13"/>
      <c r="AB330" s="13"/>
      <c r="AC330" s="13"/>
      <c r="AD330" s="13"/>
      <c r="AE330" s="13"/>
      <c r="AF330" s="13"/>
      <c r="AG330" s="13"/>
      <c r="AH330" s="13"/>
      <c r="AI330" s="13"/>
      <c r="AJ330" s="13"/>
      <c r="AK330" s="13"/>
      <c r="AL330" s="13"/>
      <c r="AM330" s="13"/>
      <c r="AN330" s="13"/>
    </row>
    <row r="331" spans="1:40" ht="20.25">
      <c r="A331" t="str">
        <f t="shared" si="82"/>
        <v>PiècesPublicité 2</v>
      </c>
      <c r="B331" s="11" t="s">
        <v>98</v>
      </c>
      <c r="C331" s="211" t="s">
        <v>49</v>
      </c>
      <c r="D331" s="81"/>
      <c r="E331" s="13"/>
      <c r="F331" s="30">
        <v>2263.4088336318428</v>
      </c>
      <c r="G331" s="83"/>
      <c r="H331" s="13"/>
      <c r="I331" s="30"/>
      <c r="J331" s="41"/>
      <c r="K331" s="13"/>
      <c r="L331" s="33">
        <v>2340.34</v>
      </c>
      <c r="M331" s="41"/>
      <c r="N331" s="59">
        <f t="shared" si="80"/>
        <v>76.931166368157392</v>
      </c>
      <c r="O331" s="41"/>
      <c r="P331" s="13"/>
      <c r="Q331" s="33">
        <v>1890.52</v>
      </c>
      <c r="R331" s="41"/>
      <c r="S331" s="85">
        <f t="shared" si="83"/>
        <v>449.82000000000016</v>
      </c>
      <c r="T331" s="13"/>
      <c r="U331" s="13"/>
      <c r="V331" s="13"/>
      <c r="W331" s="13"/>
      <c r="X331" s="13"/>
      <c r="Y331" s="13"/>
      <c r="Z331" s="13"/>
      <c r="AA331" s="13"/>
      <c r="AB331" s="13"/>
      <c r="AC331" s="13"/>
      <c r="AD331" s="13"/>
      <c r="AE331" s="13"/>
      <c r="AF331" s="13"/>
      <c r="AG331" s="13"/>
      <c r="AH331" s="13"/>
      <c r="AI331" s="13"/>
      <c r="AJ331" s="13"/>
      <c r="AK331" s="13"/>
      <c r="AL331" s="13"/>
      <c r="AM331" s="13"/>
      <c r="AN331" s="13"/>
    </row>
    <row r="332" spans="1:40" ht="20.25">
      <c r="A332" t="str">
        <f t="shared" si="82"/>
        <v>PiècesService gratuit 2</v>
      </c>
      <c r="B332" s="11" t="s">
        <v>98</v>
      </c>
      <c r="C332" s="102" t="s">
        <v>50</v>
      </c>
      <c r="D332" s="81"/>
      <c r="E332" s="13"/>
      <c r="F332" s="30">
        <v>265</v>
      </c>
      <c r="G332" s="83"/>
      <c r="H332" s="13"/>
      <c r="I332" s="30"/>
      <c r="J332" s="41"/>
      <c r="K332" s="13"/>
      <c r="L332" s="59">
        <v>191.63</v>
      </c>
      <c r="M332" s="41"/>
      <c r="N332" s="59">
        <f t="shared" si="80"/>
        <v>-73.37</v>
      </c>
      <c r="O332" s="41"/>
      <c r="P332" s="13"/>
      <c r="Q332" s="33">
        <v>389.14</v>
      </c>
      <c r="R332" s="41"/>
      <c r="S332" s="85">
        <f t="shared" si="83"/>
        <v>-197.51</v>
      </c>
      <c r="T332" s="13"/>
      <c r="U332" s="13"/>
      <c r="V332" s="13"/>
      <c r="W332" s="13"/>
      <c r="X332" s="13"/>
      <c r="Y332" s="13"/>
      <c r="Z332" s="13"/>
      <c r="AA332" s="13"/>
      <c r="AB332" s="13"/>
      <c r="AC332" s="13"/>
      <c r="AD332" s="13"/>
      <c r="AE332" s="13"/>
      <c r="AF332" s="13"/>
      <c r="AG332" s="13"/>
      <c r="AH332" s="13"/>
      <c r="AI332" s="13"/>
      <c r="AJ332" s="13"/>
      <c r="AK332" s="13"/>
      <c r="AL332" s="13"/>
      <c r="AM332" s="13"/>
      <c r="AN332" s="13"/>
    </row>
    <row r="333" spans="1:40" ht="20.25">
      <c r="A333" t="str">
        <f t="shared" si="82"/>
        <v>PiècesFrais véhicules de cie</v>
      </c>
      <c r="B333" s="11" t="s">
        <v>98</v>
      </c>
      <c r="C333" s="103" t="s">
        <v>51</v>
      </c>
      <c r="D333" s="87"/>
      <c r="E333" s="111"/>
      <c r="F333" s="22">
        <v>4423.3333333333339</v>
      </c>
      <c r="G333" s="89"/>
      <c r="H333" s="111"/>
      <c r="I333" s="22"/>
      <c r="J333" s="23"/>
      <c r="K333" s="111"/>
      <c r="L333" s="91">
        <v>6202.1100000000006</v>
      </c>
      <c r="M333" s="23"/>
      <c r="N333" s="91">
        <f t="shared" si="80"/>
        <v>1778.7766666666666</v>
      </c>
      <c r="O333" s="23"/>
      <c r="P333" s="111"/>
      <c r="Q333" s="33">
        <v>4509.47</v>
      </c>
      <c r="R333" s="23"/>
      <c r="S333" s="92">
        <f t="shared" si="83"/>
        <v>1692.6400000000003</v>
      </c>
      <c r="T333" s="13"/>
      <c r="U333" s="13"/>
      <c r="V333" s="13"/>
      <c r="W333" s="13"/>
      <c r="X333" s="13"/>
      <c r="Y333" s="13"/>
      <c r="Z333" s="13"/>
      <c r="AA333" s="13"/>
      <c r="AB333" s="13"/>
      <c r="AC333" s="13"/>
      <c r="AD333" s="13"/>
      <c r="AE333" s="13"/>
      <c r="AF333" s="13"/>
      <c r="AG333" s="13"/>
      <c r="AH333" s="13"/>
      <c r="AI333" s="13"/>
      <c r="AJ333" s="13"/>
      <c r="AK333" s="13"/>
      <c r="AL333" s="13"/>
      <c r="AM333" s="13"/>
      <c r="AN333" s="13"/>
    </row>
    <row r="334" spans="1:40" ht="20.25">
      <c r="A334" t="str">
        <f t="shared" si="82"/>
        <v>PiècesInformatique</v>
      </c>
      <c r="B334" s="11" t="s">
        <v>98</v>
      </c>
      <c r="C334" s="102" t="s">
        <v>52</v>
      </c>
      <c r="D334" s="81"/>
      <c r="E334" s="13"/>
      <c r="F334" s="30">
        <v>1913.8000000000002</v>
      </c>
      <c r="G334" s="83"/>
      <c r="H334" s="13"/>
      <c r="I334" s="30"/>
      <c r="J334" s="41"/>
      <c r="K334" s="13"/>
      <c r="L334" s="108">
        <v>1779.49</v>
      </c>
      <c r="M334" s="41"/>
      <c r="N334" s="59">
        <f t="shared" si="80"/>
        <v>-134.31000000000017</v>
      </c>
      <c r="O334" s="41"/>
      <c r="P334" s="13"/>
      <c r="Q334" s="108">
        <v>1933.78</v>
      </c>
      <c r="R334" s="41"/>
      <c r="S334" s="85">
        <f t="shared" si="83"/>
        <v>-154.28999999999996</v>
      </c>
      <c r="T334" s="13"/>
      <c r="U334" s="13"/>
      <c r="V334" s="13"/>
      <c r="W334" s="13"/>
      <c r="X334" s="13"/>
      <c r="Y334" s="13"/>
      <c r="Z334" s="13"/>
      <c r="AA334" s="13"/>
      <c r="AB334" s="13"/>
      <c r="AC334" s="13"/>
      <c r="AD334" s="13"/>
      <c r="AE334" s="13"/>
      <c r="AF334" s="13"/>
      <c r="AG334" s="13"/>
      <c r="AH334" s="13"/>
      <c r="AI334" s="13"/>
      <c r="AJ334" s="13"/>
      <c r="AK334" s="13"/>
      <c r="AL334" s="13"/>
      <c r="AM334" s="13"/>
      <c r="AN334" s="13"/>
    </row>
    <row r="335" spans="1:40" ht="20.25">
      <c r="A335" t="str">
        <f t="shared" si="82"/>
        <v>PiècesFrais de déplacement</v>
      </c>
      <c r="B335" s="11" t="s">
        <v>98</v>
      </c>
      <c r="C335" s="102" t="s">
        <v>53</v>
      </c>
      <c r="D335" s="81"/>
      <c r="E335" s="13"/>
      <c r="F335" s="30">
        <v>365.6</v>
      </c>
      <c r="G335" s="83"/>
      <c r="H335" s="13"/>
      <c r="I335" s="30"/>
      <c r="J335" s="41"/>
      <c r="K335" s="13"/>
      <c r="L335" s="33">
        <v>-560.88</v>
      </c>
      <c r="M335" s="41"/>
      <c r="N335" s="59">
        <f t="shared" si="80"/>
        <v>-926.48</v>
      </c>
      <c r="O335" s="41"/>
      <c r="P335" s="13"/>
      <c r="Q335" s="33">
        <v>272.7</v>
      </c>
      <c r="R335" s="41"/>
      <c r="S335" s="85">
        <f t="shared" si="83"/>
        <v>-833.57999999999993</v>
      </c>
      <c r="T335" s="13"/>
      <c r="U335" s="13"/>
      <c r="V335" s="13"/>
      <c r="W335" s="13"/>
      <c r="X335" s="13"/>
      <c r="Y335" s="13"/>
      <c r="Z335" s="13"/>
      <c r="AA335" s="13"/>
      <c r="AB335" s="13"/>
      <c r="AC335" s="13"/>
      <c r="AD335" s="13"/>
      <c r="AE335" s="13"/>
      <c r="AF335" s="13"/>
      <c r="AG335" s="13"/>
      <c r="AH335" s="13"/>
      <c r="AI335" s="13"/>
      <c r="AJ335" s="13"/>
      <c r="AK335" s="13"/>
      <c r="AL335" s="13"/>
      <c r="AM335" s="13"/>
      <c r="AN335" s="13"/>
    </row>
    <row r="336" spans="1:40" ht="20.25">
      <c r="A336" t="str">
        <f t="shared" si="82"/>
        <v>PiècesServices extérieurs</v>
      </c>
      <c r="B336" s="11" t="s">
        <v>98</v>
      </c>
      <c r="C336" s="230" t="s">
        <v>54</v>
      </c>
      <c r="D336" s="87"/>
      <c r="E336" s="111"/>
      <c r="F336" s="22">
        <v>1994.2000000000003</v>
      </c>
      <c r="G336" s="89"/>
      <c r="H336" s="111"/>
      <c r="I336" s="22"/>
      <c r="J336" s="23"/>
      <c r="K336" s="111"/>
      <c r="L336" s="48">
        <v>1704.23</v>
      </c>
      <c r="M336" s="23"/>
      <c r="N336" s="91">
        <f t="shared" si="80"/>
        <v>-289.97000000000025</v>
      </c>
      <c r="O336" s="23"/>
      <c r="P336" s="111"/>
      <c r="Q336" s="48">
        <v>1603.38</v>
      </c>
      <c r="R336" s="23"/>
      <c r="S336" s="92">
        <f t="shared" si="83"/>
        <v>100.84999999999991</v>
      </c>
      <c r="T336" s="13"/>
      <c r="U336" s="13"/>
      <c r="V336" s="13"/>
      <c r="W336" s="13"/>
      <c r="X336" s="13"/>
      <c r="Y336" s="13"/>
      <c r="Z336" s="13"/>
      <c r="AA336" s="13"/>
      <c r="AB336" s="13"/>
      <c r="AC336" s="13"/>
      <c r="AD336" s="13"/>
      <c r="AE336" s="13"/>
      <c r="AF336" s="13"/>
      <c r="AG336" s="13"/>
      <c r="AH336" s="13"/>
      <c r="AI336" s="13"/>
      <c r="AJ336" s="13"/>
      <c r="AK336" s="13"/>
      <c r="AL336" s="13"/>
      <c r="AM336" s="13"/>
      <c r="AN336" s="13"/>
    </row>
    <row r="337" spans="1:40" ht="20.25">
      <c r="A337" t="str">
        <f>+B337&amp;C337</f>
        <v>PiècesFournitures d'atelier</v>
      </c>
      <c r="B337" s="11" t="s">
        <v>98</v>
      </c>
      <c r="C337" s="102" t="s">
        <v>93</v>
      </c>
      <c r="D337" s="81"/>
      <c r="E337" s="13"/>
      <c r="F337" s="30"/>
      <c r="G337" s="83"/>
      <c r="H337" s="13"/>
      <c r="I337" s="30"/>
      <c r="J337" s="41"/>
      <c r="K337" s="13"/>
      <c r="L337" s="33">
        <v>0</v>
      </c>
      <c r="M337" s="41"/>
      <c r="N337" s="59">
        <f t="shared" si="80"/>
        <v>0</v>
      </c>
      <c r="O337" s="41"/>
      <c r="P337" s="13"/>
      <c r="Q337" s="33">
        <v>0</v>
      </c>
      <c r="R337" s="41"/>
      <c r="S337" s="85">
        <f>L337-Q337</f>
        <v>0</v>
      </c>
      <c r="T337" s="13"/>
      <c r="U337" s="13"/>
      <c r="V337" s="13"/>
      <c r="W337" s="13"/>
      <c r="X337" s="13"/>
      <c r="Y337" s="13"/>
      <c r="Z337" s="13"/>
      <c r="AA337" s="13"/>
      <c r="AB337" s="13"/>
      <c r="AC337" s="13"/>
      <c r="AD337" s="13"/>
      <c r="AE337" s="13"/>
      <c r="AF337" s="13"/>
      <c r="AG337" s="13"/>
      <c r="AH337" s="13"/>
      <c r="AI337" s="13"/>
      <c r="AJ337" s="13"/>
      <c r="AK337" s="13"/>
      <c r="AL337" s="13"/>
      <c r="AM337" s="13"/>
      <c r="AN337" s="13"/>
    </row>
    <row r="338" spans="1:40" ht="20.25">
      <c r="A338" t="str">
        <f t="shared" ref="A338:A343" si="84">+B338&amp;C338</f>
        <v>PiècesFournitures autres</v>
      </c>
      <c r="B338" s="11" t="s">
        <v>98</v>
      </c>
      <c r="C338" s="102" t="s">
        <v>55</v>
      </c>
      <c r="D338" s="81"/>
      <c r="E338" s="13"/>
      <c r="F338" s="30">
        <v>30.923694779116463</v>
      </c>
      <c r="G338" s="83"/>
      <c r="H338" s="13"/>
      <c r="I338" s="30"/>
      <c r="J338" s="41"/>
      <c r="K338" s="13"/>
      <c r="L338" s="33">
        <v>0</v>
      </c>
      <c r="M338" s="41"/>
      <c r="N338" s="59">
        <f t="shared" si="80"/>
        <v>-30.923694779116463</v>
      </c>
      <c r="O338" s="41"/>
      <c r="P338" s="13"/>
      <c r="Q338" s="33">
        <v>0</v>
      </c>
      <c r="R338" s="41"/>
      <c r="S338" s="85">
        <f t="shared" ref="S338:S343" si="85">L338-Q338</f>
        <v>0</v>
      </c>
      <c r="T338" s="13"/>
      <c r="U338" s="13"/>
      <c r="V338" s="13"/>
      <c r="W338" s="13"/>
      <c r="X338" s="13"/>
      <c r="Y338" s="13"/>
      <c r="Z338" s="13"/>
      <c r="AA338" s="13"/>
      <c r="AB338" s="13"/>
      <c r="AC338" s="13"/>
      <c r="AD338" s="13"/>
      <c r="AE338" s="13"/>
      <c r="AF338" s="13"/>
      <c r="AG338" s="13"/>
      <c r="AH338" s="13"/>
      <c r="AI338" s="13"/>
      <c r="AJ338" s="13"/>
      <c r="AK338" s="13"/>
      <c r="AL338" s="13"/>
      <c r="AM338" s="13"/>
      <c r="AN338" s="13"/>
    </row>
    <row r="339" spans="1:40" ht="20.25">
      <c r="A339" t="str">
        <f t="shared" si="84"/>
        <v>PiècesUniformes</v>
      </c>
      <c r="B339" s="11" t="s">
        <v>98</v>
      </c>
      <c r="C339" s="102" t="s">
        <v>56</v>
      </c>
      <c r="D339" s="81"/>
      <c r="E339" s="13"/>
      <c r="F339" s="30">
        <v>33</v>
      </c>
      <c r="G339" s="83"/>
      <c r="H339" s="13"/>
      <c r="I339" s="30"/>
      <c r="J339" s="41"/>
      <c r="K339" s="13"/>
      <c r="L339" s="33">
        <v>40</v>
      </c>
      <c r="M339" s="41"/>
      <c r="N339" s="59">
        <f t="shared" si="80"/>
        <v>7</v>
      </c>
      <c r="O339" s="41"/>
      <c r="P339" s="13"/>
      <c r="Q339" s="33">
        <v>0</v>
      </c>
      <c r="R339" s="41"/>
      <c r="S339" s="85">
        <f t="shared" si="85"/>
        <v>40</v>
      </c>
      <c r="T339" s="13"/>
      <c r="U339" s="13"/>
      <c r="V339" s="13"/>
      <c r="W339" s="13"/>
      <c r="X339" s="13"/>
      <c r="Y339" s="13"/>
      <c r="Z339" s="13"/>
      <c r="AA339" s="13"/>
      <c r="AB339" s="13"/>
      <c r="AC339" s="13"/>
      <c r="AD339" s="13"/>
      <c r="AE339" s="13"/>
      <c r="AF339" s="13"/>
      <c r="AG339" s="13"/>
      <c r="AH339" s="13"/>
      <c r="AI339" s="13"/>
      <c r="AJ339" s="13"/>
      <c r="AK339" s="13"/>
      <c r="AL339" s="13"/>
      <c r="AM339" s="13"/>
      <c r="AN339" s="13"/>
    </row>
    <row r="340" spans="1:40" ht="20.25">
      <c r="A340" t="str">
        <f t="shared" si="84"/>
        <v>PiècesPapeterie</v>
      </c>
      <c r="B340" s="11" t="s">
        <v>98</v>
      </c>
      <c r="C340" s="102" t="s">
        <v>57</v>
      </c>
      <c r="D340" s="81"/>
      <c r="E340" s="13"/>
      <c r="F340" s="30">
        <v>350</v>
      </c>
      <c r="G340" s="83"/>
      <c r="H340" s="13"/>
      <c r="I340" s="30"/>
      <c r="J340" s="41"/>
      <c r="K340" s="13"/>
      <c r="L340" s="32">
        <v>333.92</v>
      </c>
      <c r="M340" s="41"/>
      <c r="N340" s="59">
        <f t="shared" si="80"/>
        <v>-16.079999999999984</v>
      </c>
      <c r="O340" s="41"/>
      <c r="P340" s="13"/>
      <c r="Q340" s="32">
        <v>262.61</v>
      </c>
      <c r="R340" s="41"/>
      <c r="S340" s="85">
        <f t="shared" si="85"/>
        <v>71.31</v>
      </c>
      <c r="T340" s="13"/>
      <c r="U340" s="13"/>
      <c r="V340" s="13"/>
      <c r="W340" s="13"/>
      <c r="X340" s="13"/>
      <c r="Y340" s="13"/>
      <c r="Z340" s="13"/>
      <c r="AA340" s="13"/>
      <c r="AB340" s="13"/>
      <c r="AC340" s="13"/>
      <c r="AD340" s="13"/>
      <c r="AE340" s="13"/>
      <c r="AF340" s="13"/>
      <c r="AG340" s="13"/>
      <c r="AH340" s="13"/>
      <c r="AI340" s="13"/>
      <c r="AJ340" s="13"/>
      <c r="AK340" s="13"/>
      <c r="AL340" s="13"/>
      <c r="AM340" s="13"/>
      <c r="AN340" s="13"/>
    </row>
    <row r="341" spans="1:40" ht="20.25">
      <c r="A341" t="str">
        <f t="shared" si="84"/>
        <v>PiècesTéléphone</v>
      </c>
      <c r="B341" s="11" t="s">
        <v>98</v>
      </c>
      <c r="C341" s="102" t="s">
        <v>58</v>
      </c>
      <c r="D341" s="81"/>
      <c r="E341" s="13"/>
      <c r="F341" s="30">
        <v>118.4</v>
      </c>
      <c r="G341" s="83"/>
      <c r="H341" s="13"/>
      <c r="I341" s="30"/>
      <c r="J341" s="41"/>
      <c r="K341" s="13"/>
      <c r="L341" s="33">
        <v>101.57</v>
      </c>
      <c r="M341" s="41"/>
      <c r="N341" s="59">
        <f t="shared" si="80"/>
        <v>-16.830000000000013</v>
      </c>
      <c r="O341" s="41"/>
      <c r="P341" s="13"/>
      <c r="Q341" s="33">
        <v>301.49</v>
      </c>
      <c r="R341" s="41"/>
      <c r="S341" s="85">
        <f t="shared" si="85"/>
        <v>-199.92000000000002</v>
      </c>
      <c r="T341" s="13"/>
      <c r="U341" s="13"/>
      <c r="V341" s="13"/>
      <c r="W341" s="13"/>
      <c r="X341" s="13"/>
      <c r="Y341" s="13"/>
      <c r="Z341" s="13"/>
      <c r="AA341" s="13"/>
      <c r="AB341" s="13"/>
      <c r="AC341" s="13"/>
      <c r="AD341" s="13"/>
      <c r="AE341" s="13"/>
      <c r="AF341" s="13"/>
      <c r="AG341" s="13"/>
      <c r="AH341" s="13"/>
      <c r="AI341" s="13"/>
      <c r="AJ341" s="13"/>
      <c r="AK341" s="13"/>
      <c r="AL341" s="13"/>
      <c r="AM341" s="13"/>
      <c r="AN341" s="13"/>
    </row>
    <row r="342" spans="1:40" ht="20.25">
      <c r="A342" t="str">
        <f t="shared" si="84"/>
        <v>PiècesFrais postaux</v>
      </c>
      <c r="B342" s="11" t="s">
        <v>98</v>
      </c>
      <c r="C342" s="102" t="s">
        <v>59</v>
      </c>
      <c r="D342" s="81"/>
      <c r="E342" s="13"/>
      <c r="F342" s="30">
        <v>475</v>
      </c>
      <c r="G342" s="83"/>
      <c r="H342" s="13"/>
      <c r="I342" s="30"/>
      <c r="J342" s="41"/>
      <c r="K342" s="13"/>
      <c r="L342" s="33">
        <v>-183.54</v>
      </c>
      <c r="M342" s="41"/>
      <c r="N342" s="59">
        <f t="shared" si="80"/>
        <v>-658.54</v>
      </c>
      <c r="O342" s="41"/>
      <c r="P342" s="13"/>
      <c r="Q342" s="33">
        <v>-45.79</v>
      </c>
      <c r="R342" s="41"/>
      <c r="S342" s="85">
        <f t="shared" si="85"/>
        <v>-137.75</v>
      </c>
      <c r="T342" s="13"/>
      <c r="U342" s="13"/>
      <c r="V342" s="13"/>
      <c r="W342" s="13"/>
      <c r="X342" s="13"/>
      <c r="Y342" s="13"/>
      <c r="Z342" s="13"/>
      <c r="AA342" s="13"/>
      <c r="AB342" s="13"/>
      <c r="AC342" s="13"/>
      <c r="AD342" s="13"/>
      <c r="AE342" s="13"/>
      <c r="AF342" s="13"/>
      <c r="AG342" s="13"/>
      <c r="AH342" s="13"/>
      <c r="AI342" s="13"/>
      <c r="AJ342" s="13"/>
      <c r="AK342" s="13"/>
      <c r="AL342" s="13"/>
      <c r="AM342" s="13"/>
      <c r="AN342" s="13"/>
    </row>
    <row r="343" spans="1:40" ht="20.25">
      <c r="A343" t="str">
        <f t="shared" si="84"/>
        <v>PiècesDivers</v>
      </c>
      <c r="B343" s="11" t="s">
        <v>98</v>
      </c>
      <c r="C343" s="102" t="s">
        <v>60</v>
      </c>
      <c r="D343" s="81"/>
      <c r="E343" s="13"/>
      <c r="F343" s="30">
        <v>371.6</v>
      </c>
      <c r="G343" s="83"/>
      <c r="H343" s="13"/>
      <c r="I343" s="30"/>
      <c r="J343" s="41"/>
      <c r="K343" s="13"/>
      <c r="L343" s="33">
        <v>289.2</v>
      </c>
      <c r="M343" s="41"/>
      <c r="N343" s="59">
        <f t="shared" si="80"/>
        <v>-82.400000000000034</v>
      </c>
      <c r="O343" s="41"/>
      <c r="P343" s="13"/>
      <c r="Q343" s="33">
        <v>296.95999999999998</v>
      </c>
      <c r="R343" s="41"/>
      <c r="S343" s="85">
        <f t="shared" si="85"/>
        <v>-7.7599999999999909</v>
      </c>
      <c r="T343" s="13"/>
      <c r="U343" s="13"/>
      <c r="V343" s="13"/>
      <c r="W343" s="13"/>
      <c r="X343" s="13"/>
      <c r="Y343" s="13"/>
      <c r="Z343" s="13"/>
      <c r="AA343" s="13"/>
      <c r="AB343" s="13"/>
      <c r="AC343" s="13"/>
      <c r="AD343" s="13"/>
      <c r="AE343" s="13"/>
      <c r="AF343" s="13"/>
      <c r="AG343" s="13"/>
      <c r="AH343" s="13"/>
      <c r="AI343" s="13"/>
      <c r="AJ343" s="13"/>
      <c r="AK343" s="13"/>
      <c r="AL343" s="13"/>
      <c r="AM343" s="13"/>
      <c r="AN343" s="13"/>
    </row>
    <row r="344" spans="1:40" ht="20.25">
      <c r="A344" t="str">
        <f>+B344&amp;C344</f>
        <v>PiècesFormation</v>
      </c>
      <c r="B344" s="11" t="s">
        <v>98</v>
      </c>
      <c r="C344" s="102" t="s">
        <v>61</v>
      </c>
      <c r="D344" s="81"/>
      <c r="E344" s="13"/>
      <c r="F344" s="30">
        <v>241.14687999999995</v>
      </c>
      <c r="G344" s="83"/>
      <c r="H344" s="13"/>
      <c r="I344" s="30"/>
      <c r="J344" s="41"/>
      <c r="K344" s="13"/>
      <c r="L344" s="59">
        <v>223.73</v>
      </c>
      <c r="M344" s="41"/>
      <c r="N344" s="59">
        <f t="shared" si="80"/>
        <v>-17.416879999999964</v>
      </c>
      <c r="O344" s="41"/>
      <c r="P344" s="13"/>
      <c r="Q344" s="33">
        <v>449.17</v>
      </c>
      <c r="R344" s="41"/>
      <c r="S344" s="85">
        <f>L344-Q344</f>
        <v>-225.44000000000003</v>
      </c>
      <c r="T344" s="13"/>
      <c r="U344" s="13"/>
      <c r="V344" s="13"/>
      <c r="W344" s="13"/>
      <c r="X344" s="13"/>
      <c r="Y344" s="13"/>
      <c r="Z344" s="13"/>
      <c r="AA344" s="13"/>
      <c r="AB344" s="13"/>
      <c r="AC344" s="13"/>
      <c r="AD344" s="13"/>
      <c r="AE344" s="13"/>
      <c r="AF344" s="13"/>
      <c r="AG344" s="13"/>
      <c r="AH344" s="13"/>
      <c r="AI344" s="13"/>
      <c r="AJ344" s="13"/>
      <c r="AK344" s="13"/>
      <c r="AL344" s="13"/>
      <c r="AM344" s="13"/>
      <c r="AN344" s="13"/>
    </row>
    <row r="345" spans="1:40" ht="20.25">
      <c r="A345" t="str">
        <f>+B345&amp;C345</f>
        <v>PiècesFrais bancaires</v>
      </c>
      <c r="B345" s="11" t="s">
        <v>98</v>
      </c>
      <c r="C345" s="102" t="s">
        <v>62</v>
      </c>
      <c r="D345" s="81"/>
      <c r="E345" s="13"/>
      <c r="F345" s="30">
        <v>1094.0198619094199</v>
      </c>
      <c r="G345" s="83"/>
      <c r="H345" s="13"/>
      <c r="I345" s="30"/>
      <c r="J345" s="41"/>
      <c r="K345" s="13"/>
      <c r="L345" s="32">
        <v>1330.56</v>
      </c>
      <c r="M345" s="41"/>
      <c r="N345" s="59">
        <f t="shared" si="80"/>
        <v>236.54013809058006</v>
      </c>
      <c r="O345" s="41"/>
      <c r="P345" s="13"/>
      <c r="Q345" s="33">
        <v>1079.52</v>
      </c>
      <c r="R345" s="41"/>
      <c r="S345" s="85">
        <f>L345-Q345</f>
        <v>251.03999999999996</v>
      </c>
      <c r="T345" s="13"/>
      <c r="U345" s="13"/>
      <c r="V345" s="13"/>
      <c r="W345" s="13"/>
      <c r="X345" s="13"/>
      <c r="Y345" s="13"/>
      <c r="Z345" s="13"/>
      <c r="AA345" s="13"/>
      <c r="AB345" s="13"/>
      <c r="AC345" s="13"/>
      <c r="AD345" s="13"/>
      <c r="AE345" s="13"/>
      <c r="AF345" s="13"/>
      <c r="AG345" s="13"/>
      <c r="AH345" s="13"/>
      <c r="AI345" s="13"/>
      <c r="AJ345" s="13"/>
      <c r="AK345" s="13"/>
      <c r="AL345" s="13"/>
      <c r="AM345" s="13"/>
      <c r="AN345" s="13"/>
    </row>
    <row r="346" spans="1:40" ht="20.25" hidden="1">
      <c r="A346" t="str">
        <f>+B346&amp;C346</f>
        <v>Pièces[...]</v>
      </c>
      <c r="B346" s="11" t="s">
        <v>98</v>
      </c>
      <c r="C346" s="102" t="s">
        <v>19</v>
      </c>
      <c r="D346" s="81"/>
      <c r="E346" s="13"/>
      <c r="F346" s="30">
        <v>0</v>
      </c>
      <c r="G346" s="83"/>
      <c r="H346" s="13"/>
      <c r="I346" s="30"/>
      <c r="J346" s="41"/>
      <c r="K346" s="13"/>
      <c r="L346" s="33">
        <v>0</v>
      </c>
      <c r="M346" s="41"/>
      <c r="N346" s="59">
        <f t="shared" si="80"/>
        <v>0</v>
      </c>
      <c r="O346" s="41"/>
      <c r="P346" s="13"/>
      <c r="Q346" s="33">
        <v>0</v>
      </c>
      <c r="R346" s="41"/>
      <c r="S346" s="85">
        <f>L346-Q346</f>
        <v>0</v>
      </c>
      <c r="T346" s="13"/>
      <c r="U346" s="13"/>
      <c r="V346" s="13"/>
      <c r="W346" s="13"/>
      <c r="X346" s="13"/>
      <c r="Y346" s="13"/>
      <c r="Z346" s="13"/>
      <c r="AA346" s="13"/>
      <c r="AB346" s="13"/>
      <c r="AC346" s="13"/>
      <c r="AD346" s="13"/>
      <c r="AE346" s="13"/>
      <c r="AF346" s="13"/>
      <c r="AG346" s="13"/>
      <c r="AH346" s="13"/>
      <c r="AI346" s="13"/>
      <c r="AJ346" s="13"/>
      <c r="AK346" s="13"/>
      <c r="AL346" s="13"/>
      <c r="AM346" s="13"/>
      <c r="AN346" s="13"/>
    </row>
    <row r="347" spans="1:40" ht="20.25" hidden="1">
      <c r="A347" t="str">
        <f>+B347&amp;C347</f>
        <v>Pièces[...]</v>
      </c>
      <c r="B347" s="11" t="s">
        <v>98</v>
      </c>
      <c r="C347" s="102" t="s">
        <v>19</v>
      </c>
      <c r="D347" s="81"/>
      <c r="E347" s="13"/>
      <c r="F347" s="30">
        <v>0</v>
      </c>
      <c r="G347" s="83"/>
      <c r="H347" s="13"/>
      <c r="I347" s="30"/>
      <c r="J347" s="41"/>
      <c r="K347" s="13"/>
      <c r="L347" s="33">
        <v>0</v>
      </c>
      <c r="M347" s="41"/>
      <c r="N347" s="59">
        <f t="shared" si="80"/>
        <v>0</v>
      </c>
      <c r="O347" s="41"/>
      <c r="P347" s="13"/>
      <c r="Q347" s="33">
        <v>0</v>
      </c>
      <c r="R347" s="41"/>
      <c r="S347" s="85">
        <f>L347-Q347</f>
        <v>0</v>
      </c>
      <c r="T347" s="13"/>
      <c r="U347" s="13"/>
      <c r="V347" s="13"/>
      <c r="W347" s="13"/>
      <c r="X347" s="13"/>
      <c r="Y347" s="13"/>
      <c r="Z347" s="13"/>
      <c r="AA347" s="13"/>
      <c r="AB347" s="13"/>
      <c r="AC347" s="13"/>
      <c r="AD347" s="13"/>
      <c r="AE347" s="13"/>
      <c r="AF347" s="13"/>
      <c r="AG347" s="13"/>
      <c r="AH347" s="13"/>
      <c r="AI347" s="13"/>
      <c r="AJ347" s="13"/>
      <c r="AK347" s="13"/>
      <c r="AL347" s="13"/>
      <c r="AM347" s="13"/>
      <c r="AN347" s="13"/>
    </row>
    <row r="348" spans="1:40" ht="20.25" hidden="1">
      <c r="A348" t="str">
        <f>+B348&amp;C348</f>
        <v>Pièces[...]</v>
      </c>
      <c r="B348" s="11" t="s">
        <v>98</v>
      </c>
      <c r="C348" s="102" t="s">
        <v>19</v>
      </c>
      <c r="D348" s="81"/>
      <c r="E348" s="13"/>
      <c r="F348" s="30">
        <v>0</v>
      </c>
      <c r="G348" s="83"/>
      <c r="H348" s="13"/>
      <c r="I348" s="30"/>
      <c r="J348" s="41"/>
      <c r="K348" s="13"/>
      <c r="L348" s="33">
        <v>0</v>
      </c>
      <c r="M348" s="41"/>
      <c r="N348" s="59">
        <f t="shared" si="80"/>
        <v>0</v>
      </c>
      <c r="O348" s="41"/>
      <c r="P348" s="13"/>
      <c r="Q348" s="33">
        <v>0</v>
      </c>
      <c r="R348" s="41"/>
      <c r="S348" s="85">
        <f>L348-Q348</f>
        <v>0</v>
      </c>
      <c r="T348" s="13"/>
      <c r="U348" s="13"/>
      <c r="V348" s="13"/>
      <c r="W348" s="13"/>
      <c r="X348" s="13"/>
      <c r="Y348" s="13"/>
      <c r="Z348" s="13"/>
      <c r="AA348" s="13"/>
      <c r="AB348" s="13"/>
      <c r="AC348" s="13"/>
      <c r="AD348" s="13"/>
      <c r="AE348" s="13"/>
      <c r="AF348" s="13"/>
      <c r="AG348" s="13"/>
      <c r="AH348" s="13"/>
      <c r="AI348" s="13"/>
      <c r="AJ348" s="13"/>
      <c r="AK348" s="13"/>
      <c r="AL348" s="13"/>
      <c r="AM348" s="13"/>
      <c r="AN348" s="13"/>
    </row>
    <row r="349" spans="1:40" ht="20.25">
      <c r="B349" s="7"/>
      <c r="C349" s="93" t="s">
        <v>63</v>
      </c>
      <c r="D349" s="94" t="s">
        <v>38</v>
      </c>
      <c r="E349" s="95">
        <f>F349/F$314</f>
        <v>0.1495051109173455</v>
      </c>
      <c r="F349" s="96">
        <f>+SUM(F331:F348)</f>
        <v>13939.432603653713</v>
      </c>
      <c r="G349" s="97"/>
      <c r="H349" s="95"/>
      <c r="I349" s="96"/>
      <c r="J349" s="97" t="s">
        <v>38</v>
      </c>
      <c r="K349" s="95">
        <f>L349/L$314</f>
        <v>0.16179769059533244</v>
      </c>
      <c r="L349" s="96">
        <f>+SUM(L331:L348)</f>
        <v>13792.36</v>
      </c>
      <c r="M349" s="100"/>
      <c r="N349" s="96">
        <f>+SUM(N331:N348)</f>
        <v>-147.07260365371269</v>
      </c>
      <c r="O349" s="97" t="s">
        <v>38</v>
      </c>
      <c r="P349" s="95">
        <f>Q349/Q$314</f>
        <v>0.15334522060565889</v>
      </c>
      <c r="Q349" s="96">
        <f>+SUM(Q331:Q348)</f>
        <v>12942.95</v>
      </c>
      <c r="R349" s="100"/>
      <c r="S349" s="101">
        <f>+SUM(S331:S348)</f>
        <v>849.41000000000031</v>
      </c>
      <c r="T349" s="13"/>
      <c r="U349" s="13"/>
      <c r="V349" s="13"/>
      <c r="W349" s="13"/>
      <c r="X349" s="13"/>
      <c r="Y349" s="13"/>
      <c r="Z349" s="13"/>
      <c r="AA349" s="13"/>
      <c r="AB349" s="13"/>
      <c r="AC349" s="13"/>
      <c r="AD349" s="13"/>
      <c r="AE349" s="13"/>
      <c r="AF349" s="13"/>
      <c r="AG349" s="13"/>
      <c r="AH349" s="13"/>
      <c r="AI349" s="13"/>
      <c r="AJ349" s="13"/>
      <c r="AK349" s="13"/>
      <c r="AL349" s="13"/>
      <c r="AM349" s="13"/>
      <c r="AN349" s="13"/>
    </row>
    <row r="350" spans="1:40" ht="20.25">
      <c r="B350" s="7"/>
      <c r="C350" s="86"/>
      <c r="D350" s="87"/>
      <c r="E350" s="111"/>
      <c r="F350" s="59"/>
      <c r="G350" s="89"/>
      <c r="H350" s="111"/>
      <c r="I350" s="59"/>
      <c r="J350" s="23"/>
      <c r="K350" s="111"/>
      <c r="L350" s="91"/>
      <c r="M350" s="23"/>
      <c r="N350" s="91"/>
      <c r="O350" s="23"/>
      <c r="P350" s="111"/>
      <c r="Q350" s="91"/>
      <c r="R350" s="23"/>
      <c r="S350" s="92"/>
      <c r="T350" s="13"/>
      <c r="U350" s="13"/>
      <c r="V350" s="13"/>
      <c r="W350" s="13"/>
      <c r="X350" s="13"/>
      <c r="Y350" s="13"/>
      <c r="Z350" s="13"/>
      <c r="AA350" s="13"/>
      <c r="AB350" s="13"/>
      <c r="AC350" s="13"/>
      <c r="AD350" s="13"/>
      <c r="AE350" s="13"/>
      <c r="AF350" s="13"/>
      <c r="AG350" s="13"/>
      <c r="AH350" s="13"/>
      <c r="AI350" s="13"/>
      <c r="AJ350" s="13"/>
      <c r="AK350" s="13"/>
      <c r="AL350" s="13"/>
      <c r="AM350" s="13"/>
      <c r="AN350" s="13"/>
    </row>
    <row r="351" spans="1:40" ht="20.25">
      <c r="B351" s="7"/>
      <c r="C351" s="93" t="s">
        <v>64</v>
      </c>
      <c r="D351" s="94" t="s">
        <v>38</v>
      </c>
      <c r="E351" s="95">
        <f>F351/F$314</f>
        <v>0.45636044773076051</v>
      </c>
      <c r="F351" s="96">
        <f>F330+F349</f>
        <v>42549.754085886052</v>
      </c>
      <c r="G351" s="97"/>
      <c r="H351" s="95"/>
      <c r="I351" s="96"/>
      <c r="J351" s="97" t="s">
        <v>38</v>
      </c>
      <c r="K351" s="95">
        <f>L351/L$314</f>
        <v>0.46192609773676846</v>
      </c>
      <c r="L351" s="96">
        <f>L330+L349</f>
        <v>39376.649999999994</v>
      </c>
      <c r="M351" s="100"/>
      <c r="N351" s="113">
        <f>L351-F351</f>
        <v>-3173.1040858860579</v>
      </c>
      <c r="O351" s="97" t="s">
        <v>38</v>
      </c>
      <c r="P351" s="95">
        <f>Q351/Q$314</f>
        <v>0.42848170702810395</v>
      </c>
      <c r="Q351" s="96">
        <f>Q330+Q349</f>
        <v>36165.57</v>
      </c>
      <c r="R351" s="100"/>
      <c r="S351" s="114">
        <f>L351-Q351</f>
        <v>3211.0799999999945</v>
      </c>
      <c r="T351" s="13"/>
      <c r="U351" s="13"/>
      <c r="V351" s="13"/>
      <c r="W351" s="13"/>
      <c r="X351" s="13"/>
      <c r="Y351" s="13"/>
      <c r="Z351" s="13"/>
      <c r="AA351" s="13"/>
      <c r="AB351" s="13"/>
      <c r="AC351" s="13"/>
      <c r="AD351" s="13"/>
      <c r="AE351" s="13"/>
      <c r="AF351" s="13"/>
      <c r="AG351" s="13"/>
      <c r="AH351" s="13"/>
      <c r="AI351" s="13"/>
      <c r="AJ351" s="13"/>
      <c r="AK351" s="13"/>
      <c r="AL351" s="13"/>
      <c r="AM351" s="13"/>
      <c r="AN351" s="13"/>
    </row>
    <row r="352" spans="1:40" ht="20.25">
      <c r="B352" s="7"/>
      <c r="C352" s="29"/>
      <c r="D352" s="81"/>
      <c r="E352" s="13"/>
      <c r="F352" s="59"/>
      <c r="G352" s="83"/>
      <c r="H352" s="13"/>
      <c r="I352" s="59"/>
      <c r="J352" s="41"/>
      <c r="K352" s="13"/>
      <c r="L352" s="59"/>
      <c r="M352" s="41"/>
      <c r="N352" s="59">
        <f>L352-F352</f>
        <v>0</v>
      </c>
      <c r="O352" s="41"/>
      <c r="P352" s="13"/>
      <c r="Q352" s="59"/>
      <c r="R352" s="41"/>
      <c r="S352" s="85"/>
      <c r="T352" s="13"/>
      <c r="U352" s="13"/>
      <c r="V352" s="13"/>
      <c r="W352" s="13"/>
      <c r="X352" s="13"/>
      <c r="Y352" s="13"/>
      <c r="Z352" s="13"/>
      <c r="AA352" s="13"/>
      <c r="AB352" s="13"/>
      <c r="AC352" s="13"/>
      <c r="AD352" s="13"/>
      <c r="AE352" s="13"/>
      <c r="AF352" s="13"/>
      <c r="AG352" s="13"/>
      <c r="AH352" s="13"/>
      <c r="AI352" s="13"/>
      <c r="AJ352" s="13"/>
      <c r="AK352" s="13"/>
      <c r="AL352" s="13"/>
      <c r="AM352" s="13"/>
      <c r="AN352" s="13"/>
    </row>
    <row r="353" spans="1:40" ht="21" thickBot="1">
      <c r="B353" s="7"/>
      <c r="C353" s="124" t="s">
        <v>69</v>
      </c>
      <c r="D353" s="152"/>
      <c r="E353" s="125"/>
      <c r="F353" s="127">
        <f>F314-F351</f>
        <v>50687.410303498495</v>
      </c>
      <c r="G353" s="153"/>
      <c r="H353" s="125"/>
      <c r="I353" s="127"/>
      <c r="J353" s="154"/>
      <c r="K353" s="126"/>
      <c r="L353" s="127">
        <f>L314-L351</f>
        <v>45867.829999999987</v>
      </c>
      <c r="M353" s="154"/>
      <c r="N353" s="127">
        <f>L353-F353</f>
        <v>-4819.5803034985074</v>
      </c>
      <c r="O353" s="154"/>
      <c r="P353" s="126"/>
      <c r="Q353" s="127">
        <f>Q314-Q351</f>
        <v>48238.429999999797</v>
      </c>
      <c r="R353" s="154"/>
      <c r="S353" s="129">
        <f>L353-Q353</f>
        <v>-2370.5999999998094</v>
      </c>
      <c r="T353" s="13"/>
      <c r="U353" s="13"/>
      <c r="V353" s="13"/>
      <c r="W353" s="13"/>
      <c r="X353" s="13"/>
      <c r="Y353" s="13"/>
      <c r="Z353" s="13"/>
      <c r="AA353" s="13"/>
      <c r="AB353" s="13"/>
      <c r="AC353" s="13"/>
      <c r="AD353" s="13"/>
      <c r="AE353" s="13"/>
      <c r="AF353" s="13"/>
      <c r="AG353" s="13"/>
      <c r="AH353" s="13"/>
      <c r="AI353" s="13"/>
      <c r="AJ353" s="13"/>
      <c r="AK353" s="13"/>
      <c r="AL353" s="13"/>
      <c r="AM353" s="13"/>
      <c r="AN353" s="13"/>
    </row>
    <row r="354" spans="1:40" ht="21" thickTop="1">
      <c r="B354" s="7"/>
      <c r="C354" s="76"/>
      <c r="D354" s="81"/>
      <c r="E354" s="13"/>
      <c r="F354" s="112"/>
      <c r="G354" s="81"/>
      <c r="H354" s="13"/>
      <c r="I354" s="112"/>
      <c r="J354" s="76"/>
      <c r="K354" s="76"/>
      <c r="L354" s="112"/>
      <c r="M354" s="76"/>
      <c r="N354" s="112"/>
      <c r="O354" s="76"/>
      <c r="P354" s="76"/>
      <c r="Q354" s="112"/>
      <c r="R354" s="76"/>
      <c r="S354" s="112"/>
      <c r="T354" s="13"/>
      <c r="U354" s="13"/>
      <c r="V354" s="13"/>
      <c r="W354" s="13"/>
      <c r="X354" s="13"/>
      <c r="Y354" s="13"/>
      <c r="Z354" s="13"/>
      <c r="AA354" s="13"/>
      <c r="AB354" s="13"/>
      <c r="AC354" s="13"/>
      <c r="AD354" s="13"/>
      <c r="AE354" s="13"/>
      <c r="AF354" s="13"/>
      <c r="AG354" s="13"/>
      <c r="AH354" s="13"/>
      <c r="AI354" s="13"/>
      <c r="AJ354" s="13"/>
      <c r="AK354" s="13"/>
      <c r="AL354" s="13"/>
      <c r="AM354" s="13"/>
      <c r="AN354" s="13"/>
    </row>
    <row r="355" spans="1:40" ht="20.25" hidden="1">
      <c r="B355" s="7"/>
      <c r="C355" s="76"/>
      <c r="D355" s="81"/>
      <c r="E355" s="13"/>
      <c r="F355" s="112"/>
      <c r="G355" s="81"/>
      <c r="H355" s="13"/>
      <c r="I355" s="112"/>
      <c r="J355" s="76"/>
      <c r="K355" s="76"/>
      <c r="L355" s="112"/>
      <c r="M355" s="76"/>
      <c r="N355" s="112"/>
      <c r="O355" s="76"/>
      <c r="P355" s="76"/>
      <c r="Q355" s="112"/>
      <c r="R355" s="76"/>
      <c r="S355" s="112"/>
      <c r="T355" s="13"/>
      <c r="U355" s="13"/>
      <c r="V355" s="13"/>
      <c r="W355" s="13"/>
      <c r="X355" s="13"/>
      <c r="Y355" s="13"/>
      <c r="Z355" s="13"/>
      <c r="AA355" s="13"/>
      <c r="AB355" s="13"/>
      <c r="AC355" s="13"/>
      <c r="AD355" s="13"/>
      <c r="AE355" s="13"/>
      <c r="AF355" s="13"/>
      <c r="AG355" s="13"/>
      <c r="AH355" s="13"/>
      <c r="AI355" s="13"/>
      <c r="AJ355" s="13"/>
      <c r="AK355" s="13"/>
      <c r="AL355" s="13"/>
      <c r="AM355" s="13"/>
      <c r="AN355" s="13"/>
    </row>
    <row r="356" spans="1:40" ht="35.25" hidden="1">
      <c r="B356" s="7"/>
      <c r="C356" s="6" t="str">
        <f>+C291</f>
        <v>BMW Sherbrooke</v>
      </c>
      <c r="D356" s="2"/>
      <c r="E356" s="2"/>
      <c r="F356" s="2"/>
      <c r="G356" s="2"/>
      <c r="H356" s="1"/>
      <c r="I356" s="1"/>
      <c r="J356" s="1"/>
      <c r="K356" s="3" t="s">
        <v>114</v>
      </c>
      <c r="L356" s="2"/>
      <c r="M356" s="2"/>
      <c r="N356" s="1"/>
      <c r="O356" s="1"/>
      <c r="P356" s="2"/>
      <c r="Q356" s="1"/>
      <c r="R356" s="2"/>
      <c r="S356" s="5" t="str">
        <f>$S$1</f>
        <v>Réalisé, Juillet 2024</v>
      </c>
      <c r="T356" s="10"/>
      <c r="U356" s="10"/>
      <c r="V356" s="13"/>
      <c r="W356" s="10"/>
      <c r="X356" s="10"/>
      <c r="Y356" s="10"/>
      <c r="Z356" s="10"/>
      <c r="AA356" s="10"/>
      <c r="AB356" s="10"/>
      <c r="AC356" s="10"/>
      <c r="AD356" s="10"/>
      <c r="AE356" s="10"/>
      <c r="AF356" s="10"/>
      <c r="AG356" s="10"/>
      <c r="AH356" s="10"/>
      <c r="AI356" s="10"/>
      <c r="AJ356" s="10"/>
      <c r="AK356" s="10"/>
      <c r="AL356" s="10"/>
      <c r="AM356" s="10"/>
      <c r="AN356" s="10"/>
    </row>
    <row r="357" spans="1:40" ht="20.25" hidden="1">
      <c r="B357" s="7"/>
      <c r="C357" s="8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3"/>
      <c r="W357" s="10"/>
      <c r="X357" s="10"/>
      <c r="Y357" s="10"/>
      <c r="Z357" s="10"/>
      <c r="AA357" s="10"/>
      <c r="AB357" s="10"/>
      <c r="AC357" s="10"/>
      <c r="AD357" s="10"/>
      <c r="AE357" s="10"/>
      <c r="AF357" s="10"/>
      <c r="AG357" s="10"/>
      <c r="AH357" s="10"/>
      <c r="AI357" s="10"/>
      <c r="AJ357" s="10"/>
      <c r="AK357" s="10"/>
      <c r="AL357" s="10"/>
      <c r="AM357" s="10"/>
      <c r="AN357" s="10"/>
    </row>
    <row r="358" spans="1:40" ht="21" hidden="1" thickTop="1">
      <c r="B358" s="7"/>
      <c r="C358" s="12"/>
      <c r="D358" s="496" t="s">
        <v>5</v>
      </c>
      <c r="E358" s="497"/>
      <c r="F358" s="498"/>
      <c r="G358" s="499"/>
      <c r="H358" s="497"/>
      <c r="I358" s="498"/>
      <c r="J358" s="499" t="s">
        <v>7</v>
      </c>
      <c r="K358" s="497"/>
      <c r="L358" s="498"/>
      <c r="M358" s="499"/>
      <c r="N358" s="498"/>
      <c r="O358" s="496" t="s">
        <v>8</v>
      </c>
      <c r="P358" s="497"/>
      <c r="Q358" s="498"/>
      <c r="R358" s="499" t="s">
        <v>9</v>
      </c>
      <c r="S358" s="503"/>
      <c r="T358" s="10"/>
      <c r="U358" s="10"/>
      <c r="V358" s="13"/>
      <c r="W358" s="10"/>
      <c r="X358" s="10"/>
      <c r="Y358" s="10"/>
      <c r="Z358" s="10"/>
      <c r="AA358" s="10"/>
      <c r="AB358" s="10"/>
      <c r="AC358" s="10"/>
      <c r="AD358" s="10"/>
      <c r="AE358" s="10"/>
      <c r="AF358" s="10"/>
      <c r="AG358" s="10"/>
      <c r="AH358" s="10"/>
      <c r="AI358" s="10"/>
      <c r="AJ358" s="10"/>
      <c r="AK358" s="10"/>
      <c r="AL358" s="10"/>
      <c r="AM358" s="10"/>
      <c r="AN358" s="10"/>
    </row>
    <row r="359" spans="1:40" ht="21" hidden="1" thickBot="1">
      <c r="A359" t="str">
        <f t="shared" ref="A359:A394" si="86">+B359&amp;C359</f>
        <v>Boutique</v>
      </c>
      <c r="B359" s="11" t="s">
        <v>114</v>
      </c>
      <c r="C359" s="29"/>
      <c r="D359" s="231" t="s">
        <v>79</v>
      </c>
      <c r="E359" s="231" t="s">
        <v>99</v>
      </c>
      <c r="F359" s="232" t="s">
        <v>12</v>
      </c>
      <c r="G359" s="233"/>
      <c r="H359" s="231"/>
      <c r="I359" s="232"/>
      <c r="J359" s="135" t="s">
        <v>79</v>
      </c>
      <c r="K359" s="80" t="s">
        <v>99</v>
      </c>
      <c r="L359" s="134" t="s">
        <v>12</v>
      </c>
      <c r="M359" s="135"/>
      <c r="N359" s="134"/>
      <c r="O359" s="135" t="s">
        <v>79</v>
      </c>
      <c r="P359" s="80" t="s">
        <v>99</v>
      </c>
      <c r="Q359" s="134" t="s">
        <v>12</v>
      </c>
      <c r="R359" s="135" t="s">
        <v>80</v>
      </c>
      <c r="S359" s="136" t="s">
        <v>12</v>
      </c>
      <c r="T359" s="10"/>
      <c r="U359" s="10"/>
      <c r="V359" s="13"/>
      <c r="W359" s="10"/>
      <c r="X359" s="10"/>
      <c r="Y359" s="10"/>
      <c r="Z359" s="10"/>
      <c r="AA359" s="10"/>
      <c r="AB359" s="10"/>
      <c r="AC359" s="10"/>
      <c r="AD359" s="10"/>
      <c r="AE359" s="10"/>
      <c r="AF359" s="10"/>
      <c r="AG359" s="10"/>
      <c r="AH359" s="10"/>
      <c r="AI359" s="10"/>
      <c r="AJ359" s="10"/>
      <c r="AK359" s="10"/>
      <c r="AL359" s="10"/>
      <c r="AM359" s="10"/>
      <c r="AN359" s="10"/>
    </row>
    <row r="360" spans="1:40" ht="27.75" hidden="1" thickTop="1">
      <c r="A360" t="str">
        <f t="shared" si="86"/>
        <v>BoutiqueBoutique</v>
      </c>
      <c r="B360" s="11" t="s">
        <v>114</v>
      </c>
      <c r="C360" s="62" t="s">
        <v>114</v>
      </c>
      <c r="D360" s="234">
        <v>0</v>
      </c>
      <c r="E360" s="235">
        <f>IFERROR(F360/D360,0)</f>
        <v>0</v>
      </c>
      <c r="F360" s="236">
        <v>0</v>
      </c>
      <c r="G360" s="234"/>
      <c r="H360" s="235"/>
      <c r="I360" s="234"/>
      <c r="J360" s="237">
        <v>0</v>
      </c>
      <c r="K360" s="219">
        <f>IF(J360&lt;=0,0,L360/J360)</f>
        <v>0</v>
      </c>
      <c r="L360" s="238">
        <v>0</v>
      </c>
      <c r="M360" s="220"/>
      <c r="N360" s="221"/>
      <c r="O360" s="237">
        <v>0</v>
      </c>
      <c r="P360" s="219">
        <f>IFERROR(Q360/O360,0)</f>
        <v>0</v>
      </c>
      <c r="Q360" s="238">
        <v>0</v>
      </c>
      <c r="R360" s="220">
        <f>IF(O360=0,0,(J360-O360)/O360)</f>
        <v>0</v>
      </c>
      <c r="S360" s="222">
        <f>L360-Q360</f>
        <v>0</v>
      </c>
      <c r="T360" s="10"/>
      <c r="U360" s="10"/>
      <c r="V360" s="239"/>
      <c r="W360" s="10"/>
      <c r="X360" s="10"/>
      <c r="Y360" s="10"/>
      <c r="Z360" s="10"/>
      <c r="AA360" s="10"/>
      <c r="AB360" s="10"/>
      <c r="AC360" s="10"/>
      <c r="AD360" s="10"/>
      <c r="AE360" s="10"/>
      <c r="AF360" s="10"/>
      <c r="AG360" s="10"/>
      <c r="AH360" s="10"/>
      <c r="AI360" s="10"/>
      <c r="AJ360" s="10"/>
      <c r="AK360" s="10"/>
      <c r="AL360" s="10"/>
      <c r="AM360" s="10"/>
      <c r="AN360" s="10"/>
    </row>
    <row r="361" spans="1:40" ht="21" hidden="1" thickBot="1">
      <c r="A361" t="str">
        <f t="shared" si="86"/>
        <v>Boutique</v>
      </c>
      <c r="B361" s="11" t="s">
        <v>114</v>
      </c>
      <c r="C361" s="223"/>
      <c r="D361" s="224"/>
      <c r="E361" s="225"/>
      <c r="F361" s="226"/>
      <c r="G361" s="227"/>
      <c r="H361" s="225"/>
      <c r="I361" s="226"/>
      <c r="J361" s="227"/>
      <c r="K361" s="225"/>
      <c r="L361" s="226"/>
      <c r="M361" s="228"/>
      <c r="N361" s="74"/>
      <c r="O361" s="227"/>
      <c r="P361" s="225"/>
      <c r="Q361" s="226"/>
      <c r="R361" s="228"/>
      <c r="S361" s="75"/>
      <c r="T361" s="10"/>
      <c r="U361" s="10"/>
      <c r="V361" s="13"/>
      <c r="W361" s="10"/>
      <c r="X361" s="10"/>
      <c r="Y361" s="10"/>
      <c r="Z361" s="10"/>
      <c r="AA361" s="10"/>
      <c r="AB361" s="10"/>
      <c r="AC361" s="10"/>
      <c r="AD361" s="10"/>
      <c r="AE361" s="10"/>
      <c r="AF361" s="10"/>
      <c r="AG361" s="10"/>
      <c r="AH361" s="10"/>
      <c r="AI361" s="10"/>
      <c r="AJ361" s="10"/>
      <c r="AK361" s="10"/>
      <c r="AL361" s="10"/>
      <c r="AM361" s="10"/>
      <c r="AN361" s="10"/>
    </row>
    <row r="362" spans="1:40" ht="21" hidden="1" thickTop="1">
      <c r="A362" t="str">
        <f t="shared" si="86"/>
        <v>BoutiqueTotal Dépt. Boutique</v>
      </c>
      <c r="B362" s="11" t="s">
        <v>114</v>
      </c>
      <c r="C362" s="53" t="s">
        <v>115</v>
      </c>
      <c r="D362" s="240">
        <f>+D360</f>
        <v>0</v>
      </c>
      <c r="E362" s="174">
        <f>IF(D362&lt;=0,0,F362/D362)</f>
        <v>0</v>
      </c>
      <c r="F362" s="176">
        <f>+F360</f>
        <v>0</v>
      </c>
      <c r="G362" s="175"/>
      <c r="H362" s="174"/>
      <c r="I362" s="176"/>
      <c r="J362" s="175">
        <f>+J360</f>
        <v>0</v>
      </c>
      <c r="K362" s="174">
        <f>IF(J362&lt;=0,0,L362/J362)</f>
        <v>0</v>
      </c>
      <c r="L362" s="176">
        <f>+L360</f>
        <v>0</v>
      </c>
      <c r="M362" s="241"/>
      <c r="N362" s="242"/>
      <c r="O362" s="175">
        <f>+O360</f>
        <v>0</v>
      </c>
      <c r="P362" s="174">
        <f>IF(O362&lt;=0,0,Q362/O362)</f>
        <v>0</v>
      </c>
      <c r="Q362" s="176">
        <f t="shared" ref="Q362" si="87">+Q360</f>
        <v>0</v>
      </c>
      <c r="R362" s="41">
        <f>IF(O362=0,0,(J362-O362)/O362)</f>
        <v>0</v>
      </c>
      <c r="S362" s="44">
        <f>L362-Q362</f>
        <v>0</v>
      </c>
      <c r="T362" s="10"/>
      <c r="U362" s="10"/>
      <c r="V362" s="13"/>
      <c r="W362" s="10"/>
      <c r="X362" s="10"/>
      <c r="Y362" s="10"/>
      <c r="Z362" s="10"/>
      <c r="AA362" s="10"/>
      <c r="AB362" s="10"/>
      <c r="AC362" s="10"/>
      <c r="AD362" s="10"/>
      <c r="AE362" s="10"/>
      <c r="AF362" s="10"/>
      <c r="AG362" s="10"/>
      <c r="AH362" s="10"/>
      <c r="AI362" s="10"/>
      <c r="AJ362" s="10"/>
      <c r="AK362" s="10"/>
      <c r="AL362" s="10"/>
      <c r="AM362" s="10"/>
      <c r="AN362" s="10"/>
    </row>
    <row r="363" spans="1:40" ht="20.25" hidden="1">
      <c r="A363" t="str">
        <f t="shared" si="86"/>
        <v>Boutique</v>
      </c>
      <c r="B363" s="11" t="s">
        <v>114</v>
      </c>
      <c r="C363" s="79"/>
      <c r="D363" s="13"/>
      <c r="E363" s="13"/>
      <c r="F363" s="59"/>
      <c r="G363" s="41"/>
      <c r="H363" s="243"/>
      <c r="I363" s="59"/>
      <c r="J363" s="41"/>
      <c r="K363" s="13"/>
      <c r="L363" s="40"/>
      <c r="M363" s="41"/>
      <c r="N363" s="244"/>
      <c r="O363" s="41"/>
      <c r="P363" s="13"/>
      <c r="Q363" s="40"/>
      <c r="R363" s="41"/>
      <c r="S363" s="61">
        <f>IF(Q362=0,0,S362/Q362)</f>
        <v>0</v>
      </c>
      <c r="T363" s="10"/>
      <c r="U363" s="10"/>
      <c r="V363" s="13"/>
      <c r="W363" s="10"/>
      <c r="X363" s="10"/>
      <c r="Y363" s="10"/>
      <c r="Z363" s="10"/>
      <c r="AA363" s="10"/>
      <c r="AB363" s="10"/>
      <c r="AC363" s="10"/>
      <c r="AD363" s="10"/>
      <c r="AE363" s="10"/>
      <c r="AF363" s="10"/>
      <c r="AG363" s="10"/>
      <c r="AH363" s="10"/>
      <c r="AI363" s="10"/>
      <c r="AJ363" s="10"/>
      <c r="AK363" s="10"/>
      <c r="AL363" s="10"/>
      <c r="AM363" s="10"/>
      <c r="AN363" s="10"/>
    </row>
    <row r="364" spans="1:40" ht="20.25" hidden="1">
      <c r="A364" t="str">
        <f t="shared" si="86"/>
        <v>BoutiqueDEPENSES</v>
      </c>
      <c r="B364" s="11" t="s">
        <v>114</v>
      </c>
      <c r="C364" s="79" t="s">
        <v>29</v>
      </c>
      <c r="D364" s="13"/>
      <c r="E364" s="13"/>
      <c r="F364" s="59"/>
      <c r="G364" s="41"/>
      <c r="H364" s="13"/>
      <c r="I364" s="59"/>
      <c r="J364" s="41"/>
      <c r="K364" s="13"/>
      <c r="L364" s="40"/>
      <c r="M364" s="41"/>
      <c r="N364" s="40"/>
      <c r="O364" s="41"/>
      <c r="P364" s="13"/>
      <c r="Q364" s="40"/>
      <c r="R364" s="41"/>
      <c r="S364" s="61"/>
      <c r="T364" s="10"/>
      <c r="U364" s="10"/>
      <c r="V364" s="13"/>
      <c r="W364" s="10"/>
      <c r="X364" s="10"/>
      <c r="Y364" s="10"/>
      <c r="Z364" s="10"/>
      <c r="AA364" s="10"/>
      <c r="AB364" s="10"/>
      <c r="AC364" s="10"/>
      <c r="AD364" s="10"/>
      <c r="AE364" s="10"/>
      <c r="AF364" s="10"/>
      <c r="AG364" s="10"/>
      <c r="AH364" s="10"/>
      <c r="AI364" s="10"/>
      <c r="AJ364" s="10"/>
      <c r="AK364" s="10"/>
      <c r="AL364" s="10"/>
      <c r="AM364" s="10"/>
      <c r="AN364" s="10"/>
    </row>
    <row r="365" spans="1:40" ht="20.25" hidden="1">
      <c r="A365" t="str">
        <f t="shared" si="86"/>
        <v>BoutiqueSalaires cadres</v>
      </c>
      <c r="B365" s="11" t="s">
        <v>114</v>
      </c>
      <c r="C365" s="102" t="s">
        <v>40</v>
      </c>
      <c r="D365" s="13"/>
      <c r="E365" s="13"/>
      <c r="F365" s="30">
        <v>0</v>
      </c>
      <c r="G365" s="41"/>
      <c r="H365" s="13"/>
      <c r="I365" s="30"/>
      <c r="J365" s="41"/>
      <c r="K365" s="13"/>
      <c r="L365" s="33">
        <v>0</v>
      </c>
      <c r="M365" s="41"/>
      <c r="N365" s="40"/>
      <c r="O365" s="41"/>
      <c r="P365" s="13"/>
      <c r="Q365" s="33">
        <v>0</v>
      </c>
      <c r="R365" s="41"/>
      <c r="S365" s="34">
        <f>L365-Q365</f>
        <v>0</v>
      </c>
      <c r="T365" s="10"/>
      <c r="U365" s="10"/>
      <c r="V365" s="13"/>
      <c r="W365" s="10"/>
      <c r="X365" s="10"/>
      <c r="Y365" s="10"/>
      <c r="Z365" s="10"/>
      <c r="AA365" s="10"/>
      <c r="AB365" s="10"/>
      <c r="AC365" s="10"/>
      <c r="AD365" s="10"/>
      <c r="AE365" s="10"/>
      <c r="AF365" s="10"/>
      <c r="AG365" s="10"/>
      <c r="AH365" s="10"/>
      <c r="AI365" s="10"/>
      <c r="AJ365" s="10"/>
      <c r="AK365" s="10"/>
      <c r="AL365" s="10"/>
      <c r="AM365" s="10"/>
      <c r="AN365" s="10"/>
    </row>
    <row r="366" spans="1:40" ht="20.25" hidden="1">
      <c r="A366" t="str">
        <f t="shared" si="86"/>
        <v>BoutiqueSalaires commis</v>
      </c>
      <c r="B366" s="11" t="s">
        <v>114</v>
      </c>
      <c r="C366" s="103" t="s">
        <v>41</v>
      </c>
      <c r="D366" s="81"/>
      <c r="E366" s="13"/>
      <c r="F366" s="22">
        <v>0</v>
      </c>
      <c r="G366" s="83"/>
      <c r="H366" s="13"/>
      <c r="I366" s="22"/>
      <c r="J366" s="41"/>
      <c r="K366" s="13"/>
      <c r="L366" s="22">
        <v>0</v>
      </c>
      <c r="M366" s="41"/>
      <c r="N366" s="59"/>
      <c r="O366" s="41"/>
      <c r="P366" s="13"/>
      <c r="Q366" s="22">
        <v>0</v>
      </c>
      <c r="R366" s="41"/>
      <c r="S366" s="85">
        <f t="shared" ref="S366:S394" si="88">L366-Q366</f>
        <v>0</v>
      </c>
      <c r="T366" s="10"/>
      <c r="U366" s="10"/>
      <c r="V366" s="13"/>
      <c r="W366" s="10"/>
      <c r="X366" s="10"/>
      <c r="Y366" s="10"/>
      <c r="Z366" s="10"/>
      <c r="AA366" s="10"/>
      <c r="AB366" s="10"/>
      <c r="AC366" s="10"/>
      <c r="AD366" s="10"/>
      <c r="AE366" s="10"/>
      <c r="AF366" s="10"/>
      <c r="AG366" s="10"/>
      <c r="AH366" s="10"/>
      <c r="AI366" s="10"/>
      <c r="AJ366" s="10"/>
      <c r="AK366" s="10"/>
      <c r="AL366" s="10"/>
      <c r="AM366" s="10"/>
      <c r="AN366" s="10"/>
    </row>
    <row r="367" spans="1:40" ht="20.25" hidden="1">
      <c r="A367" t="str">
        <f t="shared" si="86"/>
        <v>BoutiqueSalaires autres</v>
      </c>
      <c r="B367" s="11" t="s">
        <v>114</v>
      </c>
      <c r="C367" s="102" t="s">
        <v>42</v>
      </c>
      <c r="D367" s="104"/>
      <c r="E367" s="105"/>
      <c r="F367" s="30">
        <v>0</v>
      </c>
      <c r="G367" s="106"/>
      <c r="H367" s="105"/>
      <c r="I367" s="30"/>
      <c r="J367" s="107"/>
      <c r="K367" s="105"/>
      <c r="L367" s="33">
        <v>0</v>
      </c>
      <c r="M367" s="107"/>
      <c r="N367" s="109"/>
      <c r="O367" s="107"/>
      <c r="P367" s="105"/>
      <c r="Q367" s="33">
        <v>0</v>
      </c>
      <c r="R367" s="107"/>
      <c r="S367" s="110">
        <f t="shared" si="88"/>
        <v>0</v>
      </c>
      <c r="T367" s="10"/>
      <c r="U367" s="10"/>
      <c r="V367" s="13"/>
      <c r="W367" s="10"/>
      <c r="X367" s="10"/>
      <c r="Y367" s="10"/>
      <c r="Z367" s="10"/>
      <c r="AA367" s="10"/>
      <c r="AB367" s="10"/>
      <c r="AC367" s="10"/>
      <c r="AD367" s="10"/>
      <c r="AE367" s="10"/>
      <c r="AF367" s="10"/>
      <c r="AG367" s="10"/>
      <c r="AH367" s="10"/>
      <c r="AI367" s="10"/>
      <c r="AJ367" s="10"/>
      <c r="AK367" s="10"/>
      <c r="AL367" s="10"/>
      <c r="AM367" s="10"/>
      <c r="AN367" s="10"/>
    </row>
    <row r="368" spans="1:40" ht="20.25" hidden="1">
      <c r="A368" t="str">
        <f t="shared" si="86"/>
        <v>BoutiqueSalaires spécialistes</v>
      </c>
      <c r="B368" s="11" t="s">
        <v>114</v>
      </c>
      <c r="C368" s="102" t="s">
        <v>43</v>
      </c>
      <c r="D368" s="81"/>
      <c r="E368" s="13"/>
      <c r="F368" s="30">
        <v>0</v>
      </c>
      <c r="G368" s="83"/>
      <c r="H368" s="13"/>
      <c r="I368" s="30"/>
      <c r="J368" s="41"/>
      <c r="K368" s="13"/>
      <c r="L368" s="33">
        <v>0</v>
      </c>
      <c r="M368" s="41"/>
      <c r="N368" s="59"/>
      <c r="O368" s="41"/>
      <c r="P368" s="13"/>
      <c r="Q368" s="33">
        <v>0</v>
      </c>
      <c r="R368" s="41"/>
      <c r="S368" s="85">
        <f t="shared" si="88"/>
        <v>0</v>
      </c>
      <c r="T368" s="10"/>
      <c r="U368" s="10"/>
      <c r="V368" s="13"/>
      <c r="W368" s="10"/>
      <c r="X368" s="10"/>
      <c r="Y368" s="10"/>
      <c r="Z368" s="10"/>
      <c r="AA368" s="10"/>
      <c r="AB368" s="10"/>
      <c r="AC368" s="10"/>
      <c r="AD368" s="10"/>
      <c r="AE368" s="10"/>
      <c r="AF368" s="10"/>
      <c r="AG368" s="10"/>
      <c r="AH368" s="10"/>
      <c r="AI368" s="10"/>
      <c r="AJ368" s="10"/>
      <c r="AK368" s="10"/>
      <c r="AL368" s="10"/>
      <c r="AM368" s="10"/>
      <c r="AN368" s="10"/>
    </row>
    <row r="369" spans="1:40" ht="20.25" hidden="1">
      <c r="A369" t="str">
        <f t="shared" si="86"/>
        <v>Boutique[...]</v>
      </c>
      <c r="B369" s="11" t="s">
        <v>114</v>
      </c>
      <c r="C369" s="29" t="s">
        <v>19</v>
      </c>
      <c r="D369" s="81"/>
      <c r="E369" s="13"/>
      <c r="F369" s="30">
        <v>0</v>
      </c>
      <c r="G369" s="83"/>
      <c r="H369" s="13"/>
      <c r="I369" s="30"/>
      <c r="J369" s="41"/>
      <c r="K369" s="13"/>
      <c r="L369" s="33">
        <v>0</v>
      </c>
      <c r="M369" s="41"/>
      <c r="N369" s="59"/>
      <c r="O369" s="41"/>
      <c r="P369" s="13"/>
      <c r="Q369" s="33">
        <v>0</v>
      </c>
      <c r="R369" s="41"/>
      <c r="S369" s="85">
        <f t="shared" si="88"/>
        <v>0</v>
      </c>
      <c r="T369" s="10"/>
      <c r="U369" s="10"/>
      <c r="V369" s="13"/>
      <c r="W369" s="10"/>
      <c r="X369" s="10"/>
      <c r="Y369" s="10"/>
      <c r="Z369" s="10"/>
      <c r="AA369" s="10"/>
      <c r="AB369" s="10"/>
      <c r="AC369" s="10"/>
      <c r="AD369" s="10"/>
      <c r="AE369" s="10"/>
      <c r="AF369" s="10"/>
      <c r="AG369" s="10"/>
      <c r="AH369" s="10"/>
      <c r="AI369" s="10"/>
      <c r="AJ369" s="10"/>
      <c r="AK369" s="10"/>
      <c r="AL369" s="10"/>
      <c r="AM369" s="10"/>
      <c r="AN369" s="10"/>
    </row>
    <row r="370" spans="1:40" ht="20.25" hidden="1">
      <c r="A370" t="str">
        <f t="shared" si="86"/>
        <v>Boutique[...]</v>
      </c>
      <c r="B370" s="11" t="s">
        <v>114</v>
      </c>
      <c r="C370" s="29" t="s">
        <v>19</v>
      </c>
      <c r="D370" s="81"/>
      <c r="E370" s="13"/>
      <c r="F370" s="30">
        <v>0</v>
      </c>
      <c r="G370" s="83"/>
      <c r="H370" s="13"/>
      <c r="I370" s="30"/>
      <c r="J370" s="41"/>
      <c r="K370" s="13"/>
      <c r="L370" s="33">
        <v>0</v>
      </c>
      <c r="M370" s="41"/>
      <c r="N370" s="59"/>
      <c r="O370" s="41"/>
      <c r="P370" s="13"/>
      <c r="Q370" s="33">
        <v>0</v>
      </c>
      <c r="R370" s="41"/>
      <c r="S370" s="85">
        <f t="shared" si="88"/>
        <v>0</v>
      </c>
      <c r="T370" s="10"/>
      <c r="U370" s="10"/>
      <c r="V370" s="13"/>
      <c r="W370" s="10"/>
      <c r="X370" s="10"/>
      <c r="Y370" s="10"/>
      <c r="Z370" s="10"/>
      <c r="AA370" s="10"/>
      <c r="AB370" s="10"/>
      <c r="AC370" s="10"/>
      <c r="AD370" s="10"/>
      <c r="AE370" s="10"/>
      <c r="AF370" s="10"/>
      <c r="AG370" s="10"/>
      <c r="AH370" s="10"/>
      <c r="AI370" s="10"/>
      <c r="AJ370" s="10"/>
      <c r="AK370" s="10"/>
      <c r="AL370" s="10"/>
      <c r="AM370" s="10"/>
      <c r="AN370" s="10"/>
    </row>
    <row r="371" spans="1:40" ht="20.25" hidden="1">
      <c r="A371" t="str">
        <f t="shared" si="86"/>
        <v>Boutique[...]</v>
      </c>
      <c r="B371" s="11" t="s">
        <v>114</v>
      </c>
      <c r="C371" s="29" t="s">
        <v>19</v>
      </c>
      <c r="D371" s="81"/>
      <c r="E371" s="13"/>
      <c r="F371" s="30">
        <v>0</v>
      </c>
      <c r="G371" s="83"/>
      <c r="H371" s="13"/>
      <c r="I371" s="30"/>
      <c r="J371" s="41"/>
      <c r="K371" s="13"/>
      <c r="L371" s="33">
        <v>0</v>
      </c>
      <c r="M371" s="41"/>
      <c r="N371" s="59"/>
      <c r="O371" s="41"/>
      <c r="P371" s="13"/>
      <c r="Q371" s="33">
        <v>0</v>
      </c>
      <c r="R371" s="41"/>
      <c r="S371" s="85">
        <f t="shared" si="88"/>
        <v>0</v>
      </c>
      <c r="T371" s="10"/>
      <c r="U371" s="10"/>
      <c r="V371" s="13"/>
      <c r="W371" s="10"/>
      <c r="X371" s="10"/>
      <c r="Y371" s="10"/>
      <c r="Z371" s="10"/>
      <c r="AA371" s="10"/>
      <c r="AB371" s="10"/>
      <c r="AC371" s="10"/>
      <c r="AD371" s="10"/>
      <c r="AE371" s="10"/>
      <c r="AF371" s="10"/>
      <c r="AG371" s="10"/>
      <c r="AH371" s="10"/>
      <c r="AI371" s="10"/>
      <c r="AJ371" s="10"/>
      <c r="AK371" s="10"/>
      <c r="AL371" s="10"/>
      <c r="AM371" s="10"/>
      <c r="AN371" s="10"/>
    </row>
    <row r="372" spans="1:40" ht="20.25" hidden="1">
      <c r="A372" t="str">
        <f t="shared" si="86"/>
        <v>BoutiqueSalaires en absences</v>
      </c>
      <c r="B372" s="11" t="s">
        <v>114</v>
      </c>
      <c r="C372" s="103" t="s">
        <v>44</v>
      </c>
      <c r="D372" s="81"/>
      <c r="E372" s="13"/>
      <c r="F372" s="22">
        <v>0</v>
      </c>
      <c r="G372" s="83"/>
      <c r="H372" s="13"/>
      <c r="I372" s="22"/>
      <c r="J372" s="41"/>
      <c r="K372" s="13"/>
      <c r="L372" s="22">
        <v>0</v>
      </c>
      <c r="M372" s="41"/>
      <c r="N372" s="59"/>
      <c r="O372" s="41"/>
      <c r="P372" s="13"/>
      <c r="Q372" s="22">
        <v>0</v>
      </c>
      <c r="R372" s="41"/>
      <c r="S372" s="85">
        <f t="shared" si="88"/>
        <v>0</v>
      </c>
      <c r="T372" s="10"/>
      <c r="U372" s="10"/>
      <c r="V372" s="13"/>
      <c r="W372" s="10"/>
      <c r="X372" s="10"/>
      <c r="Y372" s="10"/>
      <c r="Z372" s="10"/>
      <c r="AA372" s="10"/>
      <c r="AB372" s="10"/>
      <c r="AC372" s="10"/>
      <c r="AD372" s="10"/>
      <c r="AE372" s="10"/>
      <c r="AF372" s="10"/>
      <c r="AG372" s="10"/>
      <c r="AH372" s="10"/>
      <c r="AI372" s="10"/>
      <c r="AJ372" s="10"/>
      <c r="AK372" s="10"/>
      <c r="AL372" s="10"/>
      <c r="AM372" s="10"/>
      <c r="AN372" s="10"/>
    </row>
    <row r="373" spans="1:40" ht="20.25" hidden="1">
      <c r="A373" t="str">
        <f t="shared" si="86"/>
        <v>BoutiqueDéduction à la source</v>
      </c>
      <c r="B373" s="11" t="s">
        <v>114</v>
      </c>
      <c r="C373" s="102" t="s">
        <v>45</v>
      </c>
      <c r="D373" s="104"/>
      <c r="E373" s="105"/>
      <c r="F373" s="30">
        <v>0</v>
      </c>
      <c r="G373" s="106"/>
      <c r="H373" s="105"/>
      <c r="I373" s="30"/>
      <c r="J373" s="107"/>
      <c r="K373" s="105"/>
      <c r="L373" s="33">
        <v>0</v>
      </c>
      <c r="M373" s="107"/>
      <c r="N373" s="109"/>
      <c r="O373" s="107"/>
      <c r="P373" s="105"/>
      <c r="Q373" s="33">
        <v>0</v>
      </c>
      <c r="R373" s="107"/>
      <c r="S373" s="110">
        <f t="shared" si="88"/>
        <v>0</v>
      </c>
      <c r="T373" s="10"/>
      <c r="U373" s="10"/>
      <c r="V373" s="13"/>
      <c r="W373" s="10"/>
      <c r="X373" s="10"/>
      <c r="Y373" s="10"/>
      <c r="Z373" s="10"/>
      <c r="AA373" s="10"/>
      <c r="AB373" s="10"/>
      <c r="AC373" s="10"/>
      <c r="AD373" s="10"/>
      <c r="AE373" s="10"/>
      <c r="AF373" s="10"/>
      <c r="AG373" s="10"/>
      <c r="AH373" s="10"/>
      <c r="AI373" s="10"/>
      <c r="AJ373" s="10"/>
      <c r="AK373" s="10"/>
      <c r="AL373" s="10"/>
      <c r="AM373" s="10"/>
      <c r="AN373" s="10"/>
    </row>
    <row r="374" spans="1:40" ht="20.25" hidden="1">
      <c r="A374" t="str">
        <f t="shared" si="86"/>
        <v>BoutiqueBénéfices marginaux</v>
      </c>
      <c r="B374" s="11" t="s">
        <v>114</v>
      </c>
      <c r="C374" s="102" t="s">
        <v>46</v>
      </c>
      <c r="D374" s="81"/>
      <c r="E374" s="13"/>
      <c r="F374" s="30">
        <v>0</v>
      </c>
      <c r="G374" s="83"/>
      <c r="H374" s="13"/>
      <c r="I374" s="30"/>
      <c r="J374" s="41"/>
      <c r="K374" s="13"/>
      <c r="L374" s="33">
        <v>0</v>
      </c>
      <c r="M374" s="41"/>
      <c r="N374" s="59"/>
      <c r="O374" s="41"/>
      <c r="P374" s="13"/>
      <c r="Q374" s="33">
        <v>0</v>
      </c>
      <c r="R374" s="41"/>
      <c r="S374" s="85">
        <f t="shared" si="88"/>
        <v>0</v>
      </c>
      <c r="T374" s="10"/>
      <c r="U374" s="10"/>
      <c r="V374" s="13"/>
      <c r="W374" s="10"/>
      <c r="X374" s="10"/>
      <c r="Y374" s="10"/>
      <c r="Z374" s="10"/>
      <c r="AA374" s="10"/>
      <c r="AB374" s="10"/>
      <c r="AC374" s="10"/>
      <c r="AD374" s="10"/>
      <c r="AE374" s="10"/>
      <c r="AF374" s="10"/>
      <c r="AG374" s="10"/>
      <c r="AH374" s="10"/>
      <c r="AI374" s="10"/>
      <c r="AJ374" s="10"/>
      <c r="AK374" s="10"/>
      <c r="AL374" s="10"/>
      <c r="AM374" s="10"/>
      <c r="AN374" s="10"/>
    </row>
    <row r="375" spans="1:40" ht="20.25" hidden="1">
      <c r="A375" t="str">
        <f t="shared" si="86"/>
        <v>BoutiqueCsst</v>
      </c>
      <c r="B375" s="11" t="s">
        <v>114</v>
      </c>
      <c r="C375" s="102" t="s">
        <v>47</v>
      </c>
      <c r="D375" s="81"/>
      <c r="E375" s="13"/>
      <c r="F375" s="30">
        <v>0</v>
      </c>
      <c r="G375" s="83"/>
      <c r="H375" s="13"/>
      <c r="I375" s="30"/>
      <c r="J375" s="41"/>
      <c r="K375" s="13"/>
      <c r="L375" s="33">
        <v>0</v>
      </c>
      <c r="M375" s="41"/>
      <c r="N375" s="59"/>
      <c r="O375" s="41"/>
      <c r="P375" s="13"/>
      <c r="Q375" s="33">
        <v>0</v>
      </c>
      <c r="R375" s="41"/>
      <c r="S375" s="85">
        <f t="shared" si="88"/>
        <v>0</v>
      </c>
      <c r="T375" s="10"/>
      <c r="U375" s="10"/>
      <c r="V375" s="13"/>
      <c r="W375" s="10"/>
      <c r="X375" s="10"/>
      <c r="Y375" s="10"/>
      <c r="Z375" s="10"/>
      <c r="AA375" s="10"/>
      <c r="AB375" s="10"/>
      <c r="AC375" s="10"/>
      <c r="AD375" s="10"/>
      <c r="AE375" s="10"/>
      <c r="AF375" s="10"/>
      <c r="AG375" s="10"/>
      <c r="AH375" s="10"/>
      <c r="AI375" s="10"/>
      <c r="AJ375" s="10"/>
      <c r="AK375" s="10"/>
      <c r="AL375" s="10"/>
      <c r="AM375" s="10"/>
      <c r="AN375" s="10"/>
    </row>
    <row r="376" spans="1:40" ht="20.25" hidden="1">
      <c r="A376" t="str">
        <f t="shared" si="86"/>
        <v>Boutique[...]</v>
      </c>
      <c r="B376" s="11" t="s">
        <v>114</v>
      </c>
      <c r="C376" s="29" t="s">
        <v>19</v>
      </c>
      <c r="D376" s="87"/>
      <c r="E376" s="111"/>
      <c r="F376" s="30">
        <v>0</v>
      </c>
      <c r="G376" s="89"/>
      <c r="H376" s="111"/>
      <c r="I376" s="30"/>
      <c r="J376" s="23"/>
      <c r="K376" s="111"/>
      <c r="L376" s="33">
        <v>0</v>
      </c>
      <c r="M376" s="23"/>
      <c r="N376" s="91"/>
      <c r="O376" s="23"/>
      <c r="P376" s="111"/>
      <c r="Q376" s="33">
        <v>0</v>
      </c>
      <c r="R376" s="23"/>
      <c r="S376" s="92">
        <f t="shared" si="88"/>
        <v>0</v>
      </c>
      <c r="T376" s="10"/>
      <c r="U376" s="10"/>
      <c r="V376" s="13"/>
      <c r="W376" s="10"/>
      <c r="X376" s="10"/>
      <c r="Y376" s="10"/>
      <c r="Z376" s="10"/>
      <c r="AA376" s="10"/>
      <c r="AB376" s="10"/>
      <c r="AC376" s="10"/>
      <c r="AD376" s="10"/>
      <c r="AE376" s="10"/>
      <c r="AF376" s="10"/>
      <c r="AG376" s="10"/>
      <c r="AH376" s="10"/>
      <c r="AI376" s="10"/>
      <c r="AJ376" s="10"/>
      <c r="AK376" s="10"/>
      <c r="AL376" s="10"/>
      <c r="AM376" s="10"/>
      <c r="AN376" s="10"/>
    </row>
    <row r="377" spans="1:40" ht="20.25" hidden="1">
      <c r="A377" t="str">
        <f t="shared" si="86"/>
        <v>BoutiqueTOTAL PERSONNEL</v>
      </c>
      <c r="B377" s="11" t="s">
        <v>114</v>
      </c>
      <c r="C377" s="93" t="s">
        <v>48</v>
      </c>
      <c r="D377" s="94" t="s">
        <v>38</v>
      </c>
      <c r="E377" s="95">
        <f>IFERROR(F377/F$360,0)</f>
        <v>0</v>
      </c>
      <c r="F377" s="96">
        <f>+SUM(F365:F376)</f>
        <v>0</v>
      </c>
      <c r="G377" s="97"/>
      <c r="H377" s="95"/>
      <c r="I377" s="96"/>
      <c r="J377" s="97" t="s">
        <v>38</v>
      </c>
      <c r="K377" s="95">
        <f>IFERROR(L377/L$360,0)</f>
        <v>0</v>
      </c>
      <c r="L377" s="96">
        <f>+SUM(L365:L376)</f>
        <v>0</v>
      </c>
      <c r="M377" s="147"/>
      <c r="N377" s="113"/>
      <c r="O377" s="97" t="s">
        <v>38</v>
      </c>
      <c r="P377" s="95">
        <f>IFERROR(Q377/Q$360,0)</f>
        <v>0</v>
      </c>
      <c r="Q377" s="96">
        <f>+SUM(Q365:Q376)</f>
        <v>0</v>
      </c>
      <c r="R377" s="147"/>
      <c r="S377" s="114">
        <f t="shared" si="88"/>
        <v>0</v>
      </c>
      <c r="T377" s="10"/>
      <c r="U377" s="10"/>
      <c r="V377" s="13"/>
      <c r="W377" s="10"/>
      <c r="X377" s="10"/>
      <c r="Y377" s="10"/>
      <c r="Z377" s="10"/>
      <c r="AA377" s="10"/>
      <c r="AB377" s="10"/>
      <c r="AC377" s="10"/>
      <c r="AD377" s="10"/>
      <c r="AE377" s="10"/>
      <c r="AF377" s="10"/>
      <c r="AG377" s="10"/>
      <c r="AH377" s="10"/>
      <c r="AI377" s="10"/>
      <c r="AJ377" s="10"/>
      <c r="AK377" s="10"/>
      <c r="AL377" s="10"/>
      <c r="AM377" s="10"/>
      <c r="AN377" s="10"/>
    </row>
    <row r="378" spans="1:40" ht="20.25" hidden="1">
      <c r="A378" t="str">
        <f t="shared" si="86"/>
        <v>BoutiquePublicité 2</v>
      </c>
      <c r="B378" s="11" t="s">
        <v>114</v>
      </c>
      <c r="C378" s="211" t="s">
        <v>49</v>
      </c>
      <c r="D378" s="81"/>
      <c r="E378" s="13"/>
      <c r="F378" s="30">
        <v>0</v>
      </c>
      <c r="G378" s="83"/>
      <c r="H378" s="13"/>
      <c r="I378" s="30"/>
      <c r="J378" s="41"/>
      <c r="K378" s="13"/>
      <c r="L378" s="33">
        <v>0</v>
      </c>
      <c r="M378" s="41"/>
      <c r="N378" s="59"/>
      <c r="O378" s="41"/>
      <c r="P378" s="13"/>
      <c r="Q378" s="33">
        <v>0</v>
      </c>
      <c r="R378" s="41"/>
      <c r="S378" s="85">
        <f t="shared" si="88"/>
        <v>0</v>
      </c>
      <c r="T378" s="10"/>
      <c r="U378" s="10"/>
      <c r="V378" s="13"/>
      <c r="W378" s="10"/>
      <c r="X378" s="10"/>
      <c r="Y378" s="10"/>
      <c r="Z378" s="10"/>
      <c r="AA378" s="10"/>
      <c r="AB378" s="10"/>
      <c r="AC378" s="10"/>
      <c r="AD378" s="10"/>
      <c r="AE378" s="10"/>
      <c r="AF378" s="10"/>
      <c r="AG378" s="10"/>
      <c r="AH378" s="10"/>
      <c r="AI378" s="10"/>
      <c r="AJ378" s="10"/>
      <c r="AK378" s="10"/>
      <c r="AL378" s="10"/>
      <c r="AM378" s="10"/>
      <c r="AN378" s="10"/>
    </row>
    <row r="379" spans="1:40" ht="20.25" hidden="1">
      <c r="A379" t="str">
        <f t="shared" si="86"/>
        <v>BoutiqueService gratuit 2</v>
      </c>
      <c r="B379" s="11" t="s">
        <v>114</v>
      </c>
      <c r="C379" s="102" t="s">
        <v>50</v>
      </c>
      <c r="D379" s="81"/>
      <c r="E379" s="13"/>
      <c r="F379" s="30">
        <v>0</v>
      </c>
      <c r="G379" s="83"/>
      <c r="H379" s="13"/>
      <c r="I379" s="30"/>
      <c r="J379" s="41"/>
      <c r="K379" s="13"/>
      <c r="L379" s="33">
        <v>0</v>
      </c>
      <c r="M379" s="41"/>
      <c r="N379" s="59"/>
      <c r="O379" s="41"/>
      <c r="P379" s="13"/>
      <c r="Q379" s="33">
        <v>0</v>
      </c>
      <c r="R379" s="41"/>
      <c r="S379" s="85">
        <f t="shared" si="88"/>
        <v>0</v>
      </c>
      <c r="T379" s="10"/>
      <c r="U379" s="10"/>
      <c r="V379" s="13"/>
      <c r="W379" s="10"/>
      <c r="X379" s="10"/>
      <c r="Y379" s="10"/>
      <c r="Z379" s="10"/>
      <c r="AA379" s="10"/>
      <c r="AB379" s="10"/>
      <c r="AC379" s="10"/>
      <c r="AD379" s="10"/>
      <c r="AE379" s="10"/>
      <c r="AF379" s="10"/>
      <c r="AG379" s="10"/>
      <c r="AH379" s="10"/>
      <c r="AI379" s="10"/>
      <c r="AJ379" s="10"/>
      <c r="AK379" s="10"/>
      <c r="AL379" s="10"/>
      <c r="AM379" s="10"/>
      <c r="AN379" s="10"/>
    </row>
    <row r="380" spans="1:40" ht="20.25" hidden="1">
      <c r="A380" t="str">
        <f t="shared" si="86"/>
        <v>BoutiqueFrais véhicules de cie</v>
      </c>
      <c r="B380" s="11" t="s">
        <v>114</v>
      </c>
      <c r="C380" s="103" t="s">
        <v>51</v>
      </c>
      <c r="D380" s="87"/>
      <c r="E380" s="111"/>
      <c r="F380" s="22">
        <v>0</v>
      </c>
      <c r="G380" s="89"/>
      <c r="H380" s="111"/>
      <c r="I380" s="22"/>
      <c r="J380" s="23"/>
      <c r="K380" s="111"/>
      <c r="L380" s="22">
        <v>0</v>
      </c>
      <c r="M380" s="23"/>
      <c r="N380" s="91"/>
      <c r="O380" s="23"/>
      <c r="P380" s="111"/>
      <c r="Q380" s="22">
        <v>0</v>
      </c>
      <c r="R380" s="23"/>
      <c r="S380" s="92">
        <f t="shared" si="88"/>
        <v>0</v>
      </c>
      <c r="T380" s="10"/>
      <c r="U380" s="10"/>
      <c r="V380" s="13"/>
      <c r="W380" s="10"/>
      <c r="X380" s="10"/>
      <c r="Y380" s="10"/>
      <c r="Z380" s="10"/>
      <c r="AA380" s="10"/>
      <c r="AB380" s="10"/>
      <c r="AC380" s="10"/>
      <c r="AD380" s="10"/>
      <c r="AE380" s="10"/>
      <c r="AF380" s="10"/>
      <c r="AG380" s="10"/>
      <c r="AH380" s="10"/>
      <c r="AI380" s="10"/>
      <c r="AJ380" s="10"/>
      <c r="AK380" s="10"/>
      <c r="AL380" s="10"/>
      <c r="AM380" s="10"/>
      <c r="AN380" s="10"/>
    </row>
    <row r="381" spans="1:40" ht="20.25" hidden="1">
      <c r="A381" t="str">
        <f t="shared" si="86"/>
        <v>BoutiqueInformatique</v>
      </c>
      <c r="B381" s="11" t="s">
        <v>114</v>
      </c>
      <c r="C381" s="102" t="s">
        <v>52</v>
      </c>
      <c r="D381" s="81"/>
      <c r="E381" s="13"/>
      <c r="F381" s="30">
        <v>0</v>
      </c>
      <c r="G381" s="83"/>
      <c r="H381" s="13"/>
      <c r="I381" s="30"/>
      <c r="J381" s="41"/>
      <c r="K381" s="13"/>
      <c r="L381" s="33">
        <v>0</v>
      </c>
      <c r="M381" s="41"/>
      <c r="N381" s="59"/>
      <c r="O381" s="41"/>
      <c r="P381" s="13"/>
      <c r="Q381" s="33">
        <v>0</v>
      </c>
      <c r="R381" s="41"/>
      <c r="S381" s="85">
        <f t="shared" si="88"/>
        <v>0</v>
      </c>
      <c r="T381" s="10"/>
      <c r="U381" s="10"/>
      <c r="V381" s="13"/>
      <c r="W381" s="10"/>
      <c r="X381" s="10"/>
      <c r="Y381" s="10"/>
      <c r="Z381" s="10"/>
      <c r="AA381" s="10"/>
      <c r="AB381" s="10"/>
      <c r="AC381" s="10"/>
      <c r="AD381" s="10"/>
      <c r="AE381" s="10"/>
      <c r="AF381" s="10"/>
      <c r="AG381" s="10"/>
      <c r="AH381" s="10"/>
      <c r="AI381" s="10"/>
      <c r="AJ381" s="10"/>
      <c r="AK381" s="10"/>
      <c r="AL381" s="10"/>
      <c r="AM381" s="10"/>
      <c r="AN381" s="10"/>
    </row>
    <row r="382" spans="1:40" ht="20.25" hidden="1">
      <c r="A382" t="str">
        <f t="shared" si="86"/>
        <v>BoutiqueFrais de déplacement</v>
      </c>
      <c r="B382" s="11" t="s">
        <v>114</v>
      </c>
      <c r="C382" s="102" t="s">
        <v>53</v>
      </c>
      <c r="D382" s="81"/>
      <c r="E382" s="13"/>
      <c r="F382" s="30">
        <v>0</v>
      </c>
      <c r="G382" s="83"/>
      <c r="H382" s="13"/>
      <c r="I382" s="30"/>
      <c r="J382" s="41"/>
      <c r="K382" s="13"/>
      <c r="L382" s="33">
        <v>0</v>
      </c>
      <c r="M382" s="41"/>
      <c r="N382" s="59"/>
      <c r="O382" s="41"/>
      <c r="P382" s="13"/>
      <c r="Q382" s="33">
        <v>0</v>
      </c>
      <c r="R382" s="41"/>
      <c r="S382" s="85">
        <f t="shared" si="88"/>
        <v>0</v>
      </c>
      <c r="T382" s="10"/>
      <c r="U382" s="10"/>
      <c r="V382" s="13"/>
      <c r="W382" s="10"/>
      <c r="X382" s="10"/>
      <c r="Y382" s="10"/>
      <c r="Z382" s="10"/>
      <c r="AA382" s="10"/>
      <c r="AB382" s="10"/>
      <c r="AC382" s="10"/>
      <c r="AD382" s="10"/>
      <c r="AE382" s="10"/>
      <c r="AF382" s="10"/>
      <c r="AG382" s="10"/>
      <c r="AH382" s="10"/>
      <c r="AI382" s="10"/>
      <c r="AJ382" s="10"/>
      <c r="AK382" s="10"/>
      <c r="AL382" s="10"/>
      <c r="AM382" s="10"/>
      <c r="AN382" s="10"/>
    </row>
    <row r="383" spans="1:40" ht="20.25" hidden="1">
      <c r="A383" t="str">
        <f t="shared" si="86"/>
        <v>BoutiqueServices extérieurs</v>
      </c>
      <c r="B383" s="11" t="s">
        <v>114</v>
      </c>
      <c r="C383" s="102" t="s">
        <v>54</v>
      </c>
      <c r="D383" s="87"/>
      <c r="E383" s="111"/>
      <c r="F383" s="22">
        <v>0</v>
      </c>
      <c r="G383" s="89"/>
      <c r="H383" s="111"/>
      <c r="I383" s="22"/>
      <c r="J383" s="23"/>
      <c r="K383" s="111"/>
      <c r="L383" s="22">
        <v>0</v>
      </c>
      <c r="M383" s="23"/>
      <c r="N383" s="91"/>
      <c r="O383" s="23"/>
      <c r="P383" s="111"/>
      <c r="Q383" s="22">
        <v>0</v>
      </c>
      <c r="R383" s="23"/>
      <c r="S383" s="92">
        <f t="shared" si="88"/>
        <v>0</v>
      </c>
      <c r="T383" s="10"/>
      <c r="U383" s="10"/>
      <c r="V383" s="13"/>
      <c r="W383" s="10"/>
      <c r="X383" s="10"/>
      <c r="Y383" s="10"/>
      <c r="Z383" s="10"/>
      <c r="AA383" s="10"/>
      <c r="AB383" s="10"/>
      <c r="AC383" s="10"/>
      <c r="AD383" s="10"/>
      <c r="AE383" s="10"/>
      <c r="AF383" s="10"/>
      <c r="AG383" s="10"/>
      <c r="AH383" s="10"/>
      <c r="AI383" s="10"/>
      <c r="AJ383" s="10"/>
      <c r="AK383" s="10"/>
      <c r="AL383" s="10"/>
      <c r="AM383" s="10"/>
      <c r="AN383" s="10"/>
    </row>
    <row r="384" spans="1:40" ht="20.25" hidden="1">
      <c r="A384" t="str">
        <f t="shared" si="86"/>
        <v>BoutiqueFournitures autres</v>
      </c>
      <c r="B384" s="11" t="s">
        <v>114</v>
      </c>
      <c r="C384" s="211" t="s">
        <v>55</v>
      </c>
      <c r="D384" s="81"/>
      <c r="E384" s="13"/>
      <c r="F384" s="30">
        <v>0</v>
      </c>
      <c r="G384" s="83"/>
      <c r="H384" s="13"/>
      <c r="I384" s="30"/>
      <c r="J384" s="41"/>
      <c r="K384" s="13"/>
      <c r="L384" s="33">
        <v>0</v>
      </c>
      <c r="M384" s="41"/>
      <c r="N384" s="59"/>
      <c r="O384" s="41"/>
      <c r="P384" s="13"/>
      <c r="Q384" s="33">
        <v>0</v>
      </c>
      <c r="R384" s="41"/>
      <c r="S384" s="85">
        <f t="shared" si="88"/>
        <v>0</v>
      </c>
      <c r="T384" s="10"/>
      <c r="U384" s="10"/>
      <c r="V384" s="13"/>
      <c r="W384" s="10"/>
      <c r="X384" s="10"/>
      <c r="Y384" s="10"/>
      <c r="Z384" s="10"/>
      <c r="AA384" s="10"/>
      <c r="AB384" s="10"/>
      <c r="AC384" s="10"/>
      <c r="AD384" s="10"/>
      <c r="AE384" s="10"/>
      <c r="AF384" s="10"/>
      <c r="AG384" s="10"/>
      <c r="AH384" s="10"/>
      <c r="AI384" s="10"/>
      <c r="AJ384" s="10"/>
      <c r="AK384" s="10"/>
      <c r="AL384" s="10"/>
      <c r="AM384" s="10"/>
      <c r="AN384" s="10"/>
    </row>
    <row r="385" spans="1:40" ht="20.25" hidden="1">
      <c r="A385" t="str">
        <f t="shared" si="86"/>
        <v>BoutiqueUniformes</v>
      </c>
      <c r="B385" s="11" t="s">
        <v>114</v>
      </c>
      <c r="C385" s="102" t="s">
        <v>56</v>
      </c>
      <c r="D385" s="81"/>
      <c r="E385" s="13"/>
      <c r="F385" s="30">
        <v>0</v>
      </c>
      <c r="G385" s="83"/>
      <c r="H385" s="13"/>
      <c r="I385" s="30"/>
      <c r="J385" s="41"/>
      <c r="K385" s="13"/>
      <c r="L385" s="33">
        <v>0</v>
      </c>
      <c r="M385" s="41"/>
      <c r="N385" s="59"/>
      <c r="O385" s="41"/>
      <c r="P385" s="13"/>
      <c r="Q385" s="33">
        <v>0</v>
      </c>
      <c r="R385" s="41"/>
      <c r="S385" s="85">
        <f t="shared" si="88"/>
        <v>0</v>
      </c>
      <c r="T385" s="10"/>
      <c r="U385" s="10"/>
      <c r="V385" s="13"/>
      <c r="W385" s="10"/>
      <c r="X385" s="10"/>
      <c r="Y385" s="10"/>
      <c r="Z385" s="10"/>
      <c r="AA385" s="10"/>
      <c r="AB385" s="10"/>
      <c r="AC385" s="10"/>
      <c r="AD385" s="10"/>
      <c r="AE385" s="10"/>
      <c r="AF385" s="10"/>
      <c r="AG385" s="10"/>
      <c r="AH385" s="10"/>
      <c r="AI385" s="10"/>
      <c r="AJ385" s="10"/>
      <c r="AK385" s="10"/>
      <c r="AL385" s="10"/>
      <c r="AM385" s="10"/>
      <c r="AN385" s="10"/>
    </row>
    <row r="386" spans="1:40" ht="20.25" hidden="1">
      <c r="A386" t="str">
        <f t="shared" si="86"/>
        <v>BoutiquePapeterie</v>
      </c>
      <c r="B386" s="11" t="s">
        <v>114</v>
      </c>
      <c r="C386" s="102" t="s">
        <v>57</v>
      </c>
      <c r="D386" s="81"/>
      <c r="E386" s="13"/>
      <c r="F386" s="30">
        <v>0</v>
      </c>
      <c r="G386" s="83"/>
      <c r="H386" s="13"/>
      <c r="I386" s="30"/>
      <c r="J386" s="41"/>
      <c r="K386" s="13"/>
      <c r="L386" s="33">
        <v>0</v>
      </c>
      <c r="M386" s="41"/>
      <c r="N386" s="59"/>
      <c r="O386" s="41"/>
      <c r="P386" s="13"/>
      <c r="Q386" s="33">
        <v>0</v>
      </c>
      <c r="R386" s="41"/>
      <c r="S386" s="85">
        <f t="shared" si="88"/>
        <v>0</v>
      </c>
      <c r="T386" s="10"/>
      <c r="U386" s="10"/>
      <c r="V386" s="13"/>
      <c r="W386" s="10"/>
      <c r="X386" s="10"/>
      <c r="Y386" s="10"/>
      <c r="Z386" s="10"/>
      <c r="AA386" s="10"/>
      <c r="AB386" s="10"/>
      <c r="AC386" s="10"/>
      <c r="AD386" s="10"/>
      <c r="AE386" s="10"/>
      <c r="AF386" s="10"/>
      <c r="AG386" s="10"/>
      <c r="AH386" s="10"/>
      <c r="AI386" s="10"/>
      <c r="AJ386" s="10"/>
      <c r="AK386" s="10"/>
      <c r="AL386" s="10"/>
      <c r="AM386" s="10"/>
      <c r="AN386" s="10"/>
    </row>
    <row r="387" spans="1:40" ht="20.25" hidden="1">
      <c r="A387" t="str">
        <f t="shared" si="86"/>
        <v>BoutiqueTéléphone</v>
      </c>
      <c r="B387" s="11" t="s">
        <v>114</v>
      </c>
      <c r="C387" s="102" t="s">
        <v>58</v>
      </c>
      <c r="D387" s="81"/>
      <c r="E387" s="13"/>
      <c r="F387" s="30">
        <v>0</v>
      </c>
      <c r="G387" s="83"/>
      <c r="H387" s="13"/>
      <c r="I387" s="30"/>
      <c r="J387" s="41"/>
      <c r="K387" s="13"/>
      <c r="L387" s="33">
        <v>0</v>
      </c>
      <c r="M387" s="41"/>
      <c r="N387" s="59"/>
      <c r="O387" s="41"/>
      <c r="P387" s="13"/>
      <c r="Q387" s="33">
        <v>0</v>
      </c>
      <c r="R387" s="41"/>
      <c r="S387" s="85">
        <f t="shared" si="88"/>
        <v>0</v>
      </c>
      <c r="T387" s="10"/>
      <c r="U387" s="10"/>
      <c r="V387" s="13"/>
      <c r="W387" s="10"/>
      <c r="X387" s="10"/>
      <c r="Y387" s="10"/>
      <c r="Z387" s="10"/>
      <c r="AA387" s="10"/>
      <c r="AB387" s="10"/>
      <c r="AC387" s="10"/>
      <c r="AD387" s="10"/>
      <c r="AE387" s="10"/>
      <c r="AF387" s="10"/>
      <c r="AG387" s="10"/>
      <c r="AH387" s="10"/>
      <c r="AI387" s="10"/>
      <c r="AJ387" s="10"/>
      <c r="AK387" s="10"/>
      <c r="AL387" s="10"/>
      <c r="AM387" s="10"/>
      <c r="AN387" s="10"/>
    </row>
    <row r="388" spans="1:40" ht="20.25" hidden="1">
      <c r="A388" t="str">
        <f t="shared" si="86"/>
        <v>BoutiqueFrais postaux</v>
      </c>
      <c r="B388" s="11" t="s">
        <v>114</v>
      </c>
      <c r="C388" s="102" t="s">
        <v>59</v>
      </c>
      <c r="D388" s="81"/>
      <c r="E388" s="13"/>
      <c r="F388" s="30">
        <v>0</v>
      </c>
      <c r="G388" s="83"/>
      <c r="H388" s="13"/>
      <c r="I388" s="30"/>
      <c r="J388" s="41"/>
      <c r="K388" s="13"/>
      <c r="L388" s="33">
        <v>0</v>
      </c>
      <c r="M388" s="41"/>
      <c r="N388" s="59"/>
      <c r="O388" s="41"/>
      <c r="P388" s="13"/>
      <c r="Q388" s="33">
        <v>0</v>
      </c>
      <c r="R388" s="41"/>
      <c r="S388" s="85">
        <f t="shared" si="88"/>
        <v>0</v>
      </c>
      <c r="T388" s="10"/>
      <c r="U388" s="10"/>
      <c r="V388" s="13"/>
      <c r="W388" s="10"/>
      <c r="X388" s="10"/>
      <c r="Y388" s="10"/>
      <c r="Z388" s="10"/>
      <c r="AA388" s="10"/>
      <c r="AB388" s="10"/>
      <c r="AC388" s="10"/>
      <c r="AD388" s="10"/>
      <c r="AE388" s="10"/>
      <c r="AF388" s="10"/>
      <c r="AG388" s="10"/>
      <c r="AH388" s="10"/>
      <c r="AI388" s="10"/>
      <c r="AJ388" s="10"/>
      <c r="AK388" s="10"/>
      <c r="AL388" s="10"/>
      <c r="AM388" s="10"/>
      <c r="AN388" s="10"/>
    </row>
    <row r="389" spans="1:40" ht="20.25" hidden="1">
      <c r="A389" t="str">
        <f t="shared" si="86"/>
        <v>BoutiqueDivers</v>
      </c>
      <c r="B389" s="11" t="s">
        <v>114</v>
      </c>
      <c r="C389" s="102" t="s">
        <v>60</v>
      </c>
      <c r="D389" s="81"/>
      <c r="E389" s="13"/>
      <c r="F389" s="30">
        <v>0</v>
      </c>
      <c r="G389" s="83"/>
      <c r="H389" s="13"/>
      <c r="I389" s="30"/>
      <c r="J389" s="41"/>
      <c r="K389" s="13"/>
      <c r="L389" s="33">
        <v>0</v>
      </c>
      <c r="M389" s="41"/>
      <c r="N389" s="59"/>
      <c r="O389" s="41"/>
      <c r="P389" s="13"/>
      <c r="Q389" s="33">
        <v>0</v>
      </c>
      <c r="R389" s="41"/>
      <c r="S389" s="85">
        <f t="shared" si="88"/>
        <v>0</v>
      </c>
      <c r="T389" s="10"/>
      <c r="U389" s="10"/>
      <c r="V389" s="13"/>
      <c r="W389" s="10"/>
      <c r="X389" s="10"/>
      <c r="Y389" s="10"/>
      <c r="Z389" s="10"/>
      <c r="AA389" s="10"/>
      <c r="AB389" s="10"/>
      <c r="AC389" s="10"/>
      <c r="AD389" s="10"/>
      <c r="AE389" s="10"/>
      <c r="AF389" s="10"/>
      <c r="AG389" s="10"/>
      <c r="AH389" s="10"/>
      <c r="AI389" s="10"/>
      <c r="AJ389" s="10"/>
      <c r="AK389" s="10"/>
      <c r="AL389" s="10"/>
      <c r="AM389" s="10"/>
      <c r="AN389" s="10"/>
    </row>
    <row r="390" spans="1:40" ht="20.25" hidden="1">
      <c r="A390" t="str">
        <f t="shared" si="86"/>
        <v>BoutiqueFormation</v>
      </c>
      <c r="B390" s="11" t="s">
        <v>114</v>
      </c>
      <c r="C390" s="102" t="s">
        <v>61</v>
      </c>
      <c r="D390" s="81"/>
      <c r="E390" s="13"/>
      <c r="F390" s="30">
        <v>0</v>
      </c>
      <c r="G390" s="83"/>
      <c r="H390" s="13"/>
      <c r="I390" s="30"/>
      <c r="J390" s="41"/>
      <c r="K390" s="13"/>
      <c r="L390" s="33">
        <v>0</v>
      </c>
      <c r="M390" s="41"/>
      <c r="N390" s="59"/>
      <c r="O390" s="41"/>
      <c r="P390" s="13"/>
      <c r="Q390" s="33">
        <v>0</v>
      </c>
      <c r="R390" s="41"/>
      <c r="S390" s="85">
        <f t="shared" si="88"/>
        <v>0</v>
      </c>
      <c r="T390" s="10"/>
      <c r="U390" s="10"/>
      <c r="V390" s="13"/>
      <c r="W390" s="10"/>
      <c r="X390" s="10"/>
      <c r="Y390" s="10"/>
      <c r="Z390" s="10"/>
      <c r="AA390" s="10"/>
      <c r="AB390" s="10"/>
      <c r="AC390" s="10"/>
      <c r="AD390" s="10"/>
      <c r="AE390" s="10"/>
      <c r="AF390" s="10"/>
      <c r="AG390" s="10"/>
      <c r="AH390" s="10"/>
      <c r="AI390" s="10"/>
      <c r="AJ390" s="10"/>
      <c r="AK390" s="10"/>
      <c r="AL390" s="10"/>
      <c r="AM390" s="10"/>
      <c r="AN390" s="10"/>
    </row>
    <row r="391" spans="1:40" ht="20.25" hidden="1">
      <c r="A391" t="str">
        <f t="shared" si="86"/>
        <v>BoutiqueFrais bancaires</v>
      </c>
      <c r="B391" s="11" t="s">
        <v>114</v>
      </c>
      <c r="C391" s="102" t="s">
        <v>62</v>
      </c>
      <c r="D391" s="81"/>
      <c r="E391" s="13"/>
      <c r="F391" s="30">
        <v>0</v>
      </c>
      <c r="G391" s="83"/>
      <c r="H391" s="13"/>
      <c r="I391" s="30"/>
      <c r="J391" s="41"/>
      <c r="K391" s="13"/>
      <c r="L391" s="33">
        <v>0</v>
      </c>
      <c r="M391" s="41"/>
      <c r="N391" s="59"/>
      <c r="O391" s="41"/>
      <c r="P391" s="13"/>
      <c r="Q391" s="33">
        <v>0</v>
      </c>
      <c r="R391" s="41"/>
      <c r="S391" s="85">
        <f t="shared" si="88"/>
        <v>0</v>
      </c>
      <c r="T391" s="10"/>
      <c r="U391" s="10"/>
      <c r="V391" s="13"/>
      <c r="W391" s="10"/>
      <c r="X391" s="10"/>
      <c r="Y391" s="10"/>
      <c r="Z391" s="10"/>
      <c r="AA391" s="10"/>
      <c r="AB391" s="10"/>
      <c r="AC391" s="10"/>
      <c r="AD391" s="10"/>
      <c r="AE391" s="10"/>
      <c r="AF391" s="10"/>
      <c r="AG391" s="10"/>
      <c r="AH391" s="10"/>
      <c r="AI391" s="10"/>
      <c r="AJ391" s="10"/>
      <c r="AK391" s="10"/>
      <c r="AL391" s="10"/>
      <c r="AM391" s="10"/>
      <c r="AN391" s="10"/>
    </row>
    <row r="392" spans="1:40" ht="20.25" hidden="1">
      <c r="A392" t="str">
        <f t="shared" si="86"/>
        <v>Boutique[...]</v>
      </c>
      <c r="B392" s="11" t="s">
        <v>114</v>
      </c>
      <c r="C392" s="102" t="s">
        <v>19</v>
      </c>
      <c r="D392" s="81"/>
      <c r="E392" s="13"/>
      <c r="F392" s="30">
        <v>0</v>
      </c>
      <c r="G392" s="83"/>
      <c r="H392" s="13"/>
      <c r="I392" s="30"/>
      <c r="J392" s="41"/>
      <c r="K392" s="13"/>
      <c r="L392" s="33">
        <v>0</v>
      </c>
      <c r="M392" s="41"/>
      <c r="N392" s="59"/>
      <c r="O392" s="41"/>
      <c r="P392" s="13"/>
      <c r="Q392" s="33">
        <v>0</v>
      </c>
      <c r="R392" s="41"/>
      <c r="S392" s="85">
        <f t="shared" si="88"/>
        <v>0</v>
      </c>
      <c r="T392" s="10"/>
      <c r="U392" s="10"/>
      <c r="V392" s="13"/>
      <c r="W392" s="10"/>
      <c r="X392" s="10"/>
      <c r="Y392" s="10"/>
      <c r="Z392" s="10"/>
      <c r="AA392" s="10"/>
      <c r="AB392" s="10"/>
      <c r="AC392" s="10"/>
      <c r="AD392" s="10"/>
      <c r="AE392" s="10"/>
      <c r="AF392" s="10"/>
      <c r="AG392" s="10"/>
      <c r="AH392" s="10"/>
      <c r="AI392" s="10"/>
      <c r="AJ392" s="10"/>
      <c r="AK392" s="10"/>
      <c r="AL392" s="10"/>
      <c r="AM392" s="10"/>
      <c r="AN392" s="10"/>
    </row>
    <row r="393" spans="1:40" ht="20.25" hidden="1">
      <c r="A393" t="str">
        <f t="shared" si="86"/>
        <v>Boutique[...]</v>
      </c>
      <c r="B393" s="11" t="s">
        <v>114</v>
      </c>
      <c r="C393" s="102" t="s">
        <v>19</v>
      </c>
      <c r="D393" s="81"/>
      <c r="E393" s="13"/>
      <c r="F393" s="30">
        <v>0</v>
      </c>
      <c r="G393" s="83"/>
      <c r="H393" s="13"/>
      <c r="I393" s="30"/>
      <c r="J393" s="41"/>
      <c r="K393" s="13"/>
      <c r="L393" s="33">
        <v>0</v>
      </c>
      <c r="M393" s="41"/>
      <c r="N393" s="59"/>
      <c r="O393" s="41"/>
      <c r="P393" s="13"/>
      <c r="Q393" s="33">
        <v>0</v>
      </c>
      <c r="R393" s="41"/>
      <c r="S393" s="85">
        <f t="shared" si="88"/>
        <v>0</v>
      </c>
      <c r="T393" s="10"/>
      <c r="U393" s="10"/>
      <c r="V393" s="13"/>
      <c r="W393" s="10"/>
      <c r="X393" s="10"/>
      <c r="Y393" s="10"/>
      <c r="Z393" s="10"/>
      <c r="AA393" s="10"/>
      <c r="AB393" s="10"/>
      <c r="AC393" s="10"/>
      <c r="AD393" s="10"/>
      <c r="AE393" s="10"/>
      <c r="AF393" s="10"/>
      <c r="AG393" s="10"/>
      <c r="AH393" s="10"/>
      <c r="AI393" s="10"/>
      <c r="AJ393" s="10"/>
      <c r="AK393" s="10"/>
      <c r="AL393" s="10"/>
      <c r="AM393" s="10"/>
      <c r="AN393" s="10"/>
    </row>
    <row r="394" spans="1:40" ht="20.25" hidden="1">
      <c r="A394" t="str">
        <f t="shared" si="86"/>
        <v>Boutique[...]</v>
      </c>
      <c r="B394" s="11" t="s">
        <v>114</v>
      </c>
      <c r="C394" s="102" t="s">
        <v>19</v>
      </c>
      <c r="D394" s="87"/>
      <c r="E394" s="111"/>
      <c r="F394" s="30">
        <v>0</v>
      </c>
      <c r="G394" s="89"/>
      <c r="H394" s="111"/>
      <c r="I394" s="30"/>
      <c r="J394" s="23"/>
      <c r="K394" s="111"/>
      <c r="L394" s="33">
        <v>0</v>
      </c>
      <c r="M394" s="23"/>
      <c r="N394" s="91"/>
      <c r="O394" s="23"/>
      <c r="P394" s="111"/>
      <c r="Q394" s="33">
        <v>0</v>
      </c>
      <c r="R394" s="23"/>
      <c r="S394" s="92">
        <f t="shared" si="88"/>
        <v>0</v>
      </c>
      <c r="T394" s="10"/>
      <c r="U394" s="10"/>
      <c r="V394" s="13"/>
      <c r="W394" s="10"/>
      <c r="X394" s="10"/>
      <c r="Y394" s="10"/>
      <c r="Z394" s="10"/>
      <c r="AA394" s="10"/>
      <c r="AB394" s="10"/>
      <c r="AC394" s="10"/>
      <c r="AD394" s="10"/>
      <c r="AE394" s="10"/>
      <c r="AF394" s="10"/>
      <c r="AG394" s="10"/>
      <c r="AH394" s="10"/>
      <c r="AI394" s="10"/>
      <c r="AJ394" s="10"/>
      <c r="AK394" s="10"/>
      <c r="AL394" s="10"/>
      <c r="AM394" s="10"/>
      <c r="AN394" s="10"/>
    </row>
    <row r="395" spans="1:40" ht="20.25" hidden="1">
      <c r="B395" s="7"/>
      <c r="C395" s="93" t="s">
        <v>63</v>
      </c>
      <c r="D395" s="94" t="s">
        <v>38</v>
      </c>
      <c r="E395" s="95">
        <f>IFERROR(F395/F$360,0)</f>
        <v>0</v>
      </c>
      <c r="F395" s="96">
        <f>+SUM(F378:F394)</f>
        <v>0</v>
      </c>
      <c r="G395" s="97"/>
      <c r="H395" s="95"/>
      <c r="I395" s="96"/>
      <c r="J395" s="97" t="s">
        <v>38</v>
      </c>
      <c r="K395" s="95">
        <f>IFERROR(L395/L$360,0)</f>
        <v>0</v>
      </c>
      <c r="L395" s="96">
        <f>+SUM(L378:L394)</f>
        <v>0</v>
      </c>
      <c r="M395" s="147"/>
      <c r="N395" s="96"/>
      <c r="O395" s="97" t="s">
        <v>38</v>
      </c>
      <c r="P395" s="95">
        <f>IFERROR(Q395/Q$360,0)</f>
        <v>0</v>
      </c>
      <c r="Q395" s="96">
        <f>+SUM(Q378:Q394)</f>
        <v>0</v>
      </c>
      <c r="R395" s="147"/>
      <c r="S395" s="114">
        <f>+SUM(S378:S394)</f>
        <v>0</v>
      </c>
      <c r="T395" s="10"/>
      <c r="U395" s="10"/>
      <c r="V395" s="13"/>
      <c r="W395" s="10"/>
      <c r="X395" s="10"/>
      <c r="Y395" s="10"/>
      <c r="Z395" s="10"/>
      <c r="AA395" s="10"/>
      <c r="AB395" s="10"/>
      <c r="AC395" s="10"/>
      <c r="AD395" s="10"/>
      <c r="AE395" s="10"/>
      <c r="AF395" s="10"/>
      <c r="AG395" s="10"/>
      <c r="AH395" s="10"/>
      <c r="AI395" s="10"/>
      <c r="AJ395" s="10"/>
      <c r="AK395" s="10"/>
      <c r="AL395" s="10"/>
      <c r="AM395" s="10"/>
      <c r="AN395" s="10"/>
    </row>
    <row r="396" spans="1:40" ht="20.25" hidden="1">
      <c r="B396" s="7"/>
      <c r="C396" s="29"/>
      <c r="D396" s="13"/>
      <c r="E396" s="13"/>
      <c r="F396" s="40"/>
      <c r="G396" s="41"/>
      <c r="H396" s="13"/>
      <c r="I396" s="40"/>
      <c r="J396" s="41"/>
      <c r="K396" s="13"/>
      <c r="L396" s="40"/>
      <c r="M396" s="78"/>
      <c r="N396" s="77"/>
      <c r="O396" s="41"/>
      <c r="P396" s="13"/>
      <c r="Q396" s="40"/>
      <c r="R396" s="41"/>
      <c r="S396" s="245"/>
      <c r="T396" s="246"/>
      <c r="U396" s="246"/>
      <c r="V396" s="13"/>
      <c r="W396" s="10"/>
      <c r="X396" s="10"/>
      <c r="Y396" s="10"/>
      <c r="Z396" s="10"/>
      <c r="AA396" s="10"/>
      <c r="AB396" s="10"/>
      <c r="AC396" s="10"/>
      <c r="AD396" s="10"/>
      <c r="AE396" s="10"/>
      <c r="AF396" s="10"/>
      <c r="AG396" s="10"/>
      <c r="AH396" s="10"/>
      <c r="AI396" s="10"/>
      <c r="AJ396" s="10"/>
      <c r="AK396" s="10"/>
      <c r="AL396" s="10"/>
      <c r="AM396" s="10"/>
      <c r="AN396" s="10"/>
    </row>
    <row r="397" spans="1:40" ht="20.25" hidden="1">
      <c r="B397" s="7"/>
      <c r="C397" s="93" t="s">
        <v>64</v>
      </c>
      <c r="D397" s="94" t="s">
        <v>38</v>
      </c>
      <c r="E397" s="95">
        <f>IFERROR(F397/F$360,0)</f>
        <v>0</v>
      </c>
      <c r="F397" s="96">
        <f>F377+F395</f>
        <v>0</v>
      </c>
      <c r="G397" s="97"/>
      <c r="H397" s="95"/>
      <c r="I397" s="96"/>
      <c r="J397" s="97" t="s">
        <v>38</v>
      </c>
      <c r="K397" s="95">
        <f>IFERROR(L397/L$360,0)</f>
        <v>0</v>
      </c>
      <c r="L397" s="96">
        <f>L377+L395</f>
        <v>0</v>
      </c>
      <c r="M397" s="247"/>
      <c r="N397" s="96"/>
      <c r="O397" s="97" t="s">
        <v>38</v>
      </c>
      <c r="P397" s="95">
        <f>IFERROR(Q397/Q$360,0)</f>
        <v>0</v>
      </c>
      <c r="Q397" s="96">
        <f>Q377+Q395</f>
        <v>0</v>
      </c>
      <c r="R397" s="100"/>
      <c r="S397" s="101">
        <f>L397-Q397</f>
        <v>0</v>
      </c>
      <c r="T397" s="246"/>
      <c r="U397" s="246"/>
      <c r="V397" s="13"/>
      <c r="W397" s="10"/>
      <c r="X397" s="10"/>
      <c r="Y397" s="10"/>
      <c r="Z397" s="10"/>
      <c r="AA397" s="10"/>
      <c r="AB397" s="10"/>
      <c r="AC397" s="10"/>
      <c r="AD397" s="10"/>
      <c r="AE397" s="10"/>
      <c r="AF397" s="10"/>
      <c r="AG397" s="10"/>
      <c r="AH397" s="10"/>
      <c r="AI397" s="10"/>
      <c r="AJ397" s="10"/>
      <c r="AK397" s="10"/>
      <c r="AL397" s="10"/>
      <c r="AM397" s="10"/>
      <c r="AN397" s="10"/>
    </row>
    <row r="398" spans="1:40" ht="20.25" hidden="1">
      <c r="B398" s="7"/>
      <c r="C398" s="29"/>
      <c r="D398" s="13"/>
      <c r="E398" s="13"/>
      <c r="F398" s="59"/>
      <c r="G398" s="41"/>
      <c r="H398" s="13"/>
      <c r="I398" s="59"/>
      <c r="J398" s="41"/>
      <c r="K398" s="13"/>
      <c r="L398" s="59"/>
      <c r="M398" s="78"/>
      <c r="N398" s="77"/>
      <c r="O398" s="41"/>
      <c r="P398" s="13"/>
      <c r="Q398" s="59"/>
      <c r="R398" s="41"/>
      <c r="S398" s="245"/>
      <c r="T398" s="10"/>
      <c r="U398" s="10"/>
      <c r="V398" s="13"/>
      <c r="W398" s="10"/>
      <c r="X398" s="10"/>
      <c r="Y398" s="10"/>
      <c r="Z398" s="10"/>
      <c r="AA398" s="10"/>
      <c r="AB398" s="10"/>
      <c r="AC398" s="10"/>
      <c r="AD398" s="10"/>
      <c r="AE398" s="10"/>
      <c r="AF398" s="10"/>
      <c r="AG398" s="10"/>
      <c r="AH398" s="10"/>
      <c r="AI398" s="10"/>
      <c r="AJ398" s="10"/>
      <c r="AK398" s="10"/>
      <c r="AL398" s="10"/>
      <c r="AM398" s="10"/>
      <c r="AN398" s="10"/>
    </row>
    <row r="399" spans="1:40" ht="21.75" hidden="1" thickTop="1" thickBot="1">
      <c r="B399" s="7"/>
      <c r="C399" s="248" t="s">
        <v>69</v>
      </c>
      <c r="D399" s="249"/>
      <c r="E399" s="249"/>
      <c r="F399" s="250">
        <f>F362-F397</f>
        <v>0</v>
      </c>
      <c r="G399" s="251"/>
      <c r="H399" s="249"/>
      <c r="I399" s="250"/>
      <c r="J399" s="252"/>
      <c r="K399" s="253"/>
      <c r="L399" s="250">
        <f>L362-L397</f>
        <v>0</v>
      </c>
      <c r="M399" s="251"/>
      <c r="N399" s="250"/>
      <c r="O399" s="252"/>
      <c r="P399" s="253"/>
      <c r="Q399" s="250">
        <f>Q362-Q397</f>
        <v>0</v>
      </c>
      <c r="R399" s="252"/>
      <c r="S399" s="254">
        <f>L399-Q399</f>
        <v>0</v>
      </c>
      <c r="T399" s="10"/>
      <c r="U399" s="10"/>
      <c r="V399" s="13"/>
      <c r="W399" s="10"/>
      <c r="X399" s="10"/>
      <c r="Y399" s="10"/>
      <c r="Z399" s="10"/>
      <c r="AA399" s="10"/>
      <c r="AB399" s="10"/>
      <c r="AC399" s="10"/>
      <c r="AD399" s="10"/>
      <c r="AE399" s="10"/>
      <c r="AF399" s="10"/>
      <c r="AG399" s="10"/>
      <c r="AH399" s="10"/>
      <c r="AI399" s="10"/>
      <c r="AJ399" s="10"/>
      <c r="AK399" s="10"/>
      <c r="AL399" s="10"/>
      <c r="AM399" s="10"/>
      <c r="AN399" s="10"/>
    </row>
    <row r="400" spans="1:40" ht="20.25" hidden="1">
      <c r="B400" s="7"/>
      <c r="C400" s="76"/>
      <c r="D400" s="81"/>
      <c r="E400" s="13"/>
      <c r="F400" s="112"/>
      <c r="G400" s="81"/>
      <c r="H400" s="13"/>
      <c r="I400" s="112"/>
      <c r="J400" s="76"/>
      <c r="K400" s="76"/>
      <c r="L400" s="112"/>
      <c r="M400" s="76"/>
      <c r="N400" s="112"/>
      <c r="O400" s="76"/>
      <c r="P400" s="76"/>
      <c r="Q400" s="112"/>
      <c r="R400" s="76"/>
      <c r="S400" s="112"/>
      <c r="T400" s="13"/>
      <c r="U400" s="13"/>
      <c r="V400" s="13"/>
      <c r="W400" s="13"/>
      <c r="X400" s="13"/>
      <c r="Y400" s="13"/>
      <c r="Z400" s="13"/>
      <c r="AA400" s="13"/>
      <c r="AB400" s="13"/>
      <c r="AC400" s="13"/>
      <c r="AD400" s="13"/>
      <c r="AE400" s="13"/>
      <c r="AF400" s="13"/>
      <c r="AG400" s="13"/>
      <c r="AH400" s="13"/>
      <c r="AI400" s="13"/>
      <c r="AJ400" s="13"/>
      <c r="AK400" s="13"/>
      <c r="AL400" s="13"/>
      <c r="AM400" s="13"/>
      <c r="AN400" s="13"/>
    </row>
    <row r="401" spans="1:61" ht="20.25">
      <c r="B401" s="7"/>
      <c r="C401" s="13"/>
      <c r="D401" s="13"/>
      <c r="E401" s="13"/>
      <c r="F401" s="82">
        <f>F353+F289+F233</f>
        <v>52731.219000878205</v>
      </c>
      <c r="G401" s="13"/>
      <c r="H401" s="13"/>
      <c r="I401" s="13"/>
      <c r="J401" s="13"/>
      <c r="K401" s="13"/>
      <c r="L401" s="82">
        <f>L353+L289+L233</f>
        <v>66417.679999999993</v>
      </c>
      <c r="M401" s="13"/>
      <c r="N401" s="13"/>
      <c r="O401" s="13"/>
      <c r="P401" s="13"/>
      <c r="Q401" s="13"/>
      <c r="R401" s="13"/>
      <c r="S401" s="13"/>
      <c r="T401" s="10"/>
      <c r="U401" s="10"/>
      <c r="V401" s="13"/>
      <c r="W401" s="10"/>
      <c r="X401" s="10"/>
      <c r="Y401" s="10"/>
      <c r="Z401" s="10"/>
      <c r="AA401" s="10"/>
      <c r="AB401" s="10"/>
      <c r="AC401" s="10"/>
      <c r="AD401" s="10"/>
      <c r="AE401" s="10"/>
      <c r="AF401" s="10"/>
      <c r="AG401" s="10"/>
      <c r="AH401" s="10"/>
      <c r="AI401" s="10"/>
      <c r="AJ401" s="10"/>
      <c r="AK401" s="10"/>
      <c r="AL401" s="10"/>
      <c r="AM401" s="10"/>
      <c r="AN401" s="10"/>
      <c r="AQ401" s="472"/>
      <c r="AU401" s="472"/>
      <c r="AV401" s="473"/>
    </row>
    <row r="402" spans="1:61" ht="35.25">
      <c r="B402" s="7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6" t="str">
        <f>C1</f>
        <v>BMW Sherbrooke</v>
      </c>
      <c r="W402" s="6"/>
      <c r="X402" s="6"/>
      <c r="Y402" s="6"/>
      <c r="Z402" s="1"/>
      <c r="AA402" s="1"/>
      <c r="AB402" s="6"/>
      <c r="AC402" s="6"/>
      <c r="AD402" s="1"/>
      <c r="AE402" s="3" t="s">
        <v>116</v>
      </c>
      <c r="AF402" s="6"/>
      <c r="AG402" s="6"/>
      <c r="AH402" s="1"/>
      <c r="AI402" s="1"/>
      <c r="AJ402" s="255"/>
      <c r="AK402" s="2"/>
      <c r="AL402" s="1"/>
      <c r="AM402" s="6"/>
      <c r="AN402" s="6"/>
      <c r="AO402" s="5" t="str">
        <f>$S$1</f>
        <v>Réalisé, Juillet 2024</v>
      </c>
      <c r="AP402" s="246"/>
      <c r="AQ402" s="472"/>
      <c r="AS402" s="473"/>
      <c r="AT402" s="474"/>
      <c r="AU402" s="472"/>
      <c r="AV402" s="473"/>
      <c r="AW402" s="473"/>
      <c r="AX402" s="473"/>
      <c r="AY402" s="246"/>
      <c r="AZ402" s="246"/>
      <c r="BA402" s="246"/>
      <c r="BB402" s="246"/>
      <c r="BC402" s="246"/>
      <c r="BD402" s="246"/>
      <c r="BE402" s="246"/>
      <c r="BF402" s="246"/>
      <c r="BG402" s="246"/>
      <c r="BH402" s="246"/>
      <c r="BI402" s="246"/>
    </row>
    <row r="403" spans="1:61" ht="18.75" thickBot="1">
      <c r="B403" s="7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256"/>
      <c r="W403" s="9"/>
      <c r="X403" s="9"/>
      <c r="Y403" s="9"/>
      <c r="Z403" s="9"/>
      <c r="AA403" s="9"/>
      <c r="AB403" s="9"/>
      <c r="AC403" s="9"/>
      <c r="AD403" s="9"/>
      <c r="AE403" s="9"/>
      <c r="AF403" s="9"/>
      <c r="AG403" s="9"/>
      <c r="AH403" s="9"/>
      <c r="AI403" s="9"/>
      <c r="AJ403" s="9"/>
      <c r="AK403" s="9"/>
      <c r="AL403" s="10"/>
      <c r="AM403" s="10"/>
      <c r="AN403" s="10"/>
      <c r="AO403" s="10"/>
      <c r="AP403" s="246"/>
      <c r="AQ403" s="475"/>
      <c r="AR403" s="246"/>
      <c r="AS403" s="473"/>
      <c r="AT403" s="476"/>
      <c r="AU403" s="475"/>
      <c r="AV403" s="477"/>
      <c r="AW403" s="477"/>
      <c r="AX403" s="477"/>
      <c r="AY403" s="246"/>
      <c r="AZ403" s="246"/>
      <c r="BA403" s="246"/>
      <c r="BB403" s="246"/>
      <c r="BC403" s="246"/>
      <c r="BD403" s="246"/>
      <c r="BE403" s="246"/>
      <c r="BF403" s="246"/>
      <c r="BG403" s="246"/>
      <c r="BH403" s="246"/>
      <c r="BI403" s="246"/>
    </row>
    <row r="404" spans="1:61" ht="21.75" thickTop="1" thickBot="1">
      <c r="A404" t="str">
        <f>+U404&amp;V404</f>
        <v/>
      </c>
      <c r="B404" s="7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257"/>
      <c r="W404" s="258"/>
      <c r="X404" s="504" t="s">
        <v>117</v>
      </c>
      <c r="Y404" s="501"/>
      <c r="Z404" s="505"/>
      <c r="AA404" s="500"/>
      <c r="AB404" s="501"/>
      <c r="AC404" s="505"/>
      <c r="AD404" s="500" t="s">
        <v>7</v>
      </c>
      <c r="AE404" s="501"/>
      <c r="AF404" s="505"/>
      <c r="AG404" s="500" t="s">
        <v>213</v>
      </c>
      <c r="AH404" s="501"/>
      <c r="AI404" s="505"/>
      <c r="AJ404" s="500" t="s">
        <v>118</v>
      </c>
      <c r="AK404" s="501"/>
      <c r="AL404" s="501"/>
      <c r="AM404" s="500" t="s">
        <v>119</v>
      </c>
      <c r="AN404" s="501"/>
      <c r="AO404" s="502"/>
      <c r="AP404" s="246"/>
      <c r="AQ404" s="475"/>
      <c r="AR404" s="246"/>
      <c r="AS404" s="477"/>
      <c r="AT404" s="476"/>
      <c r="AU404" s="475"/>
      <c r="AV404" s="477"/>
      <c r="AW404" s="477"/>
      <c r="AX404" s="477"/>
      <c r="AY404" s="246"/>
      <c r="AZ404" s="246"/>
      <c r="BA404" s="246"/>
      <c r="BB404" s="246"/>
      <c r="BC404" s="246"/>
      <c r="BD404" s="246"/>
      <c r="BE404" s="246"/>
      <c r="BF404" s="246"/>
      <c r="BG404" s="246"/>
      <c r="BH404" s="246"/>
      <c r="BI404" s="246"/>
    </row>
    <row r="405" spans="1:61" ht="20.25">
      <c r="A405" t="str">
        <f t="shared" ref="A405:A484" si="89">+U405&amp;V405</f>
        <v/>
      </c>
      <c r="B405" s="7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86"/>
      <c r="W405" s="259" t="s">
        <v>120</v>
      </c>
      <c r="X405" s="259" t="s">
        <v>121</v>
      </c>
      <c r="Y405" s="259" t="s">
        <v>122</v>
      </c>
      <c r="Z405" s="260" t="s">
        <v>123</v>
      </c>
      <c r="AA405" s="259"/>
      <c r="AB405" s="259"/>
      <c r="AC405" s="260"/>
      <c r="AD405" s="261" t="s">
        <v>121</v>
      </c>
      <c r="AE405" s="259" t="s">
        <v>122</v>
      </c>
      <c r="AF405" s="259" t="s">
        <v>123</v>
      </c>
      <c r="AG405" s="261" t="s">
        <v>124</v>
      </c>
      <c r="AH405" s="259" t="s">
        <v>125</v>
      </c>
      <c r="AI405" s="259" t="s">
        <v>126</v>
      </c>
      <c r="AJ405" s="261" t="s">
        <v>121</v>
      </c>
      <c r="AK405" s="259" t="s">
        <v>122</v>
      </c>
      <c r="AL405" s="259" t="s">
        <v>123</v>
      </c>
      <c r="AM405" s="262" t="s">
        <v>124</v>
      </c>
      <c r="AN405" s="259" t="s">
        <v>125</v>
      </c>
      <c r="AO405" s="139" t="s">
        <v>126</v>
      </c>
      <c r="AP405" s="246"/>
      <c r="AQ405" s="478"/>
      <c r="AR405" s="395"/>
      <c r="AS405" s="395"/>
      <c r="AT405" s="479"/>
      <c r="AU405" s="478"/>
      <c r="AV405" s="480"/>
      <c r="AW405" s="480"/>
      <c r="AX405" s="480"/>
      <c r="AY405" s="246"/>
      <c r="AZ405" s="246"/>
      <c r="BA405" s="246"/>
      <c r="BB405" s="246"/>
      <c r="BC405" s="246"/>
      <c r="BD405" s="246"/>
      <c r="BE405" s="246"/>
      <c r="BF405" s="246"/>
      <c r="BG405" s="246"/>
      <c r="BH405" s="246"/>
      <c r="BI405" s="246"/>
    </row>
    <row r="406" spans="1:61" ht="18">
      <c r="A406" t="str">
        <f t="shared" si="89"/>
        <v>Ventes nettes</v>
      </c>
      <c r="B406" s="7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246"/>
      <c r="U406" s="246"/>
      <c r="V406" s="103" t="s">
        <v>14</v>
      </c>
      <c r="W406" s="263"/>
      <c r="X406" s="263"/>
      <c r="Y406" s="263"/>
      <c r="Z406" s="264">
        <f>F5+F93+E194+E250+D314+D362</f>
        <v>3622582.3242033771</v>
      </c>
      <c r="AA406" s="263"/>
      <c r="AB406" s="263"/>
      <c r="AC406" s="264"/>
      <c r="AD406" s="265"/>
      <c r="AE406" s="266"/>
      <c r="AF406" s="266">
        <f>L5+L93+K194+K250+J314+J362</f>
        <v>3269704.2099999995</v>
      </c>
      <c r="AG406" s="265"/>
      <c r="AH406" s="266"/>
      <c r="AI406" s="267"/>
      <c r="AJ406" s="265"/>
      <c r="AK406" s="266"/>
      <c r="AL406" s="266">
        <f>Q5+Q93+P194+P250+O314+O362</f>
        <v>2555648.6199999894</v>
      </c>
      <c r="AM406" s="268"/>
      <c r="AN406" s="266"/>
      <c r="AO406" s="269"/>
      <c r="AP406" s="246"/>
      <c r="AQ406" s="246"/>
      <c r="AR406" s="246"/>
      <c r="AS406" s="246"/>
      <c r="AT406" s="246"/>
      <c r="AU406" s="246"/>
      <c r="AV406" s="477"/>
      <c r="AW406" s="246"/>
      <c r="AX406" s="246"/>
      <c r="AY406" s="246"/>
      <c r="AZ406" s="246"/>
      <c r="BA406" s="246"/>
      <c r="BB406" s="246"/>
      <c r="BC406" s="246"/>
      <c r="BD406" s="246"/>
      <c r="BE406" s="246"/>
      <c r="BF406" s="246"/>
      <c r="BG406" s="246"/>
      <c r="BH406" s="246"/>
      <c r="BI406" s="246"/>
    </row>
    <row r="407" spans="1:61" ht="18">
      <c r="A407" t="str">
        <f t="shared" si="89"/>
        <v>Profit brut</v>
      </c>
      <c r="B407" s="7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246"/>
      <c r="U407" s="246"/>
      <c r="V407" s="270" t="s">
        <v>127</v>
      </c>
      <c r="W407" s="271"/>
      <c r="X407" s="271"/>
      <c r="Y407" s="271"/>
      <c r="Z407" s="272">
        <f>F27+F108+F194+F250+F314+F362</f>
        <v>393848.46879570512</v>
      </c>
      <c r="AA407" s="271"/>
      <c r="AB407" s="271"/>
      <c r="AC407" s="272"/>
      <c r="AD407" s="273"/>
      <c r="AE407" s="274"/>
      <c r="AF407" s="274">
        <f>L27+L108+L194+L250+L314+L362</f>
        <v>353927.73999999987</v>
      </c>
      <c r="AG407" s="273"/>
      <c r="AH407" s="274">
        <f>AF407-Z407</f>
        <v>-39920.728795705247</v>
      </c>
      <c r="AI407" s="275">
        <f>AH407/Z407</f>
        <v>-0.10136062968017455</v>
      </c>
      <c r="AJ407" s="273">
        <f>+AL407/AL406</f>
        <v>0.14335770854132557</v>
      </c>
      <c r="AK407" s="274"/>
      <c r="AL407" s="274">
        <f>Q27+Q108+Q194+Q250+Q314+Q362</f>
        <v>366371.92999999935</v>
      </c>
      <c r="AM407" s="276"/>
      <c r="AN407" s="274">
        <f>AF407-AL407</f>
        <v>-12444.189999999478</v>
      </c>
      <c r="AO407" s="277">
        <f>IF(AL407=0,0,AN407/AL407)</f>
        <v>-3.3966002799394324E-2</v>
      </c>
      <c r="AP407" s="246"/>
      <c r="AQ407" s="246" t="s">
        <v>221</v>
      </c>
      <c r="AR407" s="310">
        <v>383060</v>
      </c>
      <c r="AS407" s="310">
        <f>AF407-AR407</f>
        <v>-29132.260000000126</v>
      </c>
      <c r="AT407" s="246"/>
      <c r="AU407" s="246"/>
      <c r="AV407" s="246"/>
      <c r="AW407" s="246"/>
      <c r="AX407" s="246"/>
      <c r="AY407" s="246"/>
      <c r="AZ407" s="246"/>
      <c r="BA407" s="246"/>
      <c r="BB407" s="246"/>
      <c r="BC407" s="246"/>
      <c r="BD407" s="246"/>
      <c r="BE407" s="246"/>
      <c r="BF407" s="246"/>
      <c r="BG407" s="246"/>
      <c r="BH407" s="246"/>
      <c r="BI407" s="246"/>
    </row>
    <row r="408" spans="1:61" ht="18">
      <c r="A408" t="str">
        <f t="shared" si="89"/>
        <v>DÉPENSES</v>
      </c>
      <c r="B408" s="7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246"/>
      <c r="U408" s="246"/>
      <c r="V408" s="278" t="s">
        <v>128</v>
      </c>
      <c r="W408" s="279"/>
      <c r="X408" s="279"/>
      <c r="Y408" s="279"/>
      <c r="Z408" s="280"/>
      <c r="AA408" s="279"/>
      <c r="AB408" s="279"/>
      <c r="AC408" s="280"/>
      <c r="AD408" s="281"/>
      <c r="AE408" s="279"/>
      <c r="AF408" s="282"/>
      <c r="AG408" s="281"/>
      <c r="AH408" s="282"/>
      <c r="AI408" s="283"/>
      <c r="AJ408" s="281"/>
      <c r="AK408" s="279"/>
      <c r="AL408" s="282"/>
      <c r="AM408" s="284"/>
      <c r="AN408" s="282"/>
      <c r="AO408" s="285"/>
      <c r="AP408" s="246"/>
      <c r="AQ408" s="246"/>
      <c r="AR408" s="246"/>
      <c r="AS408" s="246"/>
      <c r="AT408" s="246"/>
      <c r="AU408" s="475"/>
      <c r="AV408" s="475"/>
      <c r="AW408" s="475"/>
      <c r="AX408" s="475"/>
      <c r="AY408" s="475"/>
      <c r="AZ408" s="246"/>
      <c r="BA408" s="246"/>
      <c r="BB408" s="246"/>
      <c r="BC408" s="246"/>
      <c r="BD408" s="246"/>
      <c r="BE408" s="246"/>
      <c r="BF408" s="246"/>
      <c r="BG408" s="246"/>
      <c r="BH408" s="246"/>
      <c r="BI408" s="246"/>
    </row>
    <row r="409" spans="1:61" ht="18">
      <c r="A409" t="str">
        <f t="shared" si="89"/>
        <v>Comm. vendeurs</v>
      </c>
      <c r="B409" s="7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246"/>
      <c r="U409" s="246"/>
      <c r="V409" s="102" t="s">
        <v>30</v>
      </c>
      <c r="W409" s="286" t="s">
        <v>129</v>
      </c>
      <c r="X409" s="279"/>
      <c r="Y409" s="287">
        <f t="shared" ref="Y409:Y418" si="90">Z409/(D$13+D$97)</f>
        <v>1177.5701539470997</v>
      </c>
      <c r="Z409" s="280">
        <f t="shared" ref="Z409:Z415" si="91">+SUMIF($C:$C,$V409,F:F)</f>
        <v>42392.525542095587</v>
      </c>
      <c r="AA409" s="279"/>
      <c r="AB409" s="287"/>
      <c r="AC409" s="280"/>
      <c r="AD409" s="288"/>
      <c r="AE409" s="287">
        <f t="shared" ref="AE409:AE414" si="92">IF(AF409=0,0,AF409/(J$13+J$97))</f>
        <v>949.61806451612892</v>
      </c>
      <c r="AF409" s="280">
        <f t="shared" ref="AF409:AF415" si="93">+SUMIF($C:$C,$V409,L:L)</f>
        <v>29438.159999999996</v>
      </c>
      <c r="AG409" s="281">
        <f t="shared" ref="AG409:AH424" si="94">AE409-Y409</f>
        <v>-227.95208943097077</v>
      </c>
      <c r="AH409" s="282">
        <f t="shared" si="94"/>
        <v>-12954.365542095591</v>
      </c>
      <c r="AI409" s="283">
        <f t="shared" ref="AI409:AI418" si="95">IF(Z409=0,0,AH409/Z409)</f>
        <v>-0.30558135842206346</v>
      </c>
      <c r="AJ409" s="288"/>
      <c r="AK409" s="282">
        <f t="shared" ref="AK409:AK418" si="96">AL409/(O$13+O$97)</f>
        <v>1221.4603448275861</v>
      </c>
      <c r="AL409" s="280">
        <f t="shared" ref="AL409:AL414" si="97">+SUMIF($C:$C,$V409,Q:Q)</f>
        <v>35422.35</v>
      </c>
      <c r="AM409" s="284">
        <f t="shared" ref="AM409:AM414" si="98">AE409-Y409</f>
        <v>-227.95208943097077</v>
      </c>
      <c r="AN409" s="282">
        <f t="shared" ref="AN409:AN414" si="99">AF409-AL409</f>
        <v>-5984.1900000000023</v>
      </c>
      <c r="AO409" s="289">
        <f t="shared" ref="AO409:AO431" si="100">IF(AL409=0,0,AN409/AL409)</f>
        <v>-0.16893825508471355</v>
      </c>
      <c r="AP409" s="246"/>
      <c r="AQ409" s="246"/>
      <c r="AS409" s="481"/>
      <c r="AT409" s="474"/>
      <c r="AU409" s="475"/>
      <c r="AV409" s="475"/>
      <c r="AW409" s="475"/>
      <c r="AX409" s="475"/>
      <c r="AY409" s="475"/>
      <c r="AZ409" s="246"/>
      <c r="BA409" s="246"/>
      <c r="BB409" s="246"/>
      <c r="BC409" s="246"/>
      <c r="BD409" s="246"/>
      <c r="BE409" s="246"/>
      <c r="BF409" s="246"/>
      <c r="BG409" s="246"/>
      <c r="BH409" s="246"/>
      <c r="BI409" s="246"/>
    </row>
    <row r="410" spans="1:61" ht="18">
      <c r="A410" t="str">
        <f t="shared" si="89"/>
        <v>Comm. F&amp;I</v>
      </c>
      <c r="B410" s="7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246"/>
      <c r="U410" s="246"/>
      <c r="V410" s="103" t="s">
        <v>31</v>
      </c>
      <c r="W410" s="290" t="s">
        <v>130</v>
      </c>
      <c r="X410" s="263"/>
      <c r="Y410" s="291">
        <f t="shared" si="90"/>
        <v>429.16666666666669</v>
      </c>
      <c r="Z410" s="264">
        <f t="shared" si="91"/>
        <v>15450</v>
      </c>
      <c r="AA410" s="263"/>
      <c r="AB410" s="291"/>
      <c r="AC410" s="264"/>
      <c r="AD410" s="292"/>
      <c r="AE410" s="291">
        <f t="shared" si="92"/>
        <v>514.50967741935483</v>
      </c>
      <c r="AF410" s="264">
        <f t="shared" si="93"/>
        <v>15949.8</v>
      </c>
      <c r="AG410" s="265">
        <f t="shared" si="94"/>
        <v>85.343010752688144</v>
      </c>
      <c r="AH410" s="266">
        <f t="shared" si="94"/>
        <v>499.79999999999927</v>
      </c>
      <c r="AI410" s="293">
        <f t="shared" si="95"/>
        <v>3.2349514563106752E-2</v>
      </c>
      <c r="AJ410" s="292"/>
      <c r="AK410" s="266">
        <f t="shared" si="96"/>
        <v>495.98206896551721</v>
      </c>
      <c r="AL410" s="264">
        <f t="shared" si="97"/>
        <v>14383.48</v>
      </c>
      <c r="AM410" s="268">
        <f t="shared" si="98"/>
        <v>85.343010752688144</v>
      </c>
      <c r="AN410" s="266">
        <f t="shared" si="99"/>
        <v>1566.3199999999997</v>
      </c>
      <c r="AO410" s="294">
        <f t="shared" si="100"/>
        <v>0.10889715145430728</v>
      </c>
      <c r="AP410" s="246"/>
      <c r="AQ410" s="246"/>
      <c r="AS410" s="439"/>
      <c r="AT410" s="474"/>
      <c r="AU410" s="475"/>
      <c r="AV410" s="475"/>
      <c r="AW410" s="475"/>
      <c r="AX410" s="475"/>
      <c r="AY410" s="475"/>
      <c r="AZ410" s="246"/>
      <c r="BA410" s="246"/>
      <c r="BB410" s="246"/>
      <c r="BC410" s="246"/>
      <c r="BD410" s="246"/>
      <c r="BE410" s="246"/>
      <c r="BF410" s="246"/>
      <c r="BG410" s="246"/>
      <c r="BH410" s="246"/>
      <c r="BI410" s="246"/>
    </row>
    <row r="411" spans="1:61" ht="18">
      <c r="A411" t="str">
        <f t="shared" si="89"/>
        <v>Frais de livraison</v>
      </c>
      <c r="B411" s="7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246"/>
      <c r="U411" s="246"/>
      <c r="V411" s="102" t="s">
        <v>32</v>
      </c>
      <c r="W411" s="286" t="s">
        <v>131</v>
      </c>
      <c r="X411" s="279"/>
      <c r="Y411" s="287">
        <f t="shared" si="90"/>
        <v>111.11111111111111</v>
      </c>
      <c r="Z411" s="280">
        <f t="shared" si="91"/>
        <v>4000</v>
      </c>
      <c r="AA411" s="279"/>
      <c r="AB411" s="287"/>
      <c r="AC411" s="280"/>
      <c r="AD411" s="288"/>
      <c r="AE411" s="287">
        <f t="shared" si="92"/>
        <v>142.00032258064516</v>
      </c>
      <c r="AF411" s="280">
        <f t="shared" si="93"/>
        <v>4402.01</v>
      </c>
      <c r="AG411" s="281">
        <f t="shared" si="94"/>
        <v>30.889211469534047</v>
      </c>
      <c r="AH411" s="282">
        <f t="shared" si="94"/>
        <v>402.01000000000022</v>
      </c>
      <c r="AI411" s="283">
        <f t="shared" si="95"/>
        <v>0.10050250000000005</v>
      </c>
      <c r="AJ411" s="288"/>
      <c r="AK411" s="282">
        <f t="shared" si="96"/>
        <v>140.21310344827586</v>
      </c>
      <c r="AL411" s="280">
        <f t="shared" si="97"/>
        <v>4066.1800000000003</v>
      </c>
      <c r="AM411" s="284">
        <f t="shared" si="98"/>
        <v>30.889211469534047</v>
      </c>
      <c r="AN411" s="282">
        <f t="shared" si="99"/>
        <v>335.82999999999993</v>
      </c>
      <c r="AO411" s="289">
        <f t="shared" si="100"/>
        <v>8.2591031385723185E-2</v>
      </c>
      <c r="AP411" s="246"/>
      <c r="AQ411" s="246"/>
      <c r="AS411" s="439"/>
      <c r="AT411" s="474"/>
      <c r="AU411" s="475"/>
      <c r="AV411" s="475"/>
      <c r="AW411" s="475"/>
      <c r="AX411" s="475"/>
      <c r="AY411" s="475"/>
      <c r="AZ411" s="246"/>
      <c r="BA411" s="246"/>
      <c r="BB411" s="246"/>
      <c r="BC411" s="246"/>
      <c r="BD411" s="246"/>
      <c r="BE411" s="246"/>
      <c r="BF411" s="246"/>
      <c r="BG411" s="246"/>
      <c r="BH411" s="246"/>
      <c r="BI411" s="246"/>
    </row>
    <row r="412" spans="1:61" ht="18">
      <c r="A412" t="str">
        <f t="shared" si="89"/>
        <v>Service gratuit 1</v>
      </c>
      <c r="B412" s="7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246"/>
      <c r="U412" s="246"/>
      <c r="V412" s="102" t="s">
        <v>33</v>
      </c>
      <c r="W412" s="286" t="s">
        <v>148</v>
      </c>
      <c r="X412" s="279"/>
      <c r="Y412" s="287">
        <f t="shared" si="90"/>
        <v>72.5</v>
      </c>
      <c r="Z412" s="280">
        <f t="shared" si="91"/>
        <v>2610</v>
      </c>
      <c r="AA412" s="279"/>
      <c r="AB412" s="287"/>
      <c r="AC412" s="280"/>
      <c r="AD412" s="288"/>
      <c r="AE412" s="287">
        <f t="shared" si="92"/>
        <v>51.617096774193548</v>
      </c>
      <c r="AF412" s="280">
        <f t="shared" si="93"/>
        <v>1600.13</v>
      </c>
      <c r="AG412" s="281">
        <f t="shared" si="94"/>
        <v>-20.882903225806452</v>
      </c>
      <c r="AH412" s="282">
        <f t="shared" si="94"/>
        <v>-1009.8699999999999</v>
      </c>
      <c r="AI412" s="283">
        <f t="shared" si="95"/>
        <v>-0.38692337164750956</v>
      </c>
      <c r="AJ412" s="288"/>
      <c r="AK412" s="282">
        <f t="shared" si="96"/>
        <v>85.048275862068962</v>
      </c>
      <c r="AL412" s="280">
        <f t="shared" si="97"/>
        <v>2466.4</v>
      </c>
      <c r="AM412" s="284">
        <f t="shared" si="98"/>
        <v>-20.882903225806452</v>
      </c>
      <c r="AN412" s="282">
        <f t="shared" si="99"/>
        <v>-866.27</v>
      </c>
      <c r="AO412" s="295">
        <f t="shared" si="100"/>
        <v>-0.35122851119039894</v>
      </c>
      <c r="AP412" s="246"/>
      <c r="AQ412" s="246"/>
      <c r="AS412" s="439"/>
      <c r="AT412" s="474"/>
      <c r="AU412" s="475"/>
      <c r="AV412" s="475"/>
      <c r="AW412" s="475"/>
      <c r="AX412" s="475"/>
      <c r="AY412" s="475"/>
      <c r="AZ412" s="246"/>
      <c r="BA412" s="246"/>
      <c r="BB412" s="246"/>
      <c r="BC412" s="246"/>
      <c r="BD412" s="246"/>
      <c r="BE412" s="246"/>
      <c r="BF412" s="246"/>
      <c r="BG412" s="246"/>
      <c r="BH412" s="246"/>
      <c r="BI412" s="246"/>
    </row>
    <row r="413" spans="1:61" ht="18">
      <c r="A413" t="str">
        <f t="shared" si="89"/>
        <v>Entretien stock</v>
      </c>
      <c r="B413" s="7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246"/>
      <c r="U413" s="246"/>
      <c r="V413" s="103" t="s">
        <v>34</v>
      </c>
      <c r="W413" s="290" t="s">
        <v>222</v>
      </c>
      <c r="X413" s="263"/>
      <c r="Y413" s="291">
        <f t="shared" si="90"/>
        <v>82.5</v>
      </c>
      <c r="Z413" s="264">
        <f t="shared" si="91"/>
        <v>2970</v>
      </c>
      <c r="AA413" s="263"/>
      <c r="AB413" s="291"/>
      <c r="AC413" s="264"/>
      <c r="AD413" s="292"/>
      <c r="AE413" s="291">
        <f t="shared" si="92"/>
        <v>78.590967741935472</v>
      </c>
      <c r="AF413" s="264">
        <f t="shared" si="93"/>
        <v>2436.3199999999997</v>
      </c>
      <c r="AG413" s="265">
        <f t="shared" si="94"/>
        <v>-3.9090322580645278</v>
      </c>
      <c r="AH413" s="266">
        <f t="shared" si="94"/>
        <v>-533.68000000000029</v>
      </c>
      <c r="AI413" s="293">
        <f t="shared" si="95"/>
        <v>-0.17969023569023579</v>
      </c>
      <c r="AJ413" s="292"/>
      <c r="AK413" s="266">
        <f t="shared" si="96"/>
        <v>74.362413793103457</v>
      </c>
      <c r="AL413" s="264">
        <f t="shared" si="97"/>
        <v>2156.5100000000002</v>
      </c>
      <c r="AM413" s="268">
        <f t="shared" si="98"/>
        <v>-3.9090322580645278</v>
      </c>
      <c r="AN413" s="266">
        <f t="shared" si="99"/>
        <v>279.80999999999949</v>
      </c>
      <c r="AO413" s="294">
        <f t="shared" si="100"/>
        <v>0.12975131114624994</v>
      </c>
      <c r="AP413" s="246"/>
      <c r="AQ413" s="246"/>
      <c r="AS413" s="439"/>
      <c r="AT413" s="474"/>
      <c r="AU413" s="475"/>
      <c r="AV413" s="475"/>
      <c r="AW413" s="475"/>
      <c r="AX413" s="475"/>
      <c r="AY413" s="475"/>
      <c r="AZ413" s="246"/>
      <c r="BA413" s="246"/>
      <c r="BB413" s="246"/>
      <c r="BC413" s="246"/>
      <c r="BD413" s="246"/>
      <c r="BE413" s="246"/>
      <c r="BF413" s="246"/>
      <c r="BG413" s="246"/>
      <c r="BH413" s="246"/>
      <c r="BI413" s="246"/>
    </row>
    <row r="414" spans="1:61" ht="18">
      <c r="A414" t="str">
        <f t="shared" si="89"/>
        <v>Publicité 1</v>
      </c>
      <c r="B414" s="7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246"/>
      <c r="U414" s="246"/>
      <c r="V414" s="102" t="s">
        <v>35</v>
      </c>
      <c r="W414" s="286" t="s">
        <v>223</v>
      </c>
      <c r="X414" s="283"/>
      <c r="Y414" s="287">
        <f t="shared" si="90"/>
        <v>427.08478009259261</v>
      </c>
      <c r="Z414" s="280">
        <f t="shared" si="91"/>
        <v>15375.052083333334</v>
      </c>
      <c r="AA414" s="283"/>
      <c r="AB414" s="287"/>
      <c r="AC414" s="280"/>
      <c r="AD414" s="288"/>
      <c r="AE414" s="287">
        <f t="shared" si="92"/>
        <v>512.71612903225798</v>
      </c>
      <c r="AF414" s="280">
        <f t="shared" si="93"/>
        <v>15894.199999999999</v>
      </c>
      <c r="AG414" s="281">
        <f t="shared" si="94"/>
        <v>85.631348939665372</v>
      </c>
      <c r="AH414" s="282">
        <f t="shared" si="94"/>
        <v>519.14791666666497</v>
      </c>
      <c r="AI414" s="283">
        <f t="shared" si="95"/>
        <v>3.3765603775054852E-2</v>
      </c>
      <c r="AJ414" s="288"/>
      <c r="AK414" s="282">
        <f t="shared" si="96"/>
        <v>625.05482758620656</v>
      </c>
      <c r="AL414" s="280">
        <f t="shared" si="97"/>
        <v>18126.589999999989</v>
      </c>
      <c r="AM414" s="284">
        <f t="shared" si="98"/>
        <v>85.631348939665372</v>
      </c>
      <c r="AN414" s="282">
        <f t="shared" si="99"/>
        <v>-2232.3899999999903</v>
      </c>
      <c r="AO414" s="289">
        <f t="shared" si="100"/>
        <v>-0.1231555411139101</v>
      </c>
      <c r="AP414" s="246"/>
      <c r="AQ414" s="246"/>
      <c r="AR414" s="440"/>
      <c r="AS414" s="439"/>
      <c r="AT414" s="474"/>
      <c r="AU414" s="475"/>
      <c r="AV414" s="475"/>
      <c r="AW414" s="475"/>
      <c r="AX414" s="475"/>
      <c r="AY414" s="475"/>
      <c r="AZ414" s="246"/>
      <c r="BA414" s="246"/>
      <c r="BB414" s="246"/>
      <c r="BC414" s="246"/>
      <c r="BD414" s="246"/>
      <c r="BE414" s="246"/>
      <c r="BF414" s="246"/>
      <c r="BG414" s="246"/>
      <c r="BH414" s="246"/>
      <c r="BI414" s="246"/>
    </row>
    <row r="415" spans="1:61" ht="20.25">
      <c r="A415" t="str">
        <f t="shared" si="89"/>
        <v>Intérêt de gros</v>
      </c>
      <c r="B415" s="7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246"/>
      <c r="U415" s="246"/>
      <c r="V415" s="102" t="s">
        <v>36</v>
      </c>
      <c r="W415" s="286" t="s">
        <v>224</v>
      </c>
      <c r="X415" s="279"/>
      <c r="Y415" s="287">
        <f t="shared" si="90"/>
        <v>974.9770126937342</v>
      </c>
      <c r="Z415" s="280">
        <f t="shared" si="91"/>
        <v>35099.172456974433</v>
      </c>
      <c r="AA415" s="279"/>
      <c r="AB415" s="287"/>
      <c r="AC415" s="280"/>
      <c r="AD415" s="288"/>
      <c r="AE415" s="287">
        <f>IF(AF415=0,0,AF415/(J$13+J$13))</f>
        <v>1552.625</v>
      </c>
      <c r="AF415" s="280">
        <f t="shared" si="93"/>
        <v>40368.25</v>
      </c>
      <c r="AG415" s="281">
        <f t="shared" si="94"/>
        <v>577.6479873062658</v>
      </c>
      <c r="AH415" s="282">
        <f t="shared" si="94"/>
        <v>5269.0775430255671</v>
      </c>
      <c r="AI415" s="283">
        <f t="shared" si="95"/>
        <v>0.15011970864796179</v>
      </c>
      <c r="AJ415" s="288"/>
      <c r="AK415" s="282">
        <f t="shared" si="96"/>
        <v>449.73068965517245</v>
      </c>
      <c r="AL415" s="280">
        <f>IFERROR(SUMIF($C:$C,$V415,Q:Q),0)</f>
        <v>13042.19</v>
      </c>
      <c r="AM415" s="284">
        <f>AE415-Y415</f>
        <v>577.6479873062658</v>
      </c>
      <c r="AN415" s="282">
        <f>AF415-AL415</f>
        <v>27326.059999999998</v>
      </c>
      <c r="AO415" s="289">
        <f t="shared" si="100"/>
        <v>2.0952048697343004</v>
      </c>
      <c r="AP415" s="246"/>
      <c r="AQ415" s="246">
        <v>40368</v>
      </c>
      <c r="AR415" s="13"/>
      <c r="AS415" s="482"/>
      <c r="AT415" s="246"/>
      <c r="AU415" s="475"/>
      <c r="AV415" s="475"/>
      <c r="AW415" s="475"/>
      <c r="AX415" s="475"/>
      <c r="AY415" s="475"/>
      <c r="AZ415" s="246"/>
      <c r="BA415" s="246"/>
      <c r="BB415" s="246"/>
      <c r="BC415" s="246"/>
      <c r="BD415" s="246"/>
      <c r="BE415" s="246"/>
      <c r="BF415" s="246"/>
      <c r="BG415" s="246"/>
      <c r="BH415" s="246"/>
      <c r="BI415" s="246"/>
    </row>
    <row r="416" spans="1:61" ht="20.25" hidden="1">
      <c r="A416" t="str">
        <f t="shared" si="89"/>
        <v>[...]</v>
      </c>
      <c r="B416" s="7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246"/>
      <c r="U416" s="246"/>
      <c r="V416" s="102" t="s">
        <v>19</v>
      </c>
      <c r="W416" s="286"/>
      <c r="X416" s="283"/>
      <c r="Y416" s="287">
        <f t="shared" si="90"/>
        <v>0</v>
      </c>
      <c r="Z416" s="280">
        <f>IFERROR(SUMIF($C:$C,$V416,F:F),0)</f>
        <v>0</v>
      </c>
      <c r="AA416" s="279"/>
      <c r="AB416" s="287"/>
      <c r="AC416" s="280"/>
      <c r="AD416" s="288"/>
      <c r="AE416" s="287">
        <f>IF(AF416=0,0,AF416/(J$13+J$13))</f>
        <v>0</v>
      </c>
      <c r="AF416" s="280">
        <f>IFERROR(SUMIF($C:$C,$V416,L:L),0)</f>
        <v>0</v>
      </c>
      <c r="AG416" s="281">
        <f t="shared" si="94"/>
        <v>0</v>
      </c>
      <c r="AH416" s="282">
        <f t="shared" si="94"/>
        <v>0</v>
      </c>
      <c r="AI416" s="283">
        <f t="shared" si="95"/>
        <v>0</v>
      </c>
      <c r="AJ416" s="288"/>
      <c r="AK416" s="282">
        <f t="shared" si="96"/>
        <v>0</v>
      </c>
      <c r="AL416" s="280">
        <f>IFERROR(SUMIF($C:$C,$V416,Q:Q),0)</f>
        <v>0</v>
      </c>
      <c r="AM416" s="284">
        <f>AE416-Y416</f>
        <v>0</v>
      </c>
      <c r="AN416" s="282">
        <f>AF416-AL416</f>
        <v>0</v>
      </c>
      <c r="AO416" s="289">
        <f t="shared" si="100"/>
        <v>0</v>
      </c>
      <c r="AP416" s="246"/>
      <c r="AQ416" s="246"/>
      <c r="AR416" s="13"/>
      <c r="AS416" s="246"/>
      <c r="AT416" s="246"/>
      <c r="AU416" s="475"/>
      <c r="AV416" s="475"/>
      <c r="AW416" s="475"/>
      <c r="AX416" s="475"/>
      <c r="AY416" s="475"/>
      <c r="AZ416" s="246"/>
      <c r="BA416" s="246"/>
      <c r="BB416" s="246"/>
      <c r="BC416" s="246"/>
      <c r="BD416" s="246"/>
      <c r="BE416" s="246"/>
      <c r="BF416" s="246"/>
      <c r="BG416" s="246"/>
      <c r="BH416" s="246"/>
      <c r="BI416" s="246"/>
    </row>
    <row r="417" spans="1:61" ht="20.25" hidden="1">
      <c r="A417" t="str">
        <f t="shared" si="89"/>
        <v>[...]</v>
      </c>
      <c r="B417" s="7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246"/>
      <c r="U417" s="246"/>
      <c r="V417" s="102" t="s">
        <v>19</v>
      </c>
      <c r="W417" s="286"/>
      <c r="X417" s="283"/>
      <c r="Y417" s="287">
        <f t="shared" si="90"/>
        <v>0</v>
      </c>
      <c r="Z417" s="280">
        <f>IFERROR(SUMIF($C:$C,$V417,F:F),0)</f>
        <v>0</v>
      </c>
      <c r="AA417" s="279"/>
      <c r="AB417" s="287"/>
      <c r="AC417" s="280"/>
      <c r="AD417" s="288"/>
      <c r="AE417" s="287">
        <f>IF(AF417=0,0,AF417/(J$13+J$13))</f>
        <v>0</v>
      </c>
      <c r="AF417" s="280">
        <f>IFERROR(SUMIF($C:$C,$V417,L:L),0)</f>
        <v>0</v>
      </c>
      <c r="AG417" s="281">
        <f t="shared" si="94"/>
        <v>0</v>
      </c>
      <c r="AH417" s="282">
        <f t="shared" si="94"/>
        <v>0</v>
      </c>
      <c r="AI417" s="283">
        <f t="shared" si="95"/>
        <v>0</v>
      </c>
      <c r="AJ417" s="288"/>
      <c r="AK417" s="282">
        <f t="shared" si="96"/>
        <v>0</v>
      </c>
      <c r="AL417" s="280">
        <f>IFERROR(SUMIF($C:$C,$V417,Q:Q),0)</f>
        <v>0</v>
      </c>
      <c r="AM417" s="284">
        <f>AE417-Y417</f>
        <v>0</v>
      </c>
      <c r="AN417" s="282">
        <f>AF417-AL417</f>
        <v>0</v>
      </c>
      <c r="AO417" s="289">
        <f t="shared" si="100"/>
        <v>0</v>
      </c>
      <c r="AP417" s="246"/>
      <c r="AQ417" s="246"/>
      <c r="AR417" s="13"/>
      <c r="AS417" s="246"/>
      <c r="AT417" s="246"/>
      <c r="AU417" s="475"/>
      <c r="AV417" s="475"/>
      <c r="AW417" s="475"/>
      <c r="AX417" s="475"/>
      <c r="AY417" s="475"/>
      <c r="AZ417" s="246"/>
      <c r="BA417" s="246"/>
      <c r="BB417" s="246"/>
      <c r="BC417" s="246"/>
      <c r="BD417" s="246"/>
      <c r="BE417" s="246"/>
      <c r="BF417" s="246"/>
      <c r="BG417" s="246"/>
      <c r="BH417" s="246"/>
      <c r="BI417" s="246"/>
    </row>
    <row r="418" spans="1:61" ht="20.25" hidden="1">
      <c r="A418" t="str">
        <f t="shared" si="89"/>
        <v>[...]</v>
      </c>
      <c r="B418" s="7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246"/>
      <c r="U418" s="246"/>
      <c r="V418" s="102" t="s">
        <v>19</v>
      </c>
      <c r="W418" s="286" t="s">
        <v>134</v>
      </c>
      <c r="X418" s="279"/>
      <c r="Y418" s="287">
        <f t="shared" si="90"/>
        <v>0</v>
      </c>
      <c r="Z418" s="280">
        <f>IFERROR(SUMIF($C:$C,$V418,F:F),0)</f>
        <v>0</v>
      </c>
      <c r="AA418" s="279"/>
      <c r="AB418" s="287"/>
      <c r="AC418" s="280"/>
      <c r="AD418" s="288"/>
      <c r="AE418" s="287">
        <f>IF(AF418=0,0,AF418/(J$13+J$13))</f>
        <v>0</v>
      </c>
      <c r="AF418" s="280">
        <f>IFERROR(SUMIF($C:$C,$V418,L:L),0)</f>
        <v>0</v>
      </c>
      <c r="AG418" s="281">
        <f t="shared" si="94"/>
        <v>0</v>
      </c>
      <c r="AH418" s="282">
        <f t="shared" si="94"/>
        <v>0</v>
      </c>
      <c r="AI418" s="283">
        <f t="shared" si="95"/>
        <v>0</v>
      </c>
      <c r="AJ418" s="288"/>
      <c r="AK418" s="282">
        <f t="shared" si="96"/>
        <v>0</v>
      </c>
      <c r="AL418" s="280">
        <f>IFERROR(SUMIF($C:$C,$V418,Q:Q),0)</f>
        <v>0</v>
      </c>
      <c r="AM418" s="284">
        <f>AE418-Y418</f>
        <v>0</v>
      </c>
      <c r="AN418" s="282">
        <f>AF418-AL418</f>
        <v>0</v>
      </c>
      <c r="AO418" s="289">
        <f t="shared" si="100"/>
        <v>0</v>
      </c>
      <c r="AP418" s="246"/>
      <c r="AQ418" s="246"/>
      <c r="AR418" s="13"/>
      <c r="AS418" s="246"/>
      <c r="AT418" s="246"/>
      <c r="AU418" s="475"/>
      <c r="AV418" s="475"/>
      <c r="AW418" s="475"/>
      <c r="AX418" s="475"/>
      <c r="AY418" s="475"/>
      <c r="AZ418" s="246"/>
      <c r="BA418" s="246"/>
      <c r="BB418" s="246"/>
      <c r="BC418" s="246"/>
      <c r="BD418" s="246"/>
      <c r="BE418" s="246"/>
      <c r="BF418" s="246"/>
      <c r="BG418" s="246"/>
      <c r="BH418" s="246"/>
      <c r="BI418" s="246"/>
    </row>
    <row r="419" spans="1:61" ht="20.25">
      <c r="A419" t="str">
        <f t="shared" si="89"/>
        <v>TOTAL VARIABLES</v>
      </c>
      <c r="B419" s="7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246"/>
      <c r="U419" s="246"/>
      <c r="V419" s="296" t="s">
        <v>37</v>
      </c>
      <c r="W419" s="297"/>
      <c r="X419" s="298">
        <f>Z419/Z407</f>
        <v>0.29934545751289465</v>
      </c>
      <c r="Y419" s="297"/>
      <c r="Z419" s="299">
        <f>SUM(Z409:Z418)</f>
        <v>117896.75008240336</v>
      </c>
      <c r="AA419" s="298"/>
      <c r="AB419" s="297"/>
      <c r="AC419" s="299"/>
      <c r="AD419" s="300">
        <f>AF419/AF407</f>
        <v>0.31104900113226513</v>
      </c>
      <c r="AE419" s="297"/>
      <c r="AF419" s="299">
        <f>SUM(AF409:AF418)</f>
        <v>110088.87</v>
      </c>
      <c r="AG419" s="301"/>
      <c r="AH419" s="302">
        <f t="shared" si="94"/>
        <v>-7807.8800824033679</v>
      </c>
      <c r="AI419" s="298">
        <f>AH419/Z419</f>
        <v>-6.6226423348786867E-2</v>
      </c>
      <c r="AJ419" s="300">
        <f>IF($AL$407=0,0,AL419/$AL$407)</f>
        <v>0.24473408757051926</v>
      </c>
      <c r="AK419" s="297"/>
      <c r="AL419" s="299">
        <f>SUM(AL409:AL418)</f>
        <v>89663.7</v>
      </c>
      <c r="AM419" s="303"/>
      <c r="AN419" s="302">
        <f t="shared" ref="AN419:AN431" si="101">AF419-AL419</f>
        <v>20425.169999999998</v>
      </c>
      <c r="AO419" s="277">
        <f t="shared" si="100"/>
        <v>0.22779753679582707</v>
      </c>
      <c r="AP419" s="246"/>
      <c r="AQ419" s="246"/>
      <c r="AR419" s="13"/>
      <c r="AS419" s="246"/>
      <c r="AT419" s="246"/>
      <c r="AU419" s="475"/>
      <c r="AV419" s="475"/>
      <c r="AW419" s="475"/>
      <c r="AX419" s="475"/>
      <c r="AY419" s="475"/>
      <c r="AZ419" s="246"/>
      <c r="BA419" s="246"/>
      <c r="BB419" s="246"/>
      <c r="BC419" s="246"/>
      <c r="BD419" s="246"/>
      <c r="BE419" s="246"/>
      <c r="BF419" s="246"/>
      <c r="BG419" s="246"/>
      <c r="BH419" s="246"/>
      <c r="BI419" s="246"/>
    </row>
    <row r="420" spans="1:61" ht="18">
      <c r="A420" t="str">
        <f t="shared" si="89"/>
        <v>Salaires propriétaire</v>
      </c>
      <c r="B420" s="7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304"/>
      <c r="P420" s="155"/>
      <c r="Q420" s="10"/>
      <c r="R420" s="10"/>
      <c r="S420" s="10"/>
      <c r="T420" s="246"/>
      <c r="U420" s="246"/>
      <c r="V420" s="102" t="s">
        <v>135</v>
      </c>
      <c r="W420" s="286" t="s">
        <v>137</v>
      </c>
      <c r="X420" s="279"/>
      <c r="Y420" s="279"/>
      <c r="Z420" s="280">
        <v>15577.449745547074</v>
      </c>
      <c r="AA420" s="279"/>
      <c r="AB420" s="279"/>
      <c r="AC420" s="280"/>
      <c r="AD420" s="288"/>
      <c r="AE420" s="287"/>
      <c r="AF420" s="280">
        <v>12345.1</v>
      </c>
      <c r="AG420" s="281"/>
      <c r="AH420" s="282">
        <f t="shared" si="94"/>
        <v>-3232.3497455470733</v>
      </c>
      <c r="AI420" s="283">
        <f t="shared" ref="AI420:AI432" si="102">IF(Z420=0,0,AH420/Z420)</f>
        <v>-0.20750185674462301</v>
      </c>
      <c r="AJ420" s="288"/>
      <c r="AK420" s="279"/>
      <c r="AL420" s="280">
        <v>9006.36</v>
      </c>
      <c r="AM420" s="284"/>
      <c r="AN420" s="282">
        <f t="shared" si="101"/>
        <v>3338.74</v>
      </c>
      <c r="AO420" s="289">
        <f t="shared" si="100"/>
        <v>0.37070914331650073</v>
      </c>
      <c r="AP420" s="246"/>
      <c r="AQ420" s="246"/>
      <c r="AS420" s="246"/>
      <c r="AT420" s="246"/>
      <c r="AU420" s="475"/>
      <c r="AV420" s="475"/>
      <c r="AW420" s="475"/>
      <c r="AX420" s="475"/>
      <c r="AY420" s="475"/>
      <c r="AZ420" s="246"/>
      <c r="BA420" s="246"/>
      <c r="BB420" s="246"/>
      <c r="BC420" s="246"/>
      <c r="BD420" s="246"/>
      <c r="BE420" s="246"/>
      <c r="BF420" s="246"/>
      <c r="BG420" s="246"/>
      <c r="BH420" s="246"/>
      <c r="BI420" s="246"/>
    </row>
    <row r="421" spans="1:61" ht="18">
      <c r="A421" t="str">
        <f t="shared" si="89"/>
        <v>Salaires cadres</v>
      </c>
      <c r="B421" s="7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304"/>
      <c r="P421" s="155"/>
      <c r="Q421" s="10"/>
      <c r="R421" s="10"/>
      <c r="S421" s="10"/>
      <c r="T421" s="246"/>
      <c r="U421" s="246"/>
      <c r="V421" s="102" t="s">
        <v>40</v>
      </c>
      <c r="W421" s="286" t="s">
        <v>140</v>
      </c>
      <c r="X421" s="279"/>
      <c r="Y421" s="279"/>
      <c r="Z421" s="280">
        <f t="shared" ref="Z421:Z431" si="103">+SUMIF($C:$C,$V421,F:F)</f>
        <v>32305.096692111962</v>
      </c>
      <c r="AA421" s="279"/>
      <c r="AB421" s="279"/>
      <c r="AC421" s="280"/>
      <c r="AD421" s="288"/>
      <c r="AE421" s="287"/>
      <c r="AF421" s="280">
        <f t="shared" ref="AF421:AF432" si="104">+SUMIF($C:$C,$V421,L:L)</f>
        <v>27632.93</v>
      </c>
      <c r="AG421" s="281"/>
      <c r="AH421" s="282">
        <f t="shared" si="94"/>
        <v>-4672.1666921119613</v>
      </c>
      <c r="AI421" s="283">
        <f t="shared" si="102"/>
        <v>-0.1446263026741777</v>
      </c>
      <c r="AJ421" s="288"/>
      <c r="AK421" s="279"/>
      <c r="AL421" s="280">
        <f t="shared" ref="AL421:AL429" si="105">+SUMIF($C:$C,$V421,Q:Q)</f>
        <v>21755.71</v>
      </c>
      <c r="AM421" s="284"/>
      <c r="AN421" s="282">
        <f t="shared" si="101"/>
        <v>5877.2200000000012</v>
      </c>
      <c r="AO421" s="289">
        <f t="shared" si="100"/>
        <v>0.27014609038270881</v>
      </c>
      <c r="AP421" s="246"/>
      <c r="AQ421" s="246"/>
      <c r="AS421" s="246"/>
      <c r="AT421" s="246"/>
      <c r="AU421" s="475"/>
      <c r="AV421" s="475"/>
      <c r="AW421" s="475"/>
      <c r="AX421" s="475"/>
      <c r="AY421" s="475"/>
      <c r="AZ421" s="246"/>
      <c r="BA421" s="246"/>
      <c r="BB421" s="246"/>
      <c r="BC421" s="246"/>
      <c r="BD421" s="246"/>
      <c r="BE421" s="246"/>
      <c r="BF421" s="246"/>
      <c r="BG421" s="246"/>
      <c r="BH421" s="246"/>
      <c r="BI421" s="246"/>
    </row>
    <row r="422" spans="1:61" ht="18">
      <c r="A422" t="str">
        <f t="shared" si="89"/>
        <v>Salaires commis</v>
      </c>
      <c r="B422" s="7"/>
      <c r="C422" s="246"/>
      <c r="D422" s="246"/>
      <c r="E422" s="246"/>
      <c r="F422" s="246"/>
      <c r="G422" s="246"/>
      <c r="H422" s="246"/>
      <c r="I422" s="246"/>
      <c r="J422" s="246"/>
      <c r="K422" s="246"/>
      <c r="L422" s="246"/>
      <c r="M422" s="246"/>
      <c r="N422" s="246"/>
      <c r="O422" s="305"/>
      <c r="P422" s="155"/>
      <c r="Q422" s="246"/>
      <c r="R422" s="246"/>
      <c r="S422" s="246"/>
      <c r="T422" s="246"/>
      <c r="U422" s="246"/>
      <c r="V422" s="103" t="s">
        <v>41</v>
      </c>
      <c r="W422" s="290" t="s">
        <v>138</v>
      </c>
      <c r="X422" s="263"/>
      <c r="Y422" s="263"/>
      <c r="Z422" s="264">
        <f t="shared" si="103"/>
        <v>20206.106234096689</v>
      </c>
      <c r="AA422" s="263"/>
      <c r="AB422" s="263"/>
      <c r="AC422" s="264"/>
      <c r="AD422" s="292"/>
      <c r="AE422" s="291"/>
      <c r="AF422" s="264">
        <f t="shared" si="104"/>
        <v>18203.150000000001</v>
      </c>
      <c r="AG422" s="265"/>
      <c r="AH422" s="266">
        <f t="shared" si="94"/>
        <v>-2002.9562340966877</v>
      </c>
      <c r="AI422" s="293">
        <f t="shared" si="102"/>
        <v>-9.9126284445481619E-2</v>
      </c>
      <c r="AJ422" s="292"/>
      <c r="AK422" s="263"/>
      <c r="AL422" s="264">
        <f t="shared" si="105"/>
        <v>17271.22</v>
      </c>
      <c r="AM422" s="268"/>
      <c r="AN422" s="266">
        <f t="shared" si="101"/>
        <v>931.93000000000029</v>
      </c>
      <c r="AO422" s="269">
        <f t="shared" si="100"/>
        <v>5.3958550698792573E-2</v>
      </c>
      <c r="AP422" s="246"/>
      <c r="AQ422" s="246"/>
      <c r="AS422" s="246"/>
      <c r="AT422" s="246"/>
      <c r="AU422" s="475"/>
      <c r="AV422" s="475"/>
      <c r="AW422" s="475"/>
      <c r="AX422" s="475"/>
      <c r="AY422" s="475"/>
      <c r="AZ422" s="246"/>
      <c r="BA422" s="246"/>
      <c r="BB422" s="246"/>
      <c r="BC422" s="246"/>
      <c r="BD422" s="246"/>
      <c r="BE422" s="246"/>
      <c r="BF422" s="246"/>
      <c r="BG422" s="246"/>
      <c r="BH422" s="246"/>
      <c r="BI422" s="246"/>
    </row>
    <row r="423" spans="1:61" ht="18">
      <c r="A423" t="str">
        <f t="shared" si="89"/>
        <v>Salaires autres</v>
      </c>
      <c r="B423" s="7"/>
      <c r="C423" s="246"/>
      <c r="D423" s="246"/>
      <c r="E423" s="246"/>
      <c r="F423" s="246"/>
      <c r="G423" s="246"/>
      <c r="H423" s="246"/>
      <c r="I423" s="246"/>
      <c r="J423" s="246"/>
      <c r="K423" s="246"/>
      <c r="L423" s="246"/>
      <c r="M423" s="246"/>
      <c r="N423" s="246"/>
      <c r="O423" s="305"/>
      <c r="P423" s="155"/>
      <c r="Q423" s="246"/>
      <c r="R423" s="246"/>
      <c r="S423" s="246"/>
      <c r="T423" s="246"/>
      <c r="U423" s="246"/>
      <c r="V423" s="102" t="s">
        <v>42</v>
      </c>
      <c r="W423" s="286" t="s">
        <v>139</v>
      </c>
      <c r="X423" s="279"/>
      <c r="Y423" s="279"/>
      <c r="Z423" s="280">
        <f t="shared" si="103"/>
        <v>21762.774809160306</v>
      </c>
      <c r="AA423" s="279"/>
      <c r="AB423" s="279"/>
      <c r="AC423" s="280"/>
      <c r="AD423" s="288"/>
      <c r="AE423" s="287"/>
      <c r="AF423" s="280">
        <f t="shared" si="104"/>
        <v>19488.43</v>
      </c>
      <c r="AG423" s="281"/>
      <c r="AH423" s="282">
        <f t="shared" si="94"/>
        <v>-2274.3448091603059</v>
      </c>
      <c r="AI423" s="283">
        <f t="shared" si="102"/>
        <v>-0.10450619597474294</v>
      </c>
      <c r="AJ423" s="288"/>
      <c r="AK423" s="279"/>
      <c r="AL423" s="280">
        <f t="shared" si="105"/>
        <v>18248.23</v>
      </c>
      <c r="AM423" s="284"/>
      <c r="AN423" s="282">
        <f t="shared" si="101"/>
        <v>1240.2000000000007</v>
      </c>
      <c r="AO423" s="289">
        <f t="shared" si="100"/>
        <v>6.7962755839881497E-2</v>
      </c>
      <c r="AP423" s="246"/>
      <c r="AQ423" s="246"/>
      <c r="AS423" s="246"/>
      <c r="AT423" s="246"/>
      <c r="AU423" s="475"/>
      <c r="AV423" s="475"/>
      <c r="AW423" s="475"/>
      <c r="AX423" s="475"/>
      <c r="AY423" s="475"/>
      <c r="AZ423" s="246"/>
      <c r="BA423" s="246"/>
      <c r="BB423" s="246"/>
      <c r="BC423" s="246"/>
      <c r="BD423" s="246"/>
      <c r="BE423" s="246"/>
      <c r="BF423" s="246"/>
      <c r="BG423" s="246"/>
      <c r="BH423" s="246"/>
      <c r="BI423" s="246"/>
    </row>
    <row r="424" spans="1:61" ht="18">
      <c r="A424" t="str">
        <f t="shared" si="89"/>
        <v>Salaires spécialistes</v>
      </c>
      <c r="B424" s="7"/>
      <c r="C424" s="246"/>
      <c r="D424" s="246"/>
      <c r="E424" s="246"/>
      <c r="F424" s="246"/>
      <c r="G424" s="246"/>
      <c r="H424" s="246"/>
      <c r="I424" s="246"/>
      <c r="J424" s="246"/>
      <c r="K424" s="246"/>
      <c r="L424" s="246"/>
      <c r="M424" s="246"/>
      <c r="N424" s="246"/>
      <c r="O424" s="305"/>
      <c r="P424" s="155"/>
      <c r="Q424" s="246"/>
      <c r="R424" s="246"/>
      <c r="S424" s="246"/>
      <c r="T424" s="246"/>
      <c r="U424" s="246"/>
      <c r="V424" s="102" t="s">
        <v>43</v>
      </c>
      <c r="W424" s="286" t="s">
        <v>225</v>
      </c>
      <c r="X424" s="279"/>
      <c r="Y424" s="279"/>
      <c r="Z424" s="280">
        <f t="shared" si="103"/>
        <v>13843.692830312786</v>
      </c>
      <c r="AA424" s="279"/>
      <c r="AB424" s="279"/>
      <c r="AC424" s="280"/>
      <c r="AD424" s="288"/>
      <c r="AE424" s="287"/>
      <c r="AF424" s="280">
        <f t="shared" si="104"/>
        <v>11978.69</v>
      </c>
      <c r="AG424" s="281"/>
      <c r="AH424" s="282">
        <f t="shared" si="94"/>
        <v>-1865.0028303127856</v>
      </c>
      <c r="AI424" s="283">
        <f t="shared" si="102"/>
        <v>-0.13471859374321637</v>
      </c>
      <c r="AJ424" s="288"/>
      <c r="AK424" s="279"/>
      <c r="AL424" s="280">
        <f t="shared" si="105"/>
        <v>8957.89</v>
      </c>
      <c r="AM424" s="284"/>
      <c r="AN424" s="282">
        <f t="shared" si="101"/>
        <v>3020.8000000000011</v>
      </c>
      <c r="AO424" s="289">
        <f t="shared" si="100"/>
        <v>0.33722226997652366</v>
      </c>
      <c r="AP424" s="246"/>
      <c r="AQ424" s="246"/>
      <c r="AS424" s="475"/>
      <c r="AT424" s="475"/>
      <c r="AU424" s="475"/>
      <c r="AV424" s="475"/>
      <c r="AW424" s="475"/>
      <c r="AX424" s="475"/>
      <c r="AY424" s="475"/>
      <c r="AZ424" s="246"/>
      <c r="BA424" s="246"/>
      <c r="BB424" s="246"/>
      <c r="BC424" s="246"/>
      <c r="BD424" s="246"/>
      <c r="BE424" s="246"/>
      <c r="BF424" s="246"/>
      <c r="BG424" s="246"/>
      <c r="BH424" s="246"/>
      <c r="BI424" s="246"/>
    </row>
    <row r="425" spans="1:61" ht="18" hidden="1">
      <c r="A425" t="str">
        <f t="shared" si="89"/>
        <v>[...]</v>
      </c>
      <c r="B425" s="7"/>
      <c r="C425" s="246"/>
      <c r="D425" s="246"/>
      <c r="E425" s="246"/>
      <c r="F425" s="246"/>
      <c r="G425" s="246"/>
      <c r="H425" s="246"/>
      <c r="I425" s="246"/>
      <c r="J425" s="246"/>
      <c r="K425" s="246"/>
      <c r="L425" s="246"/>
      <c r="M425" s="246"/>
      <c r="N425" s="246"/>
      <c r="O425" s="305"/>
      <c r="P425" s="155"/>
      <c r="Q425" s="246"/>
      <c r="R425" s="246"/>
      <c r="S425" s="246"/>
      <c r="T425" s="246"/>
      <c r="U425" s="246"/>
      <c r="V425" s="102" t="s">
        <v>19</v>
      </c>
      <c r="W425" s="286"/>
      <c r="X425" s="279"/>
      <c r="Y425" s="279"/>
      <c r="Z425" s="282">
        <f t="shared" si="103"/>
        <v>0</v>
      </c>
      <c r="AA425" s="279"/>
      <c r="AB425" s="279"/>
      <c r="AC425" s="282"/>
      <c r="AD425" s="288"/>
      <c r="AE425" s="287"/>
      <c r="AF425" s="280">
        <f t="shared" si="104"/>
        <v>0</v>
      </c>
      <c r="AG425" s="281"/>
      <c r="AH425" s="282">
        <f t="shared" ref="AH425:AH451" si="106">AF425-Z425</f>
        <v>0</v>
      </c>
      <c r="AI425" s="283">
        <f t="shared" si="102"/>
        <v>0</v>
      </c>
      <c r="AJ425" s="288"/>
      <c r="AK425" s="279"/>
      <c r="AL425" s="280">
        <f t="shared" si="105"/>
        <v>0</v>
      </c>
      <c r="AM425" s="284"/>
      <c r="AN425" s="282">
        <f t="shared" si="101"/>
        <v>0</v>
      </c>
      <c r="AO425" s="289">
        <f t="shared" si="100"/>
        <v>0</v>
      </c>
      <c r="AP425" s="246"/>
      <c r="AQ425" s="246"/>
      <c r="AR425" s="440"/>
      <c r="AS425" s="475"/>
      <c r="AT425" s="475"/>
      <c r="AU425" s="475"/>
      <c r="AV425" s="475"/>
      <c r="AW425" s="475"/>
      <c r="AX425" s="475"/>
      <c r="AY425" s="475"/>
      <c r="AZ425" s="246"/>
      <c r="BA425" s="246"/>
      <c r="BB425" s="246"/>
      <c r="BC425" s="246"/>
      <c r="BD425" s="246"/>
      <c r="BE425" s="246"/>
      <c r="BF425" s="246"/>
      <c r="BG425" s="246"/>
      <c r="BH425" s="246"/>
      <c r="BI425" s="246"/>
    </row>
    <row r="426" spans="1:61" ht="18" hidden="1">
      <c r="A426" t="str">
        <f t="shared" si="89"/>
        <v>[...]</v>
      </c>
      <c r="B426" s="7"/>
      <c r="C426" s="246"/>
      <c r="D426" s="246"/>
      <c r="E426" s="246"/>
      <c r="F426" s="246"/>
      <c r="G426" s="246"/>
      <c r="H426" s="246"/>
      <c r="I426" s="246"/>
      <c r="J426" s="246"/>
      <c r="K426" s="246"/>
      <c r="L426" s="246"/>
      <c r="M426" s="246"/>
      <c r="N426" s="246"/>
      <c r="O426" s="305"/>
      <c r="P426" s="155"/>
      <c r="Q426" s="246"/>
      <c r="R426" s="246"/>
      <c r="S426" s="246"/>
      <c r="T426" s="246"/>
      <c r="U426" s="246"/>
      <c r="V426" s="102" t="s">
        <v>19</v>
      </c>
      <c r="W426" s="286"/>
      <c r="X426" s="279"/>
      <c r="Y426" s="279"/>
      <c r="Z426" s="282">
        <f t="shared" si="103"/>
        <v>0</v>
      </c>
      <c r="AA426" s="279"/>
      <c r="AB426" s="279"/>
      <c r="AC426" s="282"/>
      <c r="AD426" s="288"/>
      <c r="AE426" s="287"/>
      <c r="AF426" s="280">
        <f t="shared" si="104"/>
        <v>0</v>
      </c>
      <c r="AG426" s="281"/>
      <c r="AH426" s="282">
        <f t="shared" si="106"/>
        <v>0</v>
      </c>
      <c r="AI426" s="283">
        <f t="shared" si="102"/>
        <v>0</v>
      </c>
      <c r="AJ426" s="288"/>
      <c r="AK426" s="279"/>
      <c r="AL426" s="280">
        <f t="shared" si="105"/>
        <v>0</v>
      </c>
      <c r="AM426" s="284"/>
      <c r="AN426" s="282">
        <f t="shared" si="101"/>
        <v>0</v>
      </c>
      <c r="AO426" s="289">
        <f t="shared" si="100"/>
        <v>0</v>
      </c>
      <c r="AP426" s="246"/>
      <c r="AQ426" s="246"/>
      <c r="AS426" s="475"/>
      <c r="AT426" s="475"/>
      <c r="AU426" s="475"/>
      <c r="AV426" s="475"/>
      <c r="AW426" s="475"/>
      <c r="AX426" s="475"/>
      <c r="AY426" s="475"/>
      <c r="AZ426" s="246"/>
      <c r="BA426" s="246"/>
      <c r="BB426" s="246"/>
      <c r="BC426" s="246"/>
      <c r="BD426" s="246"/>
      <c r="BE426" s="246"/>
      <c r="BF426" s="246"/>
      <c r="BG426" s="246"/>
      <c r="BH426" s="246"/>
      <c r="BI426" s="246"/>
    </row>
    <row r="427" spans="1:61" ht="18" hidden="1">
      <c r="A427" t="str">
        <f t="shared" si="89"/>
        <v>[...]</v>
      </c>
      <c r="B427" s="7"/>
      <c r="C427" s="246"/>
      <c r="D427" s="246"/>
      <c r="E427" s="246"/>
      <c r="F427" s="246"/>
      <c r="G427" s="246"/>
      <c r="H427" s="246"/>
      <c r="I427" s="246"/>
      <c r="J427" s="246"/>
      <c r="K427" s="246"/>
      <c r="L427" s="246"/>
      <c r="M427" s="246"/>
      <c r="N427" s="246"/>
      <c r="O427" s="305"/>
      <c r="P427" s="155"/>
      <c r="Q427" s="246"/>
      <c r="R427" s="246"/>
      <c r="S427" s="246"/>
      <c r="T427" s="246"/>
      <c r="U427" s="246"/>
      <c r="V427" s="102" t="s">
        <v>19</v>
      </c>
      <c r="W427" s="286"/>
      <c r="X427" s="279"/>
      <c r="Y427" s="279"/>
      <c r="Z427" s="282">
        <f t="shared" si="103"/>
        <v>0</v>
      </c>
      <c r="AA427" s="279"/>
      <c r="AB427" s="279"/>
      <c r="AC427" s="282"/>
      <c r="AD427" s="288"/>
      <c r="AE427" s="287"/>
      <c r="AF427" s="280">
        <f t="shared" si="104"/>
        <v>0</v>
      </c>
      <c r="AG427" s="281"/>
      <c r="AH427" s="282">
        <f t="shared" si="106"/>
        <v>0</v>
      </c>
      <c r="AI427" s="283">
        <f t="shared" si="102"/>
        <v>0</v>
      </c>
      <c r="AJ427" s="288"/>
      <c r="AK427" s="279"/>
      <c r="AL427" s="280">
        <f t="shared" si="105"/>
        <v>0</v>
      </c>
      <c r="AM427" s="284"/>
      <c r="AN427" s="282">
        <f t="shared" si="101"/>
        <v>0</v>
      </c>
      <c r="AO427" s="289">
        <f t="shared" si="100"/>
        <v>0</v>
      </c>
      <c r="AP427" s="246"/>
      <c r="AQ427" s="246"/>
      <c r="AS427" s="475"/>
      <c r="AT427" s="475"/>
      <c r="AU427" s="475"/>
      <c r="AV427" s="475"/>
      <c r="AW427" s="475"/>
      <c r="AX427" s="475"/>
      <c r="AY427" s="475"/>
      <c r="AZ427" s="246"/>
      <c r="BA427" s="246"/>
      <c r="BB427" s="246"/>
      <c r="BC427" s="246"/>
      <c r="BD427" s="246"/>
      <c r="BE427" s="246"/>
      <c r="BF427" s="246"/>
      <c r="BG427" s="246"/>
      <c r="BH427" s="246"/>
      <c r="BI427" s="246"/>
    </row>
    <row r="428" spans="1:61" ht="18">
      <c r="A428" t="str">
        <f t="shared" si="89"/>
        <v>Salaires en absences</v>
      </c>
      <c r="B428" s="7"/>
      <c r="C428" s="246"/>
      <c r="D428" s="246"/>
      <c r="E428" s="246"/>
      <c r="F428" s="246"/>
      <c r="G428" s="246"/>
      <c r="H428" s="246"/>
      <c r="I428" s="246"/>
      <c r="J428" s="246"/>
      <c r="K428" s="246"/>
      <c r="L428" s="246"/>
      <c r="M428" s="246"/>
      <c r="N428" s="246"/>
      <c r="O428" s="305"/>
      <c r="P428" s="155"/>
      <c r="Q428" s="246"/>
      <c r="R428" s="246"/>
      <c r="S428" s="246"/>
      <c r="T428" s="246"/>
      <c r="U428" s="246"/>
      <c r="V428" s="103" t="s">
        <v>44</v>
      </c>
      <c r="W428" s="290" t="s">
        <v>141</v>
      </c>
      <c r="X428" s="263"/>
      <c r="Y428" s="263"/>
      <c r="Z428" s="264">
        <f t="shared" si="103"/>
        <v>20888.998574829337</v>
      </c>
      <c r="AA428" s="263"/>
      <c r="AB428" s="263"/>
      <c r="AC428" s="264"/>
      <c r="AD428" s="292"/>
      <c r="AE428" s="291"/>
      <c r="AF428" s="264">
        <f t="shared" si="104"/>
        <v>19679.96</v>
      </c>
      <c r="AG428" s="265"/>
      <c r="AH428" s="266">
        <f t="shared" si="106"/>
        <v>-1209.0385748293374</v>
      </c>
      <c r="AI428" s="293">
        <f t="shared" si="102"/>
        <v>-5.7879202322613753E-2</v>
      </c>
      <c r="AJ428" s="292"/>
      <c r="AK428" s="263"/>
      <c r="AL428" s="264">
        <f t="shared" si="105"/>
        <v>14087.76</v>
      </c>
      <c r="AM428" s="268"/>
      <c r="AN428" s="266">
        <f t="shared" si="101"/>
        <v>5592.1999999999989</v>
      </c>
      <c r="AO428" s="294">
        <f t="shared" si="100"/>
        <v>0.39695451938420295</v>
      </c>
      <c r="AP428" s="475"/>
      <c r="AQ428" s="483"/>
      <c r="AS428" s="475"/>
      <c r="AT428" s="475"/>
      <c r="AU428" s="475"/>
      <c r="AV428" s="475"/>
      <c r="AW428" s="475"/>
      <c r="AX428" s="475"/>
      <c r="AY428" s="475"/>
      <c r="AZ428" s="246"/>
      <c r="BA428" s="246"/>
      <c r="BB428" s="246"/>
      <c r="BC428" s="246"/>
      <c r="BD428" s="246"/>
      <c r="BE428" s="246"/>
      <c r="BF428" s="246"/>
      <c r="BG428" s="246"/>
      <c r="BH428" s="246"/>
      <c r="BI428" s="246"/>
    </row>
    <row r="429" spans="1:61" ht="18">
      <c r="A429" t="str">
        <f t="shared" si="89"/>
        <v>Déduction à la source</v>
      </c>
      <c r="B429" s="7"/>
      <c r="C429" s="246"/>
      <c r="D429" s="246"/>
      <c r="E429" s="246"/>
      <c r="F429" s="246"/>
      <c r="G429" s="246"/>
      <c r="H429" s="246"/>
      <c r="I429" s="246"/>
      <c r="J429" s="246"/>
      <c r="K429" s="246"/>
      <c r="L429" s="246"/>
      <c r="M429" s="246"/>
      <c r="N429" s="246"/>
      <c r="O429" s="305"/>
      <c r="P429" s="155"/>
      <c r="Q429" s="246"/>
      <c r="R429" s="246"/>
      <c r="S429" s="246"/>
      <c r="T429" s="246"/>
      <c r="U429" s="246"/>
      <c r="V429" s="102" t="s">
        <v>45</v>
      </c>
      <c r="W429" s="286" t="s">
        <v>142</v>
      </c>
      <c r="X429" s="279"/>
      <c r="Y429" s="279"/>
      <c r="Z429" s="280">
        <f t="shared" si="103"/>
        <v>27145.56920354547</v>
      </c>
      <c r="AA429" s="279"/>
      <c r="AB429" s="279"/>
      <c r="AC429" s="280"/>
      <c r="AD429" s="288"/>
      <c r="AE429" s="287"/>
      <c r="AF429" s="280">
        <f t="shared" si="104"/>
        <v>24939.25</v>
      </c>
      <c r="AG429" s="281"/>
      <c r="AH429" s="282">
        <f t="shared" si="106"/>
        <v>-2206.3192035454704</v>
      </c>
      <c r="AI429" s="283">
        <f t="shared" si="102"/>
        <v>-8.1277323271501126E-2</v>
      </c>
      <c r="AJ429" s="288"/>
      <c r="AK429" s="279"/>
      <c r="AL429" s="280">
        <f t="shared" si="105"/>
        <v>22611.759999999998</v>
      </c>
      <c r="AM429" s="284"/>
      <c r="AN429" s="282">
        <f t="shared" si="101"/>
        <v>2327.4900000000016</v>
      </c>
      <c r="AO429" s="289">
        <f t="shared" si="100"/>
        <v>0.10293272173417733</v>
      </c>
      <c r="AP429" s="475"/>
      <c r="AQ429" s="474"/>
      <c r="AR429" s="474"/>
      <c r="AS429" s="475"/>
      <c r="AT429" s="475"/>
      <c r="AU429" s="475"/>
      <c r="AV429" s="246"/>
      <c r="AW429" s="246"/>
      <c r="AX429" s="246"/>
      <c r="AY429" s="246"/>
      <c r="AZ429" s="246"/>
      <c r="BA429" s="246"/>
      <c r="BB429" s="246"/>
      <c r="BC429" s="246"/>
      <c r="BD429" s="246"/>
      <c r="BE429" s="246"/>
      <c r="BF429" s="246"/>
      <c r="BG429" s="246"/>
      <c r="BH429" s="246"/>
      <c r="BI429" s="246"/>
    </row>
    <row r="430" spans="1:61" ht="18">
      <c r="A430" t="str">
        <f t="shared" si="89"/>
        <v>Bénéfices marginaux</v>
      </c>
      <c r="B430" s="7"/>
      <c r="C430" s="246"/>
      <c r="D430" s="246"/>
      <c r="E430" s="246"/>
      <c r="F430" s="246"/>
      <c r="G430" s="246"/>
      <c r="H430" s="246"/>
      <c r="I430" s="246"/>
      <c r="J430" s="246"/>
      <c r="K430" s="246"/>
      <c r="L430" s="246"/>
      <c r="M430" s="246"/>
      <c r="N430" s="246"/>
      <c r="O430" s="305"/>
      <c r="P430" s="155"/>
      <c r="Q430" s="246"/>
      <c r="R430" s="246"/>
      <c r="S430" s="246"/>
      <c r="T430" s="246"/>
      <c r="U430" s="246"/>
      <c r="V430" s="102" t="s">
        <v>46</v>
      </c>
      <c r="W430" s="286" t="s">
        <v>226</v>
      </c>
      <c r="X430" s="279"/>
      <c r="Y430" s="279"/>
      <c r="Z430" s="280">
        <f t="shared" si="103"/>
        <v>12559.890228506112</v>
      </c>
      <c r="AA430" s="279"/>
      <c r="AB430" s="279"/>
      <c r="AC430" s="280"/>
      <c r="AD430" s="288"/>
      <c r="AE430" s="287"/>
      <c r="AF430" s="280">
        <f t="shared" si="104"/>
        <v>13070.670000000002</v>
      </c>
      <c r="AG430" s="281"/>
      <c r="AH430" s="282">
        <f t="shared" si="106"/>
        <v>510.77977149388971</v>
      </c>
      <c r="AI430" s="283">
        <f t="shared" si="102"/>
        <v>4.0667534683911204E-2</v>
      </c>
      <c r="AJ430" s="288"/>
      <c r="AK430" s="279"/>
      <c r="AL430" s="280">
        <f>IFERROR(SUMIF($C:$C,$V430,Q:Q),0)</f>
        <v>12066.56</v>
      </c>
      <c r="AM430" s="284"/>
      <c r="AN430" s="282">
        <f t="shared" si="101"/>
        <v>1004.1100000000024</v>
      </c>
      <c r="AO430" s="289">
        <f t="shared" si="100"/>
        <v>8.321427150737265E-2</v>
      </c>
      <c r="AP430" s="475"/>
      <c r="AQ430" s="474"/>
      <c r="AR430" s="474"/>
      <c r="AS430" s="475"/>
      <c r="AT430" s="475"/>
      <c r="AU430" s="475"/>
      <c r="AV430" s="246"/>
      <c r="AW430" s="246"/>
      <c r="AX430" s="246"/>
      <c r="AY430" s="246"/>
      <c r="AZ430" s="246"/>
      <c r="BA430" s="246"/>
      <c r="BB430" s="246"/>
      <c r="BC430" s="246"/>
      <c r="BD430" s="246"/>
      <c r="BE430" s="246"/>
      <c r="BF430" s="246"/>
      <c r="BG430" s="246"/>
      <c r="BH430" s="246"/>
      <c r="BI430" s="246"/>
    </row>
    <row r="431" spans="1:61" ht="18">
      <c r="A431" t="str">
        <f t="shared" si="89"/>
        <v>Csst</v>
      </c>
      <c r="B431" s="7"/>
      <c r="C431" s="246"/>
      <c r="D431" s="246"/>
      <c r="E431" s="246"/>
      <c r="F431" s="246"/>
      <c r="G431" s="246"/>
      <c r="H431" s="246"/>
      <c r="I431" s="246"/>
      <c r="J431" s="246"/>
      <c r="K431" s="246"/>
      <c r="L431" s="246"/>
      <c r="M431" s="246"/>
      <c r="N431" s="246"/>
      <c r="O431" s="305"/>
      <c r="P431" s="155"/>
      <c r="Q431" s="246"/>
      <c r="R431" s="246"/>
      <c r="S431" s="246"/>
      <c r="T431" s="246"/>
      <c r="U431" s="246"/>
      <c r="V431" s="102" t="s">
        <v>47</v>
      </c>
      <c r="W431" s="286" t="s">
        <v>227</v>
      </c>
      <c r="X431" s="279"/>
      <c r="Y431" s="279"/>
      <c r="Z431" s="280">
        <f t="shared" si="103"/>
        <v>2836.1042451465419</v>
      </c>
      <c r="AA431" s="279"/>
      <c r="AB431" s="279"/>
      <c r="AC431" s="280"/>
      <c r="AD431" s="288"/>
      <c r="AE431" s="287"/>
      <c r="AF431" s="280">
        <f t="shared" si="104"/>
        <v>632.86</v>
      </c>
      <c r="AG431" s="281"/>
      <c r="AH431" s="282">
        <f t="shared" si="106"/>
        <v>-2203.2442451465417</v>
      </c>
      <c r="AI431" s="306">
        <f t="shared" si="102"/>
        <v>-0.77685587506770215</v>
      </c>
      <c r="AJ431" s="288"/>
      <c r="AK431" s="279"/>
      <c r="AL431" s="280">
        <f>IFERROR(SUMIF($C:$C,$V431,Q:Q),0)</f>
        <v>2429.8700000000003</v>
      </c>
      <c r="AM431" s="284"/>
      <c r="AN431" s="282">
        <f t="shared" si="101"/>
        <v>-1797.0100000000002</v>
      </c>
      <c r="AO431" s="294">
        <f t="shared" si="100"/>
        <v>-0.73954985246124272</v>
      </c>
      <c r="AP431" s="475"/>
      <c r="AQ431" s="474"/>
      <c r="AR431" s="474"/>
      <c r="AS431" s="475"/>
      <c r="AT431" s="475"/>
      <c r="AU431" s="475"/>
      <c r="AV431" s="246"/>
      <c r="AW431" s="246"/>
      <c r="AX431" s="246"/>
      <c r="AY431" s="246"/>
      <c r="AZ431" s="246"/>
      <c r="BA431" s="246"/>
      <c r="BB431" s="246"/>
      <c r="BC431" s="246"/>
      <c r="BD431" s="246"/>
      <c r="BE431" s="246"/>
      <c r="BF431" s="246"/>
      <c r="BG431" s="246"/>
      <c r="BH431" s="246"/>
      <c r="BI431" s="246"/>
    </row>
    <row r="432" spans="1:61" ht="20.25" hidden="1">
      <c r="A432" t="str">
        <f t="shared" si="89"/>
        <v>[...]</v>
      </c>
      <c r="B432" s="7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246"/>
      <c r="U432" s="246"/>
      <c r="V432" s="29" t="s">
        <v>19</v>
      </c>
      <c r="W432" s="286"/>
      <c r="X432" s="279"/>
      <c r="Y432" s="287"/>
      <c r="Z432" s="282">
        <f>IFERROR(SUMIF($C:$C,$V432,F:F),0)</f>
        <v>0</v>
      </c>
      <c r="AA432" s="279"/>
      <c r="AB432" s="279"/>
      <c r="AC432" s="282"/>
      <c r="AD432" s="288"/>
      <c r="AE432" s="287"/>
      <c r="AF432" s="280">
        <f t="shared" si="104"/>
        <v>0</v>
      </c>
      <c r="AG432" s="281"/>
      <c r="AH432" s="282">
        <f t="shared" si="106"/>
        <v>0</v>
      </c>
      <c r="AI432" s="283">
        <f t="shared" si="102"/>
        <v>0</v>
      </c>
      <c r="AJ432" s="288"/>
      <c r="AK432" s="279"/>
      <c r="AL432" s="280">
        <f>IFERROR(SUMIF($C:$C,$V432,Q:Q),0)</f>
        <v>0</v>
      </c>
      <c r="AM432" s="284"/>
      <c r="AN432" s="282"/>
      <c r="AO432" s="294"/>
      <c r="AP432" s="246"/>
      <c r="AQ432" s="246"/>
      <c r="AR432" s="474"/>
      <c r="AS432" s="475"/>
      <c r="AT432" s="475"/>
      <c r="AU432" s="475"/>
      <c r="AV432" s="246"/>
      <c r="AW432" s="246"/>
      <c r="AX432" s="246"/>
      <c r="AY432" s="246"/>
      <c r="AZ432" s="246"/>
      <c r="BA432" s="246"/>
      <c r="BB432" s="246"/>
      <c r="BC432" s="246"/>
      <c r="BD432" s="246"/>
      <c r="BE432" s="246"/>
      <c r="BF432" s="246"/>
      <c r="BG432" s="246"/>
      <c r="BH432" s="246"/>
      <c r="BI432" s="246"/>
    </row>
    <row r="433" spans="1:62" ht="18">
      <c r="A433" t="str">
        <f t="shared" si="89"/>
        <v>TOTAL PERSONNEL</v>
      </c>
      <c r="B433" s="7"/>
      <c r="C433" s="246"/>
      <c r="D433" s="246"/>
      <c r="E433" s="246"/>
      <c r="F433" s="246"/>
      <c r="G433" s="246"/>
      <c r="H433" s="246"/>
      <c r="I433" s="246"/>
      <c r="J433" s="246"/>
      <c r="K433" s="246"/>
      <c r="L433" s="246"/>
      <c r="M433" s="246"/>
      <c r="R433" s="246"/>
      <c r="S433" s="246"/>
      <c r="T433" s="246"/>
      <c r="U433" s="246"/>
      <c r="V433" s="296" t="s">
        <v>48</v>
      </c>
      <c r="W433" s="297"/>
      <c r="X433" s="298">
        <f>Z433/Z407</f>
        <v>0.42434005919659107</v>
      </c>
      <c r="Y433" s="297"/>
      <c r="Z433" s="299">
        <f>SUM(Z420:Z432)</f>
        <v>167125.68256325627</v>
      </c>
      <c r="AA433" s="298"/>
      <c r="AB433" s="297"/>
      <c r="AC433" s="299"/>
      <c r="AD433" s="300">
        <f>AF433/AF407</f>
        <v>0.41808262895697312</v>
      </c>
      <c r="AE433" s="307"/>
      <c r="AF433" s="299">
        <f>SUM(AF420:AF432)</f>
        <v>147971.04</v>
      </c>
      <c r="AG433" s="308"/>
      <c r="AH433" s="302">
        <f t="shared" si="106"/>
        <v>-19154.64256325626</v>
      </c>
      <c r="AI433" s="298">
        <f>AH433/Z433</f>
        <v>-0.11461220244235246</v>
      </c>
      <c r="AJ433" s="300">
        <f>IF($AL$407=0,0,AL433/$AL$407)</f>
        <v>0.34510111077559957</v>
      </c>
      <c r="AK433" s="297"/>
      <c r="AL433" s="299">
        <f>SUM(AL420:AL432)</f>
        <v>126435.35999999999</v>
      </c>
      <c r="AM433" s="309"/>
      <c r="AN433" s="302">
        <f t="shared" ref="AN433:AN447" si="107">AF433-AL433</f>
        <v>21535.680000000022</v>
      </c>
      <c r="AO433" s="277">
        <f>IF(AL433=0,0,AN433/AL433)</f>
        <v>0.17032956603279356</v>
      </c>
      <c r="AP433" s="246"/>
      <c r="AQ433" s="246"/>
      <c r="AR433" s="474"/>
      <c r="AS433" s="475"/>
      <c r="AT433" s="475"/>
      <c r="AU433" s="475"/>
      <c r="AV433" s="246"/>
      <c r="AW433" s="246"/>
      <c r="AX433" s="246"/>
      <c r="AY433" s="246"/>
      <c r="AZ433" s="246"/>
      <c r="BA433" s="246"/>
      <c r="BB433" s="246"/>
      <c r="BC433" s="246"/>
      <c r="BD433" s="246"/>
      <c r="BE433" s="246"/>
      <c r="BF433" s="246"/>
      <c r="BG433" s="246"/>
      <c r="BH433" s="246"/>
      <c r="BI433" s="246"/>
    </row>
    <row r="434" spans="1:62" ht="18">
      <c r="A434" t="str">
        <f t="shared" si="89"/>
        <v>Publicité 2</v>
      </c>
      <c r="B434" s="7"/>
      <c r="C434" s="246"/>
      <c r="D434" s="246"/>
      <c r="E434" s="246"/>
      <c r="F434" s="246"/>
      <c r="G434" s="246"/>
      <c r="H434" s="246"/>
      <c r="I434" s="246"/>
      <c r="J434" s="246"/>
      <c r="K434" s="246"/>
      <c r="L434" s="246"/>
      <c r="M434" s="246"/>
      <c r="N434" s="246"/>
      <c r="O434" s="246"/>
      <c r="P434" s="246"/>
      <c r="Q434" s="310"/>
      <c r="S434" s="246"/>
      <c r="T434" s="246"/>
      <c r="U434" s="246"/>
      <c r="V434" s="211" t="s">
        <v>49</v>
      </c>
      <c r="W434" s="311" t="s">
        <v>228</v>
      </c>
      <c r="X434" s="312"/>
      <c r="Y434" s="312"/>
      <c r="Z434" s="313">
        <f t="shared" ref="Z434:Z448" si="108">+SUMIF($C:$C,$V434,F:F)</f>
        <v>6466.882381805266</v>
      </c>
      <c r="AA434" s="312"/>
      <c r="AB434" s="312"/>
      <c r="AC434" s="313"/>
      <c r="AD434" s="314"/>
      <c r="AE434" s="315"/>
      <c r="AF434" s="313">
        <f t="shared" ref="AF434:AF451" si="109">+SUMIF($C:$C,$V434,L:L)</f>
        <v>7019.74</v>
      </c>
      <c r="AG434" s="314"/>
      <c r="AH434" s="316">
        <f t="shared" si="106"/>
        <v>552.85761819473373</v>
      </c>
      <c r="AI434" s="317">
        <f t="shared" ref="AI434:AI451" si="110">IF(Z434=0,0,AH434/Z434)</f>
        <v>8.5490594316391513E-2</v>
      </c>
      <c r="AJ434" s="314"/>
      <c r="AK434" s="312"/>
      <c r="AL434" s="313">
        <f t="shared" ref="AL434:AL448" si="111">+SUMIF($C:$C,$V434,Q:Q)</f>
        <v>5670.4699999999993</v>
      </c>
      <c r="AM434" s="318"/>
      <c r="AN434" s="316">
        <f t="shared" si="107"/>
        <v>1349.2700000000004</v>
      </c>
      <c r="AO434" s="285">
        <f t="shared" ref="AO434:AO447" si="112">IF(AL434=0,0,AN434/AL434)</f>
        <v>0.23794676631743059</v>
      </c>
      <c r="AP434" s="246"/>
      <c r="AQ434" s="246">
        <f>7624-605</f>
        <v>7019</v>
      </c>
      <c r="AR434" s="246"/>
      <c r="AS434" s="484"/>
      <c r="AT434" s="475"/>
      <c r="AU434" s="475"/>
      <c r="AV434" s="246"/>
      <c r="AW434" s="246"/>
      <c r="AX434" s="246"/>
      <c r="AY434" s="246"/>
      <c r="AZ434" s="246"/>
      <c r="BA434" s="246"/>
      <c r="BB434" s="246"/>
      <c r="BC434" s="246"/>
      <c r="BD434" s="246"/>
      <c r="BE434" s="246"/>
      <c r="BF434" s="246"/>
      <c r="BG434" s="246"/>
      <c r="BH434" s="246"/>
      <c r="BI434" s="246"/>
    </row>
    <row r="435" spans="1:62" ht="18">
      <c r="A435" t="str">
        <f t="shared" si="89"/>
        <v>Service gratuit 2</v>
      </c>
      <c r="B435" s="7"/>
      <c r="C435" s="246"/>
      <c r="D435" s="246"/>
      <c r="E435" s="246"/>
      <c r="F435" s="246"/>
      <c r="G435" s="246"/>
      <c r="H435" s="246"/>
      <c r="I435" s="246"/>
      <c r="J435" s="246"/>
      <c r="K435" s="246"/>
      <c r="L435" s="246"/>
      <c r="M435" s="246"/>
      <c r="N435" s="246"/>
      <c r="O435" s="246"/>
      <c r="Q435" s="310"/>
      <c r="S435" s="246"/>
      <c r="T435" s="246"/>
      <c r="U435" s="246"/>
      <c r="V435" s="102" t="s">
        <v>50</v>
      </c>
      <c r="W435" s="286" t="s">
        <v>148</v>
      </c>
      <c r="X435" s="279"/>
      <c r="Y435" s="279"/>
      <c r="Z435" s="280">
        <f t="shared" si="108"/>
        <v>3965</v>
      </c>
      <c r="AA435" s="279"/>
      <c r="AB435" s="279"/>
      <c r="AC435" s="280"/>
      <c r="AD435" s="288"/>
      <c r="AE435" s="287"/>
      <c r="AF435" s="280">
        <f t="shared" si="109"/>
        <v>6141.1600000000008</v>
      </c>
      <c r="AG435" s="281"/>
      <c r="AH435" s="282">
        <f t="shared" si="106"/>
        <v>2176.1600000000008</v>
      </c>
      <c r="AI435" s="283">
        <f t="shared" si="110"/>
        <v>0.54884237074401032</v>
      </c>
      <c r="AJ435" s="288"/>
      <c r="AK435" s="279"/>
      <c r="AL435" s="280">
        <f t="shared" si="111"/>
        <v>8371.4699999999993</v>
      </c>
      <c r="AM435" s="284"/>
      <c r="AN435" s="282">
        <f t="shared" si="107"/>
        <v>-2230.3099999999986</v>
      </c>
      <c r="AO435" s="289">
        <f t="shared" si="112"/>
        <v>-0.26641796482577118</v>
      </c>
      <c r="AP435" s="246"/>
      <c r="AQ435" s="246">
        <f>7141-1000</f>
        <v>6141</v>
      </c>
      <c r="AR435" s="246"/>
      <c r="AS435" s="246"/>
      <c r="AT435" s="246"/>
      <c r="AU435" s="246"/>
      <c r="AV435" s="246"/>
      <c r="AW435" s="246"/>
      <c r="AX435" s="246"/>
      <c r="AY435" s="246"/>
      <c r="AZ435" s="246"/>
      <c r="BA435" s="246"/>
      <c r="BB435" s="246"/>
      <c r="BC435" s="246"/>
      <c r="BD435" s="246"/>
      <c r="BE435" s="246"/>
      <c r="BF435" s="246"/>
      <c r="BG435" s="246"/>
      <c r="BH435" s="246"/>
      <c r="BI435" s="246"/>
    </row>
    <row r="436" spans="1:62" ht="18">
      <c r="A436" t="str">
        <f t="shared" si="89"/>
        <v>Frais véhicules de cie</v>
      </c>
      <c r="B436" s="7"/>
      <c r="C436" s="246"/>
      <c r="D436" s="246"/>
      <c r="E436" s="246"/>
      <c r="F436" s="246"/>
      <c r="G436" s="246"/>
      <c r="H436" s="246"/>
      <c r="I436" s="246"/>
      <c r="J436" s="246"/>
      <c r="K436" s="246"/>
      <c r="L436" s="246"/>
      <c r="M436" s="246"/>
      <c r="N436" s="246"/>
      <c r="O436" s="246"/>
      <c r="P436" s="246"/>
      <c r="Q436" s="310"/>
      <c r="S436" s="246"/>
      <c r="T436" s="246"/>
      <c r="U436" s="246"/>
      <c r="V436" s="103" t="s">
        <v>51</v>
      </c>
      <c r="W436" s="290" t="s">
        <v>229</v>
      </c>
      <c r="X436" s="263"/>
      <c r="Y436" s="263"/>
      <c r="Z436" s="264">
        <f t="shared" si="108"/>
        <v>15303.333333333334</v>
      </c>
      <c r="AA436" s="263"/>
      <c r="AB436" s="263"/>
      <c r="AC436" s="264"/>
      <c r="AD436" s="292"/>
      <c r="AE436" s="291"/>
      <c r="AF436" s="264">
        <f t="shared" si="109"/>
        <v>20582.55</v>
      </c>
      <c r="AG436" s="265"/>
      <c r="AH436" s="266">
        <f t="shared" si="106"/>
        <v>5279.2166666666653</v>
      </c>
      <c r="AI436" s="293">
        <f t="shared" si="110"/>
        <v>0.34497168372903497</v>
      </c>
      <c r="AJ436" s="292"/>
      <c r="AK436" s="263"/>
      <c r="AL436" s="264">
        <f t="shared" si="111"/>
        <v>14873.899999999991</v>
      </c>
      <c r="AM436" s="268"/>
      <c r="AN436" s="266">
        <f t="shared" si="107"/>
        <v>5708.6500000000087</v>
      </c>
      <c r="AO436" s="269">
        <f t="shared" si="112"/>
        <v>0.38380317199927472</v>
      </c>
      <c r="AP436" s="246"/>
      <c r="AQ436" s="246">
        <v>20583</v>
      </c>
      <c r="AR436" s="485"/>
      <c r="AS436" s="246"/>
      <c r="AT436" s="246"/>
      <c r="AU436" s="246"/>
      <c r="AV436" s="246"/>
      <c r="AW436" s="246"/>
      <c r="AX436" s="246"/>
      <c r="AY436" s="246"/>
      <c r="AZ436" s="246"/>
      <c r="BA436" s="246"/>
      <c r="BB436" s="246"/>
      <c r="BC436" s="246"/>
      <c r="BD436" s="246"/>
      <c r="BE436" s="246"/>
      <c r="BF436" s="246"/>
      <c r="BG436" s="246"/>
      <c r="BH436" s="246"/>
      <c r="BI436" s="246"/>
      <c r="BJ436" s="246"/>
    </row>
    <row r="437" spans="1:62" ht="18">
      <c r="A437" t="str">
        <f t="shared" si="89"/>
        <v>Informatique</v>
      </c>
      <c r="B437" s="7"/>
      <c r="C437" s="246"/>
      <c r="D437" s="246"/>
      <c r="E437" s="246"/>
      <c r="F437" s="246"/>
      <c r="G437" s="246"/>
      <c r="H437" s="246"/>
      <c r="I437" s="246"/>
      <c r="J437" s="246"/>
      <c r="K437" s="246"/>
      <c r="L437" s="246"/>
      <c r="M437" s="246"/>
      <c r="N437" s="246"/>
      <c r="O437" s="246"/>
      <c r="P437" s="246"/>
      <c r="Q437" s="310"/>
      <c r="S437" s="246"/>
      <c r="T437" s="246"/>
      <c r="U437" s="246"/>
      <c r="V437" s="102" t="s">
        <v>52</v>
      </c>
      <c r="W437" s="286" t="s">
        <v>230</v>
      </c>
      <c r="X437" s="279"/>
      <c r="Y437" s="279"/>
      <c r="Z437" s="280">
        <f t="shared" si="108"/>
        <v>14093</v>
      </c>
      <c r="AA437" s="279"/>
      <c r="AB437" s="279"/>
      <c r="AC437" s="280"/>
      <c r="AD437" s="288"/>
      <c r="AE437" s="287"/>
      <c r="AF437" s="280">
        <f t="shared" si="109"/>
        <v>13687.95</v>
      </c>
      <c r="AG437" s="281"/>
      <c r="AH437" s="282">
        <f>AF437-Z437</f>
        <v>-405.04999999999927</v>
      </c>
      <c r="AI437" s="283">
        <f t="shared" si="110"/>
        <v>-2.8741219044915865E-2</v>
      </c>
      <c r="AJ437" s="288"/>
      <c r="AK437" s="279"/>
      <c r="AL437" s="280">
        <f t="shared" si="111"/>
        <v>14537.830000000002</v>
      </c>
      <c r="AM437" s="284"/>
      <c r="AN437" s="282">
        <f t="shared" si="107"/>
        <v>-849.88000000000102</v>
      </c>
      <c r="AO437" s="289">
        <f t="shared" si="112"/>
        <v>-5.8459893945657704E-2</v>
      </c>
      <c r="AP437" s="485"/>
      <c r="AQ437" s="246">
        <f>12871+2336-1519</f>
        <v>13688</v>
      </c>
      <c r="AR437" s="246"/>
      <c r="AS437" s="485"/>
      <c r="AT437" s="246"/>
      <c r="AU437" s="246"/>
      <c r="AV437" s="246"/>
      <c r="AW437" s="246"/>
      <c r="AX437" s="246"/>
      <c r="AY437" s="246"/>
      <c r="AZ437" s="246"/>
      <c r="BA437" s="246"/>
      <c r="BB437" s="246"/>
      <c r="BC437" s="246"/>
      <c r="BD437" s="246"/>
      <c r="BE437" s="246"/>
      <c r="BF437" s="246"/>
      <c r="BG437" s="246"/>
      <c r="BH437" s="246"/>
      <c r="BI437" s="246"/>
      <c r="BJ437" s="246"/>
    </row>
    <row r="438" spans="1:62" ht="18">
      <c r="A438" t="str">
        <f t="shared" si="89"/>
        <v>Frais de déplacement</v>
      </c>
      <c r="B438" s="7"/>
      <c r="C438" s="246"/>
      <c r="D438" s="246"/>
      <c r="E438" s="246"/>
      <c r="F438" s="246"/>
      <c r="G438" s="246"/>
      <c r="H438" s="246"/>
      <c r="I438" s="246"/>
      <c r="J438" s="246"/>
      <c r="K438" s="246"/>
      <c r="L438" s="246"/>
      <c r="M438" s="246"/>
      <c r="N438" s="246"/>
      <c r="O438" s="246"/>
      <c r="P438" s="246"/>
      <c r="Q438" s="310"/>
      <c r="S438" s="246"/>
      <c r="T438" s="246"/>
      <c r="U438" s="246"/>
      <c r="V438" s="102" t="s">
        <v>53</v>
      </c>
      <c r="W438" s="286" t="s">
        <v>231</v>
      </c>
      <c r="X438" s="279"/>
      <c r="Y438" s="279"/>
      <c r="Z438" s="280">
        <f t="shared" si="108"/>
        <v>1828</v>
      </c>
      <c r="AA438" s="279"/>
      <c r="AB438" s="279"/>
      <c r="AC438" s="280"/>
      <c r="AD438" s="288"/>
      <c r="AE438" s="287"/>
      <c r="AF438" s="280">
        <f t="shared" si="109"/>
        <v>1863.3399999999997</v>
      </c>
      <c r="AG438" s="281"/>
      <c r="AH438" s="282">
        <f t="shared" si="106"/>
        <v>35.339999999999691</v>
      </c>
      <c r="AI438" s="283">
        <f t="shared" si="110"/>
        <v>1.9332603938730684E-2</v>
      </c>
      <c r="AJ438" s="288"/>
      <c r="AK438" s="279"/>
      <c r="AL438" s="280">
        <f t="shared" si="111"/>
        <v>1849.23</v>
      </c>
      <c r="AM438" s="284"/>
      <c r="AN438" s="282">
        <f t="shared" si="107"/>
        <v>14.109999999999673</v>
      </c>
      <c r="AO438" s="289">
        <f t="shared" si="112"/>
        <v>7.6302028411823694E-3</v>
      </c>
      <c r="AP438" s="485"/>
      <c r="AQ438" s="246">
        <f>5363-3500</f>
        <v>1863</v>
      </c>
      <c r="AR438" s="485" t="s">
        <v>248</v>
      </c>
      <c r="AS438" s="246"/>
      <c r="AT438" s="246"/>
      <c r="AU438" s="246"/>
      <c r="AV438" s="246"/>
      <c r="AW438" s="246"/>
      <c r="AX438" s="246"/>
      <c r="AY438" s="246"/>
      <c r="AZ438" s="246"/>
      <c r="BA438" s="246"/>
      <c r="BB438" s="246"/>
      <c r="BC438" s="246"/>
      <c r="BD438" s="246"/>
      <c r="BE438" s="246"/>
      <c r="BF438" s="246"/>
      <c r="BG438" s="246"/>
      <c r="BH438" s="246"/>
      <c r="BI438" s="246"/>
      <c r="BJ438" s="246"/>
    </row>
    <row r="439" spans="1:62" ht="18">
      <c r="A439" t="str">
        <f t="shared" si="89"/>
        <v>Services extérieurs</v>
      </c>
      <c r="B439" s="7"/>
      <c r="C439" s="246"/>
      <c r="D439" s="246"/>
      <c r="E439" s="246"/>
      <c r="F439" s="246"/>
      <c r="G439" s="246"/>
      <c r="H439" s="246"/>
      <c r="I439" s="246"/>
      <c r="J439" s="246"/>
      <c r="K439" s="246"/>
      <c r="L439" s="246"/>
      <c r="M439" s="246"/>
      <c r="N439" s="246"/>
      <c r="O439" s="246"/>
      <c r="P439" s="246"/>
      <c r="Q439" s="310"/>
      <c r="S439" s="246"/>
      <c r="T439" s="246"/>
      <c r="U439" s="246"/>
      <c r="V439" s="102" t="s">
        <v>54</v>
      </c>
      <c r="W439" s="286" t="s">
        <v>232</v>
      </c>
      <c r="X439" s="279"/>
      <c r="Y439" s="279"/>
      <c r="Z439" s="280">
        <f t="shared" si="108"/>
        <v>10966.000000000002</v>
      </c>
      <c r="AA439" s="279"/>
      <c r="AB439" s="279"/>
      <c r="AC439" s="280"/>
      <c r="AD439" s="288"/>
      <c r="AE439" s="287"/>
      <c r="AF439" s="280">
        <f t="shared" si="109"/>
        <v>11549.84</v>
      </c>
      <c r="AG439" s="281"/>
      <c r="AH439" s="282">
        <f t="shared" si="106"/>
        <v>583.83999999999833</v>
      </c>
      <c r="AI439" s="283">
        <f t="shared" si="110"/>
        <v>5.3240926500091032E-2</v>
      </c>
      <c r="AJ439" s="288"/>
      <c r="AK439" s="279"/>
      <c r="AL439" s="280">
        <f t="shared" si="111"/>
        <v>9565.2000000000007</v>
      </c>
      <c r="AM439" s="284"/>
      <c r="AN439" s="282">
        <f t="shared" si="107"/>
        <v>1984.6399999999994</v>
      </c>
      <c r="AO439" s="289">
        <f t="shared" si="112"/>
        <v>0.20748546815539656</v>
      </c>
      <c r="AP439" s="246"/>
      <c r="AQ439" s="246">
        <f>11390-540+700</f>
        <v>11550</v>
      </c>
      <c r="AR439" s="246" t="s">
        <v>249</v>
      </c>
      <c r="AS439" s="246"/>
      <c r="AT439" s="246"/>
      <c r="AU439" s="246"/>
      <c r="AV439" s="246"/>
      <c r="AW439" s="246"/>
      <c r="AX439" s="246"/>
      <c r="AY439" s="246"/>
      <c r="AZ439" s="246"/>
      <c r="BA439" s="246"/>
      <c r="BB439" s="246"/>
      <c r="BC439" s="246"/>
      <c r="BD439" s="246"/>
      <c r="BE439" s="246"/>
      <c r="BF439" s="246"/>
      <c r="BG439" s="246"/>
      <c r="BH439" s="246"/>
      <c r="BI439" s="246"/>
      <c r="BJ439" s="246"/>
    </row>
    <row r="440" spans="1:62" ht="18">
      <c r="B440" s="7"/>
      <c r="C440" s="246"/>
      <c r="D440" s="246"/>
      <c r="E440" s="246"/>
      <c r="F440" s="246"/>
      <c r="G440" s="246"/>
      <c r="H440" s="246"/>
      <c r="I440" s="246"/>
      <c r="J440" s="246"/>
      <c r="K440" s="246"/>
      <c r="L440" s="246"/>
      <c r="M440" s="246"/>
      <c r="N440" s="246"/>
      <c r="O440" s="246"/>
      <c r="P440" s="246"/>
      <c r="Q440" s="310"/>
      <c r="S440" s="246"/>
      <c r="T440" s="246"/>
      <c r="U440" s="246"/>
      <c r="V440" s="212" t="s">
        <v>93</v>
      </c>
      <c r="W440" s="319"/>
      <c r="X440" s="320"/>
      <c r="Y440" s="320"/>
      <c r="Z440" s="321">
        <f t="shared" si="108"/>
        <v>0</v>
      </c>
      <c r="AA440" s="320"/>
      <c r="AB440" s="320"/>
      <c r="AC440" s="321"/>
      <c r="AD440" s="322"/>
      <c r="AE440" s="323"/>
      <c r="AF440" s="321">
        <f t="shared" si="109"/>
        <v>0</v>
      </c>
      <c r="AG440" s="324"/>
      <c r="AH440" s="325">
        <f t="shared" si="106"/>
        <v>0</v>
      </c>
      <c r="AI440" s="326">
        <f t="shared" si="110"/>
        <v>0</v>
      </c>
      <c r="AJ440" s="322"/>
      <c r="AK440" s="320"/>
      <c r="AL440" s="321">
        <f t="shared" si="111"/>
        <v>0</v>
      </c>
      <c r="AM440" s="327"/>
      <c r="AN440" s="325">
        <f>AF440-AL440</f>
        <v>0</v>
      </c>
      <c r="AO440" s="328">
        <f>IF(AL440=0,0,AN440/AL440)</f>
        <v>0</v>
      </c>
      <c r="AP440" s="246"/>
      <c r="AQ440" s="246"/>
      <c r="AR440" s="246"/>
      <c r="AS440" s="246"/>
      <c r="AT440" s="246"/>
      <c r="AU440" s="246"/>
      <c r="AV440" s="246"/>
      <c r="AW440" s="246"/>
      <c r="AX440" s="246"/>
      <c r="AY440" s="246"/>
      <c r="AZ440" s="246"/>
      <c r="BA440" s="246"/>
      <c r="BB440" s="246"/>
      <c r="BC440" s="246"/>
      <c r="BD440" s="246"/>
      <c r="BE440" s="246"/>
      <c r="BF440" s="246"/>
      <c r="BG440" s="246"/>
      <c r="BH440" s="246"/>
      <c r="BI440" s="246"/>
      <c r="BJ440" s="246"/>
    </row>
    <row r="441" spans="1:62" ht="18">
      <c r="A441" t="str">
        <f t="shared" si="89"/>
        <v>Fournitures autres</v>
      </c>
      <c r="B441" s="7"/>
      <c r="C441" s="246"/>
      <c r="D441" s="246"/>
      <c r="E441" s="246"/>
      <c r="F441" s="246"/>
      <c r="G441" s="246"/>
      <c r="H441" s="246"/>
      <c r="I441" s="246"/>
      <c r="J441" s="246"/>
      <c r="K441" s="246"/>
      <c r="L441" s="246"/>
      <c r="M441" s="246"/>
      <c r="N441" s="246"/>
      <c r="O441" s="246"/>
      <c r="P441" s="329"/>
      <c r="Q441" s="310"/>
      <c r="R441" s="246"/>
      <c r="S441" s="246"/>
      <c r="T441" s="246"/>
      <c r="U441" s="246"/>
      <c r="V441" s="102" t="s">
        <v>55</v>
      </c>
      <c r="W441" s="286" t="s">
        <v>149</v>
      </c>
      <c r="X441" s="279"/>
      <c r="Y441" s="287"/>
      <c r="Z441" s="280">
        <f t="shared" si="108"/>
        <v>1423.9017836050082</v>
      </c>
      <c r="AA441" s="279"/>
      <c r="AB441" s="287"/>
      <c r="AC441" s="280"/>
      <c r="AD441" s="288"/>
      <c r="AE441" s="287"/>
      <c r="AF441" s="280">
        <f t="shared" si="109"/>
        <v>1032.8799999999999</v>
      </c>
      <c r="AG441" s="281"/>
      <c r="AH441" s="282">
        <f t="shared" si="106"/>
        <v>-391.0217836050083</v>
      </c>
      <c r="AI441" s="283">
        <f t="shared" si="110"/>
        <v>-0.27461288981254495</v>
      </c>
      <c r="AJ441" s="288"/>
      <c r="AK441" s="279"/>
      <c r="AL441" s="280">
        <f t="shared" si="111"/>
        <v>1213.31</v>
      </c>
      <c r="AM441" s="284"/>
      <c r="AN441" s="282">
        <f t="shared" si="107"/>
        <v>-180.43000000000006</v>
      </c>
      <c r="AO441" s="289">
        <f t="shared" si="112"/>
        <v>-0.14870890374265444</v>
      </c>
      <c r="AP441" s="246"/>
      <c r="AQ441" s="246">
        <v>1033</v>
      </c>
      <c r="AR441" s="246"/>
      <c r="AS441" s="246"/>
      <c r="AT441" s="246"/>
      <c r="AU441" s="246"/>
      <c r="AV441" s="246"/>
      <c r="AW441" s="246"/>
      <c r="AX441" s="246"/>
      <c r="AY441" s="246"/>
      <c r="AZ441" s="246"/>
      <c r="BA441" s="246"/>
      <c r="BB441" s="246"/>
      <c r="BC441" s="246"/>
      <c r="BD441" s="246"/>
      <c r="BE441" s="246"/>
      <c r="BF441" s="246"/>
      <c r="BG441" s="246"/>
      <c r="BH441" s="246"/>
      <c r="BI441" s="246"/>
      <c r="BJ441" s="246"/>
    </row>
    <row r="442" spans="1:62" ht="18">
      <c r="A442" t="str">
        <f t="shared" si="89"/>
        <v>Uniformes</v>
      </c>
      <c r="B442" s="7"/>
      <c r="C442" s="246"/>
      <c r="D442" s="246"/>
      <c r="E442" s="246"/>
      <c r="F442" s="246"/>
      <c r="G442" s="246"/>
      <c r="H442" s="246"/>
      <c r="I442" s="246"/>
      <c r="J442" s="246"/>
      <c r="K442" s="246"/>
      <c r="L442" s="246"/>
      <c r="M442" s="246"/>
      <c r="N442" s="246"/>
      <c r="O442" s="246"/>
      <c r="Q442" s="310"/>
      <c r="S442" s="246"/>
      <c r="T442" s="246"/>
      <c r="U442" s="246"/>
      <c r="V442" s="102" t="s">
        <v>56</v>
      </c>
      <c r="W442" s="286" t="s">
        <v>145</v>
      </c>
      <c r="X442" s="279"/>
      <c r="Y442" s="279"/>
      <c r="Z442" s="280">
        <f t="shared" si="108"/>
        <v>1003</v>
      </c>
      <c r="AA442" s="279"/>
      <c r="AB442" s="279"/>
      <c r="AC442" s="280"/>
      <c r="AD442" s="288"/>
      <c r="AE442" s="287"/>
      <c r="AF442" s="280">
        <f t="shared" si="109"/>
        <v>1684.06</v>
      </c>
      <c r="AG442" s="281"/>
      <c r="AH442" s="282">
        <f t="shared" si="106"/>
        <v>681.06</v>
      </c>
      <c r="AI442" s="306">
        <f t="shared" si="110"/>
        <v>0.6790229312063808</v>
      </c>
      <c r="AJ442" s="288"/>
      <c r="AK442" s="279"/>
      <c r="AL442" s="280">
        <f t="shared" si="111"/>
        <v>816.55</v>
      </c>
      <c r="AM442" s="284"/>
      <c r="AN442" s="282">
        <f t="shared" si="107"/>
        <v>867.51</v>
      </c>
      <c r="AO442" s="289">
        <f t="shared" si="112"/>
        <v>1.0624089155593657</v>
      </c>
      <c r="AP442" s="246"/>
      <c r="AQ442" s="246">
        <f>1284+400</f>
        <v>1684</v>
      </c>
      <c r="AR442" s="246"/>
      <c r="AS442" s="246"/>
      <c r="AT442" s="246"/>
      <c r="AU442" s="246"/>
      <c r="AV442" s="246"/>
      <c r="AW442" s="246"/>
      <c r="AX442" s="246"/>
      <c r="AY442" s="246"/>
      <c r="AZ442" s="246"/>
      <c r="BA442" s="246"/>
      <c r="BB442" s="246"/>
      <c r="BC442" s="246"/>
      <c r="BD442" s="246"/>
      <c r="BE442" s="246"/>
      <c r="BF442" s="246"/>
      <c r="BG442" s="246"/>
      <c r="BH442" s="246"/>
      <c r="BI442" s="246"/>
      <c r="BJ442" s="246"/>
    </row>
    <row r="443" spans="1:62" ht="18">
      <c r="A443" t="str">
        <f t="shared" si="89"/>
        <v>Papeterie</v>
      </c>
      <c r="B443" s="7"/>
      <c r="C443" s="246"/>
      <c r="D443" s="246"/>
      <c r="E443" s="246"/>
      <c r="F443" s="246"/>
      <c r="G443" s="246"/>
      <c r="H443" s="246"/>
      <c r="I443" s="246"/>
      <c r="J443" s="246"/>
      <c r="K443" s="246"/>
      <c r="L443" s="246"/>
      <c r="M443" s="246"/>
      <c r="N443" s="246"/>
      <c r="O443" s="246"/>
      <c r="P443" s="329"/>
      <c r="Q443" s="310"/>
      <c r="R443" s="246"/>
      <c r="S443" s="246"/>
      <c r="T443" s="246"/>
      <c r="U443" s="246"/>
      <c r="V443" s="102" t="s">
        <v>57</v>
      </c>
      <c r="W443" s="286" t="s">
        <v>151</v>
      </c>
      <c r="X443" s="279"/>
      <c r="Y443" s="279"/>
      <c r="Z443" s="280">
        <f t="shared" si="108"/>
        <v>1750</v>
      </c>
      <c r="AA443" s="279"/>
      <c r="AB443" s="279"/>
      <c r="AC443" s="280"/>
      <c r="AD443" s="288"/>
      <c r="AE443" s="287"/>
      <c r="AF443" s="280">
        <f t="shared" si="109"/>
        <v>1669.5900000000001</v>
      </c>
      <c r="AG443" s="281"/>
      <c r="AH443" s="282">
        <f t="shared" si="106"/>
        <v>-80.409999999999854</v>
      </c>
      <c r="AI443" s="283">
        <f t="shared" si="110"/>
        <v>-4.5948571428571346E-2</v>
      </c>
      <c r="AJ443" s="288"/>
      <c r="AK443" s="279"/>
      <c r="AL443" s="280">
        <f t="shared" si="111"/>
        <v>1313.04</v>
      </c>
      <c r="AM443" s="284"/>
      <c r="AN443" s="282">
        <f t="shared" si="107"/>
        <v>356.55000000000018</v>
      </c>
      <c r="AO443" s="289">
        <f t="shared" si="112"/>
        <v>0.27154542131237447</v>
      </c>
      <c r="AP443" s="246"/>
      <c r="AQ443" s="246">
        <f>920+750</f>
        <v>1670</v>
      </c>
      <c r="AR443" s="246"/>
      <c r="AS443" s="246"/>
      <c r="AT443" s="246"/>
      <c r="AU443" s="246"/>
      <c r="AV443" s="246"/>
      <c r="AW443" s="246"/>
      <c r="AX443" s="246"/>
      <c r="AY443" s="246"/>
      <c r="AZ443" s="246"/>
      <c r="BA443" s="246"/>
      <c r="BB443" s="246"/>
      <c r="BC443" s="246"/>
      <c r="BD443" s="246"/>
      <c r="BE443" s="246"/>
      <c r="BF443" s="246"/>
      <c r="BG443" s="246"/>
      <c r="BH443" s="246"/>
      <c r="BI443" s="246"/>
      <c r="BJ443" s="246"/>
    </row>
    <row r="444" spans="1:62" ht="18">
      <c r="A444" t="str">
        <f t="shared" si="89"/>
        <v>Téléphone</v>
      </c>
      <c r="B444" s="7"/>
      <c r="C444" s="246"/>
      <c r="D444" s="246"/>
      <c r="E444" s="246"/>
      <c r="F444" s="246"/>
      <c r="G444" s="246"/>
      <c r="H444" s="246"/>
      <c r="I444" s="246"/>
      <c r="J444" s="246"/>
      <c r="K444" s="246"/>
      <c r="L444" s="246"/>
      <c r="M444" s="246"/>
      <c r="N444" s="246"/>
      <c r="O444" s="246"/>
      <c r="P444" s="246"/>
      <c r="Q444" s="310"/>
      <c r="S444" s="246"/>
      <c r="T444" s="246"/>
      <c r="U444" s="246"/>
      <c r="V444" s="102" t="s">
        <v>58</v>
      </c>
      <c r="W444" s="286" t="s">
        <v>233</v>
      </c>
      <c r="X444" s="279"/>
      <c r="Y444" s="279"/>
      <c r="Z444" s="280">
        <f t="shared" si="108"/>
        <v>512</v>
      </c>
      <c r="AA444" s="279"/>
      <c r="AB444" s="279"/>
      <c r="AC444" s="280"/>
      <c r="AD444" s="288"/>
      <c r="AE444" s="287"/>
      <c r="AF444" s="280">
        <f t="shared" si="109"/>
        <v>470.89000000000004</v>
      </c>
      <c r="AG444" s="281"/>
      <c r="AH444" s="282">
        <f t="shared" si="106"/>
        <v>-41.109999999999957</v>
      </c>
      <c r="AI444" s="306">
        <f t="shared" si="110"/>
        <v>-8.0292968749999916E-2</v>
      </c>
      <c r="AJ444" s="288"/>
      <c r="AK444" s="279"/>
      <c r="AL444" s="280">
        <f t="shared" si="111"/>
        <v>547.44000000000005</v>
      </c>
      <c r="AM444" s="284"/>
      <c r="AN444" s="282">
        <f t="shared" si="107"/>
        <v>-76.550000000000011</v>
      </c>
      <c r="AO444" s="289">
        <f t="shared" si="112"/>
        <v>-0.13983267572702032</v>
      </c>
      <c r="AP444" s="246"/>
      <c r="AQ444" s="246">
        <v>471</v>
      </c>
      <c r="AR444" s="246"/>
      <c r="AS444" s="246"/>
      <c r="AT444" s="246"/>
      <c r="AU444" s="246"/>
      <c r="AV444" s="246"/>
      <c r="AW444" s="246"/>
      <c r="AX444" s="246"/>
      <c r="AY444" s="246"/>
      <c r="AZ444" s="246"/>
      <c r="BA444" s="246"/>
      <c r="BB444" s="246"/>
      <c r="BC444" s="246"/>
      <c r="BD444" s="246"/>
      <c r="BE444" s="246"/>
      <c r="BF444" s="246"/>
      <c r="BG444" s="246"/>
      <c r="BH444" s="246"/>
      <c r="BI444" s="246"/>
      <c r="BJ444" s="246"/>
    </row>
    <row r="445" spans="1:62" ht="18">
      <c r="A445" t="str">
        <f t="shared" si="89"/>
        <v>Frais postaux</v>
      </c>
      <c r="B445" s="7"/>
      <c r="C445" s="246"/>
      <c r="D445" s="246"/>
      <c r="E445" s="246"/>
      <c r="F445" s="246"/>
      <c r="G445" s="246"/>
      <c r="H445" s="246"/>
      <c r="I445" s="246"/>
      <c r="J445" s="246"/>
      <c r="K445" s="246"/>
      <c r="L445" s="246"/>
      <c r="M445" s="246"/>
      <c r="N445" s="246"/>
      <c r="O445" s="246"/>
      <c r="P445" s="246"/>
      <c r="Q445" s="310"/>
      <c r="S445" s="246"/>
      <c r="T445" s="246"/>
      <c r="U445" s="246"/>
      <c r="V445" s="102" t="s">
        <v>59</v>
      </c>
      <c r="W445" s="286" t="s">
        <v>234</v>
      </c>
      <c r="X445" s="279"/>
      <c r="Y445" s="279"/>
      <c r="Z445" s="280">
        <f t="shared" si="108"/>
        <v>875</v>
      </c>
      <c r="AA445" s="279"/>
      <c r="AB445" s="279"/>
      <c r="AC445" s="280"/>
      <c r="AD445" s="288"/>
      <c r="AE445" s="287"/>
      <c r="AF445" s="280">
        <f t="shared" si="109"/>
        <v>321.39</v>
      </c>
      <c r="AG445" s="281"/>
      <c r="AH445" s="282">
        <f t="shared" si="106"/>
        <v>-553.61</v>
      </c>
      <c r="AI445" s="283">
        <f t="shared" si="110"/>
        <v>-0.63269714285714285</v>
      </c>
      <c r="AJ445" s="288"/>
      <c r="AK445" s="279"/>
      <c r="AL445" s="280">
        <f t="shared" si="111"/>
        <v>427.95000000000005</v>
      </c>
      <c r="AM445" s="284"/>
      <c r="AN445" s="282">
        <f t="shared" si="107"/>
        <v>-106.56000000000006</v>
      </c>
      <c r="AO445" s="289">
        <f t="shared" si="112"/>
        <v>-0.24900105152471094</v>
      </c>
      <c r="AP445" s="246"/>
      <c r="AQ445" s="246">
        <v>321</v>
      </c>
      <c r="AR445" s="246"/>
      <c r="AS445" s="246"/>
      <c r="AT445" s="246"/>
      <c r="AU445" s="246"/>
      <c r="AV445" s="246"/>
      <c r="AW445" s="246"/>
      <c r="AX445" s="246"/>
      <c r="AY445" s="246"/>
      <c r="AZ445" s="246"/>
      <c r="BA445" s="246"/>
      <c r="BB445" s="246"/>
      <c r="BC445" s="246"/>
      <c r="BD445" s="246"/>
      <c r="BE445" s="246"/>
      <c r="BF445" s="246"/>
      <c r="BG445" s="246"/>
      <c r="BH445" s="246"/>
      <c r="BI445" s="246"/>
      <c r="BJ445" s="246"/>
    </row>
    <row r="446" spans="1:62" ht="18">
      <c r="A446" t="str">
        <f t="shared" si="89"/>
        <v>Divers</v>
      </c>
      <c r="B446" s="7"/>
      <c r="C446" s="246"/>
      <c r="D446" s="246"/>
      <c r="E446" s="246"/>
      <c r="F446" s="246"/>
      <c r="G446" s="246"/>
      <c r="H446" s="246"/>
      <c r="I446" s="246"/>
      <c r="J446" s="246"/>
      <c r="K446" s="246"/>
      <c r="L446" s="246"/>
      <c r="M446" s="246"/>
      <c r="N446" s="246"/>
      <c r="O446" s="246"/>
      <c r="P446" s="246"/>
      <c r="Q446" s="310"/>
      <c r="R446" s="246"/>
      <c r="S446" s="246"/>
      <c r="T446" s="246"/>
      <c r="U446" s="246"/>
      <c r="V446" s="102" t="s">
        <v>60</v>
      </c>
      <c r="W446" s="286" t="s">
        <v>235</v>
      </c>
      <c r="X446" s="279"/>
      <c r="Y446" s="287"/>
      <c r="Z446" s="280">
        <f t="shared" si="108"/>
        <v>1858</v>
      </c>
      <c r="AA446" s="279"/>
      <c r="AB446" s="287"/>
      <c r="AC446" s="280"/>
      <c r="AD446" s="288"/>
      <c r="AE446" s="287"/>
      <c r="AF446" s="280">
        <f t="shared" si="109"/>
        <v>1446.0000000000002</v>
      </c>
      <c r="AG446" s="281"/>
      <c r="AH446" s="282">
        <f t="shared" si="106"/>
        <v>-411.99999999999977</v>
      </c>
      <c r="AI446" s="306">
        <f t="shared" si="110"/>
        <v>-0.22174381054897727</v>
      </c>
      <c r="AJ446" s="288"/>
      <c r="AK446" s="279"/>
      <c r="AL446" s="280">
        <f t="shared" si="111"/>
        <v>1484.79</v>
      </c>
      <c r="AM446" s="284"/>
      <c r="AN446" s="282">
        <f t="shared" si="107"/>
        <v>-38.789999999999736</v>
      </c>
      <c r="AO446" s="289">
        <f t="shared" si="112"/>
        <v>-2.6124906552441582E-2</v>
      </c>
      <c r="AP446" s="246"/>
      <c r="AQ446" s="246">
        <v>1446</v>
      </c>
      <c r="AR446" s="246"/>
      <c r="AS446" s="246"/>
      <c r="AT446" s="246"/>
      <c r="AU446" s="246"/>
      <c r="AV446" s="246"/>
      <c r="AW446" s="246"/>
      <c r="AX446" s="246"/>
      <c r="AY446" s="246"/>
      <c r="AZ446" s="246"/>
      <c r="BA446" s="246"/>
      <c r="BB446" s="246"/>
      <c r="BC446" s="246"/>
      <c r="BD446" s="246"/>
      <c r="BE446" s="246"/>
      <c r="BF446" s="246"/>
      <c r="BG446" s="246"/>
      <c r="BH446" s="246"/>
      <c r="BI446" s="246"/>
      <c r="BJ446" s="246"/>
    </row>
    <row r="447" spans="1:62" ht="18">
      <c r="A447" t="str">
        <f t="shared" si="89"/>
        <v>Formation</v>
      </c>
      <c r="B447" s="7"/>
      <c r="C447" s="246"/>
      <c r="D447" s="246"/>
      <c r="E447" s="246"/>
      <c r="F447" s="246"/>
      <c r="G447" s="246"/>
      <c r="H447" s="246"/>
      <c r="I447" s="246"/>
      <c r="J447" s="246"/>
      <c r="K447" s="246"/>
      <c r="L447" s="246"/>
      <c r="M447" s="246"/>
      <c r="N447" s="246"/>
      <c r="O447" s="246"/>
      <c r="P447" s="246"/>
      <c r="Q447" s="310"/>
      <c r="R447" s="246"/>
      <c r="S447" s="246"/>
      <c r="T447" s="246"/>
      <c r="U447" s="246"/>
      <c r="V447" s="102" t="s">
        <v>61</v>
      </c>
      <c r="W447" s="286" t="s">
        <v>236</v>
      </c>
      <c r="X447" s="279"/>
      <c r="Y447" s="287"/>
      <c r="Z447" s="280">
        <f t="shared" si="108"/>
        <v>2609.9010666666663</v>
      </c>
      <c r="AA447" s="279"/>
      <c r="AB447" s="287"/>
      <c r="AC447" s="280"/>
      <c r="AD447" s="288"/>
      <c r="AE447" s="287"/>
      <c r="AF447" s="280">
        <f t="shared" si="109"/>
        <v>2088.16</v>
      </c>
      <c r="AG447" s="281"/>
      <c r="AH447" s="282">
        <f t="shared" si="106"/>
        <v>-521.74106666666648</v>
      </c>
      <c r="AI447" s="283">
        <f t="shared" si="110"/>
        <v>-0.19990836945134774</v>
      </c>
      <c r="AJ447" s="288"/>
      <c r="AK447" s="279"/>
      <c r="AL447" s="280">
        <f t="shared" si="111"/>
        <v>3686.5</v>
      </c>
      <c r="AM447" s="284"/>
      <c r="AN447" s="282">
        <f t="shared" si="107"/>
        <v>-1598.3400000000001</v>
      </c>
      <c r="AO447" s="289">
        <f t="shared" si="112"/>
        <v>-0.43356571273565719</v>
      </c>
      <c r="AP447" s="246"/>
      <c r="AQ447" s="246">
        <f>3088-1000</f>
        <v>2088</v>
      </c>
      <c r="AR447" s="246"/>
      <c r="AS447" s="246"/>
      <c r="AT447" s="246"/>
      <c r="AU447" s="246"/>
      <c r="AV447" s="246"/>
      <c r="AW447" s="246"/>
      <c r="AX447" s="246"/>
      <c r="AY447" s="246"/>
      <c r="AZ447" s="246"/>
      <c r="BA447" s="246"/>
      <c r="BB447" s="246"/>
      <c r="BC447" s="246"/>
      <c r="BD447" s="246"/>
      <c r="BE447" s="246"/>
      <c r="BF447" s="246"/>
      <c r="BG447" s="246"/>
      <c r="BH447" s="246"/>
      <c r="BI447" s="246"/>
      <c r="BJ447" s="246"/>
    </row>
    <row r="448" spans="1:62" ht="18">
      <c r="A448" t="str">
        <f t="shared" si="89"/>
        <v>Frais bancaires</v>
      </c>
      <c r="B448" s="7"/>
      <c r="C448" s="246"/>
      <c r="D448" s="246"/>
      <c r="E448" s="246"/>
      <c r="F448" s="246"/>
      <c r="G448" s="246"/>
      <c r="H448" s="246"/>
      <c r="I448" s="246"/>
      <c r="J448" s="246"/>
      <c r="K448" s="246"/>
      <c r="L448" s="246"/>
      <c r="M448" s="246"/>
      <c r="N448" s="246"/>
      <c r="O448" s="246"/>
      <c r="P448" s="246"/>
      <c r="Q448" s="310"/>
      <c r="R448" s="246"/>
      <c r="S448" s="246"/>
      <c r="T448" s="246"/>
      <c r="U448" s="246"/>
      <c r="V448" s="102" t="s">
        <v>62</v>
      </c>
      <c r="W448" s="286" t="s">
        <v>237</v>
      </c>
      <c r="X448" s="279"/>
      <c r="Y448" s="287">
        <f>Z448/Z406</f>
        <v>1.5100000000000003E-3</v>
      </c>
      <c r="Z448" s="280">
        <f t="shared" si="108"/>
        <v>5470.0993095471003</v>
      </c>
      <c r="AA448" s="279"/>
      <c r="AB448" s="287"/>
      <c r="AC448" s="280"/>
      <c r="AD448" s="288"/>
      <c r="AE448" s="287"/>
      <c r="AF448" s="280">
        <f t="shared" si="109"/>
        <v>6652.8099999999995</v>
      </c>
      <c r="AG448" s="281"/>
      <c r="AH448" s="282">
        <f t="shared" si="106"/>
        <v>1182.7106904528991</v>
      </c>
      <c r="AI448" s="283">
        <f t="shared" si="110"/>
        <v>0.21621375107188362</v>
      </c>
      <c r="AJ448" s="288"/>
      <c r="AK448" s="279"/>
      <c r="AL448" s="280">
        <f t="shared" si="111"/>
        <v>5397.6200000000008</v>
      </c>
      <c r="AM448" s="284"/>
      <c r="AN448" s="282">
        <f>AF448-AL448</f>
        <v>1255.1899999999987</v>
      </c>
      <c r="AO448" s="289">
        <f>IF(AL448=0,0,AN448/AL448)</f>
        <v>0.23254508468547222</v>
      </c>
      <c r="AP448" s="246"/>
      <c r="AQ448" s="246">
        <v>6653</v>
      </c>
      <c r="AR448" s="246"/>
      <c r="AS448" s="246"/>
      <c r="AT448" s="246"/>
      <c r="AU448" s="246"/>
      <c r="AV448" s="246"/>
      <c r="AW448" s="246"/>
      <c r="AX448" s="246"/>
      <c r="AY448" s="246"/>
      <c r="AZ448" s="246"/>
      <c r="BA448" s="246"/>
      <c r="BB448" s="246"/>
      <c r="BC448" s="246"/>
      <c r="BD448" s="246"/>
      <c r="BE448" s="246"/>
      <c r="BF448" s="246"/>
      <c r="BG448" s="246"/>
      <c r="BH448" s="246"/>
      <c r="BI448" s="246"/>
      <c r="BJ448" s="246"/>
    </row>
    <row r="449" spans="1:62" ht="18" hidden="1">
      <c r="A449" t="str">
        <f t="shared" si="89"/>
        <v>[...]</v>
      </c>
      <c r="B449" s="7"/>
      <c r="C449" s="246"/>
      <c r="D449" s="246"/>
      <c r="E449" s="246"/>
      <c r="F449" s="246"/>
      <c r="G449" s="246"/>
      <c r="H449" s="246"/>
      <c r="I449" s="246"/>
      <c r="J449" s="246"/>
      <c r="K449" s="246"/>
      <c r="L449" s="246"/>
      <c r="M449" s="246"/>
      <c r="N449" s="246"/>
      <c r="O449" s="246"/>
      <c r="P449" s="246"/>
      <c r="Q449" s="310"/>
      <c r="R449" s="246"/>
      <c r="S449" s="246"/>
      <c r="T449" s="246"/>
      <c r="U449" s="246"/>
      <c r="V449" s="102" t="s">
        <v>19</v>
      </c>
      <c r="W449" s="286"/>
      <c r="X449" s="279"/>
      <c r="Y449" s="287"/>
      <c r="Z449" s="282">
        <f>IFERROR(SUMIF($C:$C,$V449,F:F),0)</f>
        <v>0</v>
      </c>
      <c r="AA449" s="279"/>
      <c r="AB449" s="279"/>
      <c r="AC449" s="282"/>
      <c r="AD449" s="288"/>
      <c r="AE449" s="287"/>
      <c r="AF449" s="280">
        <f t="shared" si="109"/>
        <v>0</v>
      </c>
      <c r="AG449" s="281"/>
      <c r="AH449" s="282">
        <f t="shared" si="106"/>
        <v>0</v>
      </c>
      <c r="AI449" s="283">
        <f t="shared" si="110"/>
        <v>0</v>
      </c>
      <c r="AJ449" s="288"/>
      <c r="AK449" s="279"/>
      <c r="AL449" s="280">
        <f>IFERROR(SUMIF($C:$C,$V449,Q:Q),0)</f>
        <v>0</v>
      </c>
      <c r="AM449" s="284"/>
      <c r="AN449" s="282">
        <f>AF449-AL449</f>
        <v>0</v>
      </c>
      <c r="AO449" s="289">
        <f>IF(AL449=0,0,AN449/AL449)</f>
        <v>0</v>
      </c>
      <c r="AP449" s="246"/>
      <c r="AQ449" s="246"/>
      <c r="AR449" s="246"/>
      <c r="AS449" s="246"/>
      <c r="AT449" s="246"/>
      <c r="AU449" s="246"/>
      <c r="AV449" s="246"/>
      <c r="AW449" s="246"/>
      <c r="AX449" s="246"/>
      <c r="AY449" s="246"/>
      <c r="AZ449" s="246"/>
      <c r="BA449" s="246"/>
      <c r="BB449" s="246"/>
      <c r="BC449" s="246"/>
      <c r="BD449" s="246"/>
      <c r="BE449" s="246"/>
      <c r="BF449" s="246"/>
      <c r="BG449" s="246"/>
      <c r="BH449" s="246"/>
      <c r="BI449" s="246"/>
      <c r="BJ449" s="246"/>
    </row>
    <row r="450" spans="1:62" ht="18" hidden="1">
      <c r="A450" t="str">
        <f t="shared" si="89"/>
        <v>[...]</v>
      </c>
      <c r="B450" s="7"/>
      <c r="C450" s="246"/>
      <c r="D450" s="246"/>
      <c r="E450" s="246"/>
      <c r="F450" s="246"/>
      <c r="G450" s="246"/>
      <c r="H450" s="246"/>
      <c r="I450" s="246"/>
      <c r="J450" s="246"/>
      <c r="K450" s="246"/>
      <c r="L450" s="246"/>
      <c r="M450" s="246"/>
      <c r="N450" s="246"/>
      <c r="O450" s="246"/>
      <c r="P450" s="246"/>
      <c r="Q450" s="310"/>
      <c r="R450" s="246"/>
      <c r="S450" s="246"/>
      <c r="T450" s="246"/>
      <c r="U450" s="246"/>
      <c r="V450" s="102" t="s">
        <v>19</v>
      </c>
      <c r="W450" s="286"/>
      <c r="X450" s="279"/>
      <c r="Y450" s="287"/>
      <c r="Z450" s="282">
        <f>IFERROR(SUMIF($C:$C,$V450,F:F),0)</f>
        <v>0</v>
      </c>
      <c r="AA450" s="279"/>
      <c r="AB450" s="279"/>
      <c r="AC450" s="282"/>
      <c r="AD450" s="288"/>
      <c r="AE450" s="287"/>
      <c r="AF450" s="280">
        <f t="shared" si="109"/>
        <v>0</v>
      </c>
      <c r="AG450" s="281"/>
      <c r="AH450" s="282">
        <f t="shared" si="106"/>
        <v>0</v>
      </c>
      <c r="AI450" s="283">
        <f t="shared" si="110"/>
        <v>0</v>
      </c>
      <c r="AJ450" s="288"/>
      <c r="AK450" s="279"/>
      <c r="AL450" s="280">
        <f>IFERROR(SUMIF($C:$C,$V450,Q:Q),0)</f>
        <v>0</v>
      </c>
      <c r="AM450" s="284"/>
      <c r="AN450" s="282">
        <f>AF450-AL450</f>
        <v>0</v>
      </c>
      <c r="AO450" s="289">
        <f>IF(AL450=0,0,AN450/AL450)</f>
        <v>0</v>
      </c>
      <c r="AP450" s="246"/>
      <c r="AQ450" s="246"/>
      <c r="AR450" s="246"/>
      <c r="AS450" s="246"/>
      <c r="AT450" s="246"/>
      <c r="AU450" s="246"/>
      <c r="AV450" s="246"/>
      <c r="AW450" s="246"/>
      <c r="AX450" s="246"/>
      <c r="AY450" s="246"/>
      <c r="AZ450" s="246"/>
      <c r="BA450" s="246"/>
      <c r="BB450" s="246"/>
      <c r="BC450" s="246"/>
      <c r="BD450" s="246"/>
      <c r="BE450" s="246"/>
      <c r="BF450" s="246"/>
      <c r="BG450" s="246"/>
      <c r="BH450" s="246"/>
      <c r="BI450" s="246"/>
      <c r="BJ450" s="246"/>
    </row>
    <row r="451" spans="1:62" ht="18" hidden="1">
      <c r="A451" t="str">
        <f t="shared" si="89"/>
        <v>[...]</v>
      </c>
      <c r="B451" s="7"/>
      <c r="C451" s="246"/>
      <c r="D451" s="246"/>
      <c r="E451" s="246"/>
      <c r="F451" s="246"/>
      <c r="G451" s="246"/>
      <c r="H451" s="246"/>
      <c r="I451" s="246"/>
      <c r="J451" s="246"/>
      <c r="K451" s="246"/>
      <c r="L451" s="246"/>
      <c r="M451" s="246"/>
      <c r="N451" s="246"/>
      <c r="O451" s="246"/>
      <c r="P451" s="329"/>
      <c r="Q451" s="310"/>
      <c r="R451" s="246"/>
      <c r="S451" s="246"/>
      <c r="T451" s="246"/>
      <c r="U451" s="246"/>
      <c r="V451" s="102" t="s">
        <v>19</v>
      </c>
      <c r="W451" s="286"/>
      <c r="X451" s="279"/>
      <c r="Y451" s="287"/>
      <c r="Z451" s="282">
        <f>IFERROR(SUMIF($C:$C,$V451,F:F),0)</f>
        <v>0</v>
      </c>
      <c r="AA451" s="279"/>
      <c r="AB451" s="279"/>
      <c r="AC451" s="282"/>
      <c r="AD451" s="288"/>
      <c r="AE451" s="287"/>
      <c r="AF451" s="280">
        <f t="shared" si="109"/>
        <v>0</v>
      </c>
      <c r="AG451" s="281"/>
      <c r="AH451" s="282">
        <f t="shared" si="106"/>
        <v>0</v>
      </c>
      <c r="AI451" s="283">
        <f t="shared" si="110"/>
        <v>0</v>
      </c>
      <c r="AJ451" s="288"/>
      <c r="AK451" s="279"/>
      <c r="AL451" s="280">
        <f>IFERROR(SUMIF($C:$C,$V451,Q:Q),0)</f>
        <v>0</v>
      </c>
      <c r="AM451" s="284"/>
      <c r="AN451" s="282">
        <f>AF451-AL451</f>
        <v>0</v>
      </c>
      <c r="AO451" s="289">
        <f>IF(AL451=0,0,AN451/AL451)</f>
        <v>0</v>
      </c>
      <c r="AP451" s="246"/>
      <c r="AQ451" s="246"/>
      <c r="AR451" s="246"/>
      <c r="AS451" s="246"/>
      <c r="AT451" s="246"/>
      <c r="AU451" s="246"/>
      <c r="AV451" s="246"/>
      <c r="AW451" s="246"/>
      <c r="AX451" s="246"/>
      <c r="AY451" s="246"/>
      <c r="AZ451" s="246"/>
      <c r="BA451" s="246"/>
      <c r="BB451" s="246"/>
      <c r="BC451" s="246"/>
      <c r="BD451" s="246"/>
      <c r="BE451" s="246"/>
      <c r="BF451" s="246"/>
      <c r="BG451" s="246"/>
      <c r="BH451" s="246"/>
      <c r="BI451" s="246"/>
      <c r="BJ451" s="246"/>
    </row>
    <row r="452" spans="1:62" ht="18">
      <c r="A452" t="str">
        <f t="shared" si="89"/>
        <v>TOTAL SEMI-FIXES</v>
      </c>
      <c r="B452" s="7"/>
      <c r="C452" s="246"/>
      <c r="D452" s="246"/>
      <c r="E452" s="246"/>
      <c r="F452" s="246"/>
      <c r="G452" s="246"/>
      <c r="H452" s="246"/>
      <c r="I452" s="246"/>
      <c r="J452" s="246"/>
      <c r="K452" s="246"/>
      <c r="L452" s="246"/>
      <c r="M452" s="246"/>
      <c r="N452" s="246"/>
      <c r="O452" s="246"/>
      <c r="P452" s="246"/>
      <c r="Q452" s="310"/>
      <c r="R452" s="246"/>
      <c r="S452" s="246"/>
      <c r="T452" s="246"/>
      <c r="U452" s="246"/>
      <c r="V452" s="296" t="s">
        <v>63</v>
      </c>
      <c r="W452" s="330"/>
      <c r="X452" s="298">
        <f>Z452/+Z407</f>
        <v>0.17297037635632992</v>
      </c>
      <c r="Y452" s="297"/>
      <c r="Z452" s="299">
        <f>+SUM(Z434:Z451)</f>
        <v>68124.117874957374</v>
      </c>
      <c r="AA452" s="298"/>
      <c r="AB452" s="297"/>
      <c r="AC452" s="299"/>
      <c r="AD452" s="300">
        <f>AF452/AF407</f>
        <v>0.21532745638982695</v>
      </c>
      <c r="AE452" s="297"/>
      <c r="AF452" s="299">
        <f>+SUM(AF434:AF451)</f>
        <v>76210.359999999986</v>
      </c>
      <c r="AG452" s="308"/>
      <c r="AH452" s="302">
        <f>+SUM(AH434:AH451)</f>
        <v>8086.2421250426214</v>
      </c>
      <c r="AI452" s="298">
        <f>AH452/Z452</f>
        <v>0.11869866909520964</v>
      </c>
      <c r="AJ452" s="300">
        <f>IF($AL$407=0,0,AL452/$AL$407)</f>
        <v>0.19039477178287134</v>
      </c>
      <c r="AK452" s="298"/>
      <c r="AL452" s="299">
        <f>+SUM(AL434:AL451)</f>
        <v>69755.299999999988</v>
      </c>
      <c r="AM452" s="309"/>
      <c r="AN452" s="302">
        <f>+SUM(AN434:AN451)</f>
        <v>6455.0600000000068</v>
      </c>
      <c r="AO452" s="331">
        <f>IF(AL452=0,0,AN452/AL452)</f>
        <v>9.2538631473164157E-2</v>
      </c>
      <c r="AP452" s="246"/>
      <c r="AQ452" s="246"/>
      <c r="AR452" s="246"/>
      <c r="AS452" s="246"/>
      <c r="AT452" s="246"/>
      <c r="AU452" s="246"/>
      <c r="AV452" s="246"/>
      <c r="AW452" s="246"/>
      <c r="AX452" s="246"/>
      <c r="AY452" s="246"/>
      <c r="AZ452" s="246"/>
      <c r="BA452" s="246"/>
      <c r="BB452" s="246"/>
      <c r="BC452" s="246"/>
      <c r="BD452" s="246"/>
      <c r="BE452" s="246"/>
      <c r="BF452" s="246"/>
      <c r="BG452" s="246"/>
      <c r="BH452" s="246"/>
      <c r="BI452" s="246"/>
      <c r="BJ452" s="246"/>
    </row>
    <row r="453" spans="1:62" ht="18">
      <c r="A453" t="str">
        <f t="shared" si="89"/>
        <v>Loyer</v>
      </c>
      <c r="B453" s="7"/>
      <c r="C453" s="246"/>
      <c r="D453" s="246"/>
      <c r="E453" s="246"/>
      <c r="F453" s="246"/>
      <c r="G453" s="246"/>
      <c r="H453" s="246"/>
      <c r="I453" s="246"/>
      <c r="J453" s="246"/>
      <c r="K453" s="246"/>
      <c r="L453" s="246"/>
      <c r="M453" s="246"/>
      <c r="N453" s="246"/>
      <c r="O453" s="246"/>
      <c r="P453" s="246"/>
      <c r="Q453" s="246"/>
      <c r="R453" s="246"/>
      <c r="S453" s="246"/>
      <c r="T453" s="246"/>
      <c r="U453" s="246"/>
      <c r="V453" s="102" t="s">
        <v>157</v>
      </c>
      <c r="W453" s="286" t="s">
        <v>158</v>
      </c>
      <c r="X453" s="279"/>
      <c r="Y453" s="287"/>
      <c r="Z453" s="280">
        <v>50000</v>
      </c>
      <c r="AA453" s="279"/>
      <c r="AB453" s="287"/>
      <c r="AC453" s="280"/>
      <c r="AD453" s="288"/>
      <c r="AE453" s="287"/>
      <c r="AF453" s="280">
        <v>50000</v>
      </c>
      <c r="AG453" s="281"/>
      <c r="AH453" s="282">
        <f t="shared" ref="AH453:AH461" si="113">AF453-Z453</f>
        <v>0</v>
      </c>
      <c r="AI453" s="283">
        <f t="shared" ref="AI453:AI461" si="114">IF(Z453=0,0,AH453/Z453)</f>
        <v>0</v>
      </c>
      <c r="AJ453" s="288"/>
      <c r="AK453" s="279"/>
      <c r="AL453" s="280">
        <v>50000</v>
      </c>
      <c r="AM453" s="284"/>
      <c r="AN453" s="282">
        <f>AF453-AL453</f>
        <v>0</v>
      </c>
      <c r="AO453" s="289">
        <f t="shared" ref="AO453:AO461" si="115">IF(AL453=0,0,AN453/AL453)</f>
        <v>0</v>
      </c>
      <c r="AP453" s="246"/>
      <c r="AQ453" s="486">
        <v>50000</v>
      </c>
      <c r="AR453" s="310"/>
      <c r="AS453" s="246"/>
      <c r="AT453" s="246"/>
      <c r="AU453" s="246"/>
      <c r="AV453" s="246"/>
      <c r="AW453" s="246"/>
      <c r="AX453" s="246"/>
      <c r="AY453" s="246"/>
      <c r="AZ453" s="246"/>
      <c r="BA453" s="246"/>
      <c r="BB453" s="246"/>
      <c r="BC453" s="246"/>
      <c r="BD453" s="246"/>
      <c r="BE453" s="246"/>
      <c r="BF453" s="246"/>
      <c r="BG453" s="246"/>
      <c r="BH453" s="246"/>
      <c r="BI453" s="246"/>
      <c r="BJ453" s="246"/>
    </row>
    <row r="454" spans="1:62" ht="18">
      <c r="A454" t="str">
        <f t="shared" si="89"/>
        <v>Taxes foncières</v>
      </c>
      <c r="B454" s="7"/>
      <c r="C454" s="246"/>
      <c r="D454" s="246"/>
      <c r="E454" s="246"/>
      <c r="F454" s="246"/>
      <c r="G454" s="246"/>
      <c r="H454" s="246"/>
      <c r="I454" s="246"/>
      <c r="J454" s="246"/>
      <c r="K454" s="246"/>
      <c r="L454" s="246"/>
      <c r="M454" s="246"/>
      <c r="N454" s="246"/>
      <c r="O454" s="246"/>
      <c r="P454" s="246"/>
      <c r="Q454" s="246"/>
      <c r="R454" s="246"/>
      <c r="S454" s="246"/>
      <c r="T454" s="246"/>
      <c r="U454" s="246"/>
      <c r="V454" s="102" t="s">
        <v>159</v>
      </c>
      <c r="W454" s="286" t="s">
        <v>160</v>
      </c>
      <c r="X454" s="279"/>
      <c r="Y454" s="287"/>
      <c r="Z454" s="280">
        <v>5872.14</v>
      </c>
      <c r="AA454" s="279"/>
      <c r="AB454" s="287"/>
      <c r="AC454" s="280"/>
      <c r="AD454" s="288"/>
      <c r="AE454" s="287"/>
      <c r="AF454" s="280">
        <v>5535.51</v>
      </c>
      <c r="AG454" s="281"/>
      <c r="AH454" s="282">
        <f t="shared" si="113"/>
        <v>-336.63000000000011</v>
      </c>
      <c r="AI454" s="283">
        <f t="shared" si="114"/>
        <v>-5.7326630495866941E-2</v>
      </c>
      <c r="AJ454" s="288"/>
      <c r="AK454" s="279"/>
      <c r="AL454" s="280">
        <v>5619.66</v>
      </c>
      <c r="AM454" s="284"/>
      <c r="AN454" s="282">
        <f t="shared" ref="AN454:AN461" si="116">AF454-AL454</f>
        <v>-84.149999999999636</v>
      </c>
      <c r="AO454" s="289">
        <f t="shared" si="115"/>
        <v>-1.4974215521935426E-2</v>
      </c>
      <c r="AP454" s="246"/>
      <c r="AQ454" s="486">
        <v>5536</v>
      </c>
      <c r="AR454" s="310"/>
      <c r="AS454" s="246"/>
      <c r="AT454" s="246"/>
      <c r="AU454" s="246"/>
      <c r="AV454" s="246"/>
      <c r="AW454" s="246"/>
      <c r="AX454" s="246"/>
      <c r="AY454" s="246"/>
      <c r="AZ454" s="246"/>
      <c r="BA454" s="246"/>
      <c r="BB454" s="246"/>
      <c r="BC454" s="246"/>
      <c r="BD454" s="246"/>
      <c r="BE454" s="246"/>
      <c r="BF454" s="246"/>
      <c r="BG454" s="246"/>
      <c r="BH454" s="246"/>
      <c r="BI454" s="246"/>
      <c r="BJ454" s="246"/>
    </row>
    <row r="455" spans="1:62" ht="18">
      <c r="A455" t="str">
        <f t="shared" si="89"/>
        <v>Taxes d`affaires</v>
      </c>
      <c r="B455" s="7"/>
      <c r="C455" s="246"/>
      <c r="D455" s="246"/>
      <c r="E455" s="246"/>
      <c r="F455" s="246"/>
      <c r="G455" s="246"/>
      <c r="H455" s="246"/>
      <c r="I455" s="246"/>
      <c r="J455" s="246"/>
      <c r="K455" s="246"/>
      <c r="L455" s="246"/>
      <c r="M455" s="246"/>
      <c r="N455" s="246"/>
      <c r="O455" s="246"/>
      <c r="P455" s="246"/>
      <c r="Q455" s="246"/>
      <c r="R455" s="246"/>
      <c r="S455" s="246"/>
      <c r="T455" s="246"/>
      <c r="U455" s="246"/>
      <c r="V455" s="103" t="s">
        <v>161</v>
      </c>
      <c r="W455" s="290" t="s">
        <v>162</v>
      </c>
      <c r="X455" s="263"/>
      <c r="Y455" s="291"/>
      <c r="Z455" s="264">
        <v>2516.63</v>
      </c>
      <c r="AA455" s="263"/>
      <c r="AB455" s="291"/>
      <c r="AC455" s="264"/>
      <c r="AD455" s="292"/>
      <c r="AE455" s="291"/>
      <c r="AF455" s="264">
        <v>2372.3599999999997</v>
      </c>
      <c r="AG455" s="265"/>
      <c r="AH455" s="266">
        <f t="shared" si="113"/>
        <v>-144.27000000000044</v>
      </c>
      <c r="AI455" s="293">
        <f t="shared" si="114"/>
        <v>-5.7326663037474891E-2</v>
      </c>
      <c r="AJ455" s="292"/>
      <c r="AK455" s="263"/>
      <c r="AL455" s="264">
        <v>2408.4299999999998</v>
      </c>
      <c r="AM455" s="268"/>
      <c r="AN455" s="266">
        <f t="shared" si="116"/>
        <v>-36.070000000000164</v>
      </c>
      <c r="AO455" s="269">
        <f t="shared" si="115"/>
        <v>-1.4976561494417595E-2</v>
      </c>
      <c r="AP455" s="246"/>
      <c r="AQ455" s="486">
        <v>2372</v>
      </c>
      <c r="AR455" s="310"/>
      <c r="AS455" s="246"/>
      <c r="AT455" s="246"/>
      <c r="AU455" s="246"/>
      <c r="AV455" s="246"/>
      <c r="AW455" s="246"/>
      <c r="AX455" s="246"/>
      <c r="AY455" s="246"/>
      <c r="AZ455" s="246"/>
      <c r="BA455" s="246"/>
      <c r="BB455" s="246"/>
      <c r="BC455" s="246"/>
      <c r="BD455" s="246"/>
      <c r="BE455" s="246"/>
      <c r="BF455" s="246"/>
      <c r="BG455" s="246"/>
      <c r="BH455" s="246"/>
      <c r="BI455" s="246"/>
      <c r="BJ455" s="246"/>
    </row>
    <row r="456" spans="1:62" ht="18">
      <c r="A456" t="str">
        <f t="shared" si="89"/>
        <v>Taxe sur le capital</v>
      </c>
      <c r="B456" s="7"/>
      <c r="C456" s="246"/>
      <c r="D456" s="246"/>
      <c r="E456" s="246"/>
      <c r="F456" s="246"/>
      <c r="G456" s="246"/>
      <c r="H456" s="246"/>
      <c r="I456" s="246"/>
      <c r="J456" s="246"/>
      <c r="K456" s="246"/>
      <c r="L456" s="246"/>
      <c r="M456" s="246"/>
      <c r="N456" s="246"/>
      <c r="O456" s="246"/>
      <c r="P456" s="246"/>
      <c r="Q456" s="246"/>
      <c r="R456" s="246"/>
      <c r="S456" s="246"/>
      <c r="T456" s="246"/>
      <c r="U456" s="246"/>
      <c r="V456" s="102" t="s">
        <v>163</v>
      </c>
      <c r="W456" s="286"/>
      <c r="X456" s="279"/>
      <c r="Y456" s="287"/>
      <c r="Z456" s="280">
        <v>0</v>
      </c>
      <c r="AA456" s="279"/>
      <c r="AB456" s="287"/>
      <c r="AC456" s="280"/>
      <c r="AD456" s="288"/>
      <c r="AE456" s="287"/>
      <c r="AF456" s="280">
        <v>0</v>
      </c>
      <c r="AG456" s="281"/>
      <c r="AH456" s="282">
        <f t="shared" si="113"/>
        <v>0</v>
      </c>
      <c r="AI456" s="283">
        <f t="shared" si="114"/>
        <v>0</v>
      </c>
      <c r="AJ456" s="288"/>
      <c r="AK456" s="279"/>
      <c r="AL456" s="280">
        <v>0</v>
      </c>
      <c r="AM456" s="284"/>
      <c r="AN456" s="282">
        <f t="shared" si="116"/>
        <v>0</v>
      </c>
      <c r="AO456" s="289">
        <f t="shared" si="115"/>
        <v>0</v>
      </c>
      <c r="AP456" s="246"/>
      <c r="AQ456" s="246"/>
      <c r="AR456" s="310"/>
      <c r="AS456" s="246"/>
      <c r="AT456" s="246"/>
      <c r="AU456" s="246"/>
      <c r="AV456" s="246"/>
      <c r="AW456" s="246"/>
      <c r="AX456" s="246"/>
      <c r="AY456" s="246"/>
      <c r="AZ456" s="246"/>
      <c r="BA456" s="246"/>
      <c r="BB456" s="246"/>
      <c r="BC456" s="246"/>
      <c r="BD456" s="246"/>
      <c r="BE456" s="246"/>
      <c r="BF456" s="246"/>
      <c r="BG456" s="246"/>
      <c r="BH456" s="246"/>
      <c r="BI456" s="246"/>
      <c r="BJ456" s="246"/>
    </row>
    <row r="457" spans="1:62" ht="18">
      <c r="A457" t="str">
        <f t="shared" si="89"/>
        <v>Assurances</v>
      </c>
      <c r="B457" s="7"/>
      <c r="C457" s="246"/>
      <c r="D457" s="246"/>
      <c r="E457" s="246"/>
      <c r="F457" s="246"/>
      <c r="G457" s="246"/>
      <c r="H457" s="246"/>
      <c r="I457" s="246"/>
      <c r="J457" s="246"/>
      <c r="K457" s="246"/>
      <c r="L457" s="246"/>
      <c r="M457" s="246"/>
      <c r="N457" s="246"/>
      <c r="O457" s="246"/>
      <c r="P457" s="246"/>
      <c r="Q457" s="246"/>
      <c r="R457" s="246"/>
      <c r="S457" s="246"/>
      <c r="T457" s="246"/>
      <c r="U457" s="246"/>
      <c r="V457" s="103" t="s">
        <v>164</v>
      </c>
      <c r="W457" s="290" t="s">
        <v>165</v>
      </c>
      <c r="X457" s="263"/>
      <c r="Y457" s="291"/>
      <c r="Z457" s="264">
        <v>4349.75</v>
      </c>
      <c r="AA457" s="263"/>
      <c r="AB457" s="291"/>
      <c r="AC457" s="264"/>
      <c r="AD457" s="292"/>
      <c r="AE457" s="291"/>
      <c r="AF457" s="264">
        <v>5663.2</v>
      </c>
      <c r="AG457" s="265"/>
      <c r="AH457" s="266">
        <f t="shared" si="113"/>
        <v>1313.4499999999998</v>
      </c>
      <c r="AI457" s="293">
        <f t="shared" si="114"/>
        <v>0.30195988275188224</v>
      </c>
      <c r="AJ457" s="292"/>
      <c r="AK457" s="263"/>
      <c r="AL457" s="264">
        <v>5507.75</v>
      </c>
      <c r="AM457" s="268"/>
      <c r="AN457" s="266">
        <f t="shared" si="116"/>
        <v>155.44999999999982</v>
      </c>
      <c r="AO457" s="269">
        <f t="shared" si="115"/>
        <v>2.8223866370114804E-2</v>
      </c>
      <c r="AP457" s="246"/>
      <c r="AQ457" s="486">
        <f>4350+1313</f>
        <v>5663</v>
      </c>
      <c r="AR457" s="310" t="s">
        <v>250</v>
      </c>
      <c r="AS457" s="246"/>
      <c r="AT457" s="246"/>
      <c r="AU457" s="246"/>
      <c r="AV457" s="246"/>
      <c r="AW457" s="246"/>
      <c r="AX457" s="246"/>
      <c r="AY457" s="246"/>
      <c r="AZ457" s="246"/>
      <c r="BA457" s="246"/>
      <c r="BB457" s="246"/>
      <c r="BC457" s="246"/>
      <c r="BD457" s="246"/>
      <c r="BE457" s="246"/>
      <c r="BF457" s="246"/>
      <c r="BG457" s="246"/>
      <c r="BH457" s="246"/>
      <c r="BI457" s="246"/>
      <c r="BJ457" s="246"/>
    </row>
    <row r="458" spans="1:62" ht="18">
      <c r="A458" t="str">
        <f t="shared" si="89"/>
        <v>Chauffage, éclairage</v>
      </c>
      <c r="B458" s="7"/>
      <c r="C458" s="246"/>
      <c r="D458" s="246"/>
      <c r="E458" s="246"/>
      <c r="F458" s="246"/>
      <c r="G458" s="246"/>
      <c r="H458" s="246"/>
      <c r="I458" s="246"/>
      <c r="J458" s="246"/>
      <c r="K458" s="246"/>
      <c r="L458" s="246"/>
      <c r="M458" s="246"/>
      <c r="N458" s="246"/>
      <c r="O458" s="246"/>
      <c r="P458" s="246"/>
      <c r="Q458" s="246"/>
      <c r="R458" s="246"/>
      <c r="S458" s="246"/>
      <c r="T458" s="246"/>
      <c r="U458" s="246"/>
      <c r="V458" s="102" t="s">
        <v>166</v>
      </c>
      <c r="W458" s="286" t="s">
        <v>167</v>
      </c>
      <c r="X458" s="332"/>
      <c r="Y458" s="333"/>
      <c r="Z458" s="280">
        <v>4600</v>
      </c>
      <c r="AA458" s="332"/>
      <c r="AB458" s="333"/>
      <c r="AC458" s="280"/>
      <c r="AD458" s="288"/>
      <c r="AE458" s="287"/>
      <c r="AF458" s="280">
        <v>4110.2</v>
      </c>
      <c r="AG458" s="281"/>
      <c r="AH458" s="282">
        <f t="shared" si="113"/>
        <v>-489.80000000000018</v>
      </c>
      <c r="AI458" s="283">
        <f t="shared" si="114"/>
        <v>-0.10647826086956526</v>
      </c>
      <c r="AJ458" s="288"/>
      <c r="AK458" s="279"/>
      <c r="AL458" s="280">
        <v>4345.17</v>
      </c>
      <c r="AM458" s="284"/>
      <c r="AN458" s="282">
        <f t="shared" si="116"/>
        <v>-234.97000000000025</v>
      </c>
      <c r="AO458" s="289">
        <f t="shared" si="115"/>
        <v>-5.4076135110939332E-2</v>
      </c>
      <c r="AP458" s="246"/>
      <c r="AQ458" s="246">
        <f>3360+750</f>
        <v>4110</v>
      </c>
      <c r="AR458" s="310"/>
      <c r="AS458" s="246"/>
      <c r="AT458" s="246"/>
      <c r="AU458" s="246"/>
      <c r="AV458" s="246"/>
      <c r="AW458" s="246"/>
      <c r="AX458" s="246"/>
      <c r="AY458" s="246"/>
      <c r="AZ458" s="246"/>
      <c r="BA458" s="246"/>
      <c r="BB458" s="246"/>
      <c r="BC458" s="246"/>
      <c r="BD458" s="246"/>
      <c r="BE458" s="246"/>
      <c r="BF458" s="246"/>
      <c r="BG458" s="246"/>
      <c r="BH458" s="246"/>
      <c r="BI458" s="246"/>
      <c r="BJ458" s="246"/>
    </row>
    <row r="459" spans="1:62" ht="18">
      <c r="A459" t="str">
        <f t="shared" si="89"/>
        <v>Honoraires</v>
      </c>
      <c r="B459" s="7"/>
      <c r="C459" s="246"/>
      <c r="D459" s="246"/>
      <c r="E459" s="246"/>
      <c r="F459" s="246"/>
      <c r="G459" s="246"/>
      <c r="H459" s="246"/>
      <c r="I459" s="246"/>
      <c r="J459" s="246"/>
      <c r="K459" s="246"/>
      <c r="L459" s="246"/>
      <c r="M459" s="246"/>
      <c r="N459" s="246"/>
      <c r="O459" s="246"/>
      <c r="P459" s="246"/>
      <c r="Q459" s="246"/>
      <c r="R459" s="246"/>
      <c r="S459" s="246"/>
      <c r="T459" s="246"/>
      <c r="U459" s="246"/>
      <c r="V459" s="102" t="s">
        <v>168</v>
      </c>
      <c r="W459" s="286" t="s">
        <v>152</v>
      </c>
      <c r="X459" s="279"/>
      <c r="Y459" s="287"/>
      <c r="Z459" s="280">
        <v>6643</v>
      </c>
      <c r="AA459" s="279"/>
      <c r="AB459" s="287"/>
      <c r="AC459" s="280"/>
      <c r="AD459" s="288"/>
      <c r="AE459" s="287"/>
      <c r="AF459" s="280">
        <v>6307.33</v>
      </c>
      <c r="AG459" s="281"/>
      <c r="AH459" s="282">
        <f t="shared" si="113"/>
        <v>-335.67000000000007</v>
      </c>
      <c r="AI459" s="283">
        <f t="shared" si="114"/>
        <v>-5.0529881077826293E-2</v>
      </c>
      <c r="AJ459" s="288"/>
      <c r="AK459" s="279"/>
      <c r="AL459" s="280">
        <v>6307.33</v>
      </c>
      <c r="AM459" s="284"/>
      <c r="AN459" s="282">
        <f t="shared" si="116"/>
        <v>0</v>
      </c>
      <c r="AO459" s="289">
        <f t="shared" si="115"/>
        <v>0</v>
      </c>
      <c r="AP459" s="246"/>
      <c r="AQ459" s="486">
        <v>6308</v>
      </c>
      <c r="AR459" s="310"/>
      <c r="AS459" s="246"/>
      <c r="AT459" s="246"/>
      <c r="AU459" s="246"/>
      <c r="AV459" s="246"/>
      <c r="AW459" s="246"/>
      <c r="AX459" s="246"/>
      <c r="AY459" s="246"/>
      <c r="AZ459" s="246"/>
      <c r="BA459" s="246"/>
      <c r="BB459" s="246"/>
      <c r="BC459" s="246"/>
      <c r="BD459" s="246"/>
      <c r="BE459" s="246"/>
      <c r="BF459" s="246"/>
      <c r="BG459" s="246"/>
      <c r="BH459" s="246"/>
      <c r="BI459" s="246"/>
      <c r="BJ459" s="246"/>
    </row>
    <row r="460" spans="1:62" ht="18">
      <c r="A460" t="str">
        <f t="shared" si="89"/>
        <v>Réparation équipement</v>
      </c>
      <c r="B460" s="7"/>
      <c r="C460" s="246"/>
      <c r="D460" s="246"/>
      <c r="E460" s="246"/>
      <c r="F460" s="246"/>
      <c r="G460" s="246"/>
      <c r="H460" s="246"/>
      <c r="I460" s="246"/>
      <c r="J460" s="246"/>
      <c r="K460" s="246"/>
      <c r="L460" s="246"/>
      <c r="M460" s="246"/>
      <c r="N460" s="246"/>
      <c r="O460" s="246"/>
      <c r="P460" s="246"/>
      <c r="Q460" s="246"/>
      <c r="R460" s="246"/>
      <c r="S460" s="246"/>
      <c r="T460" s="246"/>
      <c r="U460" s="246"/>
      <c r="V460" s="103" t="s">
        <v>170</v>
      </c>
      <c r="W460" s="290" t="s">
        <v>238</v>
      </c>
      <c r="X460" s="263"/>
      <c r="Y460" s="291"/>
      <c r="Z460" s="264">
        <v>500</v>
      </c>
      <c r="AA460" s="263"/>
      <c r="AB460" s="291"/>
      <c r="AC460" s="264"/>
      <c r="AD460" s="292"/>
      <c r="AE460" s="291"/>
      <c r="AF460" s="264">
        <v>0</v>
      </c>
      <c r="AG460" s="265"/>
      <c r="AH460" s="266">
        <f t="shared" si="113"/>
        <v>-500</v>
      </c>
      <c r="AI460" s="293">
        <f t="shared" si="114"/>
        <v>-1</v>
      </c>
      <c r="AJ460" s="292"/>
      <c r="AK460" s="263"/>
      <c r="AL460" s="264">
        <v>500</v>
      </c>
      <c r="AM460" s="268"/>
      <c r="AN460" s="266">
        <f t="shared" si="116"/>
        <v>-500</v>
      </c>
      <c r="AO460" s="269">
        <f t="shared" si="115"/>
        <v>-1</v>
      </c>
      <c r="AP460" s="246"/>
      <c r="AQ460" s="246">
        <v>0</v>
      </c>
      <c r="AR460" s="310"/>
      <c r="AS460" s="246"/>
      <c r="AT460" s="246"/>
      <c r="AU460" s="246"/>
      <c r="AV460" s="246"/>
      <c r="AW460" s="246"/>
      <c r="AX460" s="246"/>
      <c r="AY460" s="246"/>
      <c r="AZ460" s="246"/>
      <c r="BA460" s="246"/>
      <c r="BB460" s="246"/>
      <c r="BC460" s="246"/>
      <c r="BD460" s="246"/>
      <c r="BE460" s="246"/>
      <c r="BF460" s="246"/>
      <c r="BG460" s="246"/>
      <c r="BH460" s="246"/>
      <c r="BI460" s="246"/>
      <c r="BJ460" s="246"/>
    </row>
    <row r="461" spans="1:62" ht="18">
      <c r="A461" t="str">
        <f t="shared" si="89"/>
        <v>Location équipement</v>
      </c>
      <c r="B461" s="7"/>
      <c r="C461" s="246"/>
      <c r="D461" s="246"/>
      <c r="E461" s="246"/>
      <c r="F461" s="246"/>
      <c r="G461" s="246"/>
      <c r="H461" s="246"/>
      <c r="I461" s="246"/>
      <c r="J461" s="246"/>
      <c r="K461" s="246"/>
      <c r="L461" s="246"/>
      <c r="M461" s="246"/>
      <c r="N461" s="246"/>
      <c r="O461" s="246"/>
      <c r="P461" s="246"/>
      <c r="Q461" s="246"/>
      <c r="R461" s="246"/>
      <c r="S461" s="246"/>
      <c r="T461" s="246"/>
      <c r="U461" s="334"/>
      <c r="V461" s="102" t="s">
        <v>172</v>
      </c>
      <c r="W461" s="286" t="s">
        <v>173</v>
      </c>
      <c r="X461" s="279"/>
      <c r="Y461" s="287"/>
      <c r="Z461" s="280">
        <v>275</v>
      </c>
      <c r="AA461" s="279"/>
      <c r="AB461" s="287"/>
      <c r="AC461" s="280"/>
      <c r="AD461" s="288"/>
      <c r="AE461" s="287"/>
      <c r="AF461" s="280">
        <v>173.96</v>
      </c>
      <c r="AG461" s="281"/>
      <c r="AH461" s="282">
        <f t="shared" si="113"/>
        <v>-101.03999999999999</v>
      </c>
      <c r="AI461" s="335">
        <f t="shared" si="114"/>
        <v>-0.36741818181818181</v>
      </c>
      <c r="AJ461" s="279"/>
      <c r="AK461" s="279"/>
      <c r="AL461" s="280">
        <v>255.96</v>
      </c>
      <c r="AM461" s="284"/>
      <c r="AN461" s="282">
        <f t="shared" si="116"/>
        <v>-82</v>
      </c>
      <c r="AO461" s="289">
        <f t="shared" si="115"/>
        <v>-0.32036255664947649</v>
      </c>
      <c r="AP461" s="246"/>
      <c r="AQ461" s="246">
        <v>174</v>
      </c>
      <c r="AR461" s="310"/>
      <c r="AS461" s="246"/>
      <c r="AT461" s="246"/>
      <c r="AU461" s="246"/>
      <c r="AV461" s="246"/>
      <c r="AW461" s="246"/>
      <c r="AX461" s="246"/>
      <c r="AY461" s="246"/>
      <c r="AZ461" s="246"/>
      <c r="BA461" s="246"/>
      <c r="BB461" s="246"/>
      <c r="BC461" s="246"/>
      <c r="BD461" s="246"/>
      <c r="BE461" s="246"/>
      <c r="BF461" s="246"/>
      <c r="BG461" s="246"/>
      <c r="BH461" s="246"/>
      <c r="BI461" s="246"/>
      <c r="BJ461" s="246"/>
    </row>
    <row r="462" spans="1:62" ht="18">
      <c r="A462" t="str">
        <f t="shared" si="89"/>
        <v>Dons</v>
      </c>
      <c r="B462" s="7"/>
      <c r="C462" s="246"/>
      <c r="D462" s="246"/>
      <c r="E462" s="246"/>
      <c r="F462" s="246"/>
      <c r="G462" s="246"/>
      <c r="H462" s="246"/>
      <c r="I462" s="246"/>
      <c r="J462" s="246"/>
      <c r="K462" s="246"/>
      <c r="L462" s="246"/>
      <c r="M462" s="246"/>
      <c r="N462" s="246"/>
      <c r="O462" s="246"/>
      <c r="P462" s="246"/>
      <c r="Q462" s="246"/>
      <c r="R462" s="246"/>
      <c r="S462" s="246"/>
      <c r="T462" s="246"/>
      <c r="U462" s="334"/>
      <c r="V462" s="102" t="s">
        <v>174</v>
      </c>
      <c r="W462" s="286" t="s">
        <v>175</v>
      </c>
      <c r="X462" s="279"/>
      <c r="Y462" s="287"/>
      <c r="Z462" s="280">
        <v>0</v>
      </c>
      <c r="AA462" s="279"/>
      <c r="AB462" s="287"/>
      <c r="AC462" s="280"/>
      <c r="AD462" s="288"/>
      <c r="AE462" s="287"/>
      <c r="AF462" s="280">
        <v>0</v>
      </c>
      <c r="AG462" s="281"/>
      <c r="AH462" s="282">
        <v>0</v>
      </c>
      <c r="AI462" s="306">
        <v>0</v>
      </c>
      <c r="AJ462" s="279"/>
      <c r="AK462" s="279"/>
      <c r="AL462" s="280">
        <v>0</v>
      </c>
      <c r="AM462" s="284"/>
      <c r="AN462" s="282">
        <v>0</v>
      </c>
      <c r="AO462" s="289">
        <v>0</v>
      </c>
      <c r="AP462" s="246"/>
      <c r="AQ462" s="246"/>
      <c r="AR462" s="246"/>
      <c r="AS462" s="246"/>
      <c r="AT462" s="246"/>
      <c r="AU462" s="246"/>
      <c r="AV462" s="246"/>
      <c r="AW462" s="246"/>
      <c r="AX462" s="246"/>
      <c r="AY462" s="246"/>
      <c r="AZ462" s="246"/>
      <c r="BA462" s="246"/>
      <c r="BB462" s="246"/>
      <c r="BC462" s="246"/>
      <c r="BD462" s="246"/>
      <c r="BE462" s="246"/>
      <c r="BF462" s="246"/>
      <c r="BG462" s="246"/>
      <c r="BH462" s="246"/>
      <c r="BI462" s="246"/>
      <c r="BJ462" s="246"/>
    </row>
    <row r="463" spans="1:62" ht="18" hidden="1">
      <c r="A463" t="str">
        <f t="shared" si="89"/>
        <v>[...]</v>
      </c>
      <c r="B463" s="7"/>
      <c r="C463" s="246"/>
      <c r="D463" s="246"/>
      <c r="E463" s="246"/>
      <c r="F463" s="246"/>
      <c r="G463" s="246"/>
      <c r="H463" s="246"/>
      <c r="I463" s="246"/>
      <c r="J463" s="246"/>
      <c r="K463" s="246"/>
      <c r="L463" s="246"/>
      <c r="M463" s="246"/>
      <c r="N463" s="246"/>
      <c r="O463" s="246"/>
      <c r="P463" s="246"/>
      <c r="Q463" s="246"/>
      <c r="R463" s="246"/>
      <c r="S463" s="246"/>
      <c r="T463" s="246"/>
      <c r="U463" s="334"/>
      <c r="V463" s="102" t="s">
        <v>19</v>
      </c>
      <c r="W463" s="286"/>
      <c r="X463" s="279"/>
      <c r="Y463" s="287"/>
      <c r="Z463" s="282">
        <f>IFERROR(SUMIF($C:$C,$V463,F:F),0)</f>
        <v>0</v>
      </c>
      <c r="AA463" s="279"/>
      <c r="AB463" s="279"/>
      <c r="AC463" s="282"/>
      <c r="AD463" s="288"/>
      <c r="AE463" s="287"/>
      <c r="AF463" s="280">
        <f>+SUMIF($C:$C,$V463,L:L)</f>
        <v>0</v>
      </c>
      <c r="AG463" s="281"/>
      <c r="AH463" s="282">
        <f>AF463-Z463</f>
        <v>0</v>
      </c>
      <c r="AI463" s="283">
        <f>IF(Z463=0,0,AH463/Z463)</f>
        <v>0</v>
      </c>
      <c r="AJ463" s="288"/>
      <c r="AK463" s="279"/>
      <c r="AL463" s="280">
        <f>IFERROR(SUMIF($C:$C,$V463,Q:Q),0)</f>
        <v>0</v>
      </c>
      <c r="AM463" s="284"/>
      <c r="AN463" s="282">
        <v>0</v>
      </c>
      <c r="AO463" s="289">
        <v>1</v>
      </c>
      <c r="AP463" s="246"/>
      <c r="AQ463" s="246"/>
      <c r="AR463" s="246"/>
      <c r="AS463" s="246"/>
      <c r="AT463" s="246"/>
      <c r="AU463" s="246"/>
      <c r="AV463" s="246"/>
      <c r="AW463" s="246"/>
      <c r="AX463" s="246"/>
      <c r="AY463" s="246"/>
      <c r="AZ463" s="246"/>
      <c r="BA463" s="246"/>
      <c r="BB463" s="246"/>
      <c r="BC463" s="246"/>
      <c r="BD463" s="246"/>
      <c r="BE463" s="246"/>
      <c r="BF463" s="246"/>
      <c r="BG463" s="246"/>
      <c r="BH463" s="246"/>
      <c r="BI463" s="246"/>
      <c r="BJ463" s="246"/>
    </row>
    <row r="464" spans="1:62" ht="18" hidden="1">
      <c r="A464" t="str">
        <f t="shared" si="89"/>
        <v>[...]</v>
      </c>
      <c r="B464" s="7"/>
      <c r="C464" s="246"/>
      <c r="D464" s="246"/>
      <c r="E464" s="246"/>
      <c r="F464" s="246"/>
      <c r="G464" s="246"/>
      <c r="H464" s="246"/>
      <c r="I464" s="246"/>
      <c r="J464" s="246"/>
      <c r="K464" s="246"/>
      <c r="L464" s="246"/>
      <c r="M464" s="246"/>
      <c r="N464" s="246"/>
      <c r="O464" s="246"/>
      <c r="P464" s="246"/>
      <c r="Q464" s="246"/>
      <c r="R464" s="246"/>
      <c r="S464" s="246"/>
      <c r="T464" s="246"/>
      <c r="U464" s="334"/>
      <c r="V464" s="102" t="s">
        <v>19</v>
      </c>
      <c r="W464" s="286"/>
      <c r="X464" s="279"/>
      <c r="Y464" s="287"/>
      <c r="Z464" s="282">
        <f>IFERROR(SUMIF($C:$C,$V464,F:F),0)</f>
        <v>0</v>
      </c>
      <c r="AA464" s="279"/>
      <c r="AB464" s="279"/>
      <c r="AC464" s="282"/>
      <c r="AD464" s="288"/>
      <c r="AE464" s="287"/>
      <c r="AF464" s="280">
        <f>+SUMIF($C:$C,$V464,L:L)</f>
        <v>0</v>
      </c>
      <c r="AG464" s="281"/>
      <c r="AH464" s="282">
        <f>AF464-Z464</f>
        <v>0</v>
      </c>
      <c r="AI464" s="283">
        <f>IF(Z464=0,0,AH464/Z464)</f>
        <v>0</v>
      </c>
      <c r="AJ464" s="288"/>
      <c r="AK464" s="279"/>
      <c r="AL464" s="280">
        <f>IFERROR(SUMIF($C:$C,$V464,Q:Q),0)</f>
        <v>0</v>
      </c>
      <c r="AM464" s="284"/>
      <c r="AN464" s="282">
        <v>0</v>
      </c>
      <c r="AO464" s="289">
        <v>2</v>
      </c>
      <c r="AP464" s="246"/>
      <c r="AQ464" s="246"/>
      <c r="AR464" s="246"/>
      <c r="AS464" s="246"/>
      <c r="AT464" s="246"/>
      <c r="AU464" s="246"/>
      <c r="AV464" s="246"/>
      <c r="AW464" s="246"/>
      <c r="AX464" s="246"/>
      <c r="AY464" s="246"/>
      <c r="AZ464" s="246"/>
      <c r="BA464" s="246"/>
      <c r="BB464" s="246"/>
      <c r="BC464" s="246"/>
      <c r="BD464" s="246"/>
      <c r="BE464" s="246"/>
      <c r="BF464" s="246"/>
      <c r="BG464" s="246"/>
      <c r="BH464" s="246"/>
      <c r="BI464" s="246"/>
      <c r="BJ464" s="246"/>
    </row>
    <row r="465" spans="1:62" ht="18" hidden="1">
      <c r="A465" t="str">
        <f t="shared" si="89"/>
        <v>[...]</v>
      </c>
      <c r="B465" s="7"/>
      <c r="C465" s="246"/>
      <c r="D465" s="246"/>
      <c r="E465" s="246"/>
      <c r="F465" s="246"/>
      <c r="G465" s="246"/>
      <c r="H465" s="246"/>
      <c r="I465" s="246"/>
      <c r="J465" s="246"/>
      <c r="K465" s="246"/>
      <c r="L465" s="246"/>
      <c r="M465" s="246"/>
      <c r="N465" s="246"/>
      <c r="O465" s="246"/>
      <c r="P465" s="246"/>
      <c r="Q465" s="246"/>
      <c r="R465" s="246"/>
      <c r="S465" s="246"/>
      <c r="T465" s="246"/>
      <c r="U465" s="246"/>
      <c r="V465" s="102" t="s">
        <v>19</v>
      </c>
      <c r="W465" s="286"/>
      <c r="X465" s="279"/>
      <c r="Y465" s="287"/>
      <c r="Z465" s="282">
        <f>IFERROR(SUMIF($C:$C,$V465,F:F),0)</f>
        <v>0</v>
      </c>
      <c r="AA465" s="279"/>
      <c r="AB465" s="279"/>
      <c r="AC465" s="282"/>
      <c r="AD465" s="288"/>
      <c r="AE465" s="287"/>
      <c r="AF465" s="280">
        <f>+SUMIF($C:$C,$V465,L:L)</f>
        <v>0</v>
      </c>
      <c r="AG465" s="281"/>
      <c r="AH465" s="282">
        <f>AF465-Z465</f>
        <v>0</v>
      </c>
      <c r="AI465" s="283">
        <f>IF(Z465=0,0,AH465/Z465)</f>
        <v>0</v>
      </c>
      <c r="AJ465" s="288"/>
      <c r="AK465" s="279"/>
      <c r="AL465" s="280">
        <f>IFERROR(SUMIF($C:$C,$V465,Q:Q),0)</f>
        <v>0</v>
      </c>
      <c r="AM465" s="284"/>
      <c r="AN465" s="282">
        <v>0</v>
      </c>
      <c r="AO465" s="289">
        <v>3</v>
      </c>
      <c r="AP465" s="246"/>
      <c r="AQ465" s="246"/>
      <c r="AR465" s="246"/>
      <c r="AS465" s="246"/>
      <c r="AT465" s="246"/>
      <c r="AU465" s="246"/>
      <c r="AV465" s="246"/>
      <c r="AW465" s="246"/>
      <c r="AX465" s="246"/>
      <c r="AY465" s="246"/>
      <c r="AZ465" s="246"/>
      <c r="BA465" s="246"/>
      <c r="BB465" s="246"/>
      <c r="BC465" s="246"/>
      <c r="BD465" s="246"/>
      <c r="BE465" s="246"/>
      <c r="BF465" s="246"/>
      <c r="BG465" s="246"/>
      <c r="BH465" s="246"/>
      <c r="BI465" s="246"/>
      <c r="BJ465" s="246"/>
    </row>
    <row r="466" spans="1:62" ht="18">
      <c r="A466" t="str">
        <f t="shared" si="89"/>
        <v>TOTAL DÉPENSES FIXES</v>
      </c>
      <c r="B466" s="7"/>
      <c r="C466" s="246"/>
      <c r="D466" s="246"/>
      <c r="E466" s="246"/>
      <c r="F466" s="246"/>
      <c r="G466" s="246"/>
      <c r="H466" s="246"/>
      <c r="I466" s="246"/>
      <c r="J466" s="246"/>
      <c r="K466" s="246"/>
      <c r="L466" s="246"/>
      <c r="M466" s="246"/>
      <c r="N466" s="246"/>
      <c r="O466" s="246"/>
      <c r="P466" s="246"/>
      <c r="Q466" s="246"/>
      <c r="R466" s="246"/>
      <c r="S466" s="246"/>
      <c r="T466" s="246"/>
      <c r="U466" s="246"/>
      <c r="V466" s="296" t="s">
        <v>176</v>
      </c>
      <c r="W466" s="297"/>
      <c r="X466" s="298">
        <f>Z466/+Z407</f>
        <v>0.18981036089485795</v>
      </c>
      <c r="Y466" s="297"/>
      <c r="Z466" s="299">
        <f>SUM(Z453:Z465)</f>
        <v>74756.51999999999</v>
      </c>
      <c r="AA466" s="298"/>
      <c r="AB466" s="297"/>
      <c r="AC466" s="299"/>
      <c r="AD466" s="300">
        <f>AF466/AF407</f>
        <v>0.20954152957889099</v>
      </c>
      <c r="AE466" s="297"/>
      <c r="AF466" s="299">
        <f>SUM(AF453:AF465)</f>
        <v>74162.560000000012</v>
      </c>
      <c r="AG466" s="308"/>
      <c r="AH466" s="302">
        <f>SUM(AH453:AH465)</f>
        <v>-593.96000000000095</v>
      </c>
      <c r="AI466" s="298">
        <f>IF(Z466=0,0,AH466/Z466)</f>
        <v>-7.9452601592476628E-3</v>
      </c>
      <c r="AJ466" s="300">
        <f>IF($AL$407=0,0,AL466/$AL$407)</f>
        <v>0.20455797473349049</v>
      </c>
      <c r="AK466" s="298"/>
      <c r="AL466" s="299">
        <f>SUM(AL453:AL465)</f>
        <v>74944.300000000017</v>
      </c>
      <c r="AM466" s="309"/>
      <c r="AN466" s="302">
        <f>SUM(AN453:AN465)</f>
        <v>-781.74000000000024</v>
      </c>
      <c r="AO466" s="331">
        <f t="shared" ref="AO466:AO483" si="117">IF(AL466=0,0,AN466/AL466)</f>
        <v>-1.0430946716428068E-2</v>
      </c>
      <c r="AP466" s="246"/>
      <c r="AQ466" s="246"/>
      <c r="AR466" s="246"/>
      <c r="AS466" s="246"/>
      <c r="AT466" s="246"/>
      <c r="AU466" s="246"/>
      <c r="AV466" s="246"/>
      <c r="AW466" s="246"/>
      <c r="AX466" s="246"/>
      <c r="AY466" s="246"/>
      <c r="AZ466" s="246"/>
      <c r="BA466" s="246"/>
      <c r="BB466" s="246"/>
      <c r="BC466" s="246"/>
      <c r="BD466" s="246"/>
      <c r="BE466" s="246"/>
      <c r="BF466" s="246"/>
      <c r="BG466" s="246"/>
      <c r="BH466" s="246"/>
      <c r="BI466" s="246"/>
      <c r="BJ466" s="246"/>
    </row>
    <row r="467" spans="1:62" ht="18">
      <c r="A467" t="str">
        <f t="shared" si="89"/>
        <v/>
      </c>
      <c r="B467" s="7"/>
      <c r="C467" s="246"/>
      <c r="D467" s="246"/>
      <c r="E467" s="246"/>
      <c r="F467" s="246"/>
      <c r="G467" s="246"/>
      <c r="H467" s="246"/>
      <c r="I467" s="246"/>
      <c r="J467" s="246"/>
      <c r="K467" s="246"/>
      <c r="L467" s="246"/>
      <c r="M467" s="246"/>
      <c r="N467" s="246"/>
      <c r="O467" s="246"/>
      <c r="P467" s="246"/>
      <c r="Q467" s="246"/>
      <c r="R467" s="246"/>
      <c r="S467" s="246"/>
      <c r="T467" s="246"/>
      <c r="U467" s="246"/>
      <c r="V467" s="102"/>
      <c r="W467" s="279"/>
      <c r="X467" s="279"/>
      <c r="Y467" s="279"/>
      <c r="Z467" s="336"/>
      <c r="AA467" s="279"/>
      <c r="AB467" s="279"/>
      <c r="AC467" s="336"/>
      <c r="AD467" s="288"/>
      <c r="AE467" s="279"/>
      <c r="AF467" s="336"/>
      <c r="AG467" s="288"/>
      <c r="AH467" s="282">
        <f t="shared" ref="AH467:AH481" si="118">AF467-Z467</f>
        <v>0</v>
      </c>
      <c r="AI467" s="283"/>
      <c r="AJ467" s="288"/>
      <c r="AK467" s="279"/>
      <c r="AL467" s="336"/>
      <c r="AM467" s="337"/>
      <c r="AN467" s="282">
        <f t="shared" ref="AN467:AN483" si="119">AF467-AL467</f>
        <v>0</v>
      </c>
      <c r="AO467" s="338">
        <f t="shared" si="117"/>
        <v>0</v>
      </c>
      <c r="AP467" s="246"/>
      <c r="AQ467" s="246"/>
      <c r="AR467" s="246"/>
      <c r="AS467" s="246"/>
      <c r="AT467" s="246"/>
      <c r="AU467" s="246"/>
      <c r="AV467" s="246"/>
      <c r="AW467" s="246"/>
      <c r="AX467" s="246"/>
      <c r="AY467" s="246"/>
      <c r="AZ467" s="246"/>
      <c r="BA467" s="246"/>
      <c r="BB467" s="246"/>
      <c r="BC467" s="246"/>
      <c r="BD467" s="246"/>
      <c r="BE467" s="246"/>
      <c r="BF467" s="246"/>
      <c r="BG467" s="246"/>
      <c r="BH467" s="246"/>
      <c r="BI467" s="246"/>
      <c r="BJ467" s="246"/>
    </row>
    <row r="468" spans="1:62" ht="18">
      <c r="A468" t="str">
        <f t="shared" si="89"/>
        <v>TOTAL DES DÉPENSES</v>
      </c>
      <c r="B468" s="7"/>
      <c r="C468" s="246"/>
      <c r="D468" s="246"/>
      <c r="E468" s="246"/>
      <c r="F468" s="246"/>
      <c r="G468" s="246"/>
      <c r="H468" s="246"/>
      <c r="I468" s="246"/>
      <c r="J468" s="246"/>
      <c r="K468" s="246"/>
      <c r="L468" s="246"/>
      <c r="M468" s="246"/>
      <c r="N468" s="246"/>
      <c r="O468" s="246"/>
      <c r="P468" s="246"/>
      <c r="Q468" s="246"/>
      <c r="R468" s="246"/>
      <c r="S468" s="246"/>
      <c r="T468" s="246"/>
      <c r="U468" s="246"/>
      <c r="V468" s="296" t="s">
        <v>64</v>
      </c>
      <c r="W468" s="297"/>
      <c r="X468" s="298">
        <f>Z468/+Z407</f>
        <v>1.0864662539606738</v>
      </c>
      <c r="Y468" s="297"/>
      <c r="Z468" s="299">
        <f>Z419+Z433+Z452+Z466</f>
        <v>427903.07052061707</v>
      </c>
      <c r="AA468" s="298"/>
      <c r="AB468" s="297"/>
      <c r="AC468" s="299"/>
      <c r="AD468" s="300">
        <f>AF468/AF407</f>
        <v>1.1540006160579563</v>
      </c>
      <c r="AE468" s="297"/>
      <c r="AF468" s="299">
        <f>AF419+AF433+AF452+AF466</f>
        <v>408432.83</v>
      </c>
      <c r="AG468" s="308"/>
      <c r="AH468" s="302">
        <f t="shared" si="118"/>
        <v>-19470.240520617052</v>
      </c>
      <c r="AI468" s="298">
        <f>AH468/Z468</f>
        <v>-4.5501520933065948E-2</v>
      </c>
      <c r="AJ468" s="300">
        <f>IF($AL$407=0,0,AL468/$AL$407)</f>
        <v>0.98478794486248078</v>
      </c>
      <c r="AK468" s="298"/>
      <c r="AL468" s="299">
        <f>AL419+AL433+AL452+AL466</f>
        <v>360798.66000000003</v>
      </c>
      <c r="AM468" s="309"/>
      <c r="AN468" s="302">
        <f t="shared" si="119"/>
        <v>47634.169999999984</v>
      </c>
      <c r="AO468" s="277">
        <f t="shared" si="117"/>
        <v>0.13202424310555916</v>
      </c>
      <c r="AP468" s="310">
        <f>AF468+AF491+AF492+AF493+AF494+AF495+AF496</f>
        <v>423448.18</v>
      </c>
      <c r="AQ468" s="246" t="s">
        <v>221</v>
      </c>
      <c r="AR468" s="246">
        <f>386818+49504</f>
        <v>436322</v>
      </c>
      <c r="AS468" s="310">
        <f>AP468-AR468</f>
        <v>-12873.820000000007</v>
      </c>
      <c r="AT468" s="246"/>
      <c r="AU468" s="246"/>
      <c r="AV468" s="246"/>
      <c r="AW468" s="246"/>
      <c r="AX468" s="246"/>
      <c r="AY468" s="246"/>
      <c r="AZ468" s="246"/>
      <c r="BA468" s="246"/>
      <c r="BB468" s="246"/>
      <c r="BC468" s="246"/>
      <c r="BD468" s="246"/>
      <c r="BE468" s="246"/>
      <c r="BF468" s="246"/>
      <c r="BG468" s="246"/>
      <c r="BH468" s="246"/>
      <c r="BI468" s="246"/>
      <c r="BJ468" s="246"/>
    </row>
    <row r="469" spans="1:62" ht="18">
      <c r="A469" t="str">
        <f t="shared" si="89"/>
        <v>Revenus autres</v>
      </c>
      <c r="B469" s="7"/>
      <c r="C469" s="246"/>
      <c r="D469" s="246"/>
      <c r="E469" s="246"/>
      <c r="F469" s="246"/>
      <c r="G469" s="246"/>
      <c r="H469" s="246"/>
      <c r="I469" s="246"/>
      <c r="J469" s="246"/>
      <c r="K469" s="246"/>
      <c r="L469" s="246"/>
      <c r="M469" s="246"/>
      <c r="N469" s="246"/>
      <c r="O469" s="246"/>
      <c r="P469" s="246"/>
      <c r="Q469" s="246"/>
      <c r="R469" s="246"/>
      <c r="S469" s="246"/>
      <c r="T469" s="246"/>
      <c r="U469" s="246"/>
      <c r="V469" s="102" t="s">
        <v>177</v>
      </c>
      <c r="W469" s="333"/>
      <c r="X469" s="333"/>
      <c r="Y469" s="279"/>
      <c r="Z469" s="313">
        <v>900</v>
      </c>
      <c r="AA469" s="339"/>
      <c r="AB469" s="340"/>
      <c r="AC469" s="313"/>
      <c r="AD469" s="341"/>
      <c r="AE469" s="340"/>
      <c r="AF469" s="280">
        <v>2.7</v>
      </c>
      <c r="AG469" s="342"/>
      <c r="AH469" s="282">
        <f t="shared" si="118"/>
        <v>-897.3</v>
      </c>
      <c r="AI469" s="335">
        <f>IF(AH469=0,0,AH469/Z469)</f>
        <v>-0.997</v>
      </c>
      <c r="AJ469" s="341"/>
      <c r="AK469" s="339"/>
      <c r="AL469" s="343">
        <v>0.39</v>
      </c>
      <c r="AM469" s="344"/>
      <c r="AN469" s="282">
        <f t="shared" si="119"/>
        <v>2.31</v>
      </c>
      <c r="AO469" s="289">
        <f t="shared" si="117"/>
        <v>5.9230769230769234</v>
      </c>
      <c r="AP469" s="246"/>
      <c r="AQ469" s="246"/>
      <c r="AR469" s="246" t="s">
        <v>242</v>
      </c>
      <c r="AS469" s="246"/>
      <c r="AT469" s="246"/>
      <c r="AU469" s="246"/>
      <c r="AV469" s="246"/>
      <c r="AW469" s="246"/>
      <c r="AX469" s="246"/>
      <c r="AY469" s="246"/>
      <c r="AZ469" s="246"/>
      <c r="BA469" s="246"/>
      <c r="BB469" s="246"/>
      <c r="BC469" s="246"/>
      <c r="BD469" s="246"/>
      <c r="BE469" s="246"/>
      <c r="BF469" s="246"/>
      <c r="BG469" s="246"/>
      <c r="BH469" s="246"/>
      <c r="BI469" s="246"/>
      <c r="BJ469" s="246"/>
    </row>
    <row r="470" spans="1:62" ht="18">
      <c r="A470" t="str">
        <f t="shared" si="89"/>
        <v>Holdbacks</v>
      </c>
      <c r="B470" s="7"/>
      <c r="C470" s="246"/>
      <c r="D470" s="246"/>
      <c r="E470" s="246"/>
      <c r="F470" s="246"/>
      <c r="G470" s="246"/>
      <c r="H470" s="246"/>
      <c r="I470" s="246"/>
      <c r="J470" s="246"/>
      <c r="K470" s="246"/>
      <c r="L470" s="246"/>
      <c r="M470" s="246"/>
      <c r="N470" s="246"/>
      <c r="O470" s="246"/>
      <c r="P470" s="246"/>
      <c r="Q470" s="246"/>
      <c r="R470" s="246"/>
      <c r="S470" s="246"/>
      <c r="T470" s="246"/>
      <c r="U470" s="246"/>
      <c r="V470" s="102" t="s">
        <v>66</v>
      </c>
      <c r="W470" s="279"/>
      <c r="X470" s="279"/>
      <c r="Y470" s="279"/>
      <c r="Z470" s="280">
        <f t="shared" ref="Z470:Z476" si="120">+SUMIF($C:$C,$V470,F:F)</f>
        <v>29952.908307692316</v>
      </c>
      <c r="AA470" s="332"/>
      <c r="AB470" s="333"/>
      <c r="AC470" s="280"/>
      <c r="AD470" s="345"/>
      <c r="AE470" s="333"/>
      <c r="AF470" s="280">
        <f t="shared" ref="AF470:AF476" si="121">+SUMIF($C:$C,$V470,L:L)</f>
        <v>22240.799999999999</v>
      </c>
      <c r="AG470" s="346"/>
      <c r="AH470" s="282">
        <f t="shared" si="118"/>
        <v>-7712.1083076923169</v>
      </c>
      <c r="AI470" s="306">
        <f>IF(Z470=0,0,AH470/Z470)</f>
        <v>-0.2574744404940385</v>
      </c>
      <c r="AJ470" s="345"/>
      <c r="AK470" s="332"/>
      <c r="AL470" s="347">
        <f t="shared" ref="AL470:AL479" si="122">+SUMIF($C:$C,$V470,Q:Q)</f>
        <v>25316</v>
      </c>
      <c r="AM470" s="348"/>
      <c r="AN470" s="282">
        <f t="shared" si="119"/>
        <v>-3075.2000000000007</v>
      </c>
      <c r="AO470" s="289">
        <f t="shared" si="117"/>
        <v>-0.12147258650655715</v>
      </c>
      <c r="AP470" s="246"/>
      <c r="AQ470" s="246">
        <v>22241</v>
      </c>
      <c r="AR470" s="246">
        <v>28000</v>
      </c>
      <c r="AS470" s="246" t="s">
        <v>251</v>
      </c>
      <c r="AT470" s="246"/>
      <c r="AU470" s="246"/>
      <c r="AV470" s="246"/>
      <c r="AW470" s="246"/>
      <c r="AX470" s="246"/>
      <c r="AY470" s="246"/>
      <c r="AZ470" s="246"/>
      <c r="BA470" s="246"/>
      <c r="BB470" s="246"/>
      <c r="BC470" s="246"/>
      <c r="BD470" s="246"/>
      <c r="BE470" s="246"/>
      <c r="BF470" s="246"/>
      <c r="BG470" s="246"/>
      <c r="BH470" s="246"/>
      <c r="BI470" s="246"/>
      <c r="BJ470" s="246"/>
    </row>
    <row r="471" spans="1:62" ht="18">
      <c r="A471" t="str">
        <f t="shared" si="89"/>
        <v>RBSC neuf</v>
      </c>
      <c r="B471" s="7"/>
      <c r="C471" s="246"/>
      <c r="D471" s="246"/>
      <c r="E471" s="246"/>
      <c r="F471" s="246"/>
      <c r="G471" s="246"/>
      <c r="H471" s="246"/>
      <c r="I471" s="246"/>
      <c r="J471" s="246"/>
      <c r="K471" s="246"/>
      <c r="L471" s="246"/>
      <c r="M471" s="246"/>
      <c r="N471" s="246"/>
      <c r="O471" s="246"/>
      <c r="P471" s="246"/>
      <c r="Q471" s="246"/>
      <c r="R471" s="246"/>
      <c r="S471" s="246"/>
      <c r="T471" s="246"/>
      <c r="U471" s="246"/>
      <c r="V471" s="102" t="s">
        <v>216</v>
      </c>
      <c r="W471" s="279"/>
      <c r="X471" s="279"/>
      <c r="Y471" s="279"/>
      <c r="Z471" s="280">
        <f t="shared" si="120"/>
        <v>26208.794769230779</v>
      </c>
      <c r="AA471" s="332"/>
      <c r="AB471" s="333"/>
      <c r="AC471" s="280"/>
      <c r="AD471" s="345"/>
      <c r="AE471" s="333"/>
      <c r="AF471" s="280">
        <f t="shared" si="121"/>
        <v>12290.01</v>
      </c>
      <c r="AG471" s="346"/>
      <c r="AH471" s="282">
        <f t="shared" si="118"/>
        <v>-13918.784769230779</v>
      </c>
      <c r="AI471" s="306">
        <f t="shared" ref="AI471:AI480" si="123">IF(AH471=0,0,AH471/Z471)</f>
        <v>-0.5310730574139747</v>
      </c>
      <c r="AJ471" s="345"/>
      <c r="AK471" s="332"/>
      <c r="AL471" s="347">
        <f>+SUMIF($C:$C,$V471,Q:Q)</f>
        <v>24477.93</v>
      </c>
      <c r="AM471" s="348"/>
      <c r="AN471" s="282">
        <f t="shared" si="119"/>
        <v>-12187.92</v>
      </c>
      <c r="AO471" s="289">
        <f t="shared" si="117"/>
        <v>-0.49791465209680719</v>
      </c>
      <c r="AP471" s="246"/>
      <c r="AQ471" s="246">
        <v>12290</v>
      </c>
      <c r="AR471" s="246">
        <v>12600</v>
      </c>
      <c r="AS471" s="246" t="s">
        <v>252</v>
      </c>
      <c r="AT471" s="246"/>
      <c r="AU471" s="246"/>
      <c r="AV471" s="246"/>
      <c r="AW471" s="246"/>
      <c r="AX471" s="246"/>
      <c r="AY471" s="246"/>
      <c r="AZ471" s="246"/>
      <c r="BA471" s="246"/>
      <c r="BB471" s="246"/>
      <c r="BC471" s="246"/>
      <c r="BD471" s="246"/>
      <c r="BE471" s="246"/>
      <c r="BF471" s="246"/>
      <c r="BG471" s="246"/>
      <c r="BH471" s="246"/>
      <c r="BI471" s="246"/>
      <c r="BJ471" s="246"/>
    </row>
    <row r="472" spans="1:62" ht="18" hidden="1">
      <c r="A472" t="str">
        <f t="shared" si="89"/>
        <v>Programme neuf 2</v>
      </c>
      <c r="B472" s="7"/>
      <c r="C472" s="246"/>
      <c r="D472" s="246"/>
      <c r="E472" s="246"/>
      <c r="F472" s="246"/>
      <c r="G472" s="246"/>
      <c r="H472" s="246"/>
      <c r="I472" s="246"/>
      <c r="J472" s="246"/>
      <c r="K472" s="246"/>
      <c r="L472" s="246"/>
      <c r="M472" s="246"/>
      <c r="N472" s="246"/>
      <c r="O472" s="246"/>
      <c r="P472" s="246"/>
      <c r="Q472" s="246"/>
      <c r="R472" s="246"/>
      <c r="S472" s="246"/>
      <c r="T472" s="246"/>
      <c r="U472" s="246"/>
      <c r="V472" s="102" t="s">
        <v>188</v>
      </c>
      <c r="W472" s="279"/>
      <c r="X472" s="279"/>
      <c r="Y472" s="279"/>
      <c r="Z472" s="280">
        <f t="shared" si="120"/>
        <v>0</v>
      </c>
      <c r="AA472" s="332"/>
      <c r="AB472" s="333"/>
      <c r="AC472" s="280"/>
      <c r="AD472" s="345"/>
      <c r="AE472" s="333"/>
      <c r="AF472" s="280">
        <f t="shared" si="121"/>
        <v>0</v>
      </c>
      <c r="AG472" s="346"/>
      <c r="AH472" s="282">
        <f t="shared" si="118"/>
        <v>0</v>
      </c>
      <c r="AI472" s="306">
        <f t="shared" si="123"/>
        <v>0</v>
      </c>
      <c r="AJ472" s="345"/>
      <c r="AK472" s="332"/>
      <c r="AL472" s="347">
        <f t="shared" si="122"/>
        <v>0</v>
      </c>
      <c r="AM472" s="348"/>
      <c r="AN472" s="282">
        <f t="shared" si="119"/>
        <v>0</v>
      </c>
      <c r="AO472" s="289">
        <f t="shared" si="117"/>
        <v>0</v>
      </c>
      <c r="AP472" s="246"/>
      <c r="AQ472" s="246"/>
      <c r="AR472" s="246"/>
      <c r="AS472" s="246"/>
      <c r="AT472" s="246"/>
      <c r="AU472" s="246"/>
      <c r="AV472" s="246"/>
      <c r="AW472" s="246"/>
      <c r="AX472" s="246"/>
      <c r="AY472" s="246"/>
      <c r="AZ472" s="246"/>
      <c r="BA472" s="246"/>
      <c r="BB472" s="246"/>
      <c r="BC472" s="246"/>
      <c r="BD472" s="246"/>
      <c r="BE472" s="246"/>
      <c r="BF472" s="246"/>
      <c r="BG472" s="246"/>
      <c r="BH472" s="246"/>
      <c r="BI472" s="246"/>
      <c r="BJ472" s="246"/>
    </row>
    <row r="473" spans="1:62" ht="18" hidden="1">
      <c r="A473" t="str">
        <f t="shared" si="89"/>
        <v>Programme neuf 3</v>
      </c>
      <c r="B473" s="7"/>
      <c r="C473" s="246"/>
      <c r="D473" s="246"/>
      <c r="E473" s="246"/>
      <c r="F473" s="246"/>
      <c r="G473" s="246"/>
      <c r="H473" s="246"/>
      <c r="I473" s="246"/>
      <c r="J473" s="246"/>
      <c r="K473" s="246"/>
      <c r="L473" s="246"/>
      <c r="M473" s="246"/>
      <c r="N473" s="246"/>
      <c r="O473" s="246"/>
      <c r="P473" s="246"/>
      <c r="Q473" s="246"/>
      <c r="R473" s="246"/>
      <c r="S473" s="246"/>
      <c r="T473" s="246"/>
      <c r="U473" s="246"/>
      <c r="V473" s="102" t="s">
        <v>65</v>
      </c>
      <c r="W473" s="279"/>
      <c r="X473" s="279"/>
      <c r="Y473" s="279"/>
      <c r="Z473" s="280">
        <f t="shared" si="120"/>
        <v>0</v>
      </c>
      <c r="AA473" s="332"/>
      <c r="AB473" s="333"/>
      <c r="AC473" s="280"/>
      <c r="AD473" s="345"/>
      <c r="AE473" s="333"/>
      <c r="AF473" s="280">
        <f t="shared" si="121"/>
        <v>0</v>
      </c>
      <c r="AG473" s="346"/>
      <c r="AH473" s="282">
        <f t="shared" si="118"/>
        <v>0</v>
      </c>
      <c r="AI473" s="306">
        <f t="shared" si="123"/>
        <v>0</v>
      </c>
      <c r="AJ473" s="345"/>
      <c r="AK473" s="332"/>
      <c r="AL473" s="347">
        <f t="shared" si="122"/>
        <v>0</v>
      </c>
      <c r="AM473" s="348"/>
      <c r="AN473" s="282">
        <f t="shared" si="119"/>
        <v>0</v>
      </c>
      <c r="AO473" s="289">
        <f t="shared" si="117"/>
        <v>0</v>
      </c>
      <c r="AP473" s="246"/>
      <c r="AQ473" s="246"/>
      <c r="AR473" s="246"/>
      <c r="AS473" s="246"/>
      <c r="AT473" s="246"/>
      <c r="AU473" s="246"/>
      <c r="AV473" s="246"/>
      <c r="AW473" s="246"/>
      <c r="AX473" s="246"/>
      <c r="AY473" s="246"/>
      <c r="AZ473" s="246"/>
      <c r="BA473" s="246"/>
      <c r="BB473" s="246"/>
      <c r="BC473" s="246"/>
      <c r="BD473" s="246"/>
      <c r="BE473" s="246"/>
      <c r="BF473" s="246"/>
      <c r="BG473" s="246"/>
      <c r="BH473" s="246"/>
      <c r="BI473" s="246"/>
      <c r="BJ473" s="246"/>
    </row>
    <row r="474" spans="1:62" ht="18">
      <c r="A474" t="str">
        <f t="shared" si="89"/>
        <v>RBSC used</v>
      </c>
      <c r="B474" s="7"/>
      <c r="C474" s="246"/>
      <c r="D474" s="246"/>
      <c r="E474" s="246"/>
      <c r="F474" s="246"/>
      <c r="G474" s="246"/>
      <c r="H474" s="246"/>
      <c r="I474" s="246"/>
      <c r="J474" s="246"/>
      <c r="K474" s="246"/>
      <c r="L474" s="246"/>
      <c r="M474" s="246"/>
      <c r="N474" s="246"/>
      <c r="O474" s="246"/>
      <c r="P474" s="246"/>
      <c r="Q474" s="246"/>
      <c r="R474" s="246"/>
      <c r="S474" s="246"/>
      <c r="T474" s="246"/>
      <c r="U474" s="246"/>
      <c r="V474" s="102" t="s">
        <v>218</v>
      </c>
      <c r="W474" s="279"/>
      <c r="X474" s="279"/>
      <c r="Y474" s="279"/>
      <c r="Z474" s="280">
        <f t="shared" si="120"/>
        <v>2625</v>
      </c>
      <c r="AA474" s="332"/>
      <c r="AB474" s="333"/>
      <c r="AC474" s="280"/>
      <c r="AD474" s="345"/>
      <c r="AE474" s="333"/>
      <c r="AF474" s="280">
        <f t="shared" si="121"/>
        <v>0</v>
      </c>
      <c r="AG474" s="346"/>
      <c r="AH474" s="282">
        <f t="shared" si="118"/>
        <v>-2625</v>
      </c>
      <c r="AI474" s="306">
        <f t="shared" si="123"/>
        <v>-1</v>
      </c>
      <c r="AJ474" s="345"/>
      <c r="AK474" s="332"/>
      <c r="AL474" s="347">
        <f t="shared" si="122"/>
        <v>3375</v>
      </c>
      <c r="AM474" s="348"/>
      <c r="AN474" s="282">
        <f t="shared" si="119"/>
        <v>-3375</v>
      </c>
      <c r="AO474" s="289">
        <f t="shared" si="117"/>
        <v>-1</v>
      </c>
      <c r="AP474" s="246"/>
      <c r="AQ474" s="246">
        <v>0</v>
      </c>
      <c r="AR474" s="246">
        <v>3750</v>
      </c>
      <c r="AS474" s="246"/>
      <c r="AT474" s="246"/>
      <c r="AU474" s="246"/>
      <c r="AV474" s="246"/>
      <c r="AW474" s="246"/>
      <c r="AX474" s="246"/>
      <c r="AY474" s="246"/>
      <c r="AZ474" s="246"/>
      <c r="BA474" s="246"/>
      <c r="BB474" s="246"/>
      <c r="BC474" s="246"/>
      <c r="BD474" s="246"/>
      <c r="BE474" s="246"/>
      <c r="BF474" s="246"/>
      <c r="BG474" s="246"/>
      <c r="BH474" s="246"/>
      <c r="BI474" s="246"/>
      <c r="BJ474" s="246"/>
    </row>
    <row r="475" spans="1:62" ht="18">
      <c r="A475" t="str">
        <f t="shared" si="89"/>
        <v>Programme 360</v>
      </c>
      <c r="B475" s="7"/>
      <c r="C475" s="246"/>
      <c r="D475" s="246"/>
      <c r="E475" s="246"/>
      <c r="F475" s="246"/>
      <c r="G475" s="246"/>
      <c r="H475" s="246"/>
      <c r="I475" s="246"/>
      <c r="J475" s="246"/>
      <c r="K475" s="246"/>
      <c r="L475" s="246"/>
      <c r="M475" s="246"/>
      <c r="N475" s="246"/>
      <c r="O475" s="246"/>
      <c r="P475" s="246"/>
      <c r="Q475" s="246"/>
      <c r="R475" s="246"/>
      <c r="S475" s="246"/>
      <c r="T475" s="246"/>
      <c r="U475" s="246"/>
      <c r="V475" s="102" t="s">
        <v>219</v>
      </c>
      <c r="W475" s="279"/>
      <c r="X475" s="279"/>
      <c r="Y475" s="279"/>
      <c r="Z475" s="280">
        <f t="shared" si="120"/>
        <v>1735.294117647059</v>
      </c>
      <c r="AA475" s="332"/>
      <c r="AB475" s="333"/>
      <c r="AC475" s="280"/>
      <c r="AD475" s="345"/>
      <c r="AE475" s="333"/>
      <c r="AF475" s="280">
        <f t="shared" si="121"/>
        <v>0</v>
      </c>
      <c r="AG475" s="346"/>
      <c r="AH475" s="282">
        <f t="shared" si="118"/>
        <v>-1735.294117647059</v>
      </c>
      <c r="AI475" s="306">
        <f t="shared" si="123"/>
        <v>-1</v>
      </c>
      <c r="AJ475" s="345"/>
      <c r="AK475" s="332"/>
      <c r="AL475" s="347">
        <f t="shared" si="122"/>
        <v>3875</v>
      </c>
      <c r="AM475" s="348"/>
      <c r="AN475" s="282">
        <f t="shared" si="119"/>
        <v>-3875</v>
      </c>
      <c r="AO475" s="289">
        <f t="shared" si="117"/>
        <v>-1</v>
      </c>
      <c r="AP475" s="246"/>
      <c r="AQ475" s="246">
        <v>0</v>
      </c>
      <c r="AR475" s="246">
        <v>0</v>
      </c>
      <c r="AS475" s="246"/>
      <c r="AT475" s="246"/>
      <c r="AU475" s="246"/>
      <c r="AV475" s="246"/>
      <c r="AW475" s="246"/>
      <c r="AX475" s="246"/>
      <c r="AY475" s="246"/>
      <c r="AZ475" s="246"/>
      <c r="BA475" s="246"/>
      <c r="BB475" s="246"/>
      <c r="BC475" s="246"/>
      <c r="BD475" s="246"/>
      <c r="BE475" s="246"/>
      <c r="BF475" s="246"/>
      <c r="BG475" s="246"/>
      <c r="BH475" s="246"/>
      <c r="BI475" s="246"/>
      <c r="BJ475" s="246"/>
    </row>
    <row r="476" spans="1:62" ht="18" hidden="1">
      <c r="A476" t="str">
        <f t="shared" si="89"/>
        <v>Programme used 3</v>
      </c>
      <c r="B476" s="7"/>
      <c r="C476" s="246"/>
      <c r="D476" s="246"/>
      <c r="E476" s="246"/>
      <c r="F476" s="246"/>
      <c r="G476" s="246"/>
      <c r="H476" s="246"/>
      <c r="I476" s="246"/>
      <c r="J476" s="246"/>
      <c r="K476" s="246"/>
      <c r="L476" s="246"/>
      <c r="M476" s="246"/>
      <c r="N476" s="246"/>
      <c r="O476" s="246"/>
      <c r="P476" s="246"/>
      <c r="Q476" s="246"/>
      <c r="R476" s="246"/>
      <c r="S476" s="246"/>
      <c r="T476" s="246"/>
      <c r="U476" s="246"/>
      <c r="V476" s="102" t="s">
        <v>77</v>
      </c>
      <c r="W476" s="279"/>
      <c r="X476" s="279"/>
      <c r="Y476" s="279"/>
      <c r="Z476" s="280">
        <f t="shared" si="120"/>
        <v>0</v>
      </c>
      <c r="AA476" s="332"/>
      <c r="AB476" s="333"/>
      <c r="AC476" s="280"/>
      <c r="AD476" s="345"/>
      <c r="AE476" s="333"/>
      <c r="AF476" s="280">
        <f t="shared" si="121"/>
        <v>0</v>
      </c>
      <c r="AG476" s="346"/>
      <c r="AH476" s="282">
        <f t="shared" si="118"/>
        <v>0</v>
      </c>
      <c r="AI476" s="306">
        <f t="shared" si="123"/>
        <v>0</v>
      </c>
      <c r="AJ476" s="345"/>
      <c r="AK476" s="332"/>
      <c r="AL476" s="347">
        <f t="shared" si="122"/>
        <v>0</v>
      </c>
      <c r="AM476" s="348"/>
      <c r="AN476" s="282">
        <f t="shared" si="119"/>
        <v>0</v>
      </c>
      <c r="AO476" s="289">
        <f t="shared" si="117"/>
        <v>0</v>
      </c>
      <c r="AP476" s="246"/>
      <c r="AQ476" s="246"/>
      <c r="AR476" s="246"/>
      <c r="AS476" s="246"/>
      <c r="AT476" s="246"/>
      <c r="AU476" s="246"/>
      <c r="AV476" s="246"/>
      <c r="AW476" s="246"/>
      <c r="AX476" s="246"/>
      <c r="AY476" s="246"/>
      <c r="AZ476" s="246"/>
      <c r="BA476" s="246"/>
      <c r="BB476" s="246"/>
      <c r="BC476" s="246"/>
      <c r="BD476" s="246"/>
      <c r="BE476" s="246"/>
      <c r="BF476" s="246"/>
      <c r="BG476" s="246"/>
      <c r="BH476" s="246"/>
      <c r="BI476" s="246"/>
      <c r="BJ476" s="246"/>
    </row>
    <row r="477" spans="1:62" ht="18">
      <c r="A477" t="str">
        <f t="shared" si="89"/>
        <v>Facility Fund</v>
      </c>
      <c r="B477" s="7"/>
      <c r="C477" s="246"/>
      <c r="D477" s="246"/>
      <c r="E477" s="246"/>
      <c r="F477" s="246"/>
      <c r="G477" s="246"/>
      <c r="H477" s="246"/>
      <c r="I477" s="246"/>
      <c r="J477" s="246"/>
      <c r="K477" s="246"/>
      <c r="L477" s="246"/>
      <c r="M477" s="246"/>
      <c r="N477" s="246"/>
      <c r="O477" s="246"/>
      <c r="P477" s="246"/>
      <c r="Q477" s="246"/>
      <c r="R477" s="246"/>
      <c r="S477" s="246"/>
      <c r="T477" s="246"/>
      <c r="U477" s="246"/>
      <c r="V477" s="102" t="s">
        <v>189</v>
      </c>
      <c r="W477" s="279"/>
      <c r="X477" s="279"/>
      <c r="Y477" s="279"/>
      <c r="Z477" s="280">
        <v>15725.276861538467</v>
      </c>
      <c r="AA477" s="332"/>
      <c r="AB477" s="333"/>
      <c r="AC477" s="280"/>
      <c r="AD477" s="345"/>
      <c r="AE477" s="333"/>
      <c r="AF477" s="280">
        <v>12904.4</v>
      </c>
      <c r="AG477" s="346"/>
      <c r="AH477" s="282">
        <f t="shared" si="118"/>
        <v>-2820.876861538467</v>
      </c>
      <c r="AI477" s="306">
        <f t="shared" si="123"/>
        <v>-0.17938487737776398</v>
      </c>
      <c r="AJ477" s="345"/>
      <c r="AK477" s="332"/>
      <c r="AL477" s="347">
        <v>10390.6</v>
      </c>
      <c r="AM477" s="348"/>
      <c r="AN477" s="282">
        <f t="shared" si="119"/>
        <v>2513.7999999999993</v>
      </c>
      <c r="AO477" s="289">
        <f t="shared" si="117"/>
        <v>0.24193020614786434</v>
      </c>
      <c r="AP477" s="246"/>
      <c r="AQ477" s="246">
        <v>8603</v>
      </c>
      <c r="AR477" s="246">
        <v>13230</v>
      </c>
      <c r="AS477" s="246" t="s">
        <v>253</v>
      </c>
      <c r="AT477" s="246"/>
      <c r="AU477" s="246"/>
      <c r="AV477" s="246"/>
      <c r="AW477" s="246"/>
      <c r="AX477" s="246"/>
      <c r="AY477" s="246"/>
      <c r="AZ477" s="246"/>
      <c r="BA477" s="246"/>
      <c r="BB477" s="246"/>
      <c r="BC477" s="246"/>
      <c r="BD477" s="246"/>
      <c r="BE477" s="246"/>
      <c r="BF477" s="246"/>
      <c r="BG477" s="246"/>
      <c r="BH477" s="246"/>
      <c r="BI477" s="246"/>
      <c r="BJ477" s="246"/>
    </row>
    <row r="478" spans="1:62" ht="18" hidden="1">
      <c r="A478" t="str">
        <f t="shared" si="89"/>
        <v>[...]</v>
      </c>
      <c r="B478" s="7"/>
      <c r="C478" s="246"/>
      <c r="D478" s="246"/>
      <c r="E478" s="246"/>
      <c r="F478" s="246"/>
      <c r="G478" s="246"/>
      <c r="H478" s="246"/>
      <c r="I478" s="246"/>
      <c r="J478" s="246"/>
      <c r="K478" s="246"/>
      <c r="L478" s="246"/>
      <c r="M478" s="246"/>
      <c r="N478" s="246"/>
      <c r="O478" s="246"/>
      <c r="P478" s="246"/>
      <c r="Q478" s="246"/>
      <c r="R478" s="246"/>
      <c r="S478" s="246"/>
      <c r="T478" s="246"/>
      <c r="U478" s="246"/>
      <c r="V478" s="102" t="s">
        <v>19</v>
      </c>
      <c r="W478" s="279"/>
      <c r="X478" s="279"/>
      <c r="Y478" s="279"/>
      <c r="Z478" s="282">
        <f>IFERROR(SUMIF($C:$C,$V478,F:F),0)</f>
        <v>0</v>
      </c>
      <c r="AA478" s="279"/>
      <c r="AB478" s="279"/>
      <c r="AC478" s="282"/>
      <c r="AD478" s="288"/>
      <c r="AE478" s="287"/>
      <c r="AF478" s="280">
        <f>+SUMIF($C:$C,$V478,L:L)</f>
        <v>0</v>
      </c>
      <c r="AG478" s="281"/>
      <c r="AH478" s="282">
        <f t="shared" si="118"/>
        <v>0</v>
      </c>
      <c r="AI478" s="283">
        <f t="shared" si="123"/>
        <v>0</v>
      </c>
      <c r="AJ478" s="288"/>
      <c r="AK478" s="279"/>
      <c r="AL478" s="280">
        <f t="shared" si="122"/>
        <v>0</v>
      </c>
      <c r="AM478" s="348"/>
      <c r="AN478" s="282">
        <f t="shared" si="119"/>
        <v>0</v>
      </c>
      <c r="AO478" s="289">
        <f t="shared" si="117"/>
        <v>0</v>
      </c>
      <c r="AP478" s="246"/>
      <c r="AQ478" s="246"/>
      <c r="AR478" s="246"/>
      <c r="AS478" s="246"/>
      <c r="AT478" s="246"/>
      <c r="AU478" s="246"/>
      <c r="AV478" s="246"/>
      <c r="AW478" s="246"/>
      <c r="AX478" s="246"/>
      <c r="AY478" s="246"/>
      <c r="AZ478" s="246"/>
      <c r="BA478" s="246"/>
      <c r="BB478" s="246"/>
      <c r="BC478" s="246"/>
      <c r="BD478" s="246"/>
      <c r="BE478" s="246"/>
      <c r="BF478" s="246"/>
      <c r="BG478" s="246"/>
      <c r="BH478" s="246"/>
      <c r="BI478" s="246"/>
      <c r="BJ478" s="246"/>
    </row>
    <row r="479" spans="1:62" ht="18" hidden="1">
      <c r="A479" t="str">
        <f t="shared" si="89"/>
        <v>[...]</v>
      </c>
      <c r="B479" s="7"/>
      <c r="C479" s="246"/>
      <c r="D479" s="246"/>
      <c r="E479" s="246"/>
      <c r="F479" s="246"/>
      <c r="G479" s="246"/>
      <c r="H479" s="246"/>
      <c r="I479" s="246"/>
      <c r="J479" s="246"/>
      <c r="K479" s="246"/>
      <c r="L479" s="246"/>
      <c r="M479" s="246"/>
      <c r="N479" s="246"/>
      <c r="O479" s="246"/>
      <c r="P479" s="246"/>
      <c r="Q479" s="246"/>
      <c r="R479" s="246"/>
      <c r="S479" s="246"/>
      <c r="T479" s="246"/>
      <c r="U479" s="246"/>
      <c r="V479" s="102" t="s">
        <v>19</v>
      </c>
      <c r="W479" s="279"/>
      <c r="X479" s="279"/>
      <c r="Y479" s="279"/>
      <c r="Z479" s="282">
        <f>IFERROR(SUMIF($C:$C,$V479,F:F),0)</f>
        <v>0</v>
      </c>
      <c r="AA479" s="279"/>
      <c r="AB479" s="279"/>
      <c r="AC479" s="282"/>
      <c r="AD479" s="288"/>
      <c r="AE479" s="287"/>
      <c r="AF479" s="280">
        <f>+SUMIF($C:$C,$V479,L:L)</f>
        <v>0</v>
      </c>
      <c r="AG479" s="281"/>
      <c r="AH479" s="282">
        <f t="shared" si="118"/>
        <v>0</v>
      </c>
      <c r="AI479" s="283">
        <f t="shared" si="123"/>
        <v>0</v>
      </c>
      <c r="AJ479" s="288"/>
      <c r="AK479" s="279"/>
      <c r="AL479" s="280">
        <f t="shared" si="122"/>
        <v>0</v>
      </c>
      <c r="AM479" s="348"/>
      <c r="AN479" s="282">
        <f t="shared" si="119"/>
        <v>0</v>
      </c>
      <c r="AO479" s="289">
        <f t="shared" si="117"/>
        <v>0</v>
      </c>
      <c r="AP479" s="246"/>
      <c r="AQ479" s="246"/>
      <c r="AR479" s="246"/>
      <c r="AS479" s="246"/>
      <c r="AT479" s="246"/>
      <c r="AU479" s="246"/>
      <c r="AV479" s="246"/>
      <c r="AW479" s="246"/>
      <c r="AX479" s="246"/>
      <c r="AY479" s="246"/>
      <c r="AZ479" s="246"/>
      <c r="BA479" s="246"/>
      <c r="BB479" s="246"/>
      <c r="BC479" s="246"/>
      <c r="BD479" s="246"/>
      <c r="BE479" s="246"/>
      <c r="BF479" s="246"/>
      <c r="BG479" s="246"/>
      <c r="BH479" s="246"/>
      <c r="BI479" s="246"/>
      <c r="BJ479" s="246"/>
    </row>
    <row r="480" spans="1:62" ht="18">
      <c r="A480" t="str">
        <f t="shared" si="89"/>
        <v>Frais administration</v>
      </c>
      <c r="B480" s="7"/>
      <c r="C480" s="246"/>
      <c r="D480" s="246"/>
      <c r="E480" s="246"/>
      <c r="F480" s="246"/>
      <c r="G480" s="246"/>
      <c r="H480" s="246"/>
      <c r="I480" s="246"/>
      <c r="J480" s="246"/>
      <c r="K480" s="246"/>
      <c r="L480" s="246"/>
      <c r="M480" s="246"/>
      <c r="N480" s="246"/>
      <c r="O480" s="246"/>
      <c r="P480" s="246"/>
      <c r="Q480" s="246"/>
      <c r="R480" s="246"/>
      <c r="S480" s="246"/>
      <c r="T480" s="246"/>
      <c r="U480" s="246"/>
      <c r="V480" s="103" t="s">
        <v>67</v>
      </c>
      <c r="W480" s="279"/>
      <c r="X480" s="279"/>
      <c r="Y480" s="279"/>
      <c r="Z480" s="280">
        <f>+SUMIF($C:$C,$V480,F:F)</f>
        <v>20717.900000000001</v>
      </c>
      <c r="AA480" s="332"/>
      <c r="AB480" s="333"/>
      <c r="AC480" s="280"/>
      <c r="AD480" s="345"/>
      <c r="AE480" s="333"/>
      <c r="AF480" s="280">
        <f>+SUMIF($C:$C,$V480,L:L)</f>
        <v>18445</v>
      </c>
      <c r="AG480" s="346"/>
      <c r="AH480" s="282">
        <f t="shared" si="118"/>
        <v>-2272.9000000000015</v>
      </c>
      <c r="AI480" s="306">
        <f t="shared" si="123"/>
        <v>-0.10970706490522694</v>
      </c>
      <c r="AJ480" s="345"/>
      <c r="AK480" s="332"/>
      <c r="AL480" s="347">
        <v>17255</v>
      </c>
      <c r="AM480" s="348"/>
      <c r="AN480" s="282">
        <f t="shared" si="119"/>
        <v>1190</v>
      </c>
      <c r="AO480" s="289">
        <f t="shared" si="117"/>
        <v>6.8965517241379309E-2</v>
      </c>
      <c r="AP480" s="246"/>
      <c r="AQ480" s="246">
        <v>18445</v>
      </c>
      <c r="AR480" s="246">
        <v>21896</v>
      </c>
      <c r="AS480" s="246" t="s">
        <v>254</v>
      </c>
      <c r="AT480" s="246"/>
      <c r="AU480" s="246"/>
      <c r="AV480" s="246"/>
      <c r="AW480" s="246"/>
      <c r="AX480" s="246"/>
      <c r="AY480" s="246"/>
      <c r="AZ480" s="246"/>
      <c r="BA480" s="246"/>
      <c r="BB480" s="246"/>
      <c r="BC480" s="246"/>
      <c r="BD480" s="246"/>
      <c r="BE480" s="246"/>
      <c r="BF480" s="246"/>
      <c r="BG480" s="246"/>
      <c r="BH480" s="246"/>
      <c r="BI480" s="246"/>
      <c r="BJ480" s="246"/>
    </row>
    <row r="481" spans="1:62" ht="18">
      <c r="A481" t="str">
        <f t="shared" si="89"/>
        <v>TOTAL AUTRES REVENUS</v>
      </c>
      <c r="B481" s="7"/>
      <c r="C481" s="246"/>
      <c r="D481" s="246"/>
      <c r="E481" s="246"/>
      <c r="F481" s="246"/>
      <c r="G481" s="246"/>
      <c r="H481" s="246"/>
      <c r="I481" s="246"/>
      <c r="J481" s="246"/>
      <c r="K481" s="246"/>
      <c r="L481" s="246"/>
      <c r="M481" s="246"/>
      <c r="N481" s="246"/>
      <c r="O481" s="246"/>
      <c r="P481" s="246"/>
      <c r="Q481" s="246"/>
      <c r="R481" s="246"/>
      <c r="S481" s="246"/>
      <c r="T481" s="246"/>
      <c r="U481" s="246"/>
      <c r="V481" s="296" t="s">
        <v>178</v>
      </c>
      <c r="W481" s="297"/>
      <c r="X481" s="298">
        <f>Z481/+Z407</f>
        <v>0.24848433296022965</v>
      </c>
      <c r="Y481" s="330"/>
      <c r="Z481" s="299">
        <f>SUM(Z469:Z480)</f>
        <v>97865.174056108604</v>
      </c>
      <c r="AA481" s="298"/>
      <c r="AB481" s="330"/>
      <c r="AC481" s="299"/>
      <c r="AD481" s="298">
        <f>AF481/+AF407</f>
        <v>0.1861479125654294</v>
      </c>
      <c r="AE481" s="330"/>
      <c r="AF481" s="299">
        <f>SUM(AF469:AF480)</f>
        <v>65882.91</v>
      </c>
      <c r="AG481" s="308"/>
      <c r="AH481" s="302">
        <f t="shared" si="118"/>
        <v>-31982.264056108601</v>
      </c>
      <c r="AI481" s="298">
        <f>AH481/Z481</f>
        <v>-0.32679923542334222</v>
      </c>
      <c r="AJ481" s="349"/>
      <c r="AK481" s="350"/>
      <c r="AL481" s="299">
        <f>SUM(AL469:AL480)</f>
        <v>84689.919999999998</v>
      </c>
      <c r="AM481" s="351"/>
      <c r="AN481" s="302">
        <f t="shared" si="119"/>
        <v>-18807.009999999995</v>
      </c>
      <c r="AO481" s="331">
        <f t="shared" si="117"/>
        <v>-0.22206904906746866</v>
      </c>
      <c r="AP481" s="246"/>
      <c r="AQ481" s="246" t="s">
        <v>221</v>
      </c>
      <c r="AR481" s="246">
        <v>82000</v>
      </c>
      <c r="AS481" s="310">
        <f>AF481-AR481</f>
        <v>-16117.089999999997</v>
      </c>
      <c r="AT481" s="246"/>
      <c r="AU481" s="246"/>
      <c r="AV481" s="246"/>
      <c r="AW481" s="246"/>
      <c r="AX481" s="246"/>
      <c r="AY481" s="246"/>
      <c r="AZ481" s="246"/>
      <c r="BA481" s="246"/>
      <c r="BB481" s="246"/>
      <c r="BC481" s="246"/>
      <c r="BD481" s="246"/>
      <c r="BE481" s="246"/>
      <c r="BF481" s="246"/>
      <c r="BG481" s="246"/>
      <c r="BH481" s="246"/>
      <c r="BI481" s="246"/>
      <c r="BJ481" s="246"/>
    </row>
    <row r="482" spans="1:62" ht="18.75" thickBot="1">
      <c r="A482" t="str">
        <f t="shared" si="89"/>
        <v/>
      </c>
      <c r="B482" s="7"/>
      <c r="C482" s="246"/>
      <c r="D482" s="246"/>
      <c r="E482" s="246"/>
      <c r="F482" s="246"/>
      <c r="G482" s="246"/>
      <c r="H482" s="246"/>
      <c r="I482" s="246"/>
      <c r="J482" s="246"/>
      <c r="K482" s="246"/>
      <c r="L482" s="246"/>
      <c r="M482" s="246"/>
      <c r="N482" s="246"/>
      <c r="O482" s="246"/>
      <c r="P482" s="246"/>
      <c r="Q482" s="246"/>
      <c r="R482" s="246"/>
      <c r="S482" s="246"/>
      <c r="T482" s="246"/>
      <c r="U482" s="246"/>
      <c r="V482" s="352"/>
      <c r="W482" s="353"/>
      <c r="X482" s="353"/>
      <c r="Y482" s="354"/>
      <c r="Z482" s="355"/>
      <c r="AA482" s="353"/>
      <c r="AB482" s="356"/>
      <c r="AC482" s="355"/>
      <c r="AD482" s="353"/>
      <c r="AE482" s="356"/>
      <c r="AF482" s="357"/>
      <c r="AG482" s="358"/>
      <c r="AH482" s="359"/>
      <c r="AI482" s="360"/>
      <c r="AJ482" s="361"/>
      <c r="AK482" s="362"/>
      <c r="AL482" s="357"/>
      <c r="AM482" s="363"/>
      <c r="AN482" s="359">
        <f t="shared" si="119"/>
        <v>0</v>
      </c>
      <c r="AO482" s="364">
        <f t="shared" si="117"/>
        <v>0</v>
      </c>
      <c r="AP482" s="246"/>
      <c r="AQ482" s="246"/>
      <c r="AR482" s="246"/>
      <c r="AS482" s="246"/>
      <c r="AT482" s="246"/>
      <c r="AU482" s="246"/>
      <c r="AV482" s="246"/>
      <c r="AW482" s="246"/>
      <c r="AX482" s="246"/>
      <c r="AY482" s="246"/>
      <c r="AZ482" s="246"/>
      <c r="BA482" s="246"/>
      <c r="BB482" s="246"/>
      <c r="BC482" s="246"/>
      <c r="BD482" s="246"/>
      <c r="BE482" s="246"/>
      <c r="BF482" s="246"/>
      <c r="BG482" s="246"/>
      <c r="BH482" s="246"/>
      <c r="BI482" s="246"/>
      <c r="BJ482" s="246"/>
    </row>
    <row r="483" spans="1:62" ht="19.5" thickTop="1" thickBot="1">
      <c r="A483" t="str">
        <f t="shared" si="89"/>
        <v>BAIIA OPÉRATIONNEL</v>
      </c>
      <c r="B483" s="7"/>
      <c r="C483" s="246"/>
      <c r="D483" s="246"/>
      <c r="E483" s="246"/>
      <c r="F483" s="246"/>
      <c r="G483" s="246"/>
      <c r="H483" s="246"/>
      <c r="I483" s="246"/>
      <c r="J483" s="246"/>
      <c r="K483" s="246"/>
      <c r="L483" s="246"/>
      <c r="M483" s="246"/>
      <c r="N483" s="246"/>
      <c r="O483" s="246"/>
      <c r="P483" s="246"/>
      <c r="Q483" s="246"/>
      <c r="R483" s="246"/>
      <c r="S483" s="246"/>
      <c r="T483" s="246"/>
      <c r="U483" s="246"/>
      <c r="V483" s="365" t="s">
        <v>179</v>
      </c>
      <c r="W483" s="366"/>
      <c r="X483" s="367" t="s">
        <v>180</v>
      </c>
      <c r="Y483" s="368">
        <f>Z483/Z406</f>
        <v>1.761466451841889E-2</v>
      </c>
      <c r="Z483" s="369">
        <f>Z407-Z468+Z481</f>
        <v>63810.572331196658</v>
      </c>
      <c r="AA483" s="367"/>
      <c r="AB483" s="368"/>
      <c r="AC483" s="369"/>
      <c r="AD483" s="367" t="s">
        <v>180</v>
      </c>
      <c r="AE483" s="368">
        <f>AF483/AF406</f>
        <v>3.479770422413795E-3</v>
      </c>
      <c r="AF483" s="370">
        <f>AF407-AF468+AF481</f>
        <v>11377.819999999861</v>
      </c>
      <c r="AG483" s="371"/>
      <c r="AH483" s="370">
        <f>AF483-Z483</f>
        <v>-52432.752331196796</v>
      </c>
      <c r="AI483" s="487">
        <f>AH483/Z483</f>
        <v>-0.82169381053431945</v>
      </c>
      <c r="AJ483" s="373" t="s">
        <v>180</v>
      </c>
      <c r="AK483" s="368">
        <f>IF($AL$406=0,0,AL483/$AL$406)</f>
        <v>3.5319092497152323E-2</v>
      </c>
      <c r="AL483" s="370">
        <f>AL407-AL468+AL481</f>
        <v>90263.189999999318</v>
      </c>
      <c r="AM483" s="374"/>
      <c r="AN483" s="370">
        <f t="shared" si="119"/>
        <v>-78885.369999999457</v>
      </c>
      <c r="AO483" s="375">
        <f t="shared" si="117"/>
        <v>-0.87394839468890972</v>
      </c>
      <c r="AP483" s="246"/>
      <c r="AQ483" s="246"/>
      <c r="AR483" s="310">
        <f>AR407-AR468+AR481</f>
        <v>28738</v>
      </c>
      <c r="AS483" s="246"/>
      <c r="AT483" s="246"/>
      <c r="AU483" s="246"/>
      <c r="AV483" s="246"/>
      <c r="AW483" s="246"/>
      <c r="AX483" s="246"/>
      <c r="AY483" s="246"/>
      <c r="AZ483" s="246"/>
      <c r="BA483" s="246"/>
      <c r="BB483" s="246"/>
      <c r="BC483" s="246"/>
      <c r="BD483" s="246"/>
      <c r="BE483" s="246"/>
      <c r="BF483" s="246"/>
      <c r="BG483" s="246"/>
      <c r="BH483" s="246"/>
      <c r="BI483" s="246"/>
      <c r="BJ483" s="246"/>
    </row>
    <row r="484" spans="1:62" ht="36" thickTop="1">
      <c r="A484" t="str">
        <f t="shared" si="89"/>
        <v/>
      </c>
      <c r="B484" s="7"/>
      <c r="C484" s="246"/>
      <c r="D484" s="246"/>
      <c r="E484" s="246"/>
      <c r="F484" s="246"/>
      <c r="G484" s="246"/>
      <c r="H484" s="246"/>
      <c r="I484" s="246"/>
      <c r="J484" s="246"/>
      <c r="K484" s="246"/>
      <c r="L484" s="246"/>
      <c r="M484" s="246"/>
      <c r="N484" s="246"/>
      <c r="O484" s="246"/>
      <c r="P484" s="246"/>
      <c r="Q484" s="246"/>
      <c r="R484" s="246"/>
      <c r="S484" s="246"/>
      <c r="T484" s="246"/>
      <c r="U484" s="246"/>
      <c r="V484" s="6"/>
      <c r="W484" s="6"/>
      <c r="X484" s="6"/>
      <c r="Y484" s="6"/>
      <c r="Z484" s="82"/>
      <c r="AA484" s="13"/>
      <c r="AB484" s="13"/>
      <c r="AC484" s="82"/>
      <c r="AD484" s="13"/>
      <c r="AE484" s="13"/>
      <c r="AF484" s="376">
        <f>AF477/0.7*1.05</f>
        <v>19356.600000000002</v>
      </c>
      <c r="AG484" s="13"/>
      <c r="AH484" s="13"/>
      <c r="AI484" s="13"/>
      <c r="AJ484" s="13"/>
      <c r="AK484" s="13"/>
      <c r="AL484" s="82"/>
      <c r="AM484" s="13"/>
      <c r="AN484" s="13"/>
      <c r="AO484" s="13"/>
      <c r="AP484" s="246"/>
      <c r="AQ484" s="246"/>
      <c r="AR484" s="246"/>
      <c r="AS484" s="246"/>
      <c r="AT484" s="246"/>
      <c r="AU484" s="246"/>
      <c r="AV484" s="246"/>
      <c r="AW484" s="246"/>
      <c r="AX484" s="246"/>
      <c r="AY484" s="246"/>
      <c r="AZ484" s="246"/>
      <c r="BA484" s="246"/>
      <c r="BB484" s="246"/>
      <c r="BC484" s="246"/>
      <c r="BD484" s="246"/>
      <c r="BE484" s="246"/>
      <c r="BF484" s="246"/>
      <c r="BG484" s="246"/>
      <c r="BH484" s="246"/>
      <c r="BI484" s="246"/>
      <c r="BJ484" s="246"/>
    </row>
    <row r="485" spans="1:62" ht="35.25">
      <c r="A485" t="str">
        <f t="shared" ref="A485:A498" si="124">+U485&amp;V485</f>
        <v>BMW Sherbrooke</v>
      </c>
      <c r="B485" s="7"/>
      <c r="C485" s="246"/>
      <c r="D485" s="246"/>
      <c r="E485" s="246"/>
      <c r="F485" s="246"/>
      <c r="G485" s="246"/>
      <c r="H485" s="246"/>
      <c r="I485" s="246"/>
      <c r="J485" s="246"/>
      <c r="K485" s="246"/>
      <c r="L485" s="246"/>
      <c r="M485" s="246"/>
      <c r="N485" s="246"/>
      <c r="O485" s="246"/>
      <c r="P485" s="246"/>
      <c r="Q485" s="246"/>
      <c r="R485" s="246"/>
      <c r="S485" s="246"/>
      <c r="T485" s="246"/>
      <c r="U485" s="246"/>
      <c r="V485" s="6" t="str">
        <f>C1</f>
        <v>BMW Sherbrooke</v>
      </c>
      <c r="W485" s="6"/>
      <c r="X485" s="6"/>
      <c r="Y485" s="6"/>
      <c r="Z485" s="1"/>
      <c r="AA485" s="1"/>
      <c r="AB485" s="6"/>
      <c r="AC485" s="6"/>
      <c r="AD485" s="1"/>
      <c r="AE485" s="3" t="s">
        <v>181</v>
      </c>
      <c r="AF485" s="6"/>
      <c r="AG485" s="6"/>
      <c r="AH485" s="1"/>
      <c r="AI485" s="1"/>
      <c r="AJ485" s="255"/>
      <c r="AK485" s="2"/>
      <c r="AL485" s="1"/>
      <c r="AM485" s="6"/>
      <c r="AN485" s="6"/>
      <c r="AO485" s="5" t="str">
        <f>$S$1</f>
        <v>Réalisé, Juillet 2024</v>
      </c>
      <c r="AP485" s="246"/>
      <c r="AQ485" s="246"/>
      <c r="AR485" s="246"/>
      <c r="AS485" s="246"/>
      <c r="AT485" s="246"/>
      <c r="AU485" s="246"/>
      <c r="AV485" s="246"/>
      <c r="AW485" s="246"/>
      <c r="AX485" s="246"/>
      <c r="AY485" s="246"/>
      <c r="AZ485" s="246"/>
      <c r="BA485" s="246"/>
      <c r="BB485" s="246"/>
      <c r="BC485" s="246"/>
      <c r="BD485" s="246"/>
      <c r="BE485" s="246"/>
      <c r="BF485" s="246"/>
      <c r="BG485" s="246"/>
      <c r="BH485" s="246"/>
      <c r="BI485" s="246"/>
      <c r="BJ485" s="246"/>
    </row>
    <row r="486" spans="1:62" ht="35.25">
      <c r="A486" t="str">
        <f t="shared" si="124"/>
        <v/>
      </c>
      <c r="B486" s="7"/>
      <c r="C486" s="246"/>
      <c r="D486" s="246"/>
      <c r="E486" s="246"/>
      <c r="F486" s="246"/>
      <c r="G486" s="246"/>
      <c r="H486" s="246"/>
      <c r="I486" s="246"/>
      <c r="J486" s="246"/>
      <c r="K486" s="246"/>
      <c r="L486" s="246"/>
      <c r="M486" s="246"/>
      <c r="N486" s="246"/>
      <c r="O486" s="246"/>
      <c r="P486" s="246"/>
      <c r="Q486" s="246"/>
      <c r="R486" s="246"/>
      <c r="S486" s="246"/>
      <c r="T486" s="246"/>
      <c r="U486" s="246"/>
      <c r="V486" s="6"/>
      <c r="W486" s="6"/>
      <c r="X486" s="6"/>
      <c r="Y486" s="6"/>
      <c r="Z486" s="82"/>
      <c r="AA486" s="13"/>
      <c r="AB486" s="13"/>
      <c r="AC486" s="82"/>
      <c r="AD486" s="13"/>
      <c r="AE486" s="13"/>
      <c r="AF486" s="376"/>
      <c r="AG486" s="13"/>
      <c r="AH486" s="13"/>
      <c r="AI486" s="13"/>
      <c r="AJ486" s="13"/>
      <c r="AK486" s="13"/>
      <c r="AL486" s="82"/>
      <c r="AM486" s="13"/>
      <c r="AN486" s="13"/>
      <c r="AO486" s="13"/>
      <c r="AP486" s="246"/>
      <c r="AQ486" s="246"/>
      <c r="AR486" s="246"/>
      <c r="AS486" s="246"/>
      <c r="AT486" s="246"/>
      <c r="AU486" s="246"/>
      <c r="AV486" s="246"/>
      <c r="AW486" s="246"/>
      <c r="AX486" s="246"/>
      <c r="AY486" s="246"/>
      <c r="AZ486" s="246"/>
      <c r="BA486" s="246"/>
      <c r="BB486" s="246"/>
      <c r="BC486" s="246"/>
      <c r="BD486" s="246"/>
      <c r="BE486" s="246"/>
      <c r="BF486" s="246"/>
      <c r="BG486" s="246"/>
      <c r="BH486" s="246"/>
      <c r="BI486" s="246"/>
      <c r="BJ486" s="246"/>
    </row>
    <row r="487" spans="1:62" ht="36" thickBot="1">
      <c r="A487" t="str">
        <f t="shared" si="124"/>
        <v/>
      </c>
      <c r="B487" s="7"/>
      <c r="C487" s="246"/>
      <c r="D487" s="246"/>
      <c r="E487" s="246"/>
      <c r="F487" s="246"/>
      <c r="G487" s="246"/>
      <c r="H487" s="246"/>
      <c r="I487" s="246"/>
      <c r="J487" s="246"/>
      <c r="K487" s="246"/>
      <c r="L487" s="246"/>
      <c r="M487" s="246"/>
      <c r="N487" s="246"/>
      <c r="O487" s="246"/>
      <c r="P487" s="246"/>
      <c r="Q487" s="246"/>
      <c r="R487" s="246"/>
      <c r="S487" s="246"/>
      <c r="T487" s="246"/>
      <c r="U487" s="246"/>
      <c r="V487" s="6"/>
      <c r="W487" s="6"/>
      <c r="X487" s="6"/>
      <c r="Y487" s="6"/>
      <c r="Z487" s="82"/>
      <c r="AA487" s="13"/>
      <c r="AB487" s="13"/>
      <c r="AC487" s="82"/>
      <c r="AD487" s="13"/>
      <c r="AE487" s="13"/>
      <c r="AF487" s="376"/>
      <c r="AG487" s="13"/>
      <c r="AH487" s="13"/>
      <c r="AI487" s="13"/>
      <c r="AJ487" s="13"/>
      <c r="AK487" s="13"/>
      <c r="AL487" s="82"/>
      <c r="AM487" s="13"/>
      <c r="AN487" s="13"/>
      <c r="AO487" s="13"/>
      <c r="AP487" s="246"/>
      <c r="AQ487" s="246"/>
      <c r="AR487" s="246"/>
      <c r="AS487" s="246"/>
      <c r="AT487" s="246"/>
      <c r="AU487" s="246"/>
      <c r="AV487" s="246"/>
      <c r="AW487" s="246"/>
      <c r="AX487" s="246"/>
      <c r="AY487" s="246"/>
      <c r="AZ487" s="246"/>
      <c r="BA487" s="246"/>
      <c r="BB487" s="246"/>
      <c r="BC487" s="246"/>
      <c r="BD487" s="246"/>
      <c r="BE487" s="246"/>
      <c r="BF487" s="246"/>
      <c r="BG487" s="246"/>
      <c r="BH487" s="246"/>
      <c r="BI487" s="246"/>
      <c r="BJ487" s="246"/>
    </row>
    <row r="488" spans="1:62" ht="19.5" thickTop="1" thickBot="1">
      <c r="A488" t="e">
        <f>+U488&amp;#REF!</f>
        <v>#REF!</v>
      </c>
      <c r="B488" s="7"/>
      <c r="C488" s="246"/>
      <c r="D488" s="246"/>
      <c r="E488" s="246"/>
      <c r="F488" s="246"/>
      <c r="G488" s="246"/>
      <c r="H488" s="246"/>
      <c r="I488" s="246"/>
      <c r="J488" s="246"/>
      <c r="K488" s="246"/>
      <c r="L488" s="246"/>
      <c r="M488" s="246"/>
      <c r="N488" s="246"/>
      <c r="O488" s="246"/>
      <c r="P488" s="246"/>
      <c r="Q488" s="246"/>
      <c r="R488" s="246"/>
      <c r="S488" s="246"/>
      <c r="T488" s="246"/>
      <c r="U488" s="246"/>
      <c r="V488" s="444" t="s">
        <v>209</v>
      </c>
      <c r="W488" s="445"/>
      <c r="X488" s="446" t="s">
        <v>180</v>
      </c>
      <c r="Y488" s="447">
        <f>Z488/Z406</f>
        <v>2.7303656876844558E-2</v>
      </c>
      <c r="Z488" s="449">
        <f>Z489+Z415</f>
        <v>98909.744788171083</v>
      </c>
      <c r="AA488" s="446"/>
      <c r="AB488" s="447"/>
      <c r="AC488" s="448"/>
      <c r="AD488" s="446" t="s">
        <v>180</v>
      </c>
      <c r="AE488" s="447">
        <f>AF488/AF406</f>
        <v>1.582591778233049E-2</v>
      </c>
      <c r="AF488" s="449">
        <f>AF489+AF415</f>
        <v>51746.069999999861</v>
      </c>
      <c r="AG488" s="450"/>
      <c r="AH488" s="450">
        <f t="shared" ref="AH488" si="125">AF488-Z488</f>
        <v>-47163.674788171222</v>
      </c>
      <c r="AI488" s="451">
        <f>AH488/Z488</f>
        <v>-0.47683547146116656</v>
      </c>
      <c r="AJ488" s="446" t="s">
        <v>180</v>
      </c>
      <c r="AK488" s="447">
        <f>IF($AL$406=0,0,AL488/$AL$406)</f>
        <v>4.0422372305626175E-2</v>
      </c>
      <c r="AL488" s="449">
        <f>AL489+AL415</f>
        <v>103305.37999999932</v>
      </c>
      <c r="AM488" s="452"/>
      <c r="AN488" s="449">
        <f t="shared" ref="AN488" si="126">AF488-AL488</f>
        <v>-51559.309999999459</v>
      </c>
      <c r="AO488" s="453">
        <f t="shared" ref="AO488" si="127">IF(AL488=0,0,AN488/AL488)</f>
        <v>-0.49909607805517775</v>
      </c>
      <c r="AP488" s="246"/>
      <c r="AQ488" s="246"/>
      <c r="AR488" s="246"/>
      <c r="AS488" s="246"/>
      <c r="AT488" s="246"/>
      <c r="AU488" s="246"/>
      <c r="AV488" s="246"/>
      <c r="AW488" s="246"/>
      <c r="AX488" s="246"/>
      <c r="AY488" s="246"/>
      <c r="AZ488" s="246"/>
      <c r="BA488" s="246"/>
      <c r="BB488" s="246"/>
      <c r="BC488" s="246"/>
      <c r="BD488" s="246"/>
      <c r="BE488" s="246"/>
      <c r="BF488" s="246"/>
      <c r="BG488" s="246"/>
      <c r="BH488" s="246"/>
      <c r="BI488" s="246"/>
      <c r="BJ488" s="246"/>
    </row>
    <row r="489" spans="1:62" ht="19.5" hidden="1" thickTop="1" thickBot="1">
      <c r="A489" t="str">
        <f t="shared" si="124"/>
        <v>BAIIA OPÉRATIONNEL</v>
      </c>
      <c r="B489" s="7"/>
      <c r="C489" s="246"/>
      <c r="D489" s="246"/>
      <c r="E489" s="246"/>
      <c r="F489" s="246"/>
      <c r="G489" s="246"/>
      <c r="H489" s="246"/>
      <c r="I489" s="246"/>
      <c r="J489" s="246"/>
      <c r="K489" s="246"/>
      <c r="L489" s="246"/>
      <c r="M489" s="246"/>
      <c r="N489" s="246"/>
      <c r="O489" s="246"/>
      <c r="P489" s="246"/>
      <c r="Q489" s="246"/>
      <c r="R489" s="246"/>
      <c r="S489" s="246"/>
      <c r="T489" s="246"/>
      <c r="U489" s="246"/>
      <c r="V489" s="377" t="s">
        <v>179</v>
      </c>
      <c r="W489" s="378"/>
      <c r="X489" s="379" t="s">
        <v>180</v>
      </c>
      <c r="Y489" s="380">
        <f>Z489/Z406</f>
        <v>1.761466451841889E-2</v>
      </c>
      <c r="Z489" s="381">
        <f>Z483</f>
        <v>63810.572331196658</v>
      </c>
      <c r="AA489" s="379"/>
      <c r="AB489" s="380"/>
      <c r="AC489" s="381"/>
      <c r="AD489" s="379" t="s">
        <v>180</v>
      </c>
      <c r="AE489" s="380">
        <f>AF489/AF406</f>
        <v>3.479770422413795E-3</v>
      </c>
      <c r="AF489" s="381">
        <f>AF483</f>
        <v>11377.819999999861</v>
      </c>
      <c r="AG489" s="382"/>
      <c r="AH489" s="370">
        <f>AF489-Z489</f>
        <v>-52432.752331196796</v>
      </c>
      <c r="AI489" s="487">
        <f>AH489/Z489</f>
        <v>-0.82169381053431945</v>
      </c>
      <c r="AJ489" s="379" t="s">
        <v>180</v>
      </c>
      <c r="AK489" s="380">
        <f>IF($AL$406=0,0,AL489/$AL$406)</f>
        <v>3.5319092497152323E-2</v>
      </c>
      <c r="AL489" s="383">
        <f>AL483</f>
        <v>90263.189999999318</v>
      </c>
      <c r="AM489" s="384"/>
      <c r="AN489" s="385">
        <f>AF489-AL489</f>
        <v>-78885.369999999457</v>
      </c>
      <c r="AO489" s="386">
        <f>IF(AL489=0,0,AN489/AL489)</f>
        <v>-0.87394839468890972</v>
      </c>
      <c r="AP489" s="246"/>
      <c r="AQ489" s="246"/>
      <c r="AR489" s="246"/>
      <c r="AS489" s="246"/>
      <c r="AT489" s="246"/>
      <c r="AU489" s="246"/>
      <c r="AV489" s="246"/>
      <c r="AW489" s="246"/>
      <c r="AX489" s="246"/>
      <c r="AY489" s="246"/>
      <c r="AZ489" s="246"/>
      <c r="BA489" s="246"/>
      <c r="BB489" s="246"/>
      <c r="BC489" s="246"/>
      <c r="BD489" s="246"/>
      <c r="BE489" s="246"/>
      <c r="BF489" s="246"/>
      <c r="BG489" s="246"/>
      <c r="BH489" s="246"/>
      <c r="BI489" s="246"/>
      <c r="BJ489" s="246"/>
    </row>
    <row r="490" spans="1:62" ht="16.5" thickTop="1">
      <c r="A490" t="str">
        <f t="shared" si="124"/>
        <v/>
      </c>
      <c r="B490" s="7"/>
      <c r="C490" s="246"/>
      <c r="D490" s="246"/>
      <c r="E490" s="246"/>
      <c r="F490" s="310"/>
      <c r="G490" s="246"/>
      <c r="H490" s="246"/>
      <c r="I490" s="310"/>
      <c r="J490" s="246"/>
      <c r="K490" s="246"/>
      <c r="L490" s="246"/>
      <c r="M490" s="310"/>
      <c r="N490" s="246"/>
      <c r="O490" s="246"/>
      <c r="P490" s="246"/>
      <c r="Q490" s="310"/>
      <c r="R490" s="310"/>
      <c r="S490" s="310"/>
      <c r="T490" s="334"/>
      <c r="U490" s="334"/>
      <c r="V490" s="387"/>
      <c r="W490" s="246"/>
      <c r="X490" s="246"/>
      <c r="Y490" s="246"/>
      <c r="Z490" s="388"/>
      <c r="AA490" s="246"/>
      <c r="AB490" s="246"/>
      <c r="AC490" s="389"/>
      <c r="AD490" s="246"/>
      <c r="AE490" s="246"/>
      <c r="AF490" s="389"/>
      <c r="AG490" s="246"/>
      <c r="AH490" s="246"/>
      <c r="AI490" s="389"/>
      <c r="AJ490" s="246"/>
      <c r="AK490" s="246"/>
      <c r="AL490" s="390"/>
      <c r="AM490" s="391"/>
      <c r="AN490" s="246"/>
      <c r="AO490" s="392"/>
      <c r="AP490" s="246"/>
      <c r="AQ490" s="246"/>
      <c r="AR490" s="246"/>
      <c r="AS490" s="246"/>
      <c r="AT490" s="246"/>
      <c r="AU490" s="246"/>
      <c r="AV490" s="246"/>
      <c r="AW490" s="246"/>
      <c r="AX490" s="246"/>
      <c r="AY490" s="246"/>
      <c r="AZ490" s="246"/>
      <c r="BA490" s="246"/>
      <c r="BB490" s="246"/>
      <c r="BC490" s="246"/>
      <c r="BD490" s="246"/>
      <c r="BE490" s="246"/>
      <c r="BF490" s="246"/>
      <c r="BG490" s="246"/>
      <c r="BH490" s="246"/>
      <c r="BI490" s="246"/>
      <c r="BJ490" s="246"/>
    </row>
    <row r="491" spans="1:62" ht="18">
      <c r="A491" t="str">
        <f t="shared" si="124"/>
        <v>Amortissement</v>
      </c>
      <c r="B491" s="7"/>
      <c r="C491" s="246"/>
      <c r="D491" s="246"/>
      <c r="E491" s="246"/>
      <c r="F491" s="246"/>
      <c r="G491" s="246"/>
      <c r="H491" s="246"/>
      <c r="I491" s="246"/>
      <c r="J491" s="246"/>
      <c r="K491" s="246"/>
      <c r="L491" s="246"/>
      <c r="M491" s="246"/>
      <c r="N491" s="246"/>
      <c r="O491" s="246"/>
      <c r="P491" s="246"/>
      <c r="Q491" s="246"/>
      <c r="R491" s="246"/>
      <c r="S491" s="246"/>
      <c r="T491" s="246"/>
      <c r="U491" s="246"/>
      <c r="V491" s="102" t="s">
        <v>182</v>
      </c>
      <c r="W491" s="286"/>
      <c r="X491" s="279"/>
      <c r="Y491" s="287"/>
      <c r="Z491" s="280">
        <v>20970</v>
      </c>
      <c r="AA491" s="279"/>
      <c r="AB491" s="287"/>
      <c r="AC491" s="280"/>
      <c r="AD491" s="279"/>
      <c r="AE491" s="287"/>
      <c r="AF491" s="280">
        <v>20970</v>
      </c>
      <c r="AG491" s="279"/>
      <c r="AH491" s="282">
        <f t="shared" ref="AH491:AH498" si="128">AF491-Z491</f>
        <v>0</v>
      </c>
      <c r="AI491" s="306">
        <f t="shared" ref="AI491:AI497" si="129">IF(Z491=0,0,AH491/Z491)</f>
        <v>0</v>
      </c>
      <c r="AJ491" s="279"/>
      <c r="AK491" s="279"/>
      <c r="AL491" s="280">
        <v>19520</v>
      </c>
      <c r="AM491" s="284"/>
      <c r="AN491" s="282">
        <f t="shared" ref="AN491:AN498" si="130">AF491-AL491</f>
        <v>1450</v>
      </c>
      <c r="AO491" s="289">
        <f t="shared" ref="AO491:AO498" si="131">IF(AL491=0,0,AN491/AL491)</f>
        <v>7.4282786885245908E-2</v>
      </c>
      <c r="AP491" s="246"/>
      <c r="AQ491" s="486">
        <v>20970</v>
      </c>
      <c r="AR491" s="246"/>
      <c r="AS491" s="246"/>
      <c r="AT491" s="246"/>
      <c r="AU491" s="246"/>
      <c r="AV491" s="246"/>
      <c r="AW491" s="246"/>
      <c r="AX491" s="246"/>
      <c r="AY491" s="246"/>
      <c r="AZ491" s="246"/>
      <c r="BA491" s="246"/>
      <c r="BB491" s="246"/>
      <c r="BC491" s="246"/>
      <c r="BD491" s="246"/>
      <c r="BE491" s="246"/>
      <c r="BF491" s="246"/>
      <c r="BG491" s="246"/>
      <c r="BH491" s="246"/>
      <c r="BI491" s="246"/>
      <c r="BJ491" s="246"/>
    </row>
    <row r="492" spans="1:62" ht="20.25">
      <c r="A492" t="str">
        <f t="shared" si="124"/>
        <v>Intérêts sur marge</v>
      </c>
      <c r="B492" s="7"/>
      <c r="C492" s="246"/>
      <c r="D492" s="246"/>
      <c r="E492" s="246"/>
      <c r="F492" s="310"/>
      <c r="G492" s="246"/>
      <c r="H492" s="246"/>
      <c r="I492" s="310"/>
      <c r="J492" s="246"/>
      <c r="K492" s="246"/>
      <c r="L492" s="246"/>
      <c r="M492" s="310"/>
      <c r="N492" s="246"/>
      <c r="O492" s="246"/>
      <c r="P492" s="246"/>
      <c r="Q492" s="310"/>
      <c r="R492" s="310"/>
      <c r="S492" s="310"/>
      <c r="T492" s="246"/>
      <c r="U492" s="246"/>
      <c r="V492" s="102" t="s">
        <v>183</v>
      </c>
      <c r="W492" s="10"/>
      <c r="X492" s="10"/>
      <c r="Y492" s="10"/>
      <c r="Z492" s="280">
        <v>0</v>
      </c>
      <c r="AA492" s="10"/>
      <c r="AB492" s="10"/>
      <c r="AC492" s="280"/>
      <c r="AD492" s="10"/>
      <c r="AE492" s="13"/>
      <c r="AF492" s="280">
        <v>0</v>
      </c>
      <c r="AG492" s="10"/>
      <c r="AH492" s="282">
        <f t="shared" si="128"/>
        <v>0</v>
      </c>
      <c r="AI492" s="306">
        <f t="shared" si="129"/>
        <v>0</v>
      </c>
      <c r="AJ492" s="10"/>
      <c r="AK492" s="10"/>
      <c r="AL492" s="280">
        <v>0</v>
      </c>
      <c r="AM492" s="393"/>
      <c r="AN492" s="282">
        <f t="shared" si="130"/>
        <v>0</v>
      </c>
      <c r="AO492" s="289">
        <f t="shared" si="131"/>
        <v>0</v>
      </c>
      <c r="AP492" s="246"/>
      <c r="AQ492" s="246"/>
      <c r="AR492" s="246"/>
      <c r="AS492" s="246"/>
      <c r="AT492" s="246"/>
      <c r="AU492" s="246"/>
      <c r="AV492" s="246"/>
      <c r="AW492" s="246"/>
      <c r="AX492" s="246"/>
      <c r="AY492" s="246"/>
      <c r="AZ492" s="246"/>
      <c r="BA492" s="246"/>
      <c r="BB492" s="246"/>
      <c r="BC492" s="246"/>
      <c r="BD492" s="246"/>
      <c r="BE492" s="246"/>
      <c r="BF492" s="246"/>
      <c r="BG492" s="246"/>
      <c r="BH492" s="246"/>
      <c r="BI492" s="246"/>
      <c r="BJ492" s="246"/>
    </row>
    <row r="493" spans="1:62" ht="20.25">
      <c r="A493" t="str">
        <f t="shared" si="124"/>
        <v>Intérêts sur prêt</v>
      </c>
      <c r="B493" s="7"/>
      <c r="C493" s="246"/>
      <c r="D493" s="246"/>
      <c r="E493" s="246"/>
      <c r="F493" s="310"/>
      <c r="G493" s="246"/>
      <c r="H493" s="246"/>
      <c r="I493" s="310"/>
      <c r="J493" s="246"/>
      <c r="K493" s="246"/>
      <c r="L493" s="246"/>
      <c r="M493" s="310"/>
      <c r="N493" s="246"/>
      <c r="O493" s="246"/>
      <c r="P493" s="246"/>
      <c r="Q493" s="310"/>
      <c r="R493" s="310"/>
      <c r="S493" s="310"/>
      <c r="T493" s="246"/>
      <c r="U493" s="246"/>
      <c r="V493" s="102" t="s">
        <v>184</v>
      </c>
      <c r="W493" s="13"/>
      <c r="X493" s="13"/>
      <c r="Y493" s="13"/>
      <c r="Z493" s="280">
        <v>0</v>
      </c>
      <c r="AA493" s="10"/>
      <c r="AB493" s="10"/>
      <c r="AC493" s="280"/>
      <c r="AD493" s="10"/>
      <c r="AE493" s="13"/>
      <c r="AF493" s="280">
        <v>0</v>
      </c>
      <c r="AG493" s="10"/>
      <c r="AH493" s="282">
        <f t="shared" si="128"/>
        <v>0</v>
      </c>
      <c r="AI493" s="306">
        <f t="shared" si="129"/>
        <v>0</v>
      </c>
      <c r="AJ493" s="10"/>
      <c r="AK493" s="10"/>
      <c r="AL493" s="280">
        <v>0</v>
      </c>
      <c r="AM493" s="393"/>
      <c r="AN493" s="282">
        <f t="shared" si="130"/>
        <v>0</v>
      </c>
      <c r="AO493" s="289">
        <f t="shared" si="131"/>
        <v>0</v>
      </c>
      <c r="AP493" s="246"/>
      <c r="AQ493" s="246"/>
      <c r="AR493" s="246"/>
      <c r="AS493" s="246"/>
      <c r="AT493" s="246"/>
      <c r="AU493" s="246"/>
      <c r="AV493" s="246"/>
      <c r="AW493" s="246"/>
      <c r="AX493" s="246"/>
      <c r="AY493" s="246"/>
      <c r="AZ493" s="246"/>
      <c r="BA493" s="246"/>
      <c r="BB493" s="246"/>
      <c r="BC493" s="246"/>
      <c r="BD493" s="246"/>
      <c r="BE493" s="246"/>
      <c r="BF493" s="246"/>
      <c r="BG493" s="246"/>
      <c r="BH493" s="246"/>
      <c r="BI493" s="246"/>
      <c r="BJ493" s="246"/>
    </row>
    <row r="494" spans="1:62" ht="20.25">
      <c r="A494" t="str">
        <f t="shared" si="124"/>
        <v>Intérêts sur avance</v>
      </c>
      <c r="B494" s="7"/>
      <c r="C494" s="246"/>
      <c r="D494" s="246"/>
      <c r="E494" s="246"/>
      <c r="F494" s="310"/>
      <c r="G494" s="246"/>
      <c r="H494" s="246"/>
      <c r="I494" s="310"/>
      <c r="J494" s="246"/>
      <c r="K494" s="246"/>
      <c r="L494" s="246"/>
      <c r="M494" s="310"/>
      <c r="N494" s="246"/>
      <c r="O494" s="246"/>
      <c r="P494" s="246"/>
      <c r="Q494" s="310"/>
      <c r="R494" s="310"/>
      <c r="S494" s="310"/>
      <c r="T494" s="246"/>
      <c r="U494" s="246"/>
      <c r="V494" s="102" t="s">
        <v>185</v>
      </c>
      <c r="W494" s="13"/>
      <c r="X494" s="13"/>
      <c r="Y494" s="13"/>
      <c r="Z494" s="280">
        <v>0</v>
      </c>
      <c r="AA494" s="10"/>
      <c r="AB494" s="10"/>
      <c r="AC494" s="280"/>
      <c r="AD494" s="10"/>
      <c r="AE494" s="13"/>
      <c r="AF494" s="280">
        <v>0</v>
      </c>
      <c r="AG494" s="10"/>
      <c r="AH494" s="282">
        <f t="shared" si="128"/>
        <v>0</v>
      </c>
      <c r="AI494" s="306">
        <f t="shared" si="129"/>
        <v>0</v>
      </c>
      <c r="AJ494" s="10"/>
      <c r="AK494" s="10"/>
      <c r="AL494" s="280">
        <v>0</v>
      </c>
      <c r="AM494" s="393"/>
      <c r="AN494" s="282">
        <f t="shared" si="130"/>
        <v>0</v>
      </c>
      <c r="AO494" s="289">
        <f t="shared" si="131"/>
        <v>0</v>
      </c>
      <c r="AP494" s="246"/>
      <c r="AQ494" s="246"/>
      <c r="AR494" s="246"/>
      <c r="AS494" s="246"/>
      <c r="AT494" s="246"/>
      <c r="AU494" s="246"/>
      <c r="AV494" s="246"/>
      <c r="AW494" s="246"/>
      <c r="AX494" s="246"/>
      <c r="AY494" s="246"/>
      <c r="AZ494" s="246"/>
      <c r="BA494" s="246"/>
      <c r="BB494" s="246"/>
      <c r="BC494" s="246"/>
      <c r="BD494" s="246"/>
      <c r="BE494" s="246"/>
      <c r="BF494" s="246"/>
      <c r="BG494" s="246"/>
      <c r="BH494" s="246"/>
      <c r="BI494" s="246"/>
      <c r="BJ494" s="246"/>
    </row>
    <row r="495" spans="1:62" ht="20.25" hidden="1">
      <c r="A495" t="str">
        <f t="shared" si="124"/>
        <v>[...]</v>
      </c>
      <c r="B495" s="7"/>
      <c r="C495" s="246"/>
      <c r="D495" s="246"/>
      <c r="E495" s="246"/>
      <c r="F495" s="310"/>
      <c r="G495" s="246"/>
      <c r="H495" s="246"/>
      <c r="I495" s="310"/>
      <c r="J495" s="246"/>
      <c r="K495" s="246"/>
      <c r="L495" s="246"/>
      <c r="M495" s="310"/>
      <c r="N495" s="246"/>
      <c r="O495" s="246"/>
      <c r="P495" s="246"/>
      <c r="Q495" s="310"/>
      <c r="R495" s="310"/>
      <c r="S495" s="310"/>
      <c r="T495" s="246"/>
      <c r="U495" s="246"/>
      <c r="V495" s="102" t="s">
        <v>19</v>
      </c>
      <c r="W495" s="13"/>
      <c r="X495" s="13"/>
      <c r="Y495" s="13"/>
      <c r="Z495" s="282">
        <f>IFERROR(SUMIF($C:$C,$V495,F:F),0)</f>
        <v>0</v>
      </c>
      <c r="AA495" s="279"/>
      <c r="AB495" s="279"/>
      <c r="AC495" s="282"/>
      <c r="AD495" s="288"/>
      <c r="AE495" s="287"/>
      <c r="AF495" s="280">
        <v>0</v>
      </c>
      <c r="AG495" s="281"/>
      <c r="AH495" s="282">
        <f t="shared" si="128"/>
        <v>0</v>
      </c>
      <c r="AI495" s="283">
        <f t="shared" si="129"/>
        <v>0</v>
      </c>
      <c r="AJ495" s="288"/>
      <c r="AK495" s="279"/>
      <c r="AL495" s="280">
        <v>0</v>
      </c>
      <c r="AM495" s="393"/>
      <c r="AN495" s="282">
        <f t="shared" si="130"/>
        <v>0</v>
      </c>
      <c r="AO495" s="289">
        <f t="shared" si="131"/>
        <v>0</v>
      </c>
      <c r="AP495" s="246"/>
      <c r="AQ495" s="246"/>
      <c r="AR495" s="246"/>
      <c r="AS495" s="246"/>
      <c r="AT495" s="246"/>
      <c r="AU495" s="246"/>
      <c r="AV495" s="246"/>
      <c r="AW495" s="246"/>
      <c r="AX495" s="246"/>
      <c r="AY495" s="246"/>
      <c r="AZ495" s="246"/>
      <c r="BA495" s="246"/>
      <c r="BB495" s="246"/>
      <c r="BC495" s="246"/>
      <c r="BD495" s="246"/>
      <c r="BE495" s="246"/>
      <c r="BF495" s="246"/>
      <c r="BG495" s="246"/>
      <c r="BH495" s="246"/>
      <c r="BI495" s="246"/>
      <c r="BJ495" s="246"/>
    </row>
    <row r="496" spans="1:62" ht="21" thickBot="1">
      <c r="A496" t="str">
        <f t="shared" si="124"/>
        <v>Revenus d'intérêts floor plan</v>
      </c>
      <c r="B496" s="7"/>
      <c r="C496" s="246"/>
      <c r="D496" s="246"/>
      <c r="E496" s="246"/>
      <c r="F496" s="310"/>
      <c r="G496" s="246"/>
      <c r="H496" s="246"/>
      <c r="I496" s="310"/>
      <c r="J496" s="246"/>
      <c r="K496" s="246"/>
      <c r="L496" s="246"/>
      <c r="M496" s="310"/>
      <c r="N496" s="246"/>
      <c r="O496" s="246"/>
      <c r="P496" s="246"/>
      <c r="Q496" s="310"/>
      <c r="R496" s="310"/>
      <c r="S496" s="310"/>
      <c r="T496" s="246"/>
      <c r="U496" s="246"/>
      <c r="V496" s="102" t="s">
        <v>239</v>
      </c>
      <c r="W496" s="13"/>
      <c r="X496" s="13"/>
      <c r="Y496" s="13"/>
      <c r="Z496" s="282">
        <v>-9189.890710382515</v>
      </c>
      <c r="AA496" s="279"/>
      <c r="AB496" s="279"/>
      <c r="AC496" s="282"/>
      <c r="AD496" s="288"/>
      <c r="AE496" s="287"/>
      <c r="AF496" s="280">
        <v>-5954.65</v>
      </c>
      <c r="AG496" s="281"/>
      <c r="AH496" s="282">
        <f t="shared" si="128"/>
        <v>3235.2407103825153</v>
      </c>
      <c r="AI496" s="283">
        <f t="shared" si="129"/>
        <v>-0.35204343689609052</v>
      </c>
      <c r="AJ496" s="288"/>
      <c r="AK496" s="279"/>
      <c r="AL496" s="280">
        <v>0</v>
      </c>
      <c r="AM496" s="393"/>
      <c r="AN496" s="282">
        <f t="shared" si="130"/>
        <v>-5954.65</v>
      </c>
      <c r="AO496" s="289">
        <f t="shared" si="131"/>
        <v>0</v>
      </c>
      <c r="AP496" s="246"/>
      <c r="AQ496" s="246">
        <v>-5955</v>
      </c>
      <c r="AR496" s="246"/>
      <c r="AS496" s="246"/>
      <c r="AT496" s="246"/>
      <c r="AU496" s="246"/>
      <c r="AV496" s="246"/>
      <c r="AW496" s="246"/>
      <c r="AX496" s="246"/>
      <c r="AY496" s="246"/>
      <c r="AZ496" s="246"/>
      <c r="BA496" s="246"/>
      <c r="BB496" s="246"/>
      <c r="BC496" s="246"/>
      <c r="BD496" s="246"/>
      <c r="BE496" s="246"/>
      <c r="BF496" s="246"/>
      <c r="BG496" s="246"/>
      <c r="BH496" s="246"/>
      <c r="BI496" s="246"/>
      <c r="BJ496" s="246"/>
    </row>
    <row r="497" spans="1:62" ht="21" hidden="1" thickBot="1">
      <c r="A497" t="str">
        <f t="shared" si="124"/>
        <v>[...]</v>
      </c>
      <c r="B497" s="7"/>
      <c r="C497" s="246"/>
      <c r="D497" s="246"/>
      <c r="E497" s="246"/>
      <c r="F497" s="310"/>
      <c r="G497" s="246"/>
      <c r="H497" s="246"/>
      <c r="I497" s="310"/>
      <c r="J497" s="246"/>
      <c r="K497" s="246"/>
      <c r="L497" s="246"/>
      <c r="M497" s="310"/>
      <c r="N497" s="246"/>
      <c r="O497" s="246"/>
      <c r="P497" s="246"/>
      <c r="Q497" s="310"/>
      <c r="R497" s="310"/>
      <c r="S497" s="310"/>
      <c r="T497" s="246"/>
      <c r="U497" s="246"/>
      <c r="V497" s="102" t="s">
        <v>19</v>
      </c>
      <c r="W497" s="13"/>
      <c r="X497" s="246"/>
      <c r="Y497" s="13"/>
      <c r="Z497" s="282">
        <f>IFERROR(SUMIF($C:$C,$V497,F:F),0)</f>
        <v>0</v>
      </c>
      <c r="AA497" s="279"/>
      <c r="AB497" s="279"/>
      <c r="AC497" s="282"/>
      <c r="AD497" s="288"/>
      <c r="AE497" s="287"/>
      <c r="AF497" s="280">
        <v>0</v>
      </c>
      <c r="AG497" s="281"/>
      <c r="AH497" s="282">
        <f t="shared" si="128"/>
        <v>0</v>
      </c>
      <c r="AI497" s="283">
        <f t="shared" si="129"/>
        <v>0</v>
      </c>
      <c r="AJ497" s="288"/>
      <c r="AK497" s="279"/>
      <c r="AL497" s="280">
        <v>0</v>
      </c>
      <c r="AM497" s="393"/>
      <c r="AN497" s="282">
        <f t="shared" si="130"/>
        <v>0</v>
      </c>
      <c r="AO497" s="289">
        <f t="shared" si="131"/>
        <v>0</v>
      </c>
      <c r="AP497" s="246"/>
      <c r="AQ497" s="246"/>
      <c r="AR497" s="246"/>
      <c r="AS497" s="246"/>
      <c r="AT497" s="246"/>
      <c r="AU497" s="246"/>
      <c r="AV497" s="246"/>
      <c r="AW497" s="246"/>
      <c r="AX497" s="246"/>
      <c r="AY497" s="246"/>
      <c r="AZ497" s="246"/>
      <c r="BA497" s="246"/>
      <c r="BB497" s="246"/>
      <c r="BC497" s="246"/>
      <c r="BD497" s="246"/>
      <c r="BE497" s="246"/>
      <c r="BF497" s="246"/>
      <c r="BG497" s="246"/>
      <c r="BH497" s="246"/>
      <c r="BI497" s="246"/>
      <c r="BJ497" s="246"/>
    </row>
    <row r="498" spans="1:62" ht="19.5" thickTop="1" thickBot="1">
      <c r="A498" t="str">
        <f t="shared" si="124"/>
        <v>Profit Net</v>
      </c>
      <c r="B498" s="7"/>
      <c r="C498" s="246"/>
      <c r="D498" s="246"/>
      <c r="E498" s="246"/>
      <c r="F498" s="310"/>
      <c r="G498" s="246"/>
      <c r="H498" s="246"/>
      <c r="I498" s="310"/>
      <c r="J498" s="246"/>
      <c r="K498" s="246"/>
      <c r="L498" s="246"/>
      <c r="M498" s="310"/>
      <c r="N498" s="246"/>
      <c r="O498" s="246"/>
      <c r="P498" s="246"/>
      <c r="Q498" s="310"/>
      <c r="R498" s="310"/>
      <c r="S498" s="310"/>
      <c r="T498" s="246"/>
      <c r="U498" s="246"/>
      <c r="V498" s="365" t="s">
        <v>186</v>
      </c>
      <c r="W498" s="366"/>
      <c r="X498" s="367" t="s">
        <v>180</v>
      </c>
      <c r="Y498" s="368">
        <f>Z498/Z406</f>
        <v>1.4362810389138891E-2</v>
      </c>
      <c r="Z498" s="369">
        <f>Z489-Z491-Z492-Z493-Z497-Z496-Z494-Z495</f>
        <v>52030.463041579176</v>
      </c>
      <c r="AA498" s="367"/>
      <c r="AB498" s="368"/>
      <c r="AC498" s="369"/>
      <c r="AD498" s="367" t="s">
        <v>180</v>
      </c>
      <c r="AE498" s="368">
        <f>AF498/AF406</f>
        <v>-1.1124951268910467E-3</v>
      </c>
      <c r="AF498" s="370">
        <f>AF489-AF491-AF492-AF493-AF497-AF496-AF494-AF495</f>
        <v>-3637.5300000001389</v>
      </c>
      <c r="AG498" s="371"/>
      <c r="AH498" s="370">
        <f t="shared" si="128"/>
        <v>-55667.993041579313</v>
      </c>
      <c r="AI498" s="487">
        <f>AH498/Z498</f>
        <v>-1.0699115438794629</v>
      </c>
      <c r="AJ498" s="373" t="s">
        <v>180</v>
      </c>
      <c r="AK498" s="368">
        <f>IF($AL$406=0,0,AL498/$AL$406)</f>
        <v>2.7681109776350871E-2</v>
      </c>
      <c r="AL498" s="370">
        <f>AL489-AL491-AL492-AL493-AL497-AL496-AL494-AL495</f>
        <v>70743.189999999318</v>
      </c>
      <c r="AM498" s="374"/>
      <c r="AN498" s="370">
        <f t="shared" si="130"/>
        <v>-74380.719999999463</v>
      </c>
      <c r="AO498" s="394">
        <f t="shared" si="131"/>
        <v>-1.0514188008768077</v>
      </c>
      <c r="AP498" s="246"/>
      <c r="AQ498" s="246"/>
      <c r="AR498" s="246"/>
      <c r="AS498" s="246"/>
      <c r="AT498" s="246"/>
      <c r="AU498" s="246"/>
      <c r="AV498" s="246"/>
      <c r="AW498" s="246"/>
      <c r="AX498" s="246"/>
      <c r="AY498" s="246"/>
      <c r="AZ498" s="246"/>
      <c r="BA498" s="246"/>
      <c r="BB498" s="246"/>
      <c r="BC498" s="246"/>
      <c r="BD498" s="246"/>
      <c r="BE498" s="246"/>
      <c r="BF498" s="246"/>
      <c r="BG498" s="246"/>
      <c r="BH498" s="246"/>
      <c r="BI498" s="246"/>
      <c r="BJ498" s="246"/>
    </row>
    <row r="499" spans="1:62" ht="16.5" thickTop="1">
      <c r="A499" t="str">
        <f>+U499&amp;V488</f>
        <v>BAIIA Corpo</v>
      </c>
      <c r="B499" s="7"/>
      <c r="C499" s="246"/>
      <c r="D499" s="246"/>
      <c r="E499" s="246"/>
      <c r="F499" s="310"/>
      <c r="G499" s="246"/>
      <c r="H499" s="246"/>
      <c r="I499" s="310"/>
      <c r="J499" s="246"/>
      <c r="K499" s="246"/>
      <c r="L499" s="246"/>
      <c r="M499" s="310"/>
      <c r="N499" s="246"/>
      <c r="O499" s="246"/>
      <c r="P499" s="246"/>
      <c r="Q499" s="310"/>
      <c r="R499" s="310"/>
      <c r="S499" s="310"/>
      <c r="T499" s="246"/>
      <c r="U499" s="246"/>
      <c r="AP499" s="246"/>
      <c r="AQ499" s="246"/>
      <c r="AR499" s="246"/>
      <c r="AS499" s="246"/>
      <c r="AT499" s="246"/>
      <c r="AU499" s="246"/>
      <c r="AV499" s="246"/>
      <c r="AW499" s="246"/>
      <c r="AX499" s="246"/>
      <c r="AY499" s="246"/>
      <c r="AZ499" s="246"/>
      <c r="BA499" s="246"/>
      <c r="BB499" s="246"/>
      <c r="BC499" s="246"/>
      <c r="BD499" s="246"/>
      <c r="BE499" s="246"/>
      <c r="BF499" s="246"/>
      <c r="BG499" s="246"/>
      <c r="BH499" s="246"/>
      <c r="BI499" s="246"/>
      <c r="BJ499" s="246"/>
    </row>
    <row r="500" spans="1:62" ht="15.75" customHeight="1" outlineLevel="1">
      <c r="B500" s="7"/>
      <c r="C500" s="246"/>
      <c r="D500" s="246"/>
      <c r="E500" s="246"/>
      <c r="F500" s="310"/>
      <c r="G500" s="246"/>
      <c r="H500" s="246"/>
      <c r="I500" s="310"/>
      <c r="J500" s="246"/>
      <c r="K500" s="246"/>
      <c r="L500" s="246"/>
      <c r="M500" s="310"/>
      <c r="N500" s="246"/>
      <c r="O500" s="246"/>
      <c r="P500" s="246"/>
      <c r="Q500" s="310"/>
      <c r="R500" s="310"/>
      <c r="S500" s="310"/>
      <c r="T500" s="246"/>
      <c r="U500" s="246"/>
      <c r="V500" s="246" t="s">
        <v>240</v>
      </c>
      <c r="W500" s="246"/>
      <c r="X500" s="246"/>
      <c r="Y500" s="246"/>
      <c r="Z500" s="246"/>
      <c r="AA500" s="246"/>
      <c r="AB500" s="246"/>
      <c r="AC500" s="246"/>
      <c r="AD500" s="246"/>
      <c r="AE500" s="395"/>
      <c r="AF500" s="280">
        <v>-945.76</v>
      </c>
      <c r="AG500" s="246"/>
      <c r="AH500" s="246"/>
      <c r="AI500" s="246"/>
      <c r="AJ500" s="246"/>
      <c r="AK500" s="246"/>
      <c r="AL500" s="246"/>
      <c r="AM500" s="246"/>
      <c r="AN500" s="246"/>
      <c r="AO500" s="246"/>
      <c r="AP500" s="246"/>
      <c r="AQ500" s="246"/>
      <c r="AR500" s="246"/>
      <c r="AS500" s="246"/>
      <c r="AT500" s="246"/>
      <c r="AU500" s="246"/>
      <c r="AV500" s="246"/>
      <c r="AW500" s="246"/>
      <c r="AX500" s="246"/>
      <c r="AY500" s="246"/>
      <c r="AZ500" s="246"/>
      <c r="BA500" s="246"/>
      <c r="BB500" s="246"/>
      <c r="BC500" s="246"/>
      <c r="BD500" s="246"/>
      <c r="BE500" s="246"/>
      <c r="BF500" s="246"/>
      <c r="BG500" s="246"/>
      <c r="BH500" s="246"/>
      <c r="BI500" s="246"/>
      <c r="BJ500" s="246"/>
    </row>
    <row r="501" spans="1:62" ht="15.75" customHeight="1" outlineLevel="1" thickBot="1">
      <c r="B501" s="7"/>
      <c r="C501" s="246"/>
      <c r="D501" s="246"/>
      <c r="E501" s="246"/>
      <c r="F501" s="310"/>
      <c r="G501" s="246"/>
      <c r="H501" s="246"/>
      <c r="I501" s="310"/>
      <c r="J501" s="246"/>
      <c r="K501" s="246"/>
      <c r="L501" s="246"/>
      <c r="M501" s="310"/>
      <c r="N501" s="246"/>
      <c r="O501" s="246"/>
      <c r="P501" s="246"/>
      <c r="Q501" s="310"/>
      <c r="R501" s="310"/>
      <c r="S501" s="310"/>
      <c r="T501" s="246"/>
      <c r="U501" s="246"/>
      <c r="V501" s="246"/>
      <c r="W501" s="246"/>
      <c r="X501" s="246"/>
      <c r="Y501" s="246"/>
      <c r="Z501" s="246"/>
      <c r="AA501" s="246"/>
      <c r="AB501" s="246"/>
      <c r="AC501" s="246"/>
      <c r="AD501" s="246"/>
      <c r="AE501" s="395"/>
      <c r="AF501" s="396"/>
      <c r="AG501" s="246"/>
      <c r="AH501" s="246"/>
      <c r="AI501" s="246"/>
      <c r="AJ501" s="246"/>
      <c r="AK501" s="246"/>
      <c r="AL501" s="246"/>
      <c r="AM501" s="246"/>
      <c r="AN501" s="246"/>
      <c r="AO501" s="246"/>
      <c r="AP501" s="246"/>
      <c r="AQ501" s="246"/>
      <c r="AR501" s="246"/>
      <c r="AS501" s="246"/>
      <c r="AT501" s="246"/>
      <c r="AU501" s="246"/>
      <c r="AV501" s="246"/>
      <c r="AW501" s="246"/>
      <c r="AX501" s="246"/>
      <c r="AY501" s="246"/>
      <c r="AZ501" s="246"/>
      <c r="BA501" s="246"/>
      <c r="BB501" s="246"/>
      <c r="BC501" s="246"/>
      <c r="BD501" s="246"/>
      <c r="BE501" s="246"/>
      <c r="BF501" s="246"/>
      <c r="BG501" s="246"/>
      <c r="BH501" s="246"/>
      <c r="BI501" s="246"/>
      <c r="BJ501" s="246"/>
    </row>
    <row r="502" spans="1:62" ht="15.75" customHeight="1" outlineLevel="1" thickTop="1" thickBot="1">
      <c r="B502" s="7"/>
      <c r="C502" s="246"/>
      <c r="D502" s="246"/>
      <c r="E502" s="246"/>
      <c r="F502" s="310"/>
      <c r="G502" s="246"/>
      <c r="H502" s="246"/>
      <c r="I502" s="310"/>
      <c r="J502" s="246"/>
      <c r="K502" s="246"/>
      <c r="L502" s="246"/>
      <c r="M502" s="310"/>
      <c r="N502" s="246"/>
      <c r="O502" s="246"/>
      <c r="P502" s="246"/>
      <c r="Q502" s="310"/>
      <c r="R502" s="310"/>
      <c r="S502" s="310"/>
      <c r="T502" s="246"/>
      <c r="U502" s="246"/>
      <c r="V502" s="365" t="s">
        <v>241</v>
      </c>
      <c r="W502" s="366"/>
      <c r="X502" s="367"/>
      <c r="Y502" s="368"/>
      <c r="Z502" s="369"/>
      <c r="AA502" s="367"/>
      <c r="AB502" s="368"/>
      <c r="AC502" s="369"/>
      <c r="AD502" s="367"/>
      <c r="AE502" s="368"/>
      <c r="AF502" s="370">
        <f>+AF498-AF500</f>
        <v>-2691.7700000001387</v>
      </c>
      <c r="AG502" s="371"/>
      <c r="AH502" s="371"/>
      <c r="AI502" s="372"/>
      <c r="AJ502" s="373"/>
      <c r="AK502" s="368"/>
      <c r="AL502" s="370"/>
      <c r="AM502" s="374"/>
      <c r="AN502" s="370"/>
      <c r="AO502" s="394"/>
      <c r="AP502" s="246"/>
      <c r="AQ502" s="246"/>
      <c r="AR502" s="310"/>
      <c r="AS502" s="246"/>
      <c r="AT502" s="246"/>
      <c r="AU502" s="246"/>
      <c r="AV502" s="246"/>
      <c r="AW502" s="246"/>
      <c r="AX502" s="246"/>
      <c r="AY502" s="246"/>
      <c r="AZ502" s="246"/>
      <c r="BA502" s="246"/>
      <c r="BB502" s="246"/>
      <c r="BC502" s="246"/>
      <c r="BD502" s="246"/>
      <c r="BE502" s="246"/>
      <c r="BF502" s="246"/>
      <c r="BG502" s="246"/>
      <c r="BH502" s="246"/>
      <c r="BI502" s="246"/>
      <c r="BJ502" s="246"/>
    </row>
    <row r="503" spans="1:62" ht="16.5" thickTop="1">
      <c r="B503" s="7"/>
      <c r="C503" s="246"/>
      <c r="D503" s="246"/>
      <c r="E503" s="246"/>
      <c r="F503" s="310"/>
      <c r="G503" s="246"/>
      <c r="H503" s="246"/>
      <c r="I503" s="310"/>
      <c r="J503" s="246"/>
      <c r="K503" s="246"/>
      <c r="L503" s="246"/>
      <c r="M503" s="310"/>
      <c r="N503" s="246"/>
      <c r="O503" s="246"/>
      <c r="P503" s="246"/>
      <c r="Q503" s="310"/>
      <c r="R503" s="310"/>
      <c r="S503" s="310"/>
      <c r="T503" s="246"/>
      <c r="U503" s="246"/>
      <c r="V503" s="246"/>
      <c r="W503" s="246"/>
      <c r="X503" s="246"/>
      <c r="Y503" s="246"/>
      <c r="Z503" s="246"/>
      <c r="AA503" s="246"/>
      <c r="AB503" s="246"/>
      <c r="AC503" s="246"/>
      <c r="AD503" s="246"/>
      <c r="AE503" s="395"/>
      <c r="AF503" s="396"/>
      <c r="AG503" s="246"/>
      <c r="AH503" s="310"/>
      <c r="AI503" s="246"/>
      <c r="AJ503" s="246"/>
      <c r="AK503" s="246"/>
      <c r="AL503" s="246"/>
      <c r="AM503" s="246"/>
      <c r="AN503" s="246"/>
      <c r="AO503" s="246"/>
      <c r="AP503" s="246"/>
      <c r="AQ503" s="246"/>
      <c r="AR503" s="246"/>
      <c r="AS503" s="246"/>
      <c r="AT503" s="246"/>
      <c r="AU503" s="246"/>
      <c r="AV503" s="246"/>
      <c r="AW503" s="246"/>
      <c r="AX503" s="246"/>
      <c r="AY503" s="246"/>
      <c r="AZ503" s="246"/>
      <c r="BA503" s="246"/>
      <c r="BB503" s="246"/>
      <c r="BC503" s="246"/>
      <c r="BD503" s="246"/>
      <c r="BE503" s="246"/>
      <c r="BF503" s="246"/>
      <c r="BG503" s="246"/>
      <c r="BH503" s="246"/>
      <c r="BI503" s="246"/>
      <c r="BJ503" s="246"/>
    </row>
    <row r="504" spans="1:62" ht="18">
      <c r="B504" s="7"/>
      <c r="C504" s="246"/>
      <c r="D504" s="246"/>
      <c r="E504" s="246"/>
      <c r="F504" s="310"/>
      <c r="G504" s="246"/>
      <c r="H504" s="246"/>
      <c r="I504" s="310"/>
      <c r="J504" s="246"/>
      <c r="K504" s="246"/>
      <c r="L504" s="246"/>
      <c r="M504" s="310"/>
      <c r="N504" s="246"/>
      <c r="O504" s="246"/>
      <c r="P504" s="246"/>
      <c r="Q504" s="310"/>
      <c r="R504" s="310"/>
      <c r="S504" s="310"/>
      <c r="T504" s="246"/>
      <c r="U504" s="246"/>
      <c r="V504" s="246"/>
      <c r="W504" s="246"/>
      <c r="X504" s="246"/>
      <c r="Y504" s="246"/>
      <c r="Z504" s="310"/>
      <c r="AA504" s="246"/>
      <c r="AB504" s="246"/>
      <c r="AC504" s="246"/>
      <c r="AD504" s="246"/>
      <c r="AE504" s="246"/>
      <c r="AF504" s="488">
        <f>AF500/AF498</f>
        <v>0.26000060480599857</v>
      </c>
      <c r="AG504" s="246"/>
      <c r="AH504" s="246"/>
      <c r="AI504" s="246"/>
      <c r="AJ504" s="246"/>
      <c r="AK504" s="246"/>
      <c r="AL504" s="246"/>
      <c r="AM504" s="246"/>
      <c r="AN504" s="246"/>
      <c r="AO504" s="246"/>
      <c r="AP504" s="246"/>
      <c r="AQ504" s="246"/>
      <c r="AR504" s="246"/>
      <c r="AS504" s="246"/>
      <c r="AT504" s="246"/>
      <c r="AU504" s="246"/>
      <c r="AV504" s="246"/>
      <c r="AW504" s="246"/>
      <c r="AX504" s="246"/>
      <c r="AY504" s="246"/>
      <c r="AZ504" s="246"/>
      <c r="BA504" s="246"/>
      <c r="BB504" s="246"/>
      <c r="BC504" s="246"/>
      <c r="BD504" s="246"/>
      <c r="BE504" s="246"/>
      <c r="BF504" s="246"/>
      <c r="BG504" s="246"/>
      <c r="BH504" s="246"/>
      <c r="BI504" s="246"/>
      <c r="BJ504" s="246"/>
    </row>
    <row r="505" spans="1:62" ht="15.75">
      <c r="B505" s="7"/>
      <c r="C505" s="246"/>
      <c r="D505" s="246"/>
      <c r="E505" s="246"/>
      <c r="F505" s="310"/>
      <c r="G505" s="246"/>
      <c r="H505" s="246"/>
      <c r="I505" s="310"/>
      <c r="J505" s="246"/>
      <c r="K505" s="246"/>
      <c r="L505" s="246"/>
      <c r="M505" s="310"/>
      <c r="N505" s="246"/>
      <c r="O505" s="246"/>
      <c r="P505" s="246"/>
      <c r="Q505" s="310"/>
      <c r="R505" s="310"/>
      <c r="S505" s="310"/>
      <c r="T505" s="334"/>
      <c r="U505" s="334"/>
      <c r="V505" s="246"/>
      <c r="W505" s="246"/>
      <c r="X505" s="246"/>
      <c r="Y505" s="246"/>
      <c r="Z505" s="310"/>
      <c r="AA505" s="246"/>
      <c r="AB505" s="246"/>
      <c r="AC505" s="246"/>
      <c r="AD505" s="246" t="s">
        <v>242</v>
      </c>
      <c r="AE505" s="246"/>
      <c r="AF505" s="246">
        <v>28738</v>
      </c>
      <c r="AG505" s="246"/>
      <c r="AH505" s="246"/>
      <c r="AI505" s="246"/>
      <c r="AJ505" s="246"/>
      <c r="AK505" s="246"/>
      <c r="AL505" s="246"/>
      <c r="AM505" s="246"/>
      <c r="AN505" s="246"/>
      <c r="AO505" s="246"/>
      <c r="AP505" s="246"/>
      <c r="AQ505" s="246"/>
      <c r="AR505" s="246"/>
      <c r="AS505" s="246"/>
      <c r="AT505" s="246"/>
      <c r="AU505" s="246"/>
      <c r="AV505" s="246"/>
      <c r="AW505" s="246"/>
      <c r="AX505" s="246"/>
      <c r="AY505" s="246"/>
      <c r="AZ505" s="246"/>
      <c r="BA505" s="246"/>
      <c r="BB505" s="246"/>
      <c r="BC505" s="246"/>
      <c r="BD505" s="246"/>
      <c r="BE505" s="246"/>
      <c r="BF505" s="246"/>
      <c r="BG505" s="246"/>
      <c r="BH505" s="246"/>
      <c r="BI505" s="246"/>
      <c r="BJ505" s="246"/>
    </row>
    <row r="506" spans="1:62" ht="18">
      <c r="B506" s="7"/>
      <c r="C506" s="246"/>
      <c r="D506" s="246"/>
      <c r="E506" s="246"/>
      <c r="F506" s="310"/>
      <c r="G506" s="246"/>
      <c r="H506" s="246"/>
      <c r="I506" s="310"/>
      <c r="J506" s="246"/>
      <c r="K506" s="246"/>
      <c r="L506" s="246"/>
      <c r="M506" s="310"/>
      <c r="N506" s="246"/>
      <c r="O506" s="246"/>
      <c r="P506" s="246"/>
      <c r="Q506" s="310"/>
      <c r="R506" s="310"/>
      <c r="S506" s="310"/>
      <c r="T506" s="334"/>
      <c r="U506" s="334"/>
      <c r="V506" s="246"/>
      <c r="W506" s="246"/>
      <c r="X506" s="246"/>
      <c r="Y506" s="246"/>
      <c r="Z506" s="310"/>
      <c r="AA506" s="246"/>
      <c r="AB506" s="246"/>
      <c r="AC506" s="246"/>
      <c r="AD506" s="246"/>
      <c r="AE506" s="246"/>
      <c r="AF506" s="397"/>
      <c r="AG506" s="246"/>
      <c r="AH506" s="246"/>
      <c r="AI506" s="246"/>
      <c r="AJ506" s="246"/>
      <c r="AK506" s="246"/>
      <c r="AL506" s="246"/>
      <c r="AM506" s="246"/>
      <c r="AN506" s="246"/>
      <c r="AO506" s="246"/>
      <c r="AP506" s="246"/>
      <c r="AQ506" s="246"/>
      <c r="AR506" s="246"/>
      <c r="AS506" s="246"/>
      <c r="AT506" s="246"/>
      <c r="AU506" s="246"/>
      <c r="AV506" s="246"/>
      <c r="AW506" s="246"/>
      <c r="AX506" s="246"/>
      <c r="AY506" s="246"/>
      <c r="AZ506" s="246"/>
      <c r="BA506" s="246"/>
      <c r="BB506" s="246"/>
      <c r="BC506" s="246"/>
      <c r="BD506" s="246"/>
      <c r="BE506" s="246"/>
      <c r="BF506" s="246"/>
      <c r="BG506" s="246"/>
      <c r="BH506" s="246"/>
      <c r="BI506" s="246"/>
      <c r="BJ506" s="246"/>
    </row>
    <row r="507" spans="1:62" ht="15.75">
      <c r="B507" s="7"/>
      <c r="C507" s="246"/>
      <c r="D507" s="246"/>
      <c r="E507" s="246"/>
      <c r="F507" s="310"/>
      <c r="G507" s="246"/>
      <c r="H507" s="246"/>
      <c r="I507" s="310"/>
      <c r="J507" s="246"/>
      <c r="K507" s="246"/>
      <c r="L507" s="246"/>
      <c r="M507" s="310"/>
      <c r="N507" s="246"/>
      <c r="O507" s="246"/>
      <c r="P507" s="246"/>
      <c r="Q507" s="310"/>
      <c r="R507" s="310"/>
      <c r="S507" s="310"/>
      <c r="T507" s="334"/>
      <c r="U507" s="334"/>
      <c r="V507" s="246"/>
      <c r="W507" s="246"/>
      <c r="X507" s="246"/>
      <c r="Y507" s="246"/>
      <c r="Z507" s="246"/>
      <c r="AA507" s="246"/>
      <c r="AB507" s="246"/>
      <c r="AC507" s="246"/>
      <c r="AD507" s="246"/>
      <c r="AE507" s="246"/>
      <c r="AF507" s="310">
        <f>AF498-AF505</f>
        <v>-32375.530000000137</v>
      </c>
      <c r="AG507" s="246"/>
      <c r="AH507" s="246"/>
      <c r="AI507" s="246"/>
      <c r="AJ507" s="246"/>
      <c r="AK507" s="246"/>
      <c r="AL507" s="246"/>
      <c r="AM507" s="246"/>
      <c r="AN507" s="246"/>
      <c r="AO507" s="246"/>
      <c r="AP507" s="246"/>
      <c r="AQ507" s="246"/>
      <c r="AR507" s="246"/>
      <c r="AS507" s="246"/>
      <c r="AT507" s="246"/>
      <c r="AU507" s="246"/>
      <c r="AV507" s="246"/>
      <c r="AW507" s="246"/>
      <c r="AX507" s="246"/>
      <c r="AY507" s="246"/>
      <c r="AZ507" s="246"/>
      <c r="BA507" s="246"/>
      <c r="BB507" s="246"/>
      <c r="BC507" s="246"/>
      <c r="BD507" s="246"/>
      <c r="BE507" s="246"/>
      <c r="BF507" s="246"/>
      <c r="BG507" s="246"/>
      <c r="BH507" s="246"/>
      <c r="BI507" s="246"/>
      <c r="BJ507" s="246"/>
    </row>
    <row r="508" spans="1:62" ht="15.75">
      <c r="B508" s="7"/>
      <c r="C508" s="246"/>
      <c r="D508" s="246"/>
      <c r="E508" s="246"/>
      <c r="F508" s="310"/>
      <c r="G508" s="246"/>
      <c r="H508" s="246"/>
      <c r="I508" s="310"/>
      <c r="J508" s="246"/>
      <c r="K508" s="246"/>
      <c r="L508" s="246"/>
      <c r="M508" s="310"/>
      <c r="N508" s="246"/>
      <c r="O508" s="246"/>
      <c r="P508" s="246"/>
      <c r="Q508" s="310"/>
      <c r="R508" s="310"/>
      <c r="S508" s="310"/>
      <c r="T508" s="334"/>
      <c r="U508" s="334"/>
      <c r="V508" s="246"/>
      <c r="W508" s="246"/>
      <c r="X508" s="246"/>
      <c r="Y508" s="246"/>
      <c r="Z508" s="246"/>
      <c r="AA508" s="246"/>
      <c r="AB508" s="246"/>
      <c r="AC508" s="246"/>
      <c r="AD508" s="246"/>
      <c r="AE508" s="246"/>
      <c r="AF508" s="246"/>
      <c r="AG508" s="246"/>
      <c r="AH508" s="246"/>
      <c r="AI508" s="246"/>
      <c r="AJ508" s="246"/>
      <c r="AK508" s="246"/>
      <c r="AL508" s="246"/>
      <c r="AM508" s="246"/>
      <c r="AN508" s="246"/>
      <c r="AO508" s="246"/>
      <c r="AP508" s="246"/>
      <c r="AQ508" s="246"/>
      <c r="AR508" s="246"/>
      <c r="AS508" s="246"/>
      <c r="AT508" s="246"/>
      <c r="AU508" s="246"/>
      <c r="AV508" s="246"/>
      <c r="AW508" s="246"/>
      <c r="AX508" s="246"/>
      <c r="AY508" s="246"/>
      <c r="AZ508" s="246"/>
      <c r="BA508" s="246"/>
      <c r="BB508" s="246"/>
      <c r="BC508" s="246"/>
      <c r="BD508" s="246"/>
      <c r="BE508" s="246"/>
      <c r="BF508" s="246"/>
      <c r="BG508" s="246"/>
      <c r="BH508" s="246"/>
      <c r="BI508" s="246"/>
      <c r="BJ508" s="246"/>
    </row>
    <row r="509" spans="1:62" ht="15.75">
      <c r="B509" s="7"/>
      <c r="C509" s="246"/>
      <c r="D509" s="246"/>
      <c r="E509" s="246"/>
      <c r="F509" s="310"/>
      <c r="G509" s="246"/>
      <c r="H509" s="246"/>
      <c r="I509" s="310"/>
      <c r="J509" s="246"/>
      <c r="K509" s="246"/>
      <c r="L509" s="246"/>
      <c r="M509" s="310"/>
      <c r="N509" s="246"/>
      <c r="O509" s="246"/>
      <c r="P509" s="246"/>
      <c r="Q509" s="310"/>
      <c r="R509" s="310"/>
      <c r="S509" s="310"/>
      <c r="T509" s="334"/>
      <c r="U509" s="334"/>
      <c r="V509" s="246"/>
      <c r="W509" s="246"/>
      <c r="X509" s="246"/>
      <c r="Y509" s="246"/>
      <c r="Z509" s="246"/>
      <c r="AA509" s="246"/>
      <c r="AB509" s="246"/>
      <c r="AC509" s="246"/>
      <c r="AD509" s="246"/>
      <c r="AE509" s="246"/>
      <c r="AF509" s="246"/>
      <c r="AG509" s="246"/>
      <c r="AH509" s="246"/>
      <c r="AI509" s="246"/>
      <c r="AJ509" s="246"/>
      <c r="AK509" s="246"/>
      <c r="AL509" s="246"/>
      <c r="AM509" s="246"/>
      <c r="AN509" s="246"/>
      <c r="AO509" s="246"/>
      <c r="AP509" s="246"/>
      <c r="AQ509" s="246"/>
      <c r="AR509" s="246"/>
      <c r="AS509" s="246"/>
      <c r="AT509" s="246"/>
      <c r="AU509" s="246"/>
      <c r="AV509" s="246"/>
      <c r="AW509" s="246"/>
      <c r="AX509" s="246"/>
      <c r="AY509" s="246"/>
      <c r="AZ509" s="246"/>
      <c r="BA509" s="246"/>
      <c r="BB509" s="246"/>
      <c r="BC509" s="246"/>
      <c r="BD509" s="246"/>
      <c r="BE509" s="246"/>
      <c r="BF509" s="246"/>
      <c r="BG509" s="246"/>
      <c r="BH509" s="246"/>
      <c r="BI509" s="246"/>
      <c r="BJ509" s="246"/>
    </row>
    <row r="510" spans="1:62" ht="15.75">
      <c r="B510" s="7"/>
      <c r="C510" s="246"/>
      <c r="D510" s="246"/>
      <c r="E510" s="246"/>
      <c r="F510" s="310"/>
      <c r="G510" s="246"/>
      <c r="H510" s="246"/>
      <c r="I510" s="310"/>
      <c r="J510" s="246"/>
      <c r="K510" s="246"/>
      <c r="L510" s="246"/>
      <c r="M510" s="310"/>
      <c r="N510" s="246"/>
      <c r="O510" s="246"/>
      <c r="P510" s="246"/>
      <c r="Q510" s="310"/>
      <c r="R510" s="310"/>
      <c r="S510" s="310"/>
      <c r="T510" s="334"/>
      <c r="U510" s="334"/>
      <c r="V510" s="246"/>
      <c r="W510" s="246"/>
      <c r="X510" s="246"/>
      <c r="Y510" s="246"/>
      <c r="Z510" s="246"/>
      <c r="AA510" s="246"/>
      <c r="AB510" s="246"/>
      <c r="AC510" s="246"/>
      <c r="AD510" s="246"/>
      <c r="AE510" s="246"/>
      <c r="AF510" s="246"/>
      <c r="AG510" s="246"/>
      <c r="AH510" s="246"/>
      <c r="AI510" s="246"/>
      <c r="AJ510" s="246"/>
      <c r="AK510" s="246"/>
      <c r="AL510" s="246"/>
      <c r="AM510" s="246"/>
      <c r="AN510" s="246"/>
      <c r="AO510" s="246"/>
      <c r="AP510" s="246"/>
      <c r="AQ510" s="246"/>
      <c r="AR510" s="246"/>
      <c r="AS510" s="246"/>
      <c r="AT510" s="246"/>
      <c r="AU510" s="246"/>
      <c r="AV510" s="246"/>
      <c r="AW510" s="246"/>
      <c r="AX510" s="246"/>
      <c r="AY510" s="246"/>
      <c r="AZ510" s="246"/>
      <c r="BA510" s="246"/>
      <c r="BB510" s="246"/>
      <c r="BC510" s="246"/>
      <c r="BD510" s="246"/>
      <c r="BE510" s="246"/>
      <c r="BF510" s="246"/>
      <c r="BG510" s="246"/>
      <c r="BH510" s="246"/>
      <c r="BI510" s="246"/>
      <c r="BJ510" s="246"/>
    </row>
    <row r="511" spans="1:62" ht="15.75">
      <c r="B511" s="7"/>
      <c r="C511" s="246"/>
      <c r="D511" s="246"/>
      <c r="E511" s="246"/>
      <c r="F511" s="310"/>
      <c r="G511" s="246"/>
      <c r="H511" s="246"/>
      <c r="I511" s="310"/>
      <c r="J511" s="246"/>
      <c r="K511" s="246"/>
      <c r="L511" s="246"/>
      <c r="M511" s="310"/>
      <c r="N511" s="246"/>
      <c r="O511" s="246"/>
      <c r="P511" s="246"/>
      <c r="Q511" s="310"/>
      <c r="R511" s="310"/>
      <c r="S511" s="310"/>
      <c r="T511" s="334"/>
      <c r="U511" s="334"/>
      <c r="V511" s="246"/>
      <c r="W511" s="246"/>
      <c r="X511" s="246"/>
      <c r="Y511" s="246"/>
      <c r="Z511" s="246"/>
      <c r="AA511" s="246"/>
      <c r="AB511" s="246"/>
      <c r="AC511" s="246"/>
      <c r="AD511" s="246"/>
      <c r="AE511" s="246"/>
      <c r="AF511" s="246"/>
      <c r="AG511" s="246"/>
      <c r="AH511" s="246"/>
      <c r="AI511" s="246"/>
      <c r="AJ511" s="246"/>
      <c r="AK511" s="246"/>
      <c r="AL511" s="246"/>
      <c r="AM511" s="246"/>
      <c r="AN511" s="246"/>
      <c r="AO511" s="246"/>
      <c r="AP511" s="246"/>
      <c r="AQ511" s="246"/>
      <c r="AR511" s="246"/>
      <c r="AS511" s="246"/>
      <c r="AT511" s="246"/>
      <c r="AU511" s="246"/>
      <c r="AV511" s="246"/>
      <c r="AW511" s="246"/>
      <c r="AX511" s="246"/>
      <c r="AY511" s="246"/>
      <c r="AZ511" s="246"/>
      <c r="BA511" s="246"/>
      <c r="BB511" s="246"/>
      <c r="BC511" s="246"/>
      <c r="BD511" s="246"/>
      <c r="BE511" s="246"/>
      <c r="BF511" s="246"/>
      <c r="BG511" s="246"/>
      <c r="BH511" s="246"/>
      <c r="BI511" s="246"/>
      <c r="BJ511" s="246"/>
    </row>
    <row r="512" spans="1:62" ht="15.75">
      <c r="B512" s="7"/>
      <c r="C512" s="246"/>
      <c r="D512" s="246"/>
      <c r="E512" s="246"/>
      <c r="F512" s="310"/>
      <c r="G512" s="246"/>
      <c r="H512" s="246"/>
      <c r="I512" s="310"/>
      <c r="J512" s="246"/>
      <c r="K512" s="246"/>
      <c r="L512" s="246"/>
      <c r="M512" s="310"/>
      <c r="N512" s="246"/>
      <c r="O512" s="246"/>
      <c r="P512" s="246"/>
      <c r="Q512" s="310"/>
      <c r="R512" s="310"/>
      <c r="S512" s="310"/>
      <c r="T512" s="334"/>
      <c r="U512" s="334"/>
      <c r="V512" s="246"/>
      <c r="W512" s="334"/>
      <c r="X512" s="334"/>
      <c r="Y512" s="246"/>
      <c r="Z512" s="246"/>
      <c r="AA512" s="246"/>
      <c r="AB512" s="246"/>
      <c r="AC512" s="246"/>
      <c r="AD512" s="246"/>
      <c r="AE512" s="246"/>
      <c r="AF512" s="310"/>
      <c r="AG512" s="246"/>
      <c r="AH512" s="246"/>
      <c r="AI512" s="246"/>
      <c r="AJ512" s="246"/>
      <c r="AK512" s="246"/>
      <c r="AL512" s="246"/>
      <c r="AM512" s="246"/>
      <c r="AN512" s="246"/>
      <c r="AO512" s="246"/>
      <c r="AP512" s="246"/>
      <c r="AQ512" s="246"/>
      <c r="AR512" s="246"/>
      <c r="AS512" s="246"/>
      <c r="AT512" s="246"/>
      <c r="AU512" s="246"/>
      <c r="AV512" s="246"/>
      <c r="AW512" s="246"/>
      <c r="AX512" s="246"/>
      <c r="AY512" s="246"/>
      <c r="AZ512" s="246"/>
      <c r="BA512" s="246"/>
      <c r="BB512" s="246"/>
      <c r="BC512" s="246"/>
      <c r="BD512" s="246"/>
      <c r="BE512" s="246"/>
      <c r="BF512" s="246"/>
      <c r="BG512" s="246"/>
      <c r="BH512" s="246"/>
      <c r="BI512" s="246"/>
      <c r="BJ512" s="246"/>
    </row>
    <row r="513" spans="2:62" ht="15.75">
      <c r="B513" s="7"/>
      <c r="C513" s="246"/>
      <c r="D513" s="246"/>
      <c r="E513" s="246"/>
      <c r="F513" s="310"/>
      <c r="G513" s="246"/>
      <c r="H513" s="246"/>
      <c r="I513" s="310"/>
      <c r="J513" s="246"/>
      <c r="K513" s="246"/>
      <c r="L513" s="246"/>
      <c r="M513" s="310"/>
      <c r="N513" s="246"/>
      <c r="O513" s="246"/>
      <c r="P513" s="246"/>
      <c r="Q513" s="310"/>
      <c r="R513" s="310"/>
      <c r="S513" s="310"/>
      <c r="T513" s="334"/>
      <c r="U513" s="334"/>
      <c r="V513" s="246"/>
      <c r="W513" s="334"/>
      <c r="X513" s="334"/>
      <c r="Y513" s="246"/>
      <c r="Z513" s="246"/>
      <c r="AA513" s="246"/>
      <c r="AB513" s="246"/>
      <c r="AC513" s="246"/>
      <c r="AD513" s="246"/>
      <c r="AE513" s="246"/>
      <c r="AF513" s="246"/>
      <c r="AG513" s="246"/>
      <c r="AH513" s="246"/>
      <c r="AI513" s="246"/>
      <c r="AJ513" s="246"/>
      <c r="AK513" s="246"/>
      <c r="AL513" s="246"/>
      <c r="AM513" s="246"/>
      <c r="AN513" s="246"/>
      <c r="AO513" s="246"/>
      <c r="AP513" s="246"/>
      <c r="AQ513" s="246"/>
      <c r="AR513" s="246"/>
      <c r="AS513" s="246"/>
      <c r="AT513" s="246"/>
      <c r="AU513" s="246"/>
      <c r="AV513" s="246"/>
      <c r="AW513" s="246"/>
      <c r="AX513" s="246"/>
      <c r="AY513" s="246"/>
      <c r="AZ513" s="246"/>
      <c r="BA513" s="246"/>
      <c r="BB513" s="246"/>
      <c r="BC513" s="246"/>
      <c r="BD513" s="246"/>
      <c r="BE513" s="246"/>
      <c r="BF513" s="246"/>
      <c r="BG513" s="246"/>
      <c r="BH513" s="246"/>
      <c r="BI513" s="246"/>
      <c r="BJ513" s="246"/>
    </row>
    <row r="514" spans="2:62" ht="15.75">
      <c r="B514" s="7"/>
      <c r="C514" s="246"/>
      <c r="D514" s="246"/>
      <c r="E514" s="246"/>
      <c r="F514" s="310"/>
      <c r="G514" s="246"/>
      <c r="H514" s="246"/>
      <c r="I514" s="310"/>
      <c r="J514" s="246"/>
      <c r="K514" s="246"/>
      <c r="L514" s="246"/>
      <c r="M514" s="310"/>
      <c r="N514" s="246"/>
      <c r="O514" s="246"/>
      <c r="P514" s="246"/>
      <c r="Q514" s="310"/>
      <c r="R514" s="310"/>
      <c r="S514" s="310"/>
      <c r="T514" s="334"/>
      <c r="U514" s="334"/>
      <c r="V514" s="246"/>
      <c r="W514" s="334"/>
      <c r="X514" s="334"/>
      <c r="Y514" s="246"/>
      <c r="Z514" s="246"/>
      <c r="AA514" s="246"/>
      <c r="AB514" s="246"/>
      <c r="AC514" s="246"/>
      <c r="AD514" s="246"/>
      <c r="AE514" s="246"/>
      <c r="AF514" s="246"/>
      <c r="AG514" s="246"/>
      <c r="AH514" s="246"/>
      <c r="AI514" s="246"/>
      <c r="AJ514" s="246"/>
      <c r="AK514" s="246"/>
      <c r="AL514" s="246"/>
      <c r="AM514" s="246"/>
      <c r="AN514" s="246"/>
      <c r="AO514" s="246"/>
      <c r="AP514" s="246"/>
      <c r="AQ514" s="246"/>
      <c r="AR514" s="246"/>
      <c r="AS514" s="246"/>
      <c r="AT514" s="246"/>
      <c r="AU514" s="246"/>
      <c r="AV514" s="246"/>
      <c r="AW514" s="246"/>
      <c r="AX514" s="246"/>
      <c r="AY514" s="246"/>
      <c r="AZ514" s="246"/>
      <c r="BA514" s="246"/>
      <c r="BB514" s="246"/>
      <c r="BC514" s="246"/>
      <c r="BD514" s="246"/>
      <c r="BE514" s="246"/>
      <c r="BF514" s="246"/>
      <c r="BG514" s="246"/>
      <c r="BH514" s="246"/>
      <c r="BI514" s="246"/>
      <c r="BJ514" s="246"/>
    </row>
    <row r="515" spans="2:62" ht="15.75">
      <c r="B515" s="7"/>
      <c r="C515" s="246"/>
      <c r="D515" s="246"/>
      <c r="E515" s="246"/>
      <c r="F515" s="310"/>
      <c r="G515" s="246"/>
      <c r="H515" s="246"/>
      <c r="I515" s="310"/>
      <c r="J515" s="246"/>
      <c r="K515" s="246"/>
      <c r="L515" s="246"/>
      <c r="M515" s="310"/>
      <c r="N515" s="246"/>
      <c r="O515" s="246"/>
      <c r="P515" s="246"/>
      <c r="Q515" s="310"/>
      <c r="R515" s="310"/>
      <c r="S515" s="310"/>
      <c r="T515" s="334"/>
      <c r="U515" s="334"/>
      <c r="V515" s="246"/>
      <c r="W515" s="334"/>
      <c r="X515" s="334"/>
      <c r="Y515" s="246"/>
      <c r="Z515" s="246"/>
      <c r="AA515" s="246"/>
      <c r="AB515" s="246"/>
      <c r="AC515" s="246"/>
      <c r="AD515" s="246"/>
      <c r="AE515" s="246"/>
      <c r="AF515" s="246"/>
      <c r="AG515" s="246"/>
      <c r="AH515" s="246"/>
      <c r="AI515" s="246"/>
      <c r="AJ515" s="246"/>
      <c r="AK515" s="246"/>
      <c r="AL515" s="246"/>
      <c r="AM515" s="246"/>
      <c r="AN515" s="246"/>
      <c r="AO515" s="246"/>
      <c r="AP515" s="246"/>
      <c r="AQ515" s="246"/>
      <c r="AR515" s="246"/>
      <c r="AS515" s="246"/>
      <c r="AT515" s="246"/>
      <c r="AU515" s="246"/>
      <c r="AV515" s="246"/>
      <c r="AW515" s="246"/>
      <c r="AX515" s="246"/>
      <c r="AY515" s="246"/>
      <c r="AZ515" s="246"/>
      <c r="BA515" s="246"/>
      <c r="BB515" s="246"/>
      <c r="BC515" s="246"/>
      <c r="BD515" s="246"/>
      <c r="BE515" s="246"/>
      <c r="BF515" s="246"/>
      <c r="BG515" s="246"/>
      <c r="BH515" s="246"/>
      <c r="BI515" s="246"/>
      <c r="BJ515" s="246"/>
    </row>
    <row r="516" spans="2:62" ht="15.75">
      <c r="B516" s="7"/>
      <c r="C516" s="246"/>
      <c r="D516" s="246"/>
      <c r="E516" s="246"/>
      <c r="F516" s="310"/>
      <c r="G516" s="246"/>
      <c r="H516" s="246"/>
      <c r="I516" s="310"/>
      <c r="J516" s="246"/>
      <c r="K516" s="246"/>
      <c r="L516" s="246"/>
      <c r="M516" s="310"/>
      <c r="N516" s="246"/>
      <c r="O516" s="246"/>
      <c r="P516" s="246"/>
      <c r="Q516" s="310"/>
      <c r="R516" s="310"/>
      <c r="S516" s="310"/>
      <c r="T516" s="334"/>
      <c r="U516" s="334"/>
      <c r="V516" s="246"/>
      <c r="W516" s="334"/>
      <c r="X516" s="334"/>
      <c r="Y516" s="246"/>
      <c r="Z516" s="246"/>
      <c r="AA516" s="246"/>
      <c r="AB516" s="246"/>
      <c r="AC516" s="246"/>
      <c r="AD516" s="246"/>
      <c r="AE516" s="246"/>
      <c r="AF516" s="310"/>
      <c r="AG516" s="310"/>
      <c r="AH516" s="310"/>
      <c r="AI516" s="246"/>
      <c r="AJ516" s="246"/>
      <c r="AK516" s="246"/>
      <c r="AL516" s="246"/>
      <c r="AM516" s="246"/>
      <c r="AN516" s="246"/>
      <c r="AO516" s="246"/>
      <c r="AP516" s="246"/>
      <c r="AQ516" s="246"/>
      <c r="AR516" s="246"/>
      <c r="AS516" s="246"/>
      <c r="AT516" s="246"/>
      <c r="AU516" s="246"/>
      <c r="AV516" s="246"/>
      <c r="AW516" s="246"/>
      <c r="AX516" s="246"/>
      <c r="AY516" s="246"/>
      <c r="AZ516" s="246"/>
      <c r="BA516" s="246"/>
      <c r="BB516" s="246"/>
      <c r="BC516" s="246"/>
      <c r="BD516" s="246"/>
      <c r="BE516" s="246"/>
      <c r="BF516" s="246"/>
      <c r="BG516" s="246"/>
      <c r="BH516" s="246"/>
      <c r="BI516" s="246"/>
      <c r="BJ516" s="246"/>
    </row>
    <row r="517" spans="2:62" ht="15.75">
      <c r="B517" s="7"/>
      <c r="C517" s="246"/>
      <c r="D517" s="246"/>
      <c r="E517" s="246"/>
      <c r="F517" s="310"/>
      <c r="G517" s="246"/>
      <c r="H517" s="246"/>
      <c r="I517" s="310"/>
      <c r="J517" s="246"/>
      <c r="K517" s="246"/>
      <c r="L517" s="246"/>
      <c r="M517" s="310"/>
      <c r="N517" s="246"/>
      <c r="O517" s="246"/>
      <c r="P517" s="246"/>
      <c r="Q517" s="310"/>
      <c r="R517" s="310"/>
      <c r="S517" s="310"/>
      <c r="T517" s="334"/>
      <c r="U517" s="334"/>
      <c r="V517" s="334"/>
      <c r="W517" s="334"/>
      <c r="X517" s="334"/>
      <c r="Y517" s="246"/>
      <c r="Z517" s="246"/>
      <c r="AA517" s="246"/>
      <c r="AB517" s="246"/>
      <c r="AC517" s="246"/>
      <c r="AD517" s="246"/>
      <c r="AE517" s="246"/>
      <c r="AF517" s="246"/>
      <c r="AG517" s="246"/>
      <c r="AH517" s="246"/>
      <c r="AI517" s="246"/>
      <c r="AJ517" s="246"/>
      <c r="AK517" s="246"/>
      <c r="AL517" s="246"/>
      <c r="AM517" s="246"/>
      <c r="AN517" s="246"/>
      <c r="AO517" s="246"/>
      <c r="AP517" s="246"/>
      <c r="AQ517" s="246"/>
      <c r="AR517" s="246"/>
      <c r="AS517" s="246"/>
      <c r="AT517" s="246"/>
      <c r="AU517" s="246"/>
      <c r="AV517" s="246"/>
      <c r="AW517" s="246"/>
      <c r="AX517" s="246"/>
      <c r="AY517" s="246"/>
      <c r="AZ517" s="246"/>
      <c r="BA517" s="246"/>
      <c r="BB517" s="246"/>
      <c r="BC517" s="246"/>
      <c r="BD517" s="246"/>
      <c r="BE517" s="246"/>
      <c r="BF517" s="246"/>
      <c r="BG517" s="246"/>
      <c r="BH517" s="246"/>
      <c r="BI517" s="246"/>
      <c r="BJ517" s="246"/>
    </row>
    <row r="518" spans="2:62" ht="15.75">
      <c r="B518" s="7"/>
      <c r="C518" s="398"/>
      <c r="D518" s="334"/>
      <c r="E518" s="334"/>
      <c r="F518" s="399"/>
      <c r="G518" s="334"/>
      <c r="H518" s="334"/>
      <c r="I518" s="399"/>
      <c r="J518" s="334"/>
      <c r="K518" s="334"/>
      <c r="L518" s="334"/>
      <c r="M518" s="399"/>
      <c r="N518" s="334"/>
      <c r="O518" s="334"/>
      <c r="P518" s="334"/>
      <c r="Q518" s="399"/>
      <c r="R518" s="399"/>
      <c r="S518" s="399"/>
      <c r="T518" s="334"/>
      <c r="U518" s="334"/>
      <c r="V518" s="334"/>
      <c r="W518" s="334"/>
      <c r="X518" s="334"/>
      <c r="Y518" s="246"/>
      <c r="Z518" s="246"/>
      <c r="AA518" s="246"/>
      <c r="AB518" s="246"/>
      <c r="AC518" s="246"/>
      <c r="AD518" s="246"/>
      <c r="AE518" s="246"/>
      <c r="AF518" s="310"/>
      <c r="AG518" s="246"/>
      <c r="AH518" s="246"/>
      <c r="AI518" s="246"/>
      <c r="AJ518" s="246"/>
      <c r="AK518" s="246"/>
      <c r="AL518" s="246"/>
      <c r="AM518" s="246"/>
      <c r="AN518" s="246"/>
      <c r="AO518" s="246"/>
      <c r="AP518" s="246"/>
      <c r="AQ518" s="246"/>
      <c r="AR518" s="246"/>
      <c r="AS518" s="246"/>
      <c r="AT518" s="246"/>
      <c r="AU518" s="246"/>
      <c r="AV518" s="246"/>
      <c r="AW518" s="246"/>
      <c r="AX518" s="246"/>
      <c r="AY518" s="246"/>
      <c r="AZ518" s="246"/>
      <c r="BA518" s="246"/>
      <c r="BB518" s="246"/>
      <c r="BC518" s="246"/>
      <c r="BD518" s="246"/>
      <c r="BE518" s="246"/>
      <c r="BF518" s="246"/>
      <c r="BG518" s="246"/>
      <c r="BH518" s="246"/>
      <c r="BI518" s="246"/>
      <c r="BJ518" s="246"/>
    </row>
    <row r="519" spans="2:62" ht="15.75">
      <c r="B519" s="7"/>
      <c r="C519" s="400"/>
      <c r="D519" s="334"/>
      <c r="E519" s="334"/>
      <c r="F519" s="399"/>
      <c r="G519" s="334"/>
      <c r="H519" s="334"/>
      <c r="I519" s="399"/>
      <c r="J519" s="334"/>
      <c r="K519" s="334"/>
      <c r="L519" s="334"/>
      <c r="M519" s="399"/>
      <c r="N519" s="334"/>
      <c r="O519" s="334"/>
      <c r="P519" s="334"/>
      <c r="Q519" s="399"/>
      <c r="R519" s="399"/>
      <c r="S519" s="399"/>
      <c r="T519" s="334"/>
      <c r="U519" s="334"/>
      <c r="V519" s="334"/>
      <c r="W519" s="334"/>
      <c r="X519" s="334"/>
      <c r="Y519" s="246"/>
      <c r="Z519" s="246"/>
      <c r="AA519" s="246"/>
      <c r="AB519" s="246"/>
      <c r="AC519" s="246"/>
      <c r="AD519" s="246"/>
      <c r="AE519" s="246"/>
      <c r="AF519" s="310"/>
      <c r="AG519" s="246"/>
      <c r="AH519" s="246"/>
      <c r="AI519" s="246"/>
      <c r="AJ519" s="246"/>
      <c r="AK519" s="246"/>
      <c r="AL519" s="246"/>
      <c r="AM519" s="246"/>
      <c r="AN519" s="246"/>
      <c r="AO519" s="246"/>
      <c r="AP519" s="246"/>
      <c r="AQ519" s="246"/>
      <c r="AR519" s="246"/>
      <c r="AS519" s="246"/>
      <c r="AT519" s="246"/>
      <c r="AU519" s="246"/>
      <c r="AV519" s="246"/>
      <c r="AW519" s="246"/>
      <c r="AX519" s="246"/>
      <c r="AY519" s="246"/>
      <c r="AZ519" s="246"/>
      <c r="BA519" s="246"/>
      <c r="BB519" s="246"/>
      <c r="BC519" s="246"/>
      <c r="BD519" s="246"/>
      <c r="BE519" s="246"/>
      <c r="BF519" s="246"/>
      <c r="BG519" s="246"/>
      <c r="BH519" s="246"/>
      <c r="BI519" s="246"/>
      <c r="BJ519" s="246"/>
    </row>
    <row r="520" spans="2:62" ht="15.75">
      <c r="B520" s="7"/>
      <c r="C520" s="334"/>
      <c r="D520" s="334"/>
      <c r="E520" s="334"/>
      <c r="F520" s="399"/>
      <c r="G520" s="334"/>
      <c r="H520" s="334"/>
      <c r="I520" s="399"/>
      <c r="J520" s="334"/>
      <c r="K520" s="334"/>
      <c r="L520" s="334"/>
      <c r="M520" s="399"/>
      <c r="N520" s="334"/>
      <c r="O520" s="334"/>
      <c r="P520" s="334"/>
      <c r="Q520" s="399"/>
      <c r="R520" s="399"/>
      <c r="S520" s="399"/>
      <c r="T520" s="334"/>
      <c r="U520" s="334"/>
      <c r="V520" s="334"/>
      <c r="W520" s="334"/>
      <c r="X520" s="334"/>
      <c r="Y520" s="246"/>
      <c r="Z520" s="246"/>
      <c r="AA520" s="246"/>
      <c r="AB520" s="246"/>
      <c r="AC520" s="246"/>
      <c r="AD520" s="246"/>
      <c r="AE520" s="246"/>
      <c r="AF520" s="246"/>
      <c r="AG520" s="246"/>
      <c r="AH520" s="246"/>
      <c r="AI520" s="246"/>
      <c r="AJ520" s="246"/>
      <c r="AK520" s="246"/>
      <c r="AL520" s="246"/>
      <c r="AM520" s="246"/>
      <c r="AN520" s="246"/>
      <c r="AO520" s="246"/>
      <c r="AP520" s="246"/>
      <c r="AQ520" s="246"/>
      <c r="AR520" s="246"/>
      <c r="AS520" s="246"/>
      <c r="AT520" s="246"/>
      <c r="AU520" s="246"/>
      <c r="AV520" s="246"/>
      <c r="AW520" s="246"/>
      <c r="AX520" s="246"/>
      <c r="AY520" s="246"/>
      <c r="AZ520" s="246"/>
      <c r="BA520" s="246"/>
      <c r="BB520" s="246"/>
      <c r="BC520" s="246"/>
      <c r="BD520" s="246"/>
      <c r="BE520" s="246"/>
      <c r="BF520" s="246"/>
      <c r="BG520" s="246"/>
      <c r="BH520" s="246"/>
      <c r="BI520" s="246"/>
      <c r="BJ520" s="246"/>
    </row>
    <row r="521" spans="2:62" ht="15.75">
      <c r="B521" s="7"/>
      <c r="C521" s="334"/>
      <c r="D521" s="334"/>
      <c r="E521" s="334"/>
      <c r="F521" s="334"/>
      <c r="G521" s="334"/>
      <c r="H521" s="334"/>
      <c r="I521" s="334"/>
      <c r="J521" s="398"/>
      <c r="K521" s="398"/>
      <c r="L521" s="398"/>
      <c r="M521" s="399"/>
      <c r="N521" s="334"/>
      <c r="O521" s="334"/>
      <c r="P521" s="334"/>
      <c r="Q521" s="334"/>
      <c r="R521" s="334"/>
      <c r="S521" s="399"/>
      <c r="T521" s="334"/>
      <c r="U521" s="334"/>
      <c r="V521" s="334"/>
      <c r="W521" s="334"/>
      <c r="X521" s="334"/>
      <c r="Y521" s="246"/>
      <c r="Z521" s="246"/>
      <c r="AA521" s="246"/>
      <c r="AB521" s="246"/>
      <c r="AC521" s="246"/>
      <c r="AD521" s="246"/>
      <c r="AE521" s="246"/>
      <c r="AF521" s="310"/>
      <c r="AG521" s="246"/>
      <c r="AH521" s="246"/>
      <c r="AI521" s="246"/>
      <c r="AJ521" s="246"/>
      <c r="AK521" s="246"/>
      <c r="AL521" s="246"/>
      <c r="AM521" s="246"/>
      <c r="AN521" s="246"/>
      <c r="AO521" s="246"/>
      <c r="AP521" s="246"/>
      <c r="AQ521" s="246"/>
      <c r="AR521" s="246"/>
      <c r="AS521" s="246"/>
      <c r="AT521" s="246"/>
      <c r="AU521" s="246"/>
      <c r="AV521" s="246"/>
      <c r="AW521" s="246"/>
      <c r="AX521" s="246"/>
      <c r="AY521" s="246"/>
      <c r="AZ521" s="246"/>
      <c r="BA521" s="246"/>
      <c r="BB521" s="246"/>
      <c r="BC521" s="246"/>
      <c r="BD521" s="246"/>
      <c r="BE521" s="246"/>
      <c r="BF521" s="246"/>
      <c r="BG521" s="246"/>
      <c r="BH521" s="246"/>
      <c r="BI521" s="246"/>
      <c r="BJ521" s="246"/>
    </row>
    <row r="522" spans="2:62" ht="15.75">
      <c r="B522" s="7"/>
      <c r="C522" s="334"/>
      <c r="D522" s="334"/>
      <c r="E522" s="334"/>
      <c r="F522" s="334"/>
      <c r="G522" s="334"/>
      <c r="H522" s="334"/>
      <c r="I522" s="334"/>
      <c r="J522" s="334"/>
      <c r="K522" s="334"/>
      <c r="L522" s="334"/>
      <c r="M522" s="399"/>
      <c r="N522" s="334"/>
      <c r="O522" s="334"/>
      <c r="P522" s="334"/>
      <c r="Q522" s="334"/>
      <c r="R522" s="334"/>
      <c r="S522" s="399"/>
      <c r="T522" s="334"/>
      <c r="U522" s="334"/>
      <c r="V522" s="334"/>
      <c r="W522" s="334"/>
      <c r="X522" s="334"/>
      <c r="Y522" s="246"/>
      <c r="Z522" s="246"/>
      <c r="AA522" s="246"/>
      <c r="AB522" s="246"/>
      <c r="AC522" s="246"/>
      <c r="AD522" s="246"/>
      <c r="AE522" s="246"/>
      <c r="AF522" s="246"/>
      <c r="AG522" s="246"/>
      <c r="AH522" s="246"/>
      <c r="AI522" s="246"/>
      <c r="AJ522" s="246"/>
      <c r="AK522" s="246"/>
      <c r="AL522" s="246"/>
      <c r="AM522" s="246"/>
      <c r="AN522" s="246"/>
      <c r="AO522" s="246"/>
      <c r="AP522" s="246"/>
      <c r="AQ522" s="246"/>
      <c r="AR522" s="246"/>
      <c r="AS522" s="246"/>
      <c r="AT522" s="246"/>
      <c r="AU522" s="246"/>
      <c r="AV522" s="246"/>
      <c r="AW522" s="246"/>
      <c r="AX522" s="246"/>
      <c r="AY522" s="246"/>
      <c r="AZ522" s="246"/>
      <c r="BA522" s="246"/>
      <c r="BB522" s="246"/>
      <c r="BC522" s="246"/>
      <c r="BD522" s="246"/>
      <c r="BE522" s="246"/>
      <c r="BF522" s="246"/>
      <c r="BG522" s="246"/>
      <c r="BH522" s="246"/>
      <c r="BI522" s="246"/>
      <c r="BJ522" s="246"/>
    </row>
    <row r="523" spans="2:62" ht="15.75">
      <c r="B523" s="7"/>
      <c r="C523" s="334"/>
      <c r="D523" s="334"/>
      <c r="E523" s="334"/>
      <c r="F523" s="334"/>
      <c r="G523" s="334"/>
      <c r="H523" s="334"/>
      <c r="I523" s="334"/>
      <c r="J523" s="334"/>
      <c r="K523" s="334"/>
      <c r="L523" s="334"/>
      <c r="M523" s="399"/>
      <c r="N523" s="334"/>
      <c r="O523" s="334"/>
      <c r="P523" s="334"/>
      <c r="Q523" s="334"/>
      <c r="R523" s="334"/>
      <c r="S523" s="399"/>
      <c r="T523" s="334"/>
      <c r="U523" s="334"/>
      <c r="V523" s="334"/>
      <c r="W523" s="334"/>
      <c r="X523" s="334"/>
      <c r="Y523" s="246"/>
      <c r="Z523" s="246"/>
      <c r="AA523" s="246"/>
      <c r="AB523" s="246"/>
      <c r="AC523" s="246"/>
      <c r="AD523" s="246"/>
      <c r="AE523" s="246"/>
      <c r="AF523" s="246"/>
      <c r="AG523" s="246"/>
      <c r="AH523" s="246"/>
      <c r="AI523" s="246"/>
      <c r="AJ523" s="246"/>
      <c r="AK523" s="246"/>
      <c r="AL523" s="246"/>
      <c r="AM523" s="246"/>
      <c r="AN523" s="246"/>
      <c r="AO523" s="246"/>
      <c r="AP523" s="246"/>
      <c r="AQ523" s="246"/>
      <c r="AR523" s="246"/>
      <c r="AS523" s="246"/>
      <c r="AT523" s="246"/>
      <c r="AU523" s="246"/>
      <c r="AV523" s="246"/>
      <c r="AW523" s="246"/>
      <c r="AX523" s="246"/>
      <c r="AY523" s="246"/>
      <c r="AZ523" s="246"/>
      <c r="BA523" s="246"/>
      <c r="BB523" s="246"/>
      <c r="BC523" s="246"/>
      <c r="BD523" s="246"/>
      <c r="BE523" s="246"/>
      <c r="BF523" s="246"/>
      <c r="BG523" s="246"/>
      <c r="BH523" s="246"/>
      <c r="BI523" s="246"/>
      <c r="BJ523" s="246"/>
    </row>
    <row r="524" spans="2:62" ht="15.75">
      <c r="B524" s="7"/>
      <c r="C524" s="334"/>
      <c r="D524" s="334"/>
      <c r="E524" s="334"/>
      <c r="F524" s="334"/>
      <c r="G524" s="334"/>
      <c r="H524" s="334"/>
      <c r="I524" s="334"/>
      <c r="J524" s="334"/>
      <c r="K524" s="334"/>
      <c r="L524" s="334"/>
      <c r="M524" s="399"/>
      <c r="N524" s="334"/>
      <c r="O524" s="334"/>
      <c r="P524" s="334"/>
      <c r="Q524" s="334"/>
      <c r="R524" s="334"/>
      <c r="S524" s="399"/>
      <c r="T524" s="334"/>
      <c r="U524" s="334"/>
      <c r="V524" s="334"/>
      <c r="W524" s="334"/>
      <c r="X524" s="334"/>
      <c r="Y524" s="246"/>
      <c r="Z524" s="246"/>
      <c r="AA524" s="246"/>
      <c r="AB524" s="246"/>
      <c r="AC524" s="246"/>
      <c r="AD524" s="246"/>
      <c r="AE524" s="246"/>
      <c r="AF524" s="246"/>
      <c r="AG524" s="246"/>
      <c r="AH524" s="246"/>
      <c r="AI524" s="246"/>
      <c r="AJ524" s="246"/>
      <c r="AK524" s="246"/>
      <c r="AL524" s="246"/>
      <c r="AM524" s="246"/>
      <c r="AN524" s="246"/>
      <c r="AO524" s="246"/>
      <c r="AP524" s="246"/>
      <c r="AQ524" s="246"/>
      <c r="AR524" s="246"/>
      <c r="AS524" s="246"/>
      <c r="AT524" s="246"/>
      <c r="AU524" s="246"/>
      <c r="AV524" s="246"/>
      <c r="AW524" s="246"/>
      <c r="AX524" s="246"/>
      <c r="AY524" s="246"/>
      <c r="AZ524" s="246"/>
      <c r="BA524" s="246"/>
      <c r="BB524" s="246"/>
      <c r="BC524" s="246"/>
      <c r="BD524" s="246"/>
      <c r="BE524" s="246"/>
      <c r="BF524" s="246"/>
      <c r="BG524" s="246"/>
      <c r="BH524" s="246"/>
      <c r="BI524" s="246"/>
      <c r="BJ524" s="246"/>
    </row>
    <row r="525" spans="2:62" ht="15.75">
      <c r="B525" s="7"/>
      <c r="C525" s="334"/>
      <c r="D525" s="334"/>
      <c r="E525" s="334"/>
      <c r="F525" s="334"/>
      <c r="G525" s="334"/>
      <c r="H525" s="334"/>
      <c r="I525" s="334"/>
      <c r="J525" s="334"/>
      <c r="K525" s="334"/>
      <c r="L525" s="334"/>
      <c r="M525" s="399"/>
      <c r="N525" s="334"/>
      <c r="O525" s="334"/>
      <c r="P525" s="334"/>
      <c r="Q525" s="334"/>
      <c r="R525" s="334"/>
      <c r="S525" s="334"/>
      <c r="T525" s="334"/>
      <c r="U525" s="334"/>
      <c r="V525" s="334"/>
      <c r="W525" s="334"/>
      <c r="X525" s="334"/>
      <c r="Y525" s="246"/>
      <c r="Z525" s="246"/>
      <c r="AA525" s="246"/>
      <c r="AB525" s="246"/>
      <c r="AC525" s="246"/>
      <c r="AD525" s="246"/>
      <c r="AE525" s="246"/>
      <c r="AF525" s="246"/>
      <c r="AG525" s="246"/>
      <c r="AH525" s="246"/>
      <c r="AI525" s="246"/>
      <c r="AJ525" s="246"/>
      <c r="AK525" s="246"/>
      <c r="AL525" s="246"/>
      <c r="AM525" s="246"/>
      <c r="AN525" s="246"/>
      <c r="AO525" s="246"/>
      <c r="AP525" s="246"/>
      <c r="AQ525" s="246"/>
      <c r="AR525" s="246"/>
      <c r="AS525" s="246"/>
      <c r="AT525" s="246"/>
      <c r="AU525" s="246"/>
      <c r="AV525" s="246"/>
      <c r="AW525" s="246"/>
      <c r="AX525" s="246"/>
      <c r="AY525" s="246"/>
      <c r="AZ525" s="246"/>
      <c r="BA525" s="246"/>
      <c r="BB525" s="246"/>
      <c r="BC525" s="246"/>
      <c r="BD525" s="246"/>
      <c r="BE525" s="246"/>
      <c r="BF525" s="246"/>
      <c r="BG525" s="246"/>
      <c r="BH525" s="246"/>
      <c r="BI525" s="246"/>
      <c r="BJ525" s="246"/>
    </row>
    <row r="526" spans="2:62" ht="15.75">
      <c r="B526" s="7"/>
      <c r="C526" s="334"/>
      <c r="D526" s="334"/>
      <c r="E526" s="334"/>
      <c r="F526" s="334"/>
      <c r="G526" s="334"/>
      <c r="H526" s="334"/>
      <c r="I526" s="334"/>
      <c r="J526" s="398"/>
      <c r="K526" s="398"/>
      <c r="L526" s="398"/>
      <c r="M526" s="401"/>
      <c r="N526" s="398"/>
      <c r="O526" s="398"/>
      <c r="P526" s="398"/>
      <c r="Q526" s="334"/>
      <c r="R526" s="334"/>
      <c r="S526" s="398"/>
      <c r="T526" s="334"/>
      <c r="U526" s="334"/>
      <c r="V526" s="334"/>
      <c r="W526" s="334"/>
      <c r="X526" s="334"/>
      <c r="Y526" s="246"/>
      <c r="Z526" s="246"/>
      <c r="AA526" s="246"/>
      <c r="AB526" s="246"/>
      <c r="AC526" s="246"/>
      <c r="AD526" s="246"/>
      <c r="AE526" s="246"/>
      <c r="AF526" s="246"/>
      <c r="AG526" s="246"/>
      <c r="AH526" s="246"/>
      <c r="AI526" s="246"/>
      <c r="AJ526" s="246"/>
      <c r="AK526" s="246"/>
      <c r="AL526" s="246"/>
      <c r="AM526" s="246"/>
      <c r="AN526" s="246"/>
      <c r="AO526" s="246"/>
      <c r="AP526" s="246"/>
      <c r="AQ526" s="246"/>
      <c r="AR526" s="246"/>
      <c r="AS526" s="246"/>
      <c r="AT526" s="246"/>
      <c r="AU526" s="246"/>
      <c r="AV526" s="246"/>
      <c r="AW526" s="246"/>
      <c r="AX526" s="246"/>
      <c r="AY526" s="246"/>
      <c r="AZ526" s="246"/>
      <c r="BA526" s="246"/>
      <c r="BB526" s="246"/>
      <c r="BC526" s="246"/>
      <c r="BD526" s="246"/>
      <c r="BE526" s="246"/>
      <c r="BF526" s="246"/>
      <c r="BG526" s="246"/>
      <c r="BH526" s="246"/>
      <c r="BI526" s="246"/>
      <c r="BJ526" s="246"/>
    </row>
    <row r="527" spans="2:62" ht="15.75">
      <c r="B527" s="7"/>
      <c r="C527" s="334"/>
      <c r="D527" s="334"/>
      <c r="E527" s="334"/>
      <c r="F527" s="334"/>
      <c r="G527" s="334"/>
      <c r="H527" s="334"/>
      <c r="I527" s="334"/>
      <c r="J527" s="334"/>
      <c r="K527" s="334"/>
      <c r="L527" s="334"/>
      <c r="M527" s="334"/>
      <c r="N527" s="334"/>
      <c r="O527" s="334"/>
      <c r="P527" s="334"/>
      <c r="Q527" s="334"/>
      <c r="R527" s="334"/>
      <c r="S527" s="334"/>
      <c r="T527" s="334"/>
      <c r="U527" s="334"/>
      <c r="V527" s="334"/>
      <c r="W527" s="334"/>
      <c r="X527" s="334"/>
      <c r="Y527" s="246"/>
      <c r="Z527" s="246"/>
      <c r="AA527" s="246"/>
      <c r="AB527" s="246"/>
      <c r="AC527" s="246"/>
      <c r="AD527" s="246"/>
      <c r="AE527" s="246"/>
      <c r="AF527" s="246"/>
      <c r="AG527" s="246"/>
      <c r="AH527" s="246"/>
      <c r="AI527" s="246"/>
      <c r="AJ527" s="246"/>
      <c r="AK527" s="246"/>
      <c r="AL527" s="246"/>
      <c r="AM527" s="246"/>
      <c r="AN527" s="246"/>
      <c r="AO527" s="246"/>
      <c r="AP527" s="246"/>
      <c r="AQ527" s="246"/>
      <c r="AR527" s="246"/>
      <c r="AS527" s="246"/>
      <c r="AT527" s="246"/>
      <c r="AU527" s="246"/>
      <c r="AV527" s="246"/>
      <c r="AW527" s="246"/>
      <c r="AX527" s="246"/>
      <c r="AY527" s="246"/>
      <c r="AZ527" s="246"/>
      <c r="BA527" s="246"/>
      <c r="BB527" s="246"/>
      <c r="BC527" s="246"/>
      <c r="BD527" s="246"/>
      <c r="BE527" s="246"/>
      <c r="BF527" s="246"/>
      <c r="BG527" s="246"/>
      <c r="BH527" s="246"/>
      <c r="BI527" s="246"/>
      <c r="BJ527" s="246"/>
    </row>
    <row r="528" spans="2:62" ht="15.75">
      <c r="B528" s="7"/>
      <c r="C528" s="334"/>
      <c r="D528" s="334"/>
      <c r="E528" s="334"/>
      <c r="F528" s="334"/>
      <c r="G528" s="334"/>
      <c r="H528" s="334"/>
      <c r="I528" s="334"/>
      <c r="J528" s="334"/>
      <c r="K528" s="334"/>
      <c r="L528" s="334"/>
      <c r="M528" s="334"/>
      <c r="N528" s="334"/>
      <c r="O528" s="334"/>
      <c r="P528" s="334"/>
      <c r="Q528" s="334"/>
      <c r="R528" s="334"/>
      <c r="S528" s="334"/>
      <c r="T528" s="334"/>
      <c r="U528" s="334"/>
      <c r="V528" s="334"/>
      <c r="W528" s="334"/>
      <c r="X528" s="334"/>
      <c r="Y528" s="246"/>
      <c r="Z528" s="246"/>
      <c r="AA528" s="246"/>
      <c r="AB528" s="246"/>
      <c r="AC528" s="246"/>
      <c r="AD528" s="246"/>
      <c r="AE528" s="246"/>
      <c r="AF528" s="246"/>
      <c r="AG528" s="246"/>
      <c r="AH528" s="246"/>
      <c r="AI528" s="246"/>
      <c r="AJ528" s="246"/>
      <c r="AK528" s="246"/>
      <c r="AL528" s="246"/>
      <c r="AM528" s="246"/>
      <c r="AN528" s="246"/>
      <c r="AO528" s="246"/>
      <c r="AP528" s="246"/>
      <c r="AQ528" s="246"/>
      <c r="AR528" s="246"/>
      <c r="AS528" s="246"/>
      <c r="AT528" s="246"/>
      <c r="AU528" s="246"/>
      <c r="AV528" s="246"/>
      <c r="AW528" s="246"/>
      <c r="AX528" s="246"/>
      <c r="AY528" s="246"/>
      <c r="AZ528" s="246"/>
      <c r="BA528" s="246"/>
      <c r="BB528" s="246"/>
      <c r="BC528" s="246"/>
      <c r="BD528" s="246"/>
      <c r="BE528" s="246"/>
      <c r="BF528" s="246"/>
      <c r="BG528" s="246"/>
      <c r="BH528" s="246"/>
      <c r="BI528" s="246"/>
      <c r="BJ528" s="246"/>
    </row>
    <row r="529" spans="2:62" ht="15.75">
      <c r="B529" s="7"/>
      <c r="C529" s="334"/>
      <c r="D529" s="334"/>
      <c r="E529" s="334"/>
      <c r="F529" s="334"/>
      <c r="G529" s="334"/>
      <c r="H529" s="334"/>
      <c r="I529" s="334"/>
      <c r="J529" s="334"/>
      <c r="K529" s="334"/>
      <c r="L529" s="334"/>
      <c r="M529" s="334"/>
      <c r="N529" s="334"/>
      <c r="O529" s="334"/>
      <c r="P529" s="334"/>
      <c r="Q529" s="334"/>
      <c r="R529" s="334"/>
      <c r="S529" s="334"/>
      <c r="T529" s="334"/>
      <c r="U529" s="334"/>
      <c r="V529" s="334"/>
      <c r="W529" s="334"/>
      <c r="X529" s="334"/>
      <c r="Y529" s="246"/>
      <c r="Z529" s="246"/>
      <c r="AA529" s="246"/>
      <c r="AB529" s="246"/>
      <c r="AC529" s="246"/>
      <c r="AD529" s="246"/>
      <c r="AE529" s="246"/>
      <c r="AF529" s="246"/>
      <c r="AG529" s="246"/>
      <c r="AH529" s="246"/>
      <c r="AI529" s="246"/>
      <c r="AJ529" s="246"/>
      <c r="AK529" s="246"/>
      <c r="AL529" s="246"/>
      <c r="AM529" s="246"/>
      <c r="AN529" s="246"/>
      <c r="AO529" s="246"/>
      <c r="AP529" s="246"/>
      <c r="AQ529" s="246"/>
      <c r="AR529" s="246"/>
      <c r="AS529" s="246"/>
      <c r="AT529" s="246"/>
      <c r="AU529" s="246"/>
      <c r="AV529" s="246"/>
      <c r="AW529" s="246"/>
      <c r="AX529" s="246"/>
      <c r="AY529" s="246"/>
      <c r="AZ529" s="246"/>
      <c r="BA529" s="246"/>
      <c r="BB529" s="246"/>
      <c r="BC529" s="246"/>
      <c r="BD529" s="246"/>
      <c r="BE529" s="246"/>
      <c r="BF529" s="246"/>
      <c r="BG529" s="246"/>
      <c r="BH529" s="246"/>
      <c r="BI529" s="246"/>
      <c r="BJ529" s="246"/>
    </row>
    <row r="530" spans="2:62" ht="18.75">
      <c r="B530" s="7"/>
      <c r="C530" s="402"/>
      <c r="D530" s="403"/>
      <c r="E530" s="403"/>
      <c r="F530" s="403"/>
      <c r="G530" s="403"/>
      <c r="H530" s="403"/>
      <c r="I530" s="403"/>
      <c r="J530" s="403"/>
      <c r="K530" s="403"/>
      <c r="L530" s="403"/>
      <c r="M530" s="403"/>
      <c r="N530" s="403"/>
      <c r="O530" s="403"/>
      <c r="P530" s="403"/>
      <c r="Q530" s="403"/>
      <c r="R530" s="403"/>
      <c r="S530" s="403"/>
      <c r="T530" s="334"/>
      <c r="U530" s="334"/>
      <c r="V530" s="334"/>
      <c r="W530" s="334"/>
      <c r="X530" s="334"/>
      <c r="Y530" s="246"/>
      <c r="Z530" s="246"/>
      <c r="AA530" s="246"/>
      <c r="AB530" s="246"/>
      <c r="AC530" s="246"/>
      <c r="AD530" s="246"/>
      <c r="AE530" s="246"/>
      <c r="AF530" s="246"/>
      <c r="AG530" s="246"/>
      <c r="AH530" s="246"/>
      <c r="AI530" s="246"/>
      <c r="AJ530" s="246"/>
      <c r="AK530" s="246"/>
      <c r="AL530" s="246"/>
      <c r="AM530" s="246"/>
      <c r="AN530" s="246"/>
      <c r="AO530" s="246"/>
      <c r="AP530" s="246"/>
      <c r="AQ530" s="246"/>
      <c r="AR530" s="246"/>
      <c r="AS530" s="246"/>
      <c r="AT530" s="246"/>
      <c r="AU530" s="246"/>
      <c r="AV530" s="246"/>
      <c r="AW530" s="246"/>
      <c r="AX530" s="246"/>
      <c r="AY530" s="246"/>
      <c r="AZ530" s="246"/>
      <c r="BA530" s="246"/>
      <c r="BB530" s="246"/>
      <c r="BC530" s="246"/>
      <c r="BD530" s="246"/>
      <c r="BE530" s="246"/>
      <c r="BF530" s="246"/>
      <c r="BG530" s="246"/>
      <c r="BH530" s="246"/>
      <c r="BI530" s="246"/>
      <c r="BJ530" s="246"/>
    </row>
    <row r="531" spans="2:62" ht="15.75">
      <c r="B531" s="7"/>
      <c r="C531" s="334"/>
      <c r="D531" s="334"/>
      <c r="E531" s="334"/>
      <c r="F531" s="334"/>
      <c r="G531" s="334"/>
      <c r="H531" s="334"/>
      <c r="I531" s="334"/>
      <c r="J531" s="334"/>
      <c r="K531" s="334"/>
      <c r="L531" s="334"/>
      <c r="M531" s="334"/>
      <c r="N531" s="334"/>
      <c r="O531" s="334"/>
      <c r="P531" s="334"/>
      <c r="Q531" s="404"/>
      <c r="R531" s="334"/>
      <c r="S531" s="334"/>
      <c r="T531" s="334"/>
      <c r="U531" s="334"/>
      <c r="V531" s="334"/>
      <c r="W531" s="334"/>
      <c r="X531" s="334"/>
      <c r="Y531" s="246"/>
      <c r="Z531" s="246"/>
      <c r="AA531" s="246"/>
      <c r="AB531" s="246"/>
      <c r="AC531" s="246"/>
      <c r="AD531" s="246"/>
      <c r="AE531" s="246"/>
      <c r="AF531" s="246"/>
      <c r="AG531" s="246"/>
      <c r="AH531" s="246"/>
      <c r="AI531" s="246"/>
      <c r="AJ531" s="246"/>
      <c r="AK531" s="246"/>
      <c r="AL531" s="246"/>
      <c r="AM531" s="246"/>
      <c r="AN531" s="246"/>
      <c r="AO531" s="246"/>
      <c r="AP531" s="246"/>
      <c r="AQ531" s="246"/>
      <c r="AR531" s="246"/>
      <c r="AS531" s="246"/>
      <c r="AT531" s="246"/>
      <c r="AU531" s="246"/>
      <c r="AV531" s="246"/>
      <c r="AW531" s="246"/>
      <c r="AX531" s="246"/>
      <c r="AY531" s="246"/>
      <c r="AZ531" s="246"/>
      <c r="BA531" s="246"/>
      <c r="BB531" s="246"/>
      <c r="BC531" s="246"/>
      <c r="BD531" s="246"/>
      <c r="BE531" s="246"/>
      <c r="BF531" s="246"/>
      <c r="BG531" s="246"/>
      <c r="BH531" s="246"/>
      <c r="BI531" s="246"/>
      <c r="BJ531" s="246"/>
    </row>
    <row r="532" spans="2:62" ht="15.75">
      <c r="B532" s="7"/>
      <c r="C532" s="334"/>
      <c r="D532" s="334"/>
      <c r="E532" s="334"/>
      <c r="F532" s="334"/>
      <c r="G532" s="334"/>
      <c r="H532" s="334"/>
      <c r="I532" s="334"/>
      <c r="J532" s="334"/>
      <c r="K532" s="334"/>
      <c r="L532" s="405"/>
      <c r="M532" s="406"/>
      <c r="N532" s="406"/>
      <c r="O532" s="334"/>
      <c r="P532" s="405"/>
      <c r="Q532" s="406"/>
      <c r="R532" s="406"/>
      <c r="S532" s="405"/>
      <c r="T532" s="334"/>
      <c r="U532" s="334"/>
      <c r="V532" s="334"/>
      <c r="W532" s="334"/>
      <c r="X532" s="334"/>
      <c r="Y532" s="246"/>
      <c r="Z532" s="246"/>
      <c r="AA532" s="246"/>
      <c r="AB532" s="246"/>
      <c r="AC532" s="246"/>
      <c r="AD532" s="246"/>
      <c r="AE532" s="246"/>
      <c r="AF532" s="246"/>
      <c r="AG532" s="246"/>
      <c r="AH532" s="246"/>
      <c r="AI532" s="246"/>
      <c r="AJ532" s="246"/>
      <c r="AK532" s="246"/>
      <c r="AL532" s="246"/>
      <c r="AM532" s="246"/>
      <c r="AN532" s="246"/>
      <c r="AO532" s="246"/>
      <c r="AP532" s="246"/>
      <c r="AQ532" s="246"/>
      <c r="AR532" s="246"/>
      <c r="AS532" s="246"/>
      <c r="AT532" s="246"/>
      <c r="AU532" s="246"/>
      <c r="AV532" s="246"/>
      <c r="AW532" s="246"/>
      <c r="AX532" s="246"/>
      <c r="AY532" s="246"/>
      <c r="AZ532" s="246"/>
      <c r="BA532" s="246"/>
      <c r="BB532" s="246"/>
      <c r="BC532" s="246"/>
      <c r="BD532" s="246"/>
      <c r="BE532" s="246"/>
      <c r="BF532" s="246"/>
      <c r="BG532" s="246"/>
      <c r="BH532" s="246"/>
      <c r="BI532" s="246"/>
      <c r="BJ532" s="246"/>
    </row>
    <row r="533" spans="2:62" ht="15.75">
      <c r="B533" s="7"/>
      <c r="C533" s="334"/>
      <c r="D533" s="334"/>
      <c r="E533" s="405"/>
      <c r="F533" s="407"/>
      <c r="G533" s="334"/>
      <c r="H533" s="405"/>
      <c r="I533" s="407"/>
      <c r="J533" s="406"/>
      <c r="K533" s="398"/>
      <c r="L533" s="405"/>
      <c r="M533" s="406"/>
      <c r="N533" s="406"/>
      <c r="O533" s="398"/>
      <c r="P533" s="405"/>
      <c r="Q533" s="406"/>
      <c r="R533" s="406"/>
      <c r="S533" s="405"/>
      <c r="T533" s="334"/>
      <c r="U533" s="334"/>
      <c r="V533" s="334"/>
      <c r="W533" s="334"/>
      <c r="X533" s="334"/>
      <c r="Y533" s="246"/>
      <c r="Z533" s="246"/>
      <c r="AA533" s="246"/>
      <c r="AB533" s="246"/>
      <c r="AC533" s="246"/>
      <c r="AD533" s="246"/>
      <c r="AE533" s="246"/>
      <c r="AF533" s="246"/>
      <c r="AG533" s="246"/>
      <c r="AH533" s="246"/>
      <c r="AI533" s="246"/>
      <c r="AJ533" s="246"/>
      <c r="AK533" s="246"/>
      <c r="AL533" s="246"/>
      <c r="AM533" s="246"/>
      <c r="AN533" s="246"/>
      <c r="AO533" s="246"/>
      <c r="AP533" s="246"/>
      <c r="AQ533" s="246"/>
      <c r="AR533" s="246"/>
      <c r="AS533" s="246"/>
      <c r="AT533" s="246"/>
      <c r="AU533" s="246"/>
      <c r="AV533" s="246"/>
      <c r="AW533" s="246"/>
      <c r="AX533" s="246"/>
      <c r="AY533" s="246"/>
      <c r="AZ533" s="246"/>
      <c r="BA533" s="246"/>
      <c r="BB533" s="246"/>
      <c r="BC533" s="246"/>
      <c r="BD533" s="246"/>
      <c r="BE533" s="246"/>
      <c r="BF533" s="246"/>
      <c r="BG533" s="246"/>
      <c r="BH533" s="246"/>
      <c r="BI533" s="246"/>
      <c r="BJ533" s="246"/>
    </row>
    <row r="534" spans="2:62" ht="15.75">
      <c r="B534" s="7"/>
      <c r="C534" s="334"/>
      <c r="D534" s="408"/>
      <c r="E534" s="407"/>
      <c r="F534" s="407"/>
      <c r="G534" s="408"/>
      <c r="H534" s="407"/>
      <c r="I534" s="407"/>
      <c r="J534" s="407"/>
      <c r="K534" s="407"/>
      <c r="L534" s="407"/>
      <c r="M534" s="407"/>
      <c r="N534" s="407"/>
      <c r="O534" s="407"/>
      <c r="P534" s="407"/>
      <c r="Q534" s="407"/>
      <c r="R534" s="407"/>
      <c r="S534" s="407"/>
      <c r="T534" s="334"/>
      <c r="U534" s="334"/>
      <c r="V534" s="334"/>
      <c r="W534" s="334"/>
      <c r="X534" s="334"/>
      <c r="Y534" s="246"/>
      <c r="Z534" s="246"/>
      <c r="AA534" s="246"/>
      <c r="AB534" s="246"/>
      <c r="AC534" s="246"/>
      <c r="AD534" s="246"/>
      <c r="AE534" s="246"/>
      <c r="AF534" s="246"/>
      <c r="AG534" s="246"/>
      <c r="AH534" s="246"/>
      <c r="AI534" s="246"/>
      <c r="AJ534" s="246"/>
      <c r="AK534" s="246"/>
      <c r="AL534" s="246"/>
      <c r="AM534" s="246"/>
      <c r="AN534" s="246"/>
      <c r="AO534" s="246"/>
      <c r="AP534" s="246"/>
      <c r="AQ534" s="246"/>
      <c r="AR534" s="246"/>
      <c r="AS534" s="246"/>
      <c r="AT534" s="246"/>
      <c r="AU534" s="246"/>
      <c r="AV534" s="246"/>
      <c r="AW534" s="246"/>
      <c r="AX534" s="246"/>
      <c r="AY534" s="246"/>
      <c r="AZ534" s="246"/>
      <c r="BA534" s="246"/>
      <c r="BB534" s="246"/>
      <c r="BC534" s="246"/>
      <c r="BD534" s="246"/>
      <c r="BE534" s="246"/>
      <c r="BF534" s="246"/>
      <c r="BG534" s="246"/>
      <c r="BH534" s="246"/>
      <c r="BI534" s="246"/>
      <c r="BJ534" s="246"/>
    </row>
    <row r="535" spans="2:62" ht="15.75">
      <c r="B535" s="7"/>
      <c r="C535" s="398"/>
      <c r="D535" s="334"/>
      <c r="E535" s="334"/>
      <c r="F535" s="334"/>
      <c r="G535" s="334"/>
      <c r="H535" s="334"/>
      <c r="I535" s="334"/>
      <c r="J535" s="334"/>
      <c r="K535" s="334"/>
      <c r="L535" s="334"/>
      <c r="M535" s="334"/>
      <c r="N535" s="334"/>
      <c r="O535" s="334"/>
      <c r="P535" s="334"/>
      <c r="Q535" s="334"/>
      <c r="R535" s="334"/>
      <c r="S535" s="334"/>
      <c r="T535" s="334"/>
      <c r="U535" s="334"/>
      <c r="V535" s="334"/>
      <c r="W535" s="334"/>
      <c r="X535" s="334"/>
      <c r="Y535" s="246"/>
      <c r="Z535" s="246"/>
      <c r="AA535" s="246"/>
      <c r="AB535" s="246"/>
      <c r="AC535" s="246"/>
      <c r="AD535" s="246"/>
      <c r="AE535" s="246"/>
      <c r="AF535" s="246"/>
      <c r="AG535" s="246"/>
      <c r="AH535" s="246"/>
      <c r="AI535" s="246"/>
      <c r="AJ535" s="246"/>
      <c r="AK535" s="246"/>
      <c r="AL535" s="246"/>
      <c r="AM535" s="246"/>
      <c r="AN535" s="246"/>
      <c r="AO535" s="246"/>
      <c r="AP535" s="246"/>
      <c r="AQ535" s="246"/>
      <c r="AR535" s="246"/>
      <c r="AS535" s="246"/>
      <c r="AT535" s="246"/>
      <c r="AU535" s="246"/>
      <c r="AV535" s="246"/>
      <c r="AW535" s="246"/>
      <c r="AX535" s="246"/>
      <c r="AY535" s="246"/>
      <c r="AZ535" s="246"/>
      <c r="BA535" s="246"/>
      <c r="BB535" s="246"/>
      <c r="BC535" s="246"/>
      <c r="BD535" s="246"/>
      <c r="BE535" s="246"/>
      <c r="BF535" s="246"/>
      <c r="BG535" s="246"/>
      <c r="BH535" s="246"/>
      <c r="BI535" s="246"/>
      <c r="BJ535" s="246"/>
    </row>
    <row r="536" spans="2:62" ht="15.75">
      <c r="B536" s="7"/>
      <c r="C536" s="334"/>
      <c r="D536" s="334"/>
      <c r="E536" s="334"/>
      <c r="F536" s="334"/>
      <c r="G536" s="334"/>
      <c r="H536" s="334"/>
      <c r="I536" s="334"/>
      <c r="J536" s="334"/>
      <c r="K536" s="334"/>
      <c r="L536" s="334"/>
      <c r="M536" s="334"/>
      <c r="N536" s="334"/>
      <c r="O536" s="334"/>
      <c r="P536" s="334"/>
      <c r="Q536" s="334"/>
      <c r="R536" s="334"/>
      <c r="S536" s="334"/>
      <c r="T536" s="334"/>
      <c r="U536" s="334"/>
      <c r="V536" s="334"/>
      <c r="W536" s="334"/>
      <c r="X536" s="334"/>
      <c r="Y536" s="246"/>
      <c r="Z536" s="246"/>
      <c r="AA536" s="246"/>
      <c r="AB536" s="246"/>
      <c r="AC536" s="246"/>
      <c r="AD536" s="246"/>
      <c r="AE536" s="246"/>
      <c r="AF536" s="246"/>
      <c r="AG536" s="246"/>
      <c r="AH536" s="246"/>
      <c r="AI536" s="246"/>
      <c r="AJ536" s="246"/>
      <c r="AK536" s="246"/>
      <c r="AL536" s="246"/>
      <c r="AM536" s="246"/>
      <c r="AN536" s="246"/>
      <c r="AO536" s="246"/>
      <c r="AP536" s="246"/>
      <c r="AQ536" s="246"/>
      <c r="AR536" s="246"/>
      <c r="AS536" s="246"/>
      <c r="AT536" s="246"/>
      <c r="AU536" s="246"/>
      <c r="AV536" s="246"/>
      <c r="AW536" s="246"/>
      <c r="AX536" s="246"/>
      <c r="AY536" s="246"/>
      <c r="AZ536" s="246"/>
      <c r="BA536" s="246"/>
      <c r="BB536" s="246"/>
      <c r="BC536" s="246"/>
      <c r="BD536" s="246"/>
      <c r="BE536" s="246"/>
      <c r="BF536" s="246"/>
      <c r="BG536" s="246"/>
      <c r="BH536" s="246"/>
      <c r="BI536" s="246"/>
      <c r="BJ536" s="246"/>
    </row>
    <row r="537" spans="2:62" ht="15.75">
      <c r="B537" s="7"/>
      <c r="C537" s="334"/>
      <c r="D537" s="334"/>
      <c r="E537" s="399"/>
      <c r="F537" s="409"/>
      <c r="G537" s="334"/>
      <c r="H537" s="399"/>
      <c r="I537" s="409"/>
      <c r="J537" s="409"/>
      <c r="K537" s="399"/>
      <c r="L537" s="409"/>
      <c r="M537" s="399"/>
      <c r="N537" s="409"/>
      <c r="O537" s="399"/>
      <c r="P537" s="409"/>
      <c r="Q537" s="399"/>
      <c r="R537" s="399"/>
      <c r="S537" s="399"/>
      <c r="T537" s="334"/>
      <c r="U537" s="334"/>
      <c r="V537" s="334"/>
      <c r="W537" s="334"/>
      <c r="X537" s="334"/>
      <c r="Y537" s="246"/>
      <c r="Z537" s="246"/>
      <c r="AA537" s="246"/>
      <c r="AB537" s="246"/>
      <c r="AC537" s="246"/>
      <c r="AD537" s="246"/>
      <c r="AE537" s="246"/>
      <c r="AF537" s="246"/>
      <c r="AG537" s="246"/>
      <c r="AH537" s="246"/>
      <c r="AI537" s="246"/>
      <c r="AJ537" s="246"/>
      <c r="AK537" s="246"/>
      <c r="AL537" s="246"/>
      <c r="AM537" s="246"/>
      <c r="AN537" s="246"/>
      <c r="AO537" s="246"/>
      <c r="AP537" s="246"/>
      <c r="AQ537" s="246"/>
      <c r="AR537" s="246"/>
      <c r="AS537" s="246"/>
      <c r="AT537" s="246"/>
      <c r="AU537" s="246"/>
      <c r="AV537" s="246"/>
      <c r="AW537" s="246"/>
      <c r="AX537" s="246"/>
      <c r="AY537" s="246"/>
      <c r="AZ537" s="246"/>
      <c r="BA537" s="246"/>
      <c r="BB537" s="246"/>
      <c r="BC537" s="246"/>
      <c r="BD537" s="246"/>
      <c r="BE537" s="246"/>
      <c r="BF537" s="246"/>
      <c r="BG537" s="246"/>
      <c r="BH537" s="246"/>
      <c r="BI537" s="246"/>
      <c r="BJ537" s="246"/>
    </row>
    <row r="538" spans="2:62" ht="15.75">
      <c r="B538" s="7"/>
      <c r="C538" s="334"/>
      <c r="D538" s="334"/>
      <c r="E538" s="399"/>
      <c r="F538" s="409"/>
      <c r="G538" s="334"/>
      <c r="H538" s="399"/>
      <c r="I538" s="409"/>
      <c r="J538" s="409"/>
      <c r="K538" s="399"/>
      <c r="L538" s="409"/>
      <c r="M538" s="399"/>
      <c r="N538" s="409"/>
      <c r="O538" s="399"/>
      <c r="P538" s="409"/>
      <c r="Q538" s="399"/>
      <c r="R538" s="399"/>
      <c r="S538" s="399"/>
      <c r="T538" s="334"/>
      <c r="U538" s="334"/>
      <c r="V538" s="334"/>
      <c r="W538" s="334"/>
      <c r="X538" s="334"/>
      <c r="Y538" s="246"/>
      <c r="Z538" s="246"/>
      <c r="AA538" s="246"/>
      <c r="AB538" s="246"/>
      <c r="AC538" s="246"/>
      <c r="AD538" s="246"/>
      <c r="AE538" s="246"/>
      <c r="AF538" s="246"/>
      <c r="AG538" s="246"/>
      <c r="AH538" s="246"/>
      <c r="AI538" s="246"/>
      <c r="AJ538" s="246"/>
      <c r="AK538" s="246"/>
      <c r="AL538" s="246"/>
      <c r="AM538" s="246"/>
      <c r="AN538" s="246"/>
      <c r="AO538" s="246"/>
      <c r="AP538" s="246"/>
      <c r="AQ538" s="246"/>
      <c r="AR538" s="246"/>
      <c r="AS538" s="246"/>
      <c r="AT538" s="246"/>
      <c r="AU538" s="246"/>
      <c r="AV538" s="246"/>
      <c r="AW538" s="246"/>
      <c r="AX538" s="246"/>
      <c r="AY538" s="246"/>
      <c r="AZ538" s="246"/>
      <c r="BA538" s="246"/>
      <c r="BB538" s="246"/>
      <c r="BC538" s="246"/>
      <c r="BD538" s="246"/>
      <c r="BE538" s="246"/>
      <c r="BF538" s="246"/>
      <c r="BG538" s="246"/>
      <c r="BH538" s="246"/>
      <c r="BI538" s="246"/>
      <c r="BJ538" s="246"/>
    </row>
    <row r="539" spans="2:62" ht="15.75">
      <c r="B539" s="7"/>
      <c r="C539" s="334"/>
      <c r="D539" s="334"/>
      <c r="E539" s="399"/>
      <c r="F539" s="409"/>
      <c r="G539" s="334"/>
      <c r="H539" s="399"/>
      <c r="I539" s="409"/>
      <c r="J539" s="409"/>
      <c r="K539" s="399"/>
      <c r="L539" s="409"/>
      <c r="M539" s="399"/>
      <c r="N539" s="409"/>
      <c r="O539" s="399"/>
      <c r="P539" s="409"/>
      <c r="Q539" s="399"/>
      <c r="R539" s="399"/>
      <c r="S539" s="399"/>
      <c r="T539" s="334"/>
      <c r="U539" s="334"/>
      <c r="V539" s="334"/>
      <c r="W539" s="334"/>
      <c r="X539" s="334"/>
      <c r="Y539" s="246"/>
      <c r="Z539" s="246"/>
      <c r="AA539" s="246"/>
      <c r="AB539" s="246"/>
      <c r="AC539" s="246"/>
      <c r="AD539" s="246"/>
      <c r="AE539" s="246"/>
      <c r="AF539" s="246"/>
      <c r="AG539" s="246"/>
      <c r="AH539" s="246"/>
      <c r="AI539" s="246"/>
      <c r="AJ539" s="246"/>
      <c r="AK539" s="246"/>
      <c r="AL539" s="246"/>
      <c r="AM539" s="246"/>
      <c r="AN539" s="246"/>
      <c r="AO539" s="246"/>
      <c r="AP539" s="246"/>
      <c r="AQ539" s="246"/>
      <c r="AR539" s="246"/>
      <c r="AS539" s="246"/>
      <c r="AT539" s="246"/>
      <c r="AU539" s="246"/>
      <c r="AV539" s="246"/>
      <c r="AW539" s="246"/>
      <c r="AX539" s="246"/>
      <c r="AY539" s="246"/>
      <c r="AZ539" s="246"/>
      <c r="BA539" s="246"/>
      <c r="BB539" s="246"/>
      <c r="BC539" s="246"/>
      <c r="BD539" s="246"/>
      <c r="BE539" s="246"/>
      <c r="BF539" s="246"/>
      <c r="BG539" s="246"/>
      <c r="BH539" s="246"/>
      <c r="BI539" s="246"/>
      <c r="BJ539" s="246"/>
    </row>
    <row r="540" spans="2:62" ht="15.75">
      <c r="B540" s="7"/>
      <c r="C540" s="334"/>
      <c r="D540" s="334"/>
      <c r="E540" s="399"/>
      <c r="F540" s="409"/>
      <c r="G540" s="334"/>
      <c r="H540" s="399"/>
      <c r="I540" s="409"/>
      <c r="J540" s="409"/>
      <c r="K540" s="399"/>
      <c r="L540" s="409"/>
      <c r="M540" s="399"/>
      <c r="N540" s="409"/>
      <c r="O540" s="399"/>
      <c r="P540" s="409"/>
      <c r="Q540" s="399"/>
      <c r="R540" s="399"/>
      <c r="S540" s="399"/>
      <c r="T540" s="334"/>
      <c r="U540" s="334"/>
      <c r="V540" s="334"/>
      <c r="W540" s="334"/>
      <c r="X540" s="334"/>
      <c r="Y540" s="246"/>
      <c r="Z540" s="246"/>
      <c r="AA540" s="246"/>
      <c r="AB540" s="246"/>
      <c r="AC540" s="246"/>
      <c r="AD540" s="246"/>
      <c r="AE540" s="246"/>
      <c r="AF540" s="246"/>
      <c r="AG540" s="246"/>
      <c r="AH540" s="246"/>
      <c r="AI540" s="246"/>
      <c r="AJ540" s="246"/>
      <c r="AK540" s="246"/>
      <c r="AL540" s="246"/>
      <c r="AM540" s="246"/>
      <c r="AN540" s="246"/>
      <c r="AO540" s="246"/>
      <c r="AP540" s="246"/>
      <c r="AQ540" s="246"/>
      <c r="AR540" s="246"/>
      <c r="AS540" s="246"/>
      <c r="AT540" s="246"/>
      <c r="AU540" s="246"/>
      <c r="AV540" s="246"/>
      <c r="AW540" s="246"/>
      <c r="AX540" s="246"/>
      <c r="AY540" s="246"/>
      <c r="AZ540" s="246"/>
      <c r="BA540" s="246"/>
      <c r="BB540" s="246"/>
      <c r="BC540" s="246"/>
      <c r="BD540" s="246"/>
      <c r="BE540" s="246"/>
      <c r="BF540" s="246"/>
      <c r="BG540" s="246"/>
      <c r="BH540" s="246"/>
      <c r="BI540" s="246"/>
      <c r="BJ540" s="246"/>
    </row>
    <row r="541" spans="2:62" ht="15.75">
      <c r="B541" s="7"/>
      <c r="C541" s="334"/>
      <c r="D541" s="334"/>
      <c r="E541" s="399"/>
      <c r="F541" s="409"/>
      <c r="G541" s="334"/>
      <c r="H541" s="399"/>
      <c r="I541" s="409"/>
      <c r="J541" s="409"/>
      <c r="K541" s="399"/>
      <c r="L541" s="409"/>
      <c r="M541" s="399"/>
      <c r="N541" s="409"/>
      <c r="O541" s="399"/>
      <c r="P541" s="409"/>
      <c r="Q541" s="399"/>
      <c r="R541" s="399"/>
      <c r="S541" s="334"/>
      <c r="T541" s="334"/>
      <c r="U541" s="334"/>
      <c r="V541" s="334"/>
      <c r="W541" s="334"/>
      <c r="X541" s="334"/>
      <c r="Y541" s="246"/>
      <c r="Z541" s="246"/>
      <c r="AA541" s="246"/>
      <c r="AB541" s="246"/>
      <c r="AC541" s="246"/>
      <c r="AD541" s="246"/>
      <c r="AE541" s="246"/>
      <c r="AF541" s="246"/>
      <c r="AG541" s="246"/>
      <c r="AH541" s="246"/>
      <c r="AI541" s="246"/>
      <c r="AJ541" s="246"/>
      <c r="AK541" s="246"/>
      <c r="AL541" s="246"/>
      <c r="AM541" s="246"/>
      <c r="AN541" s="246"/>
      <c r="AO541" s="246"/>
      <c r="AP541" s="246"/>
      <c r="AQ541" s="246"/>
      <c r="AR541" s="246"/>
      <c r="AS541" s="246"/>
      <c r="AT541" s="246"/>
      <c r="AU541" s="246"/>
      <c r="AV541" s="246"/>
      <c r="AW541" s="246"/>
      <c r="AX541" s="246"/>
      <c r="AY541" s="246"/>
      <c r="AZ541" s="246"/>
      <c r="BA541" s="246"/>
      <c r="BB541" s="246"/>
      <c r="BC541" s="246"/>
      <c r="BD541" s="246"/>
      <c r="BE541" s="246"/>
      <c r="BF541" s="246"/>
      <c r="BG541" s="246"/>
      <c r="BH541" s="246"/>
      <c r="BI541" s="246"/>
      <c r="BJ541" s="246"/>
    </row>
    <row r="542" spans="2:62" ht="15.75">
      <c r="B542" s="7"/>
      <c r="C542" s="334"/>
      <c r="D542" s="334"/>
      <c r="E542" s="399"/>
      <c r="F542" s="409"/>
      <c r="G542" s="334"/>
      <c r="H542" s="399"/>
      <c r="I542" s="409"/>
      <c r="J542" s="409"/>
      <c r="K542" s="399"/>
      <c r="L542" s="409"/>
      <c r="M542" s="399"/>
      <c r="N542" s="409"/>
      <c r="O542" s="399"/>
      <c r="P542" s="409"/>
      <c r="Q542" s="399"/>
      <c r="R542" s="399"/>
      <c r="S542" s="399"/>
      <c r="T542" s="334"/>
      <c r="U542" s="334"/>
      <c r="V542" s="334"/>
      <c r="W542" s="334"/>
      <c r="X542" s="334"/>
      <c r="Y542" s="246"/>
      <c r="Z542" s="246"/>
      <c r="AA542" s="246"/>
      <c r="AB542" s="246"/>
      <c r="AC542" s="246"/>
      <c r="AD542" s="246"/>
      <c r="AE542" s="246"/>
      <c r="AF542" s="246"/>
      <c r="AG542" s="246"/>
      <c r="AH542" s="246"/>
      <c r="AI542" s="246"/>
      <c r="AJ542" s="246"/>
      <c r="AK542" s="246"/>
      <c r="AL542" s="246"/>
      <c r="AM542" s="246"/>
      <c r="AN542" s="246"/>
      <c r="AO542" s="246"/>
      <c r="AP542" s="246"/>
      <c r="AQ542" s="246"/>
      <c r="AR542" s="246"/>
      <c r="AS542" s="246"/>
      <c r="AT542" s="246"/>
      <c r="AU542" s="246"/>
      <c r="AV542" s="246"/>
      <c r="AW542" s="246"/>
      <c r="AX542" s="246"/>
      <c r="AY542" s="246"/>
      <c r="AZ542" s="246"/>
      <c r="BA542" s="246"/>
      <c r="BB542" s="246"/>
      <c r="BC542" s="246"/>
      <c r="BD542" s="246"/>
      <c r="BE542" s="246"/>
      <c r="BF542" s="246"/>
      <c r="BG542" s="246"/>
      <c r="BH542" s="246"/>
      <c r="BI542" s="246"/>
      <c r="BJ542" s="246"/>
    </row>
    <row r="543" spans="2:62" ht="15.75">
      <c r="B543" s="7"/>
      <c r="C543" s="334"/>
      <c r="D543" s="334"/>
      <c r="E543" s="399"/>
      <c r="F543" s="410"/>
      <c r="G543" s="334"/>
      <c r="H543" s="399"/>
      <c r="I543" s="410"/>
      <c r="J543" s="409"/>
      <c r="K543" s="399"/>
      <c r="L543" s="409"/>
      <c r="M543" s="399"/>
      <c r="N543" s="409"/>
      <c r="O543" s="399"/>
      <c r="P543" s="334"/>
      <c r="Q543" s="334"/>
      <c r="R543" s="399"/>
      <c r="S543" s="399"/>
      <c r="T543" s="334"/>
      <c r="U543" s="334"/>
      <c r="V543" s="334"/>
      <c r="W543" s="334"/>
      <c r="X543" s="334"/>
      <c r="Y543" s="246"/>
      <c r="Z543" s="246"/>
      <c r="AA543" s="246"/>
      <c r="AB543" s="246"/>
      <c r="AC543" s="246"/>
      <c r="AD543" s="246"/>
      <c r="AE543" s="246"/>
      <c r="AF543" s="246"/>
      <c r="AG543" s="246"/>
      <c r="AH543" s="246"/>
      <c r="AI543" s="246"/>
      <c r="AJ543" s="246"/>
      <c r="AK543" s="246"/>
      <c r="AL543" s="246"/>
      <c r="AM543" s="246"/>
      <c r="AN543" s="246"/>
      <c r="AO543" s="246"/>
      <c r="AP543" s="246"/>
      <c r="AQ543" s="246"/>
      <c r="AR543" s="246"/>
      <c r="AS543" s="246"/>
      <c r="AT543" s="246"/>
      <c r="AU543" s="246"/>
      <c r="AV543" s="246"/>
      <c r="AW543" s="246"/>
      <c r="AX543" s="246"/>
      <c r="AY543" s="246"/>
      <c r="AZ543" s="246"/>
      <c r="BA543" s="246"/>
      <c r="BB543" s="246"/>
      <c r="BC543" s="246"/>
      <c r="BD543" s="246"/>
      <c r="BE543" s="246"/>
      <c r="BF543" s="246"/>
      <c r="BG543" s="246"/>
      <c r="BH543" s="246"/>
      <c r="BI543" s="246"/>
      <c r="BJ543" s="246"/>
    </row>
    <row r="544" spans="2:62" ht="15.75">
      <c r="B544" s="7"/>
      <c r="C544" s="398"/>
      <c r="D544" s="398"/>
      <c r="E544" s="401"/>
      <c r="F544" s="411"/>
      <c r="G544" s="398"/>
      <c r="H544" s="401"/>
      <c r="I544" s="411"/>
      <c r="J544" s="411"/>
      <c r="K544" s="401"/>
      <c r="L544" s="411"/>
      <c r="M544" s="401"/>
      <c r="N544" s="411"/>
      <c r="O544" s="401"/>
      <c r="P544" s="411"/>
      <c r="Q544" s="401"/>
      <c r="R544" s="401"/>
      <c r="S544" s="398"/>
      <c r="T544" s="334"/>
      <c r="U544" s="334"/>
      <c r="V544" s="334"/>
      <c r="W544" s="334"/>
      <c r="X544" s="334"/>
      <c r="Y544" s="246"/>
      <c r="Z544" s="246"/>
      <c r="AA544" s="246"/>
      <c r="AB544" s="246"/>
      <c r="AC544" s="246"/>
      <c r="AD544" s="246"/>
      <c r="AE544" s="246"/>
      <c r="AF544" s="246"/>
      <c r="AG544" s="246"/>
      <c r="AH544" s="246"/>
      <c r="AI544" s="246"/>
      <c r="AJ544" s="246"/>
      <c r="AK544" s="246"/>
      <c r="AL544" s="246"/>
      <c r="AM544" s="246"/>
      <c r="AN544" s="246"/>
      <c r="AO544" s="246"/>
      <c r="AP544" s="246"/>
      <c r="AQ544" s="246"/>
      <c r="AR544" s="246"/>
      <c r="AS544" s="246"/>
      <c r="AT544" s="246"/>
      <c r="AU544" s="246"/>
      <c r="AV544" s="246"/>
      <c r="AW544" s="246"/>
      <c r="AX544" s="246"/>
      <c r="AY544" s="246"/>
      <c r="AZ544" s="246"/>
      <c r="BA544" s="246"/>
      <c r="BB544" s="246"/>
      <c r="BC544" s="246"/>
      <c r="BD544" s="246"/>
      <c r="BE544" s="246"/>
      <c r="BF544" s="246"/>
      <c r="BG544" s="246"/>
      <c r="BH544" s="246"/>
      <c r="BI544" s="246"/>
      <c r="BJ544" s="246"/>
    </row>
    <row r="545" spans="2:62" ht="15.75">
      <c r="B545" s="7"/>
      <c r="C545" s="334"/>
      <c r="D545" s="334"/>
      <c r="E545" s="399"/>
      <c r="F545" s="334"/>
      <c r="G545" s="334"/>
      <c r="H545" s="399"/>
      <c r="I545" s="334"/>
      <c r="J545" s="409"/>
      <c r="K545" s="399"/>
      <c r="L545" s="409"/>
      <c r="M545" s="399"/>
      <c r="N545" s="409"/>
      <c r="O545" s="399"/>
      <c r="P545" s="398"/>
      <c r="Q545" s="411"/>
      <c r="R545" s="411"/>
      <c r="S545" s="334"/>
      <c r="T545" s="334"/>
      <c r="U545" s="334"/>
      <c r="V545" s="334"/>
      <c r="W545" s="334"/>
      <c r="X545" s="334"/>
      <c r="Y545" s="246"/>
      <c r="Z545" s="246"/>
      <c r="AA545" s="246"/>
      <c r="AB545" s="246"/>
      <c r="AC545" s="246"/>
      <c r="AD545" s="246"/>
      <c r="AE545" s="246"/>
      <c r="AF545" s="246"/>
      <c r="AG545" s="246"/>
      <c r="AH545" s="246"/>
      <c r="AI545" s="246"/>
      <c r="AJ545" s="246"/>
      <c r="AK545" s="246"/>
      <c r="AL545" s="246"/>
      <c r="AM545" s="246"/>
      <c r="AN545" s="246"/>
      <c r="AO545" s="246"/>
      <c r="AP545" s="246"/>
      <c r="AQ545" s="246"/>
      <c r="AR545" s="246"/>
      <c r="AS545" s="246"/>
      <c r="AT545" s="246"/>
      <c r="AU545" s="246"/>
      <c r="AV545" s="246"/>
      <c r="AW545" s="246"/>
      <c r="AX545" s="246"/>
      <c r="AY545" s="246"/>
      <c r="AZ545" s="246"/>
      <c r="BA545" s="246"/>
      <c r="BB545" s="246"/>
      <c r="BC545" s="246"/>
      <c r="BD545" s="246"/>
      <c r="BE545" s="246"/>
      <c r="BF545" s="246"/>
      <c r="BG545" s="246"/>
      <c r="BH545" s="246"/>
      <c r="BI545" s="246"/>
      <c r="BJ545" s="246"/>
    </row>
    <row r="546" spans="2:62" ht="15.75">
      <c r="B546" s="7"/>
      <c r="C546" s="334"/>
      <c r="D546" s="334"/>
      <c r="E546" s="399"/>
      <c r="F546" s="334"/>
      <c r="G546" s="334"/>
      <c r="H546" s="399"/>
      <c r="I546" s="334"/>
      <c r="J546" s="409"/>
      <c r="K546" s="399"/>
      <c r="L546" s="409"/>
      <c r="M546" s="399"/>
      <c r="N546" s="409"/>
      <c r="O546" s="399"/>
      <c r="P546" s="334"/>
      <c r="Q546" s="334"/>
      <c r="R546" s="399"/>
      <c r="S546" s="334"/>
      <c r="T546" s="334"/>
      <c r="U546" s="334"/>
      <c r="V546" s="334"/>
      <c r="W546" s="334"/>
      <c r="X546" s="334"/>
      <c r="Y546" s="246"/>
      <c r="Z546" s="246"/>
      <c r="AA546" s="246"/>
      <c r="AB546" s="246"/>
      <c r="AC546" s="246"/>
      <c r="AD546" s="246"/>
      <c r="AE546" s="246"/>
      <c r="AF546" s="246"/>
      <c r="AG546" s="246"/>
      <c r="AH546" s="246"/>
      <c r="AI546" s="246"/>
      <c r="AJ546" s="246"/>
      <c r="AK546" s="246"/>
      <c r="AL546" s="246"/>
      <c r="AM546" s="246"/>
      <c r="AN546" s="246"/>
      <c r="AO546" s="246"/>
      <c r="AP546" s="246"/>
      <c r="AQ546" s="246"/>
      <c r="AR546" s="246"/>
      <c r="AS546" s="246"/>
      <c r="AT546" s="246"/>
      <c r="AU546" s="246"/>
      <c r="AV546" s="246"/>
      <c r="AW546" s="246"/>
      <c r="AX546" s="246"/>
      <c r="AY546" s="246"/>
      <c r="AZ546" s="246"/>
      <c r="BA546" s="246"/>
      <c r="BB546" s="246"/>
      <c r="BC546" s="246"/>
      <c r="BD546" s="246"/>
      <c r="BE546" s="246"/>
      <c r="BF546" s="246"/>
      <c r="BG546" s="246"/>
      <c r="BH546" s="246"/>
      <c r="BI546" s="246"/>
      <c r="BJ546" s="246"/>
    </row>
    <row r="547" spans="2:62" ht="15.75">
      <c r="B547" s="7"/>
      <c r="C547" s="398"/>
      <c r="D547" s="334"/>
      <c r="E547" s="399"/>
      <c r="F547" s="334"/>
      <c r="G547" s="334"/>
      <c r="H547" s="399"/>
      <c r="I547" s="334"/>
      <c r="J547" s="409"/>
      <c r="K547" s="399"/>
      <c r="L547" s="409"/>
      <c r="M547" s="399"/>
      <c r="N547" s="409"/>
      <c r="O547" s="399"/>
      <c r="P547" s="334"/>
      <c r="Q547" s="334"/>
      <c r="R547" s="399"/>
      <c r="S547" s="334"/>
      <c r="T547" s="334"/>
      <c r="U547" s="334"/>
      <c r="V547" s="334"/>
      <c r="W547" s="334"/>
      <c r="X547" s="334"/>
      <c r="Y547" s="246"/>
      <c r="Z547" s="246"/>
      <c r="AA547" s="246"/>
      <c r="AB547" s="246"/>
      <c r="AC547" s="246"/>
      <c r="AD547" s="246"/>
      <c r="AE547" s="246"/>
      <c r="AF547" s="246"/>
      <c r="AG547" s="246"/>
      <c r="AH547" s="246"/>
      <c r="AI547" s="246"/>
      <c r="AJ547" s="246"/>
      <c r="AK547" s="246"/>
      <c r="AL547" s="246"/>
      <c r="AM547" s="246"/>
      <c r="AN547" s="246"/>
      <c r="AO547" s="246"/>
      <c r="AP547" s="246"/>
      <c r="AQ547" s="246"/>
      <c r="AR547" s="246"/>
      <c r="AS547" s="246"/>
      <c r="AT547" s="246"/>
      <c r="AU547" s="246"/>
      <c r="AV547" s="246"/>
      <c r="AW547" s="246"/>
      <c r="AX547" s="246"/>
      <c r="AY547" s="246"/>
      <c r="AZ547" s="246"/>
      <c r="BA547" s="246"/>
      <c r="BB547" s="246"/>
      <c r="BC547" s="246"/>
      <c r="BD547" s="246"/>
      <c r="BE547" s="246"/>
      <c r="BF547" s="246"/>
      <c r="BG547" s="246"/>
      <c r="BH547" s="246"/>
      <c r="BI547" s="246"/>
      <c r="BJ547" s="246"/>
    </row>
    <row r="548" spans="2:62" ht="15.75">
      <c r="B548" s="7"/>
      <c r="C548" s="334"/>
      <c r="D548" s="334"/>
      <c r="E548" s="334"/>
      <c r="F548" s="334"/>
      <c r="G548" s="334"/>
      <c r="H548" s="334"/>
      <c r="I548" s="334"/>
      <c r="J548" s="334"/>
      <c r="K548" s="334"/>
      <c r="L548" s="334"/>
      <c r="M548" s="334"/>
      <c r="N548" s="334"/>
      <c r="O548" s="334"/>
      <c r="P548" s="334"/>
      <c r="Q548" s="334"/>
      <c r="R548" s="334"/>
      <c r="S548" s="334"/>
      <c r="T548" s="334"/>
      <c r="U548" s="334"/>
      <c r="V548" s="334"/>
      <c r="W548" s="334"/>
      <c r="X548" s="334"/>
      <c r="Y548" s="246"/>
      <c r="Z548" s="246"/>
      <c r="AA548" s="246"/>
      <c r="AB548" s="246"/>
      <c r="AC548" s="246"/>
      <c r="AD548" s="246"/>
      <c r="AE548" s="246"/>
      <c r="AF548" s="246"/>
      <c r="AG548" s="246"/>
      <c r="AH548" s="246"/>
      <c r="AI548" s="246"/>
      <c r="AJ548" s="246"/>
      <c r="AK548" s="246"/>
      <c r="AL548" s="246"/>
      <c r="AM548" s="246"/>
      <c r="AN548" s="246"/>
      <c r="AO548" s="246"/>
      <c r="AP548" s="246"/>
      <c r="AQ548" s="246"/>
      <c r="AR548" s="246"/>
      <c r="AS548" s="246"/>
      <c r="AT548" s="246"/>
      <c r="AU548" s="246"/>
      <c r="AV548" s="246"/>
      <c r="AW548" s="246"/>
      <c r="AX548" s="246"/>
      <c r="AY548" s="246"/>
      <c r="AZ548" s="246"/>
      <c r="BA548" s="246"/>
      <c r="BB548" s="246"/>
      <c r="BC548" s="246"/>
      <c r="BD548" s="246"/>
      <c r="BE548" s="246"/>
      <c r="BF548" s="246"/>
      <c r="BG548" s="246"/>
      <c r="BH548" s="246"/>
      <c r="BI548" s="246"/>
      <c r="BJ548" s="246"/>
    </row>
    <row r="549" spans="2:62" ht="15.75">
      <c r="B549" s="7"/>
      <c r="C549" s="334"/>
      <c r="D549" s="334"/>
      <c r="E549" s="399"/>
      <c r="F549" s="409"/>
      <c r="G549" s="334"/>
      <c r="H549" s="399"/>
      <c r="I549" s="409"/>
      <c r="J549" s="409"/>
      <c r="K549" s="334"/>
      <c r="L549" s="409"/>
      <c r="M549" s="334"/>
      <c r="N549" s="409"/>
      <c r="O549" s="334"/>
      <c r="P549" s="409"/>
      <c r="Q549" s="399"/>
      <c r="R549" s="399"/>
      <c r="S549" s="334"/>
      <c r="T549" s="334"/>
      <c r="U549" s="334"/>
      <c r="V549" s="334"/>
      <c r="W549" s="334"/>
      <c r="X549" s="334"/>
      <c r="Y549" s="246"/>
      <c r="Z549" s="246"/>
      <c r="AA549" s="246"/>
      <c r="AB549" s="246"/>
      <c r="AC549" s="246"/>
      <c r="AD549" s="246"/>
      <c r="AE549" s="246"/>
      <c r="AF549" s="246"/>
      <c r="AG549" s="246"/>
      <c r="AH549" s="246"/>
      <c r="AI549" s="246"/>
      <c r="AJ549" s="246"/>
      <c r="AK549" s="246"/>
      <c r="AL549" s="246"/>
      <c r="AM549" s="246"/>
      <c r="AN549" s="246"/>
      <c r="AO549" s="246"/>
      <c r="AP549" s="246"/>
      <c r="AQ549" s="246"/>
      <c r="AR549" s="246"/>
      <c r="AS549" s="246"/>
      <c r="AT549" s="246"/>
      <c r="AU549" s="246"/>
      <c r="AV549" s="246"/>
      <c r="AW549" s="246"/>
      <c r="AX549" s="246"/>
      <c r="AY549" s="246"/>
      <c r="AZ549" s="246"/>
      <c r="BA549" s="246"/>
      <c r="BB549" s="246"/>
      <c r="BC549" s="246"/>
      <c r="BD549" s="246"/>
      <c r="BE549" s="246"/>
      <c r="BF549" s="246"/>
      <c r="BG549" s="246"/>
      <c r="BH549" s="246"/>
      <c r="BI549" s="246"/>
      <c r="BJ549" s="246"/>
    </row>
    <row r="550" spans="2:62" ht="15.75">
      <c r="B550" s="7"/>
      <c r="C550" s="334"/>
      <c r="D550" s="334"/>
      <c r="E550" s="399"/>
      <c r="F550" s="410"/>
      <c r="G550" s="334"/>
      <c r="H550" s="399"/>
      <c r="I550" s="410"/>
      <c r="J550" s="409"/>
      <c r="K550" s="399"/>
      <c r="L550" s="409"/>
      <c r="M550" s="399"/>
      <c r="N550" s="409"/>
      <c r="O550" s="399"/>
      <c r="P550" s="334"/>
      <c r="Q550" s="409"/>
      <c r="R550" s="409"/>
      <c r="S550" s="399"/>
      <c r="T550" s="334"/>
      <c r="U550" s="334"/>
      <c r="V550" s="334"/>
      <c r="W550" s="334"/>
      <c r="X550" s="334"/>
      <c r="Y550" s="246"/>
      <c r="Z550" s="246"/>
      <c r="AA550" s="246"/>
      <c r="AB550" s="246"/>
      <c r="AC550" s="246"/>
      <c r="AD550" s="246"/>
      <c r="AE550" s="246"/>
      <c r="AF550" s="246"/>
      <c r="AG550" s="246"/>
      <c r="AH550" s="246"/>
      <c r="AI550" s="246"/>
      <c r="AJ550" s="246"/>
      <c r="AK550" s="246"/>
      <c r="AL550" s="246"/>
      <c r="AM550" s="246"/>
      <c r="AN550" s="246"/>
      <c r="AO550" s="246"/>
      <c r="AP550" s="246"/>
      <c r="AQ550" s="246"/>
      <c r="AR550" s="246"/>
      <c r="AS550" s="246"/>
      <c r="AT550" s="246"/>
      <c r="AU550" s="246"/>
      <c r="AV550" s="246"/>
      <c r="AW550" s="246"/>
      <c r="AX550" s="246"/>
      <c r="AY550" s="246"/>
      <c r="AZ550" s="246"/>
      <c r="BA550" s="246"/>
      <c r="BB550" s="246"/>
      <c r="BC550" s="246"/>
      <c r="BD550" s="246"/>
      <c r="BE550" s="246"/>
      <c r="BF550" s="246"/>
      <c r="BG550" s="246"/>
      <c r="BH550" s="246"/>
      <c r="BI550" s="246"/>
      <c r="BJ550" s="246"/>
    </row>
    <row r="551" spans="2:62" ht="15.75">
      <c r="B551" s="7"/>
      <c r="C551" s="334"/>
      <c r="D551" s="334"/>
      <c r="E551" s="399"/>
      <c r="F551" s="410"/>
      <c r="G551" s="334"/>
      <c r="H551" s="399"/>
      <c r="I551" s="410"/>
      <c r="J551" s="409"/>
      <c r="K551" s="399"/>
      <c r="L551" s="409"/>
      <c r="M551" s="399"/>
      <c r="N551" s="409"/>
      <c r="O551" s="399"/>
      <c r="P551" s="334"/>
      <c r="Q551" s="334"/>
      <c r="R551" s="399"/>
      <c r="S551" s="399"/>
      <c r="T551" s="334"/>
      <c r="U551" s="334"/>
      <c r="V551" s="334"/>
      <c r="W551" s="334"/>
      <c r="X551" s="334"/>
      <c r="Y551" s="246"/>
      <c r="Z551" s="246"/>
      <c r="AA551" s="246"/>
      <c r="AB551" s="246"/>
      <c r="AC551" s="246"/>
      <c r="AD551" s="246"/>
      <c r="AE551" s="246"/>
      <c r="AF551" s="246"/>
      <c r="AG551" s="246"/>
      <c r="AH551" s="246"/>
      <c r="AI551" s="246"/>
      <c r="AJ551" s="246"/>
      <c r="AK551" s="246"/>
      <c r="AL551" s="246"/>
      <c r="AM551" s="246"/>
      <c r="AN551" s="246"/>
      <c r="AO551" s="246"/>
      <c r="AP551" s="246"/>
      <c r="AQ551" s="246"/>
      <c r="AR551" s="246"/>
      <c r="AS551" s="246"/>
      <c r="AT551" s="246"/>
      <c r="AU551" s="246"/>
      <c r="AV551" s="246"/>
      <c r="AW551" s="246"/>
      <c r="AX551" s="246"/>
      <c r="AY551" s="246"/>
      <c r="AZ551" s="246"/>
      <c r="BA551" s="246"/>
      <c r="BB551" s="246"/>
      <c r="BC551" s="246"/>
      <c r="BD551" s="246"/>
      <c r="BE551" s="246"/>
      <c r="BF551" s="246"/>
      <c r="BG551" s="246"/>
      <c r="BH551" s="246"/>
      <c r="BI551" s="246"/>
      <c r="BJ551" s="246"/>
    </row>
    <row r="552" spans="2:62" ht="15.75">
      <c r="B552" s="7"/>
      <c r="C552" s="334"/>
      <c r="D552" s="334"/>
      <c r="E552" s="399"/>
      <c r="F552" s="409"/>
      <c r="G552" s="334"/>
      <c r="H552" s="399"/>
      <c r="I552" s="409"/>
      <c r="J552" s="409"/>
      <c r="K552" s="399"/>
      <c r="L552" s="409"/>
      <c r="M552" s="399"/>
      <c r="N552" s="409"/>
      <c r="O552" s="399"/>
      <c r="P552" s="334"/>
      <c r="Q552" s="334"/>
      <c r="R552" s="399"/>
      <c r="S552" s="334"/>
      <c r="T552" s="334"/>
      <c r="U552" s="334"/>
      <c r="V552" s="334"/>
      <c r="W552" s="334"/>
      <c r="X552" s="334"/>
      <c r="Y552" s="246"/>
      <c r="Z552" s="246"/>
      <c r="AA552" s="246"/>
      <c r="AB552" s="246"/>
      <c r="AC552" s="246"/>
      <c r="AD552" s="246"/>
      <c r="AE552" s="246"/>
      <c r="AF552" s="246"/>
      <c r="AG552" s="246"/>
      <c r="AH552" s="246"/>
      <c r="AI552" s="246"/>
      <c r="AJ552" s="246"/>
      <c r="AK552" s="246"/>
      <c r="AL552" s="246"/>
      <c r="AM552" s="246"/>
      <c r="AN552" s="246"/>
      <c r="AO552" s="246"/>
      <c r="AP552" s="246"/>
      <c r="AQ552" s="246"/>
      <c r="AR552" s="246"/>
      <c r="AS552" s="246"/>
      <c r="AT552" s="246"/>
      <c r="AU552" s="246"/>
      <c r="AV552" s="246"/>
      <c r="AW552" s="246"/>
      <c r="AX552" s="246"/>
      <c r="AY552" s="246"/>
      <c r="AZ552" s="246"/>
      <c r="BA552" s="246"/>
      <c r="BB552" s="246"/>
      <c r="BC552" s="246"/>
      <c r="BD552" s="246"/>
      <c r="BE552" s="246"/>
      <c r="BF552" s="246"/>
      <c r="BG552" s="246"/>
      <c r="BH552" s="246"/>
      <c r="BI552" s="246"/>
      <c r="BJ552" s="246"/>
    </row>
    <row r="553" spans="2:62" ht="15.75">
      <c r="B553" s="7"/>
      <c r="C553" s="398"/>
      <c r="D553" s="398"/>
      <c r="E553" s="401"/>
      <c r="F553" s="411"/>
      <c r="G553" s="398"/>
      <c r="H553" s="401"/>
      <c r="I553" s="411"/>
      <c r="J553" s="411"/>
      <c r="K553" s="401"/>
      <c r="L553" s="411"/>
      <c r="M553" s="401"/>
      <c r="N553" s="411"/>
      <c r="O553" s="401"/>
      <c r="P553" s="411"/>
      <c r="Q553" s="398"/>
      <c r="R553" s="401"/>
      <c r="S553" s="398"/>
      <c r="T553" s="334"/>
      <c r="U553" s="334"/>
      <c r="V553" s="334"/>
      <c r="W553" s="334"/>
      <c r="X553" s="334"/>
      <c r="Y553" s="246"/>
      <c r="Z553" s="246"/>
      <c r="AA553" s="246"/>
      <c r="AB553" s="246"/>
      <c r="AC553" s="246"/>
      <c r="AD553" s="246"/>
      <c r="AE553" s="246"/>
      <c r="AF553" s="246"/>
      <c r="AG553" s="246"/>
      <c r="AH553" s="246"/>
      <c r="AI553" s="246"/>
      <c r="AJ553" s="246"/>
      <c r="AK553" s="246"/>
      <c r="AL553" s="246"/>
      <c r="AM553" s="246"/>
      <c r="AN553" s="246"/>
      <c r="AO553" s="246"/>
      <c r="AP553" s="246"/>
      <c r="AQ553" s="246"/>
      <c r="AR553" s="246"/>
      <c r="AS553" s="246"/>
      <c r="AT553" s="246"/>
      <c r="AU553" s="246"/>
      <c r="AV553" s="246"/>
      <c r="AW553" s="246"/>
      <c r="AX553" s="246"/>
      <c r="AY553" s="246"/>
      <c r="AZ553" s="246"/>
      <c r="BA553" s="246"/>
      <c r="BB553" s="246"/>
      <c r="BC553" s="246"/>
      <c r="BD553" s="246"/>
      <c r="BE553" s="246"/>
      <c r="BF553" s="246"/>
      <c r="BG553" s="246"/>
      <c r="BH553" s="246"/>
      <c r="BI553" s="246"/>
      <c r="BJ553" s="246"/>
    </row>
    <row r="554" spans="2:62" ht="15.75">
      <c r="B554" s="7"/>
      <c r="C554" s="334"/>
      <c r="D554" s="334"/>
      <c r="E554" s="334"/>
      <c r="F554" s="334"/>
      <c r="G554" s="334"/>
      <c r="H554" s="334"/>
      <c r="I554" s="334"/>
      <c r="J554" s="334"/>
      <c r="K554" s="334"/>
      <c r="L554" s="334"/>
      <c r="M554" s="334"/>
      <c r="N554" s="334"/>
      <c r="O554" s="334"/>
      <c r="P554" s="398"/>
      <c r="Q554" s="411"/>
      <c r="R554" s="411"/>
      <c r="S554" s="334"/>
      <c r="T554" s="334"/>
      <c r="U554" s="334"/>
      <c r="V554" s="334"/>
      <c r="W554" s="334"/>
      <c r="X554" s="334"/>
      <c r="Y554" s="246"/>
      <c r="Z554" s="246"/>
      <c r="AA554" s="246"/>
      <c r="AB554" s="246"/>
      <c r="AC554" s="246"/>
      <c r="AD554" s="246"/>
      <c r="AE554" s="246"/>
      <c r="AF554" s="246"/>
      <c r="AG554" s="246"/>
      <c r="AH554" s="246"/>
      <c r="AI554" s="246"/>
      <c r="AJ554" s="246"/>
      <c r="AK554" s="246"/>
      <c r="AL554" s="246"/>
      <c r="AM554" s="246"/>
      <c r="AN554" s="246"/>
      <c r="AO554" s="246"/>
      <c r="AP554" s="246"/>
      <c r="AQ554" s="246"/>
      <c r="AR554" s="246"/>
      <c r="AS554" s="246"/>
      <c r="AT554" s="246"/>
      <c r="AU554" s="246"/>
      <c r="AV554" s="246"/>
      <c r="AW554" s="246"/>
      <c r="AX554" s="246"/>
      <c r="AY554" s="246"/>
      <c r="AZ554" s="246"/>
      <c r="BA554" s="246"/>
      <c r="BB554" s="246"/>
      <c r="BC554" s="246"/>
      <c r="BD554" s="246"/>
      <c r="BE554" s="246"/>
      <c r="BF554" s="246"/>
      <c r="BG554" s="246"/>
      <c r="BH554" s="246"/>
      <c r="BI554" s="246"/>
      <c r="BJ554" s="246"/>
    </row>
    <row r="555" spans="2:62" ht="15.75">
      <c r="B555" s="7"/>
      <c r="C555" s="334"/>
      <c r="D555" s="334"/>
      <c r="E555" s="399"/>
      <c r="F555" s="409"/>
      <c r="G555" s="334"/>
      <c r="H555" s="399"/>
      <c r="I555" s="409"/>
      <c r="J555" s="409"/>
      <c r="K555" s="399"/>
      <c r="L555" s="409"/>
      <c r="M555" s="399"/>
      <c r="N555" s="409"/>
      <c r="O555" s="399"/>
      <c r="P555" s="334"/>
      <c r="Q555" s="334"/>
      <c r="R555" s="399"/>
      <c r="S555" s="334"/>
      <c r="T555" s="334"/>
      <c r="U555" s="334"/>
      <c r="V555" s="334"/>
      <c r="W555" s="334"/>
      <c r="X555" s="334"/>
      <c r="Y555" s="246"/>
      <c r="Z555" s="246"/>
      <c r="AA555" s="246"/>
      <c r="AB555" s="246"/>
      <c r="AC555" s="246"/>
      <c r="AD555" s="246"/>
      <c r="AE555" s="246"/>
      <c r="AF555" s="246"/>
      <c r="AG555" s="246"/>
      <c r="AH555" s="246"/>
      <c r="AI555" s="246"/>
      <c r="AJ555" s="246"/>
      <c r="AK555" s="246"/>
      <c r="AL555" s="246"/>
      <c r="AM555" s="246"/>
      <c r="AN555" s="246"/>
      <c r="AO555" s="246"/>
      <c r="AP555" s="246"/>
      <c r="AQ555" s="246"/>
      <c r="AR555" s="246"/>
      <c r="AS555" s="246"/>
      <c r="AT555" s="246"/>
      <c r="AU555" s="246"/>
      <c r="AV555" s="246"/>
      <c r="AW555" s="246"/>
      <c r="AX555" s="246"/>
      <c r="AY555" s="246"/>
      <c r="AZ555" s="246"/>
      <c r="BA555" s="246"/>
      <c r="BB555" s="246"/>
      <c r="BC555" s="246"/>
      <c r="BD555" s="246"/>
      <c r="BE555" s="246"/>
      <c r="BF555" s="246"/>
      <c r="BG555" s="246"/>
      <c r="BH555" s="246"/>
      <c r="BI555" s="246"/>
      <c r="BJ555" s="246"/>
    </row>
    <row r="556" spans="2:62" ht="15.75">
      <c r="B556" s="7"/>
      <c r="C556" s="398"/>
      <c r="D556" s="334"/>
      <c r="E556" s="399"/>
      <c r="F556" s="409"/>
      <c r="G556" s="334"/>
      <c r="H556" s="399"/>
      <c r="I556" s="409"/>
      <c r="J556" s="409"/>
      <c r="K556" s="399"/>
      <c r="L556" s="409"/>
      <c r="M556" s="399"/>
      <c r="N556" s="409"/>
      <c r="O556" s="399"/>
      <c r="P556" s="334"/>
      <c r="Q556" s="334"/>
      <c r="R556" s="399"/>
      <c r="S556" s="334"/>
      <c r="T556" s="334"/>
      <c r="U556" s="334"/>
      <c r="V556" s="334"/>
      <c r="W556" s="334"/>
      <c r="X556" s="334"/>
      <c r="Y556" s="246"/>
      <c r="Z556" s="246"/>
      <c r="AA556" s="246"/>
      <c r="AB556" s="246"/>
      <c r="AC556" s="246"/>
      <c r="AD556" s="246"/>
      <c r="AE556" s="246"/>
      <c r="AF556" s="246"/>
      <c r="AG556" s="246"/>
      <c r="AH556" s="246"/>
      <c r="AI556" s="246"/>
      <c r="AJ556" s="246"/>
      <c r="AK556" s="246"/>
      <c r="AL556" s="246"/>
      <c r="AM556" s="246"/>
      <c r="AN556" s="246"/>
      <c r="AO556" s="246"/>
      <c r="AP556" s="246"/>
      <c r="AQ556" s="246"/>
      <c r="AR556" s="246"/>
      <c r="AS556" s="246"/>
      <c r="AT556" s="246"/>
      <c r="AU556" s="246"/>
      <c r="AV556" s="246"/>
      <c r="AW556" s="246"/>
      <c r="AX556" s="246"/>
      <c r="AY556" s="246"/>
      <c r="AZ556" s="246"/>
      <c r="BA556" s="246"/>
      <c r="BB556" s="246"/>
      <c r="BC556" s="246"/>
      <c r="BD556" s="246"/>
      <c r="BE556" s="246"/>
      <c r="BF556" s="246"/>
      <c r="BG556" s="246"/>
      <c r="BH556" s="246"/>
      <c r="BI556" s="246"/>
      <c r="BJ556" s="246"/>
    </row>
    <row r="557" spans="2:62" ht="15.75">
      <c r="B557" s="7"/>
      <c r="C557" s="334"/>
      <c r="D557" s="334"/>
      <c r="E557" s="399"/>
      <c r="F557" s="409"/>
      <c r="G557" s="334"/>
      <c r="H557" s="399"/>
      <c r="I557" s="409"/>
      <c r="J557" s="409"/>
      <c r="K557" s="399"/>
      <c r="L557" s="409"/>
      <c r="M557" s="399"/>
      <c r="N557" s="409"/>
      <c r="O557" s="399"/>
      <c r="P557" s="334"/>
      <c r="Q557" s="334"/>
      <c r="R557" s="399"/>
      <c r="S557" s="334"/>
      <c r="T557" s="334"/>
      <c r="U557" s="334"/>
      <c r="V557" s="334"/>
      <c r="W557" s="334"/>
      <c r="X557" s="334"/>
      <c r="Y557" s="246"/>
      <c r="Z557" s="246"/>
      <c r="AA557" s="246"/>
      <c r="AB557" s="246"/>
      <c r="AC557" s="246"/>
      <c r="AD557" s="246"/>
      <c r="AE557" s="246"/>
      <c r="AF557" s="246"/>
      <c r="AG557" s="246"/>
      <c r="AH557" s="246"/>
      <c r="AI557" s="246"/>
      <c r="AJ557" s="246"/>
      <c r="AK557" s="246"/>
      <c r="AL557" s="246"/>
      <c r="AM557" s="246"/>
      <c r="AN557" s="246"/>
      <c r="AO557" s="246"/>
      <c r="AP557" s="246"/>
      <c r="AQ557" s="246"/>
      <c r="AR557" s="246"/>
      <c r="AS557" s="246"/>
      <c r="AT557" s="246"/>
      <c r="AU557" s="246"/>
      <c r="AV557" s="246"/>
      <c r="AW557" s="246"/>
      <c r="AX557" s="246"/>
      <c r="AY557" s="246"/>
      <c r="AZ557" s="246"/>
      <c r="BA557" s="246"/>
      <c r="BB557" s="246"/>
      <c r="BC557" s="246"/>
      <c r="BD557" s="246"/>
      <c r="BE557" s="246"/>
      <c r="BF557" s="246"/>
      <c r="BG557" s="246"/>
      <c r="BH557" s="246"/>
      <c r="BI557" s="246"/>
      <c r="BJ557" s="246"/>
    </row>
    <row r="558" spans="2:62" ht="15.75">
      <c r="B558" s="7"/>
      <c r="C558" s="334"/>
      <c r="D558" s="334"/>
      <c r="E558" s="334"/>
      <c r="F558" s="334"/>
      <c r="G558" s="334"/>
      <c r="H558" s="334"/>
      <c r="I558" s="334"/>
      <c r="J558" s="334"/>
      <c r="K558" s="334"/>
      <c r="L558" s="334"/>
      <c r="M558" s="334"/>
      <c r="N558" s="334"/>
      <c r="O558" s="334"/>
      <c r="P558" s="409"/>
      <c r="Q558" s="399"/>
      <c r="R558" s="334"/>
      <c r="S558" s="399"/>
      <c r="T558" s="334"/>
      <c r="U558" s="334"/>
      <c r="V558" s="334"/>
      <c r="W558" s="334"/>
      <c r="X558" s="334"/>
      <c r="Y558" s="246"/>
      <c r="Z558" s="246"/>
      <c r="AA558" s="246"/>
      <c r="AB558" s="246"/>
      <c r="AC558" s="246"/>
      <c r="AD558" s="246"/>
      <c r="AE558" s="246"/>
      <c r="AF558" s="246"/>
      <c r="AG558" s="246"/>
      <c r="AH558" s="246"/>
      <c r="AI558" s="246"/>
      <c r="AJ558" s="246"/>
      <c r="AK558" s="246"/>
      <c r="AL558" s="246"/>
      <c r="AM558" s="246"/>
      <c r="AN558" s="246"/>
      <c r="AO558" s="246"/>
      <c r="AP558" s="246"/>
      <c r="AQ558" s="246"/>
      <c r="AR558" s="246"/>
      <c r="AS558" s="246"/>
      <c r="AT558" s="246"/>
      <c r="AU558" s="246"/>
      <c r="AV558" s="246"/>
      <c r="AW558" s="246"/>
      <c r="AX558" s="246"/>
      <c r="AY558" s="246"/>
      <c r="AZ558" s="246"/>
      <c r="BA558" s="246"/>
      <c r="BB558" s="246"/>
      <c r="BC558" s="246"/>
      <c r="BD558" s="246"/>
      <c r="BE558" s="246"/>
      <c r="BF558" s="246"/>
      <c r="BG558" s="246"/>
      <c r="BH558" s="246"/>
      <c r="BI558" s="246"/>
      <c r="BJ558" s="246"/>
    </row>
    <row r="559" spans="2:62" ht="15.75">
      <c r="B559" s="7"/>
      <c r="C559" s="334"/>
      <c r="D559" s="334"/>
      <c r="E559" s="334"/>
      <c r="F559" s="334"/>
      <c r="G559" s="334"/>
      <c r="H559" s="334"/>
      <c r="I559" s="334"/>
      <c r="J559" s="334"/>
      <c r="K559" s="334"/>
      <c r="L559" s="334"/>
      <c r="M559" s="334"/>
      <c r="N559" s="334"/>
      <c r="O559" s="334"/>
      <c r="P559" s="409"/>
      <c r="Q559" s="399"/>
      <c r="R559" s="334"/>
      <c r="S559" s="399"/>
      <c r="T559" s="334"/>
      <c r="U559" s="334"/>
      <c r="V559" s="334"/>
      <c r="W559" s="334"/>
      <c r="X559" s="334"/>
      <c r="Y559" s="246"/>
      <c r="Z559" s="246"/>
      <c r="AA559" s="246"/>
      <c r="AB559" s="246"/>
      <c r="AC559" s="246"/>
      <c r="AD559" s="246"/>
      <c r="AE559" s="246"/>
      <c r="AF559" s="246"/>
      <c r="AG559" s="246"/>
      <c r="AH559" s="246"/>
      <c r="AI559" s="246"/>
      <c r="AJ559" s="246"/>
      <c r="AK559" s="246"/>
      <c r="AL559" s="246"/>
      <c r="AM559" s="246"/>
      <c r="AN559" s="246"/>
      <c r="AO559" s="246"/>
      <c r="AP559" s="246"/>
      <c r="AQ559" s="246"/>
      <c r="AR559" s="246"/>
      <c r="AS559" s="246"/>
      <c r="AT559" s="246"/>
      <c r="AU559" s="246"/>
      <c r="AV559" s="246"/>
      <c r="AW559" s="246"/>
      <c r="AX559" s="246"/>
      <c r="AY559" s="246"/>
      <c r="AZ559" s="246"/>
      <c r="BA559" s="246"/>
      <c r="BB559" s="246"/>
      <c r="BC559" s="246"/>
      <c r="BD559" s="246"/>
      <c r="BE559" s="246"/>
      <c r="BF559" s="246"/>
      <c r="BG559" s="246"/>
      <c r="BH559" s="246"/>
      <c r="BI559" s="246"/>
      <c r="BJ559" s="246"/>
    </row>
    <row r="560" spans="2:62" ht="15.75">
      <c r="B560" s="7"/>
      <c r="C560" s="334"/>
      <c r="D560" s="334"/>
      <c r="E560" s="334"/>
      <c r="F560" s="334"/>
      <c r="G560" s="334"/>
      <c r="H560" s="334"/>
      <c r="I560" s="334"/>
      <c r="J560" s="334"/>
      <c r="K560" s="334"/>
      <c r="L560" s="334"/>
      <c r="M560" s="334"/>
      <c r="N560" s="334"/>
      <c r="O560" s="334"/>
      <c r="P560" s="409"/>
      <c r="Q560" s="399"/>
      <c r="R560" s="334"/>
      <c r="S560" s="399"/>
      <c r="T560" s="334"/>
      <c r="U560" s="334"/>
      <c r="V560" s="334"/>
      <c r="W560" s="334"/>
      <c r="X560" s="334"/>
      <c r="Y560" s="246"/>
      <c r="Z560" s="246"/>
      <c r="AA560" s="246"/>
      <c r="AB560" s="246"/>
      <c r="AC560" s="246"/>
      <c r="AD560" s="246"/>
      <c r="AE560" s="246"/>
      <c r="AF560" s="246"/>
      <c r="AG560" s="246"/>
      <c r="AH560" s="246"/>
      <c r="AI560" s="246"/>
      <c r="AJ560" s="246"/>
      <c r="AK560" s="246"/>
      <c r="AL560" s="246"/>
      <c r="AM560" s="246"/>
      <c r="AN560" s="246"/>
      <c r="AO560" s="246"/>
      <c r="AP560" s="246"/>
      <c r="AQ560" s="246"/>
      <c r="AR560" s="246"/>
      <c r="AS560" s="246"/>
      <c r="AT560" s="246"/>
      <c r="AU560" s="246"/>
      <c r="AV560" s="246"/>
      <c r="AW560" s="246"/>
      <c r="AX560" s="246"/>
      <c r="AY560" s="246"/>
      <c r="AZ560" s="246"/>
      <c r="BA560" s="246"/>
      <c r="BB560" s="246"/>
      <c r="BC560" s="246"/>
      <c r="BD560" s="246"/>
      <c r="BE560" s="246"/>
      <c r="BF560" s="246"/>
      <c r="BG560" s="246"/>
      <c r="BH560" s="246"/>
      <c r="BI560" s="246"/>
      <c r="BJ560" s="246"/>
    </row>
    <row r="561" spans="2:62" ht="15.75">
      <c r="B561" s="7"/>
      <c r="C561" s="334"/>
      <c r="D561" s="334"/>
      <c r="E561" s="334"/>
      <c r="F561" s="334"/>
      <c r="G561" s="334"/>
      <c r="H561" s="334"/>
      <c r="I561" s="334"/>
      <c r="J561" s="334"/>
      <c r="K561" s="334"/>
      <c r="L561" s="334"/>
      <c r="M561" s="334"/>
      <c r="N561" s="334"/>
      <c r="O561" s="334"/>
      <c r="P561" s="409"/>
      <c r="Q561" s="399"/>
      <c r="R561" s="334"/>
      <c r="S561" s="399"/>
      <c r="T561" s="334"/>
      <c r="U561" s="334"/>
      <c r="V561" s="334"/>
      <c r="W561" s="334"/>
      <c r="X561" s="334"/>
      <c r="Y561" s="246"/>
      <c r="Z561" s="246"/>
      <c r="AA561" s="246"/>
      <c r="AB561" s="246"/>
      <c r="AC561" s="246"/>
      <c r="AD561" s="246"/>
      <c r="AE561" s="246"/>
      <c r="AF561" s="246"/>
      <c r="AG561" s="246"/>
      <c r="AH561" s="246"/>
      <c r="AI561" s="246"/>
      <c r="AJ561" s="246"/>
      <c r="AK561" s="246"/>
      <c r="AL561" s="246"/>
      <c r="AM561" s="246"/>
      <c r="AN561" s="246"/>
      <c r="AO561" s="246"/>
      <c r="AP561" s="246"/>
      <c r="AQ561" s="246"/>
      <c r="AR561" s="246"/>
      <c r="AS561" s="246"/>
      <c r="AT561" s="246"/>
      <c r="AU561" s="246"/>
      <c r="AV561" s="246"/>
      <c r="AW561" s="246"/>
      <c r="AX561" s="246"/>
      <c r="AY561" s="246"/>
      <c r="AZ561" s="246"/>
      <c r="BA561" s="246"/>
      <c r="BB561" s="246"/>
      <c r="BC561" s="246"/>
      <c r="BD561" s="246"/>
      <c r="BE561" s="246"/>
      <c r="BF561" s="246"/>
      <c r="BG561" s="246"/>
      <c r="BH561" s="246"/>
      <c r="BI561" s="246"/>
      <c r="BJ561" s="246"/>
    </row>
    <row r="562" spans="2:62" ht="15.75">
      <c r="B562" s="7"/>
      <c r="C562" s="334"/>
      <c r="D562" s="334"/>
      <c r="E562" s="334"/>
      <c r="F562" s="334"/>
      <c r="G562" s="334"/>
      <c r="H562" s="334"/>
      <c r="I562" s="334"/>
      <c r="J562" s="334"/>
      <c r="K562" s="334"/>
      <c r="L562" s="334"/>
      <c r="M562" s="334"/>
      <c r="N562" s="334"/>
      <c r="O562" s="334"/>
      <c r="P562" s="409"/>
      <c r="Q562" s="399"/>
      <c r="R562" s="334"/>
      <c r="S562" s="399"/>
      <c r="T562" s="334"/>
      <c r="U562" s="334"/>
      <c r="V562" s="334"/>
      <c r="W562" s="334"/>
      <c r="X562" s="334"/>
      <c r="Y562" s="246"/>
      <c r="Z562" s="246"/>
      <c r="AA562" s="246"/>
      <c r="AB562" s="246"/>
      <c r="AC562" s="246"/>
      <c r="AD562" s="246"/>
      <c r="AE562" s="246"/>
      <c r="AF562" s="246"/>
      <c r="AG562" s="246"/>
      <c r="AH562" s="246"/>
      <c r="AI562" s="246"/>
      <c r="AJ562" s="246"/>
      <c r="AK562" s="246"/>
      <c r="AL562" s="246"/>
      <c r="AM562" s="246"/>
      <c r="AN562" s="246"/>
      <c r="AO562" s="246"/>
      <c r="AP562" s="246"/>
      <c r="AQ562" s="246"/>
      <c r="AR562" s="246"/>
      <c r="AS562" s="246"/>
      <c r="AT562" s="246"/>
      <c r="AU562" s="246"/>
      <c r="AV562" s="246"/>
      <c r="AW562" s="246"/>
      <c r="AX562" s="246"/>
      <c r="AY562" s="246"/>
      <c r="AZ562" s="246"/>
      <c r="BA562" s="246"/>
      <c r="BB562" s="246"/>
      <c r="BC562" s="246"/>
      <c r="BD562" s="246"/>
      <c r="BE562" s="246"/>
      <c r="BF562" s="246"/>
      <c r="BG562" s="246"/>
      <c r="BH562" s="246"/>
      <c r="BI562" s="246"/>
      <c r="BJ562" s="246"/>
    </row>
    <row r="563" spans="2:62" ht="15.75">
      <c r="B563" s="7"/>
      <c r="C563" s="334"/>
      <c r="D563" s="334"/>
      <c r="E563" s="334"/>
      <c r="F563" s="334"/>
      <c r="G563" s="334"/>
      <c r="H563" s="334"/>
      <c r="I563" s="334"/>
      <c r="J563" s="334"/>
      <c r="K563" s="334"/>
      <c r="L563" s="334"/>
      <c r="M563" s="334"/>
      <c r="N563" s="334"/>
      <c r="O563" s="334"/>
      <c r="P563" s="409"/>
      <c r="Q563" s="399"/>
      <c r="R563" s="334"/>
      <c r="S563" s="399"/>
      <c r="T563" s="334"/>
      <c r="U563" s="334"/>
      <c r="V563" s="334"/>
      <c r="W563" s="334"/>
      <c r="X563" s="334"/>
      <c r="Y563" s="246"/>
      <c r="Z563" s="246"/>
      <c r="AA563" s="246"/>
      <c r="AB563" s="246"/>
      <c r="AC563" s="246"/>
      <c r="AD563" s="246"/>
      <c r="AE563" s="246"/>
      <c r="AF563" s="246"/>
      <c r="AG563" s="246"/>
      <c r="AH563" s="246"/>
      <c r="AI563" s="246"/>
      <c r="AJ563" s="246"/>
      <c r="AK563" s="246"/>
      <c r="AL563" s="246"/>
      <c r="AM563" s="246"/>
      <c r="AN563" s="246"/>
      <c r="AO563" s="246"/>
      <c r="AP563" s="246"/>
      <c r="AQ563" s="246"/>
      <c r="AR563" s="246"/>
      <c r="AS563" s="246"/>
      <c r="AT563" s="246"/>
      <c r="AU563" s="246"/>
      <c r="AV563" s="246"/>
      <c r="AW563" s="246"/>
      <c r="AX563" s="246"/>
      <c r="AY563" s="246"/>
      <c r="AZ563" s="246"/>
      <c r="BA563" s="246"/>
      <c r="BB563" s="246"/>
      <c r="BC563" s="246"/>
      <c r="BD563" s="246"/>
      <c r="BE563" s="246"/>
      <c r="BF563" s="246"/>
      <c r="BG563" s="246"/>
      <c r="BH563" s="246"/>
      <c r="BI563" s="246"/>
      <c r="BJ563" s="246"/>
    </row>
    <row r="564" spans="2:62" ht="15.75">
      <c r="B564" s="7"/>
      <c r="C564" s="334"/>
      <c r="D564" s="334"/>
      <c r="E564" s="334"/>
      <c r="F564" s="334"/>
      <c r="G564" s="334"/>
      <c r="H564" s="334"/>
      <c r="I564" s="334"/>
      <c r="J564" s="334"/>
      <c r="K564" s="334"/>
      <c r="L564" s="334"/>
      <c r="M564" s="334"/>
      <c r="N564" s="334"/>
      <c r="O564" s="334"/>
      <c r="P564" s="409"/>
      <c r="Q564" s="399"/>
      <c r="R564" s="334"/>
      <c r="S564" s="399"/>
      <c r="T564" s="334"/>
      <c r="U564" s="334"/>
      <c r="V564" s="334"/>
      <c r="W564" s="334"/>
      <c r="X564" s="334"/>
      <c r="Y564" s="246"/>
      <c r="Z564" s="246"/>
      <c r="AA564" s="246"/>
      <c r="AB564" s="246"/>
      <c r="AC564" s="246"/>
      <c r="AD564" s="246"/>
      <c r="AE564" s="246"/>
      <c r="AF564" s="246"/>
      <c r="AG564" s="246"/>
      <c r="AH564" s="246"/>
      <c r="AI564" s="246"/>
      <c r="AJ564" s="246"/>
      <c r="AK564" s="246"/>
      <c r="AL564" s="246"/>
      <c r="AM564" s="246"/>
      <c r="AN564" s="246"/>
      <c r="AO564" s="246"/>
      <c r="AP564" s="246"/>
      <c r="AQ564" s="246"/>
      <c r="AR564" s="246"/>
      <c r="AS564" s="246"/>
      <c r="AT564" s="246"/>
      <c r="AU564" s="246"/>
      <c r="AV564" s="246"/>
      <c r="AW564" s="246"/>
      <c r="AX564" s="246"/>
      <c r="AY564" s="246"/>
      <c r="AZ564" s="246"/>
      <c r="BA564" s="246"/>
      <c r="BB564" s="246"/>
      <c r="BC564" s="246"/>
      <c r="BD564" s="246"/>
      <c r="BE564" s="246"/>
      <c r="BF564" s="246"/>
      <c r="BG564" s="246"/>
      <c r="BH564" s="246"/>
      <c r="BI564" s="246"/>
      <c r="BJ564" s="246"/>
    </row>
    <row r="565" spans="2:62" ht="15.75">
      <c r="B565" s="7"/>
      <c r="C565" s="334"/>
      <c r="D565" s="334"/>
      <c r="E565" s="334"/>
      <c r="F565" s="334"/>
      <c r="G565" s="334"/>
      <c r="H565" s="334"/>
      <c r="I565" s="334"/>
      <c r="J565" s="334"/>
      <c r="K565" s="334"/>
      <c r="L565" s="334"/>
      <c r="M565" s="334"/>
      <c r="N565" s="334"/>
      <c r="O565" s="334"/>
      <c r="P565" s="409"/>
      <c r="Q565" s="399"/>
      <c r="R565" s="334"/>
      <c r="S565" s="399"/>
      <c r="T565" s="334"/>
      <c r="U565" s="334"/>
      <c r="V565" s="334"/>
      <c r="W565" s="334"/>
      <c r="X565" s="334"/>
      <c r="Y565" s="246"/>
      <c r="Z565" s="246"/>
      <c r="AA565" s="246"/>
      <c r="AB565" s="246"/>
      <c r="AC565" s="246"/>
      <c r="AD565" s="246"/>
      <c r="AE565" s="246"/>
      <c r="AF565" s="246"/>
      <c r="AG565" s="246"/>
      <c r="AH565" s="246"/>
      <c r="AI565" s="246"/>
      <c r="AJ565" s="246"/>
      <c r="AK565" s="246"/>
      <c r="AL565" s="246"/>
      <c r="AM565" s="246"/>
      <c r="AN565" s="246"/>
      <c r="AO565" s="246"/>
      <c r="AP565" s="246"/>
      <c r="AQ565" s="246"/>
      <c r="AR565" s="246"/>
      <c r="AS565" s="246"/>
      <c r="AT565" s="246"/>
      <c r="AU565" s="246"/>
      <c r="AV565" s="246"/>
      <c r="AW565" s="246"/>
      <c r="AX565" s="246"/>
      <c r="AY565" s="246"/>
      <c r="AZ565" s="246"/>
      <c r="BA565" s="246"/>
      <c r="BB565" s="246"/>
      <c r="BC565" s="246"/>
      <c r="BD565" s="246"/>
      <c r="BE565" s="246"/>
      <c r="BF565" s="246"/>
      <c r="BG565" s="246"/>
      <c r="BH565" s="246"/>
      <c r="BI565" s="246"/>
      <c r="BJ565" s="246"/>
    </row>
    <row r="566" spans="2:62" ht="15.75">
      <c r="B566" s="7"/>
      <c r="C566" s="398"/>
      <c r="D566" s="398"/>
      <c r="E566" s="334"/>
      <c r="F566" s="334"/>
      <c r="G566" s="398"/>
      <c r="H566" s="334"/>
      <c r="I566" s="334"/>
      <c r="J566" s="334"/>
      <c r="K566" s="334"/>
      <c r="L566" s="334"/>
      <c r="M566" s="334"/>
      <c r="N566" s="334"/>
      <c r="O566" s="334"/>
      <c r="P566" s="411"/>
      <c r="Q566" s="401"/>
      <c r="R566" s="334"/>
      <c r="S566" s="401"/>
      <c r="T566" s="334"/>
      <c r="U566" s="334"/>
      <c r="V566" s="334"/>
      <c r="W566" s="334"/>
      <c r="X566" s="334"/>
      <c r="Y566" s="246"/>
      <c r="Z566" s="246"/>
      <c r="AA566" s="246"/>
      <c r="AB566" s="246"/>
      <c r="AC566" s="246"/>
      <c r="AD566" s="246"/>
      <c r="AE566" s="246"/>
      <c r="AF566" s="246"/>
      <c r="AG566" s="246"/>
      <c r="AH566" s="246"/>
      <c r="AI566" s="246"/>
      <c r="AJ566" s="246"/>
      <c r="AK566" s="246"/>
      <c r="AL566" s="246"/>
      <c r="AM566" s="246"/>
      <c r="AN566" s="246"/>
      <c r="AO566" s="246"/>
      <c r="AP566" s="246"/>
      <c r="AQ566" s="246"/>
      <c r="AR566" s="246"/>
      <c r="AS566" s="246"/>
      <c r="AT566" s="246"/>
      <c r="AU566" s="246"/>
      <c r="AV566" s="246"/>
      <c r="AW566" s="246"/>
      <c r="AX566" s="246"/>
      <c r="AY566" s="246"/>
      <c r="AZ566" s="246"/>
      <c r="BA566" s="246"/>
      <c r="BB566" s="246"/>
      <c r="BC566" s="246"/>
      <c r="BD566" s="246"/>
      <c r="BE566" s="246"/>
      <c r="BF566" s="246"/>
      <c r="BG566" s="246"/>
      <c r="BH566" s="246"/>
      <c r="BI566" s="246"/>
      <c r="BJ566" s="246"/>
    </row>
    <row r="567" spans="2:62" ht="15.75">
      <c r="B567" s="7"/>
      <c r="C567" s="334"/>
      <c r="D567" s="334"/>
      <c r="E567" s="334"/>
      <c r="F567" s="334"/>
      <c r="G567" s="334"/>
      <c r="H567" s="334"/>
      <c r="I567" s="334"/>
      <c r="J567" s="334"/>
      <c r="K567" s="334"/>
      <c r="L567" s="334"/>
      <c r="M567" s="334"/>
      <c r="N567" s="334"/>
      <c r="O567" s="334"/>
      <c r="P567" s="411"/>
      <c r="Q567" s="411"/>
      <c r="R567" s="334"/>
      <c r="S567" s="334"/>
      <c r="T567" s="334"/>
      <c r="U567" s="334"/>
      <c r="V567" s="334"/>
      <c r="W567" s="334"/>
      <c r="X567" s="334"/>
      <c r="Y567" s="246"/>
      <c r="Z567" s="246"/>
      <c r="AA567" s="246"/>
      <c r="AB567" s="246"/>
      <c r="AC567" s="246"/>
      <c r="AD567" s="246"/>
      <c r="AE567" s="246"/>
      <c r="AF567" s="246"/>
      <c r="AG567" s="246"/>
      <c r="AH567" s="246"/>
      <c r="AI567" s="246"/>
      <c r="AJ567" s="246"/>
      <c r="AK567" s="246"/>
      <c r="AL567" s="246"/>
      <c r="AM567" s="246"/>
      <c r="AN567" s="246"/>
      <c r="AO567" s="246"/>
      <c r="AP567" s="246"/>
      <c r="AQ567" s="246"/>
      <c r="AR567" s="246"/>
      <c r="AS567" s="246"/>
      <c r="AT567" s="246"/>
      <c r="AU567" s="246"/>
      <c r="AV567" s="246"/>
      <c r="AW567" s="246"/>
      <c r="AX567" s="246"/>
      <c r="AY567" s="246"/>
      <c r="AZ567" s="246"/>
      <c r="BA567" s="246"/>
      <c r="BB567" s="246"/>
      <c r="BC567" s="246"/>
      <c r="BD567" s="246"/>
      <c r="BE567" s="246"/>
      <c r="BF567" s="246"/>
      <c r="BG567" s="246"/>
      <c r="BH567" s="246"/>
      <c r="BI567" s="246"/>
      <c r="BJ567" s="246"/>
    </row>
    <row r="568" spans="2:62" ht="15.75">
      <c r="B568" s="7"/>
      <c r="C568" s="334"/>
      <c r="D568" s="334"/>
      <c r="E568" s="334"/>
      <c r="F568" s="334"/>
      <c r="G568" s="334"/>
      <c r="H568" s="334"/>
      <c r="I568" s="334"/>
      <c r="J568" s="334"/>
      <c r="K568" s="334"/>
      <c r="L568" s="334"/>
      <c r="M568" s="334"/>
      <c r="N568" s="334"/>
      <c r="O568" s="334"/>
      <c r="P568" s="409"/>
      <c r="Q568" s="399"/>
      <c r="R568" s="334"/>
      <c r="S568" s="399"/>
      <c r="T568" s="334"/>
      <c r="U568" s="334"/>
      <c r="V568" s="334"/>
      <c r="W568" s="334"/>
      <c r="X568" s="334"/>
      <c r="Y568" s="246"/>
      <c r="Z568" s="246"/>
      <c r="AA568" s="246"/>
      <c r="AB568" s="246"/>
      <c r="AC568" s="246"/>
      <c r="AD568" s="246"/>
      <c r="AE568" s="246"/>
      <c r="AF568" s="246"/>
      <c r="AG568" s="246"/>
      <c r="AH568" s="246"/>
      <c r="AI568" s="246"/>
      <c r="AJ568" s="246"/>
      <c r="AK568" s="246"/>
      <c r="AL568" s="246"/>
      <c r="AM568" s="246"/>
      <c r="AN568" s="246"/>
      <c r="AO568" s="246"/>
      <c r="AP568" s="246"/>
      <c r="AQ568" s="246"/>
      <c r="AR568" s="246"/>
      <c r="AS568" s="246"/>
      <c r="AT568" s="246"/>
      <c r="AU568" s="246"/>
      <c r="AV568" s="246"/>
      <c r="AW568" s="246"/>
      <c r="AX568" s="246"/>
      <c r="AY568" s="246"/>
      <c r="AZ568" s="246"/>
      <c r="BA568" s="246"/>
      <c r="BB568" s="246"/>
      <c r="BC568" s="246"/>
      <c r="BD568" s="246"/>
      <c r="BE568" s="246"/>
      <c r="BF568" s="246"/>
      <c r="BG568" s="246"/>
      <c r="BH568" s="246"/>
      <c r="BI568" s="246"/>
      <c r="BJ568" s="246"/>
    </row>
    <row r="569" spans="2:62" ht="15.75">
      <c r="B569" s="7"/>
      <c r="C569" s="334"/>
      <c r="D569" s="334"/>
      <c r="E569" s="334"/>
      <c r="F569" s="334"/>
      <c r="G569" s="334"/>
      <c r="H569" s="334"/>
      <c r="I569" s="334"/>
      <c r="J569" s="334"/>
      <c r="K569" s="334"/>
      <c r="L569" s="334"/>
      <c r="M569" s="334"/>
      <c r="N569" s="334"/>
      <c r="O569" s="334"/>
      <c r="P569" s="409"/>
      <c r="Q569" s="399"/>
      <c r="R569" s="334"/>
      <c r="S569" s="399"/>
      <c r="T569" s="334"/>
      <c r="U569" s="334"/>
      <c r="V569" s="334"/>
      <c r="W569" s="334"/>
      <c r="X569" s="334"/>
      <c r="Y569" s="246"/>
      <c r="Z569" s="246"/>
      <c r="AA569" s="246"/>
      <c r="AB569" s="246"/>
      <c r="AC569" s="246"/>
      <c r="AD569" s="246"/>
      <c r="AE569" s="246"/>
      <c r="AF569" s="246"/>
      <c r="AG569" s="246"/>
      <c r="AH569" s="246"/>
      <c r="AI569" s="246"/>
      <c r="AJ569" s="246"/>
      <c r="AK569" s="246"/>
      <c r="AL569" s="246"/>
      <c r="AM569" s="246"/>
      <c r="AN569" s="246"/>
      <c r="AO569" s="246"/>
      <c r="AP569" s="246"/>
      <c r="AQ569" s="246"/>
      <c r="AR569" s="246"/>
      <c r="AS569" s="246"/>
      <c r="AT569" s="246"/>
      <c r="AU569" s="246"/>
      <c r="AV569" s="246"/>
      <c r="AW569" s="246"/>
      <c r="AX569" s="246"/>
      <c r="AY569" s="246"/>
      <c r="AZ569" s="246"/>
      <c r="BA569" s="246"/>
      <c r="BB569" s="246"/>
      <c r="BC569" s="246"/>
      <c r="BD569" s="246"/>
      <c r="BE569" s="246"/>
      <c r="BF569" s="246"/>
      <c r="BG569" s="246"/>
      <c r="BH569" s="246"/>
      <c r="BI569" s="246"/>
      <c r="BJ569" s="246"/>
    </row>
    <row r="570" spans="2:62" ht="15.75">
      <c r="B570" s="7"/>
      <c r="C570" s="398"/>
      <c r="D570" s="334"/>
      <c r="E570" s="334"/>
      <c r="F570" s="334"/>
      <c r="G570" s="334"/>
      <c r="H570" s="334"/>
      <c r="I570" s="334"/>
      <c r="J570" s="334"/>
      <c r="K570" s="334"/>
      <c r="L570" s="334"/>
      <c r="M570" s="334"/>
      <c r="N570" s="334"/>
      <c r="O570" s="334"/>
      <c r="P570" s="411"/>
      <c r="Q570" s="401"/>
      <c r="R570" s="334"/>
      <c r="S570" s="401"/>
      <c r="T570" s="334"/>
      <c r="U570" s="334"/>
      <c r="V570" s="334"/>
      <c r="W570" s="334"/>
      <c r="X570" s="334"/>
      <c r="Y570" s="246"/>
      <c r="Z570" s="246"/>
      <c r="AA570" s="246"/>
      <c r="AB570" s="246"/>
      <c r="AC570" s="246"/>
      <c r="AD570" s="246"/>
      <c r="AE570" s="246"/>
      <c r="AF570" s="246"/>
      <c r="AG570" s="246"/>
      <c r="AH570" s="246"/>
      <c r="AI570" s="246"/>
      <c r="AJ570" s="246"/>
      <c r="AK570" s="246"/>
      <c r="AL570" s="246"/>
      <c r="AM570" s="246"/>
      <c r="AN570" s="246"/>
      <c r="AO570" s="246"/>
      <c r="AP570" s="246"/>
      <c r="AQ570" s="246"/>
      <c r="AR570" s="246"/>
      <c r="AS570" s="246"/>
      <c r="AT570" s="246"/>
      <c r="AU570" s="246"/>
      <c r="AV570" s="246"/>
      <c r="AW570" s="246"/>
      <c r="AX570" s="246"/>
      <c r="AY570" s="246"/>
      <c r="AZ570" s="246"/>
      <c r="BA570" s="246"/>
      <c r="BB570" s="246"/>
      <c r="BC570" s="246"/>
      <c r="BD570" s="246"/>
      <c r="BE570" s="246"/>
      <c r="BF570" s="246"/>
      <c r="BG570" s="246"/>
      <c r="BH570" s="246"/>
      <c r="BI570" s="246"/>
      <c r="BJ570" s="246"/>
    </row>
    <row r="571" spans="2:62" ht="15.75">
      <c r="B571" s="7"/>
      <c r="C571" s="334"/>
      <c r="D571" s="334"/>
      <c r="E571" s="334"/>
      <c r="F571" s="334"/>
      <c r="G571" s="334"/>
      <c r="H571" s="334"/>
      <c r="I571" s="334"/>
      <c r="J571" s="334"/>
      <c r="K571" s="334"/>
      <c r="L571" s="334"/>
      <c r="M571" s="334"/>
      <c r="N571" s="334"/>
      <c r="O571" s="334"/>
      <c r="P571" s="411"/>
      <c r="Q571" s="411"/>
      <c r="R571" s="334"/>
      <c r="S571" s="334"/>
      <c r="T571" s="334"/>
      <c r="U571" s="334"/>
      <c r="V571" s="334"/>
      <c r="W571" s="334"/>
      <c r="X571" s="334"/>
      <c r="Y571" s="246"/>
      <c r="Z571" s="246"/>
      <c r="AA571" s="246"/>
      <c r="AB571" s="246"/>
      <c r="AC571" s="246"/>
      <c r="AD571" s="246"/>
      <c r="AE571" s="246"/>
      <c r="AF571" s="246"/>
      <c r="AG571" s="246"/>
      <c r="AH571" s="246"/>
      <c r="AI571" s="246"/>
      <c r="AJ571" s="246"/>
      <c r="AK571" s="246"/>
      <c r="AL571" s="246"/>
      <c r="AM571" s="246"/>
      <c r="AN571" s="246"/>
      <c r="AO571" s="246"/>
      <c r="AP571" s="246"/>
      <c r="AQ571" s="246"/>
      <c r="AR571" s="246"/>
      <c r="AS571" s="246"/>
      <c r="AT571" s="246"/>
      <c r="AU571" s="246"/>
      <c r="AV571" s="246"/>
      <c r="AW571" s="246"/>
      <c r="AX571" s="246"/>
      <c r="AY571" s="246"/>
      <c r="AZ571" s="246"/>
      <c r="BA571" s="246"/>
      <c r="BB571" s="246"/>
      <c r="BC571" s="246"/>
      <c r="BD571" s="246"/>
      <c r="BE571" s="246"/>
      <c r="BF571" s="246"/>
      <c r="BG571" s="246"/>
      <c r="BH571" s="246"/>
      <c r="BI571" s="246"/>
      <c r="BJ571" s="246"/>
    </row>
    <row r="572" spans="2:62" ht="15.75">
      <c r="B572" s="7"/>
      <c r="C572" s="334"/>
      <c r="D572" s="334"/>
      <c r="E572" s="334"/>
      <c r="F572" s="334"/>
      <c r="G572" s="334"/>
      <c r="H572" s="334"/>
      <c r="I572" s="334"/>
      <c r="J572" s="334"/>
      <c r="K572" s="334"/>
      <c r="L572" s="334"/>
      <c r="M572" s="334"/>
      <c r="N572" s="334"/>
      <c r="O572" s="334"/>
      <c r="P572" s="409"/>
      <c r="Q572" s="399"/>
      <c r="R572" s="334"/>
      <c r="S572" s="399"/>
      <c r="T572" s="334"/>
      <c r="U572" s="334"/>
      <c r="V572" s="334"/>
      <c r="W572" s="334"/>
      <c r="X572" s="334"/>
      <c r="Y572" s="246"/>
      <c r="Z572" s="246"/>
      <c r="AA572" s="246"/>
      <c r="AB572" s="246"/>
      <c r="AC572" s="246"/>
      <c r="AD572" s="246"/>
      <c r="AE572" s="246"/>
      <c r="AF572" s="246"/>
      <c r="AG572" s="246"/>
      <c r="AH572" s="246"/>
      <c r="AI572" s="246"/>
      <c r="AJ572" s="246"/>
      <c r="AK572" s="246"/>
      <c r="AL572" s="246"/>
      <c r="AM572" s="246"/>
      <c r="AN572" s="246"/>
      <c r="AO572" s="246"/>
      <c r="AP572" s="246"/>
      <c r="AQ572" s="246"/>
      <c r="AR572" s="246"/>
      <c r="AS572" s="246"/>
      <c r="AT572" s="246"/>
      <c r="AU572" s="246"/>
      <c r="AV572" s="246"/>
      <c r="AW572" s="246"/>
      <c r="AX572" s="246"/>
      <c r="AY572" s="246"/>
      <c r="AZ572" s="246"/>
      <c r="BA572" s="246"/>
      <c r="BB572" s="246"/>
      <c r="BC572" s="246"/>
      <c r="BD572" s="246"/>
      <c r="BE572" s="246"/>
      <c r="BF572" s="246"/>
      <c r="BG572" s="246"/>
      <c r="BH572" s="246"/>
      <c r="BI572" s="246"/>
      <c r="BJ572" s="246"/>
    </row>
    <row r="573" spans="2:62" ht="15.75">
      <c r="B573" s="7"/>
      <c r="C573" s="398"/>
      <c r="D573" s="398"/>
      <c r="E573" s="334"/>
      <c r="F573" s="334"/>
      <c r="G573" s="398"/>
      <c r="H573" s="334"/>
      <c r="I573" s="334"/>
      <c r="J573" s="334"/>
      <c r="K573" s="334"/>
      <c r="L573" s="334"/>
      <c r="M573" s="334"/>
      <c r="N573" s="334"/>
      <c r="O573" s="334"/>
      <c r="P573" s="411"/>
      <c r="Q573" s="401"/>
      <c r="R573" s="334"/>
      <c r="S573" s="401"/>
      <c r="T573" s="334"/>
      <c r="U573" s="334"/>
      <c r="V573" s="334"/>
      <c r="W573" s="334"/>
      <c r="X573" s="334"/>
      <c r="Y573" s="246"/>
      <c r="Z573" s="246"/>
      <c r="AA573" s="246"/>
      <c r="AB573" s="246"/>
      <c r="AC573" s="246"/>
      <c r="AD573" s="246"/>
      <c r="AE573" s="246"/>
      <c r="AF573" s="246"/>
      <c r="AG573" s="246"/>
      <c r="AH573" s="246"/>
      <c r="AI573" s="246"/>
      <c r="AJ573" s="246"/>
      <c r="AK573" s="246"/>
      <c r="AL573" s="246"/>
      <c r="AM573" s="246"/>
      <c r="AN573" s="246"/>
      <c r="AO573" s="246"/>
      <c r="AP573" s="246"/>
      <c r="AQ573" s="246"/>
      <c r="AR573" s="246"/>
      <c r="AS573" s="246"/>
      <c r="AT573" s="246"/>
      <c r="AU573" s="246"/>
      <c r="AV573" s="246"/>
      <c r="AW573" s="246"/>
      <c r="AX573" s="246"/>
      <c r="AY573" s="246"/>
      <c r="AZ573" s="246"/>
      <c r="BA573" s="246"/>
      <c r="BB573" s="246"/>
      <c r="BC573" s="246"/>
      <c r="BD573" s="246"/>
      <c r="BE573" s="246"/>
      <c r="BF573" s="246"/>
      <c r="BG573" s="246"/>
      <c r="BH573" s="246"/>
      <c r="BI573" s="246"/>
      <c r="BJ573" s="246"/>
    </row>
    <row r="574" spans="2:62" ht="15.75">
      <c r="B574" s="7"/>
      <c r="C574" s="334"/>
      <c r="D574" s="334"/>
      <c r="E574" s="334"/>
      <c r="F574" s="334"/>
      <c r="G574" s="334"/>
      <c r="H574" s="334"/>
      <c r="I574" s="334"/>
      <c r="J574" s="334"/>
      <c r="K574" s="334"/>
      <c r="L574" s="334"/>
      <c r="M574" s="334"/>
      <c r="N574" s="334"/>
      <c r="O574" s="334"/>
      <c r="P574" s="411"/>
      <c r="Q574" s="411"/>
      <c r="R574" s="334"/>
      <c r="S574" s="334"/>
      <c r="T574" s="334"/>
      <c r="U574" s="334"/>
      <c r="V574" s="334"/>
      <c r="W574" s="334"/>
      <c r="X574" s="334"/>
      <c r="Y574" s="246"/>
      <c r="Z574" s="246"/>
      <c r="AA574" s="246"/>
      <c r="AB574" s="246"/>
      <c r="AC574" s="246"/>
      <c r="AD574" s="246"/>
      <c r="AE574" s="246"/>
      <c r="AF574" s="246"/>
      <c r="AG574" s="246"/>
      <c r="AH574" s="246"/>
      <c r="AI574" s="246"/>
      <c r="AJ574" s="246"/>
      <c r="AK574" s="246"/>
      <c r="AL574" s="246"/>
      <c r="AM574" s="246"/>
      <c r="AN574" s="246"/>
      <c r="AO574" s="246"/>
      <c r="AP574" s="246"/>
      <c r="AQ574" s="246"/>
      <c r="AR574" s="246"/>
      <c r="AS574" s="246"/>
      <c r="AT574" s="246"/>
      <c r="AU574" s="246"/>
      <c r="AV574" s="246"/>
      <c r="AW574" s="246"/>
      <c r="AX574" s="246"/>
      <c r="AY574" s="246"/>
      <c r="AZ574" s="246"/>
      <c r="BA574" s="246"/>
      <c r="BB574" s="246"/>
      <c r="BC574" s="246"/>
      <c r="BD574" s="246"/>
      <c r="BE574" s="246"/>
      <c r="BF574" s="246"/>
      <c r="BG574" s="246"/>
      <c r="BH574" s="246"/>
      <c r="BI574" s="246"/>
      <c r="BJ574" s="246"/>
    </row>
    <row r="575" spans="2:62" ht="15.75">
      <c r="B575" s="7"/>
      <c r="C575" s="334"/>
      <c r="D575" s="334"/>
      <c r="E575" s="399"/>
      <c r="F575" s="409"/>
      <c r="G575" s="334"/>
      <c r="H575" s="399"/>
      <c r="I575" s="409"/>
      <c r="J575" s="409"/>
      <c r="K575" s="399"/>
      <c r="L575" s="409"/>
      <c r="M575" s="399"/>
      <c r="N575" s="409"/>
      <c r="O575" s="399"/>
      <c r="P575" s="409"/>
      <c r="Q575" s="399"/>
      <c r="R575" s="399"/>
      <c r="S575" s="334"/>
      <c r="T575" s="334"/>
      <c r="U575" s="334"/>
      <c r="V575" s="334"/>
      <c r="W575" s="334"/>
      <c r="X575" s="334"/>
      <c r="Y575" s="246"/>
      <c r="Z575" s="246"/>
      <c r="AA575" s="246"/>
      <c r="AB575" s="246"/>
      <c r="AC575" s="246"/>
      <c r="AD575" s="246"/>
      <c r="AE575" s="246"/>
      <c r="AF575" s="246"/>
      <c r="AG575" s="246"/>
      <c r="AH575" s="246"/>
      <c r="AI575" s="246"/>
      <c r="AJ575" s="246"/>
      <c r="AK575" s="246"/>
      <c r="AL575" s="246"/>
      <c r="AM575" s="246"/>
      <c r="AN575" s="246"/>
      <c r="AO575" s="246"/>
      <c r="AP575" s="246"/>
      <c r="AQ575" s="246"/>
      <c r="AR575" s="246"/>
      <c r="AS575" s="246"/>
      <c r="AT575" s="246"/>
      <c r="AU575" s="246"/>
      <c r="AV575" s="246"/>
      <c r="AW575" s="246"/>
      <c r="AX575" s="246"/>
      <c r="AY575" s="246"/>
      <c r="AZ575" s="246"/>
      <c r="BA575" s="246"/>
      <c r="BB575" s="246"/>
      <c r="BC575" s="246"/>
      <c r="BD575" s="246"/>
      <c r="BE575" s="246"/>
      <c r="BF575" s="246"/>
      <c r="BG575" s="246"/>
      <c r="BH575" s="246"/>
      <c r="BI575" s="246"/>
      <c r="BJ575" s="246"/>
    </row>
    <row r="576" spans="2:62" ht="15.75">
      <c r="B576" s="7"/>
      <c r="C576" s="398"/>
      <c r="D576" s="398"/>
      <c r="E576" s="401"/>
      <c r="F576" s="411"/>
      <c r="G576" s="398"/>
      <c r="H576" s="401"/>
      <c r="I576" s="411"/>
      <c r="J576" s="411"/>
      <c r="K576" s="401"/>
      <c r="L576" s="411"/>
      <c r="M576" s="401"/>
      <c r="N576" s="411"/>
      <c r="O576" s="401"/>
      <c r="P576" s="411"/>
      <c r="Q576" s="401"/>
      <c r="R576" s="401"/>
      <c r="S576" s="401"/>
      <c r="T576" s="334"/>
      <c r="U576" s="334"/>
      <c r="V576" s="334"/>
      <c r="W576" s="334"/>
      <c r="X576" s="334"/>
      <c r="Y576" s="246"/>
      <c r="Z576" s="246"/>
      <c r="AA576" s="246"/>
      <c r="AB576" s="246"/>
      <c r="AC576" s="246"/>
      <c r="AD576" s="246"/>
      <c r="AE576" s="246"/>
      <c r="AF576" s="246"/>
      <c r="AG576" s="246"/>
      <c r="AH576" s="246"/>
      <c r="AI576" s="246"/>
      <c r="AJ576" s="246"/>
      <c r="AK576" s="246"/>
      <c r="AL576" s="246"/>
      <c r="AM576" s="246"/>
      <c r="AN576" s="246"/>
      <c r="AO576" s="246"/>
      <c r="AP576" s="246"/>
      <c r="AQ576" s="246"/>
      <c r="AR576" s="246"/>
      <c r="AS576" s="246"/>
      <c r="AT576" s="246"/>
      <c r="AU576" s="246"/>
      <c r="AV576" s="246"/>
      <c r="AW576" s="246"/>
      <c r="AX576" s="246"/>
      <c r="AY576" s="246"/>
      <c r="AZ576" s="246"/>
      <c r="BA576" s="246"/>
      <c r="BB576" s="246"/>
      <c r="BC576" s="246"/>
      <c r="BD576" s="246"/>
      <c r="BE576" s="246"/>
      <c r="BF576" s="246"/>
      <c r="BG576" s="246"/>
      <c r="BH576" s="246"/>
      <c r="BI576" s="246"/>
      <c r="BJ576" s="246"/>
    </row>
    <row r="577" spans="2:62" ht="15.75">
      <c r="B577" s="7"/>
      <c r="C577" s="334"/>
      <c r="D577" s="334"/>
      <c r="E577" s="399"/>
      <c r="F577" s="409"/>
      <c r="G577" s="334"/>
      <c r="H577" s="399"/>
      <c r="I577" s="409"/>
      <c r="J577" s="399"/>
      <c r="K577" s="409"/>
      <c r="L577" s="399"/>
      <c r="M577" s="334"/>
      <c r="N577" s="399"/>
      <c r="O577" s="409"/>
      <c r="P577" s="401"/>
      <c r="Q577" s="411"/>
      <c r="R577" s="411"/>
      <c r="S577" s="399"/>
      <c r="T577" s="334"/>
      <c r="U577" s="334"/>
      <c r="V577" s="334"/>
      <c r="W577" s="334"/>
      <c r="X577" s="334"/>
      <c r="Y577" s="246"/>
      <c r="Z577" s="246"/>
      <c r="AA577" s="246"/>
      <c r="AB577" s="246"/>
      <c r="AC577" s="246"/>
      <c r="AD577" s="246"/>
      <c r="AE577" s="246"/>
      <c r="AF577" s="246"/>
      <c r="AG577" s="246"/>
      <c r="AH577" s="246"/>
      <c r="AI577" s="246"/>
      <c r="AJ577" s="246"/>
      <c r="AK577" s="246"/>
      <c r="AL577" s="246"/>
      <c r="AM577" s="246"/>
      <c r="AN577" s="246"/>
      <c r="AO577" s="246"/>
      <c r="AP577" s="246"/>
      <c r="AQ577" s="246"/>
      <c r="AR577" s="246"/>
      <c r="AS577" s="246"/>
      <c r="AT577" s="246"/>
      <c r="AU577" s="246"/>
      <c r="AV577" s="246"/>
      <c r="AW577" s="246"/>
      <c r="AX577" s="246"/>
      <c r="AY577" s="246"/>
      <c r="AZ577" s="246"/>
      <c r="BA577" s="246"/>
      <c r="BB577" s="246"/>
      <c r="BC577" s="246"/>
      <c r="BD577" s="246"/>
      <c r="BE577" s="246"/>
      <c r="BF577" s="246"/>
      <c r="BG577" s="246"/>
      <c r="BH577" s="246"/>
      <c r="BI577" s="246"/>
      <c r="BJ577" s="246"/>
    </row>
    <row r="578" spans="2:62" ht="15.75">
      <c r="B578" s="7"/>
      <c r="C578" s="334"/>
      <c r="D578" s="334"/>
      <c r="E578" s="399"/>
      <c r="F578" s="409"/>
      <c r="G578" s="334"/>
      <c r="H578" s="399"/>
      <c r="I578" s="409"/>
      <c r="J578" s="399"/>
      <c r="K578" s="409"/>
      <c r="L578" s="399"/>
      <c r="M578" s="334"/>
      <c r="N578" s="399"/>
      <c r="O578" s="409"/>
      <c r="P578" s="399"/>
      <c r="Q578" s="334"/>
      <c r="R578" s="409"/>
      <c r="S578" s="399"/>
      <c r="T578" s="334"/>
      <c r="U578" s="334"/>
      <c r="V578" s="334"/>
      <c r="W578" s="334"/>
      <c r="X578" s="334"/>
      <c r="Y578" s="246"/>
      <c r="Z578" s="246"/>
      <c r="AA578" s="246"/>
      <c r="AB578" s="246"/>
      <c r="AC578" s="246"/>
      <c r="AD578" s="246"/>
      <c r="AE578" s="246"/>
      <c r="AF578" s="246"/>
      <c r="AG578" s="246"/>
      <c r="AH578" s="246"/>
      <c r="AI578" s="246"/>
      <c r="AJ578" s="246"/>
      <c r="AK578" s="246"/>
      <c r="AL578" s="246"/>
      <c r="AM578" s="246"/>
      <c r="AN578" s="246"/>
      <c r="AO578" s="246"/>
      <c r="AP578" s="246"/>
      <c r="AQ578" s="246"/>
      <c r="AR578" s="246"/>
      <c r="AS578" s="246"/>
      <c r="AT578" s="246"/>
      <c r="AU578" s="246"/>
      <c r="AV578" s="246"/>
      <c r="AW578" s="246"/>
      <c r="AX578" s="246"/>
      <c r="AY578" s="246"/>
      <c r="AZ578" s="246"/>
      <c r="BA578" s="246"/>
      <c r="BB578" s="246"/>
      <c r="BC578" s="246"/>
      <c r="BD578" s="246"/>
      <c r="BE578" s="246"/>
      <c r="BF578" s="246"/>
      <c r="BG578" s="246"/>
      <c r="BH578" s="246"/>
      <c r="BI578" s="246"/>
      <c r="BJ578" s="246"/>
    </row>
    <row r="579" spans="2:62" ht="15.75">
      <c r="B579" s="7"/>
      <c r="C579" s="334"/>
      <c r="D579" s="334"/>
      <c r="E579" s="334"/>
      <c r="F579" s="334"/>
      <c r="G579" s="334"/>
      <c r="H579" s="334"/>
      <c r="I579" s="334"/>
      <c r="J579" s="334"/>
      <c r="K579" s="334"/>
      <c r="L579" s="334"/>
      <c r="M579" s="334"/>
      <c r="N579" s="334"/>
      <c r="O579" s="334"/>
      <c r="P579" s="334"/>
      <c r="Q579" s="334"/>
      <c r="R579" s="409"/>
      <c r="S579" s="399"/>
      <c r="T579" s="334"/>
      <c r="U579" s="334"/>
      <c r="V579" s="334"/>
      <c r="W579" s="334"/>
      <c r="X579" s="334"/>
      <c r="Y579" s="246"/>
      <c r="Z579" s="246"/>
      <c r="AA579" s="246"/>
      <c r="AB579" s="246"/>
      <c r="AC579" s="246"/>
      <c r="AD579" s="246"/>
      <c r="AE579" s="246"/>
      <c r="AF579" s="246"/>
      <c r="AG579" s="246"/>
      <c r="AH579" s="246"/>
      <c r="AI579" s="246"/>
      <c r="AJ579" s="246"/>
      <c r="AK579" s="246"/>
      <c r="AL579" s="246"/>
      <c r="AM579" s="246"/>
      <c r="AN579" s="246"/>
      <c r="AO579" s="246"/>
      <c r="AP579" s="246"/>
      <c r="AQ579" s="246"/>
      <c r="AR579" s="246"/>
      <c r="AS579" s="246"/>
      <c r="AT579" s="246"/>
      <c r="AU579" s="246"/>
      <c r="AV579" s="246"/>
      <c r="AW579" s="246"/>
      <c r="AX579" s="246"/>
      <c r="AY579" s="246"/>
      <c r="AZ579" s="246"/>
      <c r="BA579" s="246"/>
      <c r="BB579" s="246"/>
      <c r="BC579" s="246"/>
      <c r="BD579" s="246"/>
      <c r="BE579" s="246"/>
      <c r="BF579" s="246"/>
      <c r="BG579" s="246"/>
      <c r="BH579" s="246"/>
      <c r="BI579" s="246"/>
      <c r="BJ579" s="246"/>
    </row>
    <row r="580" spans="2:62" ht="15.75">
      <c r="B580" s="7"/>
      <c r="C580" s="334"/>
      <c r="D580" s="334"/>
      <c r="E580" s="399"/>
      <c r="F580" s="409"/>
      <c r="G580" s="334"/>
      <c r="H580" s="399"/>
      <c r="I580" s="409"/>
      <c r="J580" s="399"/>
      <c r="K580" s="409"/>
      <c r="L580" s="399"/>
      <c r="M580" s="334"/>
      <c r="N580" s="399"/>
      <c r="O580" s="409"/>
      <c r="P580" s="399"/>
      <c r="Q580" s="334"/>
      <c r="R580" s="409"/>
      <c r="S580" s="399"/>
      <c r="T580" s="334"/>
      <c r="U580" s="334"/>
      <c r="V580" s="334"/>
      <c r="W580" s="334"/>
      <c r="X580" s="334"/>
      <c r="Y580" s="246"/>
      <c r="Z580" s="246"/>
      <c r="AA580" s="246"/>
      <c r="AB580" s="246"/>
      <c r="AC580" s="246"/>
      <c r="AD580" s="246"/>
      <c r="AE580" s="246"/>
      <c r="AF580" s="246"/>
      <c r="AG580" s="246"/>
      <c r="AH580" s="246"/>
      <c r="AI580" s="246"/>
      <c r="AJ580" s="246"/>
      <c r="AK580" s="246"/>
      <c r="AL580" s="246"/>
      <c r="AM580" s="246"/>
      <c r="AN580" s="246"/>
      <c r="AO580" s="246"/>
      <c r="AP580" s="246"/>
      <c r="AQ580" s="246"/>
      <c r="AR580" s="246"/>
      <c r="AS580" s="246"/>
      <c r="AT580" s="246"/>
      <c r="AU580" s="246"/>
      <c r="AV580" s="246"/>
      <c r="AW580" s="246"/>
      <c r="AX580" s="246"/>
      <c r="AY580" s="246"/>
      <c r="AZ580" s="246"/>
      <c r="BA580" s="246"/>
      <c r="BB580" s="246"/>
      <c r="BC580" s="246"/>
      <c r="BD580" s="246"/>
      <c r="BE580" s="246"/>
      <c r="BF580" s="246"/>
      <c r="BG580" s="246"/>
      <c r="BH580" s="246"/>
      <c r="BI580" s="246"/>
      <c r="BJ580" s="246"/>
    </row>
    <row r="581" spans="2:62" ht="15.75">
      <c r="B581" s="7"/>
      <c r="C581" s="334"/>
      <c r="D581" s="334"/>
      <c r="E581" s="399"/>
      <c r="F581" s="409"/>
      <c r="G581" s="334"/>
      <c r="H581" s="399"/>
      <c r="I581" s="409"/>
      <c r="J581" s="399"/>
      <c r="K581" s="409"/>
      <c r="L581" s="399"/>
      <c r="M581" s="334"/>
      <c r="N581" s="399"/>
      <c r="O581" s="409"/>
      <c r="P581" s="399"/>
      <c r="Q581" s="334"/>
      <c r="R581" s="409"/>
      <c r="S581" s="399"/>
      <c r="T581" s="334"/>
      <c r="U581" s="334"/>
      <c r="V581" s="334"/>
      <c r="W581" s="334"/>
      <c r="X581" s="334"/>
      <c r="Y581" s="246"/>
      <c r="Z581" s="246"/>
      <c r="AA581" s="246"/>
      <c r="AB581" s="246"/>
      <c r="AC581" s="246"/>
      <c r="AD581" s="246"/>
      <c r="AE581" s="246"/>
      <c r="AF581" s="246"/>
      <c r="AG581" s="246"/>
      <c r="AH581" s="246"/>
      <c r="AI581" s="246"/>
      <c r="AJ581" s="246"/>
      <c r="AK581" s="246"/>
      <c r="AL581" s="246"/>
      <c r="AM581" s="246"/>
      <c r="AN581" s="246"/>
      <c r="AO581" s="246"/>
      <c r="AP581" s="246"/>
      <c r="AQ581" s="246"/>
      <c r="AR581" s="246"/>
      <c r="AS581" s="246"/>
      <c r="AT581" s="246"/>
      <c r="AU581" s="246"/>
      <c r="AV581" s="246"/>
      <c r="AW581" s="246"/>
      <c r="AX581" s="246"/>
      <c r="AY581" s="246"/>
      <c r="AZ581" s="246"/>
      <c r="BA581" s="246"/>
      <c r="BB581" s="246"/>
      <c r="BC581" s="246"/>
      <c r="BD581" s="246"/>
      <c r="BE581" s="246"/>
      <c r="BF581" s="246"/>
      <c r="BG581" s="246"/>
      <c r="BH581" s="246"/>
      <c r="BI581" s="246"/>
      <c r="BJ581" s="246"/>
    </row>
    <row r="582" spans="2:62" ht="15.75">
      <c r="B582" s="7"/>
      <c r="C582" s="334"/>
      <c r="D582" s="334"/>
      <c r="E582" s="399"/>
      <c r="F582" s="409"/>
      <c r="G582" s="334"/>
      <c r="H582" s="399"/>
      <c r="I582" s="409"/>
      <c r="J582" s="399"/>
      <c r="K582" s="409"/>
      <c r="L582" s="399"/>
      <c r="M582" s="334"/>
      <c r="N582" s="399"/>
      <c r="O582" s="409"/>
      <c r="P582" s="399"/>
      <c r="Q582" s="334"/>
      <c r="R582" s="409"/>
      <c r="S582" s="399"/>
      <c r="T582" s="334"/>
      <c r="U582" s="334"/>
      <c r="V582" s="334"/>
      <c r="W582" s="334"/>
      <c r="X582" s="334"/>
      <c r="Y582" s="246"/>
      <c r="Z582" s="246"/>
      <c r="AA582" s="246"/>
      <c r="AB582" s="246"/>
      <c r="AC582" s="246"/>
      <c r="AD582" s="246"/>
      <c r="AE582" s="246"/>
      <c r="AF582" s="246"/>
      <c r="AG582" s="246"/>
      <c r="AH582" s="246"/>
      <c r="AI582" s="246"/>
      <c r="AJ582" s="246"/>
      <c r="AK582" s="246"/>
      <c r="AL582" s="246"/>
      <c r="AM582" s="246"/>
      <c r="AN582" s="246"/>
      <c r="AO582" s="246"/>
      <c r="AP582" s="246"/>
      <c r="AQ582" s="246"/>
      <c r="AR582" s="246"/>
      <c r="AS582" s="246"/>
      <c r="AT582" s="246"/>
      <c r="AU582" s="246"/>
      <c r="AV582" s="246"/>
      <c r="AW582" s="246"/>
      <c r="AX582" s="246"/>
      <c r="AY582" s="246"/>
      <c r="AZ582" s="246"/>
      <c r="BA582" s="246"/>
      <c r="BB582" s="246"/>
      <c r="BC582" s="246"/>
      <c r="BD582" s="246"/>
      <c r="BE582" s="246"/>
      <c r="BF582" s="246"/>
      <c r="BG582" s="246"/>
      <c r="BH582" s="246"/>
      <c r="BI582" s="246"/>
      <c r="BJ582" s="246"/>
    </row>
    <row r="583" spans="2:62" ht="15.75">
      <c r="B583" s="7"/>
      <c r="C583" s="334"/>
      <c r="D583" s="334"/>
      <c r="E583" s="399"/>
      <c r="F583" s="409"/>
      <c r="G583" s="334"/>
      <c r="H583" s="399"/>
      <c r="I583" s="409"/>
      <c r="J583" s="399"/>
      <c r="K583" s="409"/>
      <c r="L583" s="399"/>
      <c r="M583" s="334"/>
      <c r="N583" s="399"/>
      <c r="O583" s="409"/>
      <c r="P583" s="399"/>
      <c r="Q583" s="334"/>
      <c r="R583" s="409"/>
      <c r="S583" s="399"/>
      <c r="T583" s="334"/>
      <c r="U583" s="334"/>
      <c r="V583" s="334"/>
      <c r="W583" s="334"/>
      <c r="X583" s="334"/>
      <c r="Y583" s="246"/>
      <c r="Z583" s="246"/>
      <c r="AA583" s="246"/>
      <c r="AB583" s="246"/>
      <c r="AC583" s="246"/>
      <c r="AD583" s="246"/>
      <c r="AE583" s="246"/>
      <c r="AF583" s="246"/>
      <c r="AG583" s="246"/>
      <c r="AH583" s="246"/>
      <c r="AI583" s="246"/>
      <c r="AJ583" s="246"/>
      <c r="AK583" s="246"/>
      <c r="AL583" s="246"/>
      <c r="AM583" s="246"/>
      <c r="AN583" s="246"/>
      <c r="AO583" s="246"/>
      <c r="AP583" s="246"/>
      <c r="AQ583" s="246"/>
      <c r="AR583" s="246"/>
      <c r="AS583" s="246"/>
      <c r="AT583" s="246"/>
      <c r="AU583" s="246"/>
      <c r="AV583" s="246"/>
      <c r="AW583" s="246"/>
      <c r="AX583" s="246"/>
      <c r="AY583" s="246"/>
      <c r="AZ583" s="246"/>
      <c r="BA583" s="246"/>
      <c r="BB583" s="246"/>
      <c r="BC583" s="246"/>
      <c r="BD583" s="246"/>
      <c r="BE583" s="246"/>
      <c r="BF583" s="246"/>
      <c r="BG583" s="246"/>
      <c r="BH583" s="246"/>
      <c r="BI583" s="246"/>
      <c r="BJ583" s="246"/>
    </row>
    <row r="584" spans="2:62" ht="15.75">
      <c r="B584" s="7"/>
      <c r="C584" s="334"/>
      <c r="D584" s="334"/>
      <c r="E584" s="399"/>
      <c r="F584" s="409"/>
      <c r="G584" s="334"/>
      <c r="H584" s="399"/>
      <c r="I584" s="409"/>
      <c r="J584" s="399"/>
      <c r="K584" s="409"/>
      <c r="L584" s="399"/>
      <c r="M584" s="334"/>
      <c r="N584" s="399"/>
      <c r="O584" s="409"/>
      <c r="P584" s="399"/>
      <c r="Q584" s="334"/>
      <c r="R584" s="409"/>
      <c r="S584" s="399"/>
      <c r="T584" s="334"/>
      <c r="U584" s="334"/>
      <c r="V584" s="334"/>
      <c r="W584" s="334"/>
      <c r="X584" s="334"/>
      <c r="Y584" s="246"/>
      <c r="Z584" s="246"/>
      <c r="AA584" s="246"/>
      <c r="AB584" s="246"/>
      <c r="AC584" s="246"/>
      <c r="AD584" s="246"/>
      <c r="AE584" s="246"/>
      <c r="AF584" s="246"/>
      <c r="AG584" s="246"/>
      <c r="AH584" s="246"/>
      <c r="AI584" s="246"/>
      <c r="AJ584" s="246"/>
      <c r="AK584" s="246"/>
      <c r="AL584" s="246"/>
      <c r="AM584" s="246"/>
      <c r="AN584" s="246"/>
      <c r="AO584" s="246"/>
      <c r="AP584" s="246"/>
      <c r="AQ584" s="246"/>
      <c r="AR584" s="246"/>
      <c r="AS584" s="246"/>
      <c r="AT584" s="246"/>
      <c r="AU584" s="246"/>
      <c r="AV584" s="246"/>
      <c r="AW584" s="246"/>
      <c r="AX584" s="246"/>
      <c r="AY584" s="246"/>
      <c r="AZ584" s="246"/>
      <c r="BA584" s="246"/>
      <c r="BB584" s="246"/>
      <c r="BC584" s="246"/>
      <c r="BD584" s="246"/>
      <c r="BE584" s="246"/>
      <c r="BF584" s="246"/>
      <c r="BG584" s="246"/>
      <c r="BH584" s="246"/>
      <c r="BI584" s="246"/>
      <c r="BJ584" s="246"/>
    </row>
    <row r="585" spans="2:62" ht="15.75">
      <c r="B585" s="7"/>
      <c r="C585" s="334"/>
      <c r="D585" s="334"/>
      <c r="E585" s="399"/>
      <c r="F585" s="409"/>
      <c r="G585" s="334"/>
      <c r="H585" s="399"/>
      <c r="I585" s="409"/>
      <c r="J585" s="399"/>
      <c r="K585" s="409"/>
      <c r="L585" s="399"/>
      <c r="M585" s="334"/>
      <c r="N585" s="399"/>
      <c r="O585" s="409"/>
      <c r="P585" s="399"/>
      <c r="Q585" s="334"/>
      <c r="R585" s="409"/>
      <c r="S585" s="399"/>
      <c r="T585" s="334"/>
      <c r="U585" s="334"/>
      <c r="V585" s="334"/>
      <c r="W585" s="334"/>
      <c r="X585" s="334"/>
      <c r="Y585" s="246"/>
      <c r="Z585" s="246"/>
      <c r="AA585" s="246"/>
      <c r="AB585" s="246"/>
      <c r="AC585" s="246"/>
      <c r="AD585" s="246"/>
      <c r="AE585" s="246"/>
      <c r="AF585" s="246"/>
      <c r="AG585" s="246"/>
      <c r="AH585" s="246"/>
      <c r="AI585" s="246"/>
      <c r="AJ585" s="246"/>
      <c r="AK585" s="246"/>
      <c r="AL585" s="246"/>
      <c r="AM585" s="246"/>
      <c r="AN585" s="246"/>
      <c r="AO585" s="246"/>
      <c r="AP585" s="246"/>
      <c r="AQ585" s="246"/>
      <c r="AR585" s="246"/>
      <c r="AS585" s="246"/>
      <c r="AT585" s="246"/>
      <c r="AU585" s="246"/>
      <c r="AV585" s="246"/>
      <c r="AW585" s="246"/>
      <c r="AX585" s="246"/>
      <c r="AY585" s="246"/>
      <c r="AZ585" s="246"/>
      <c r="BA585" s="246"/>
      <c r="BB585" s="246"/>
      <c r="BC585" s="246"/>
      <c r="BD585" s="246"/>
      <c r="BE585" s="246"/>
      <c r="BF585" s="246"/>
      <c r="BG585" s="246"/>
      <c r="BH585" s="246"/>
      <c r="BI585" s="246"/>
      <c r="BJ585" s="246"/>
    </row>
    <row r="586" spans="2:62" ht="15.75">
      <c r="B586" s="7"/>
      <c r="C586" s="334"/>
      <c r="D586" s="334"/>
      <c r="E586" s="399"/>
      <c r="F586" s="409"/>
      <c r="G586" s="334"/>
      <c r="H586" s="399"/>
      <c r="I586" s="409"/>
      <c r="J586" s="399"/>
      <c r="K586" s="409"/>
      <c r="L586" s="399"/>
      <c r="M586" s="334"/>
      <c r="N586" s="399"/>
      <c r="O586" s="409"/>
      <c r="P586" s="399"/>
      <c r="Q586" s="334"/>
      <c r="R586" s="409"/>
      <c r="S586" s="399"/>
      <c r="T586" s="334"/>
      <c r="U586" s="334"/>
      <c r="V586" s="334"/>
      <c r="W586" s="334"/>
      <c r="X586" s="334"/>
      <c r="Y586" s="246"/>
      <c r="Z586" s="246"/>
      <c r="AA586" s="246"/>
      <c r="AB586" s="246"/>
      <c r="AC586" s="246"/>
      <c r="AD586" s="246"/>
      <c r="AE586" s="246"/>
      <c r="AF586" s="246"/>
      <c r="AG586" s="246"/>
      <c r="AH586" s="246"/>
      <c r="AI586" s="246"/>
      <c r="AJ586" s="246"/>
      <c r="AK586" s="246"/>
      <c r="AL586" s="246"/>
      <c r="AM586" s="246"/>
      <c r="AN586" s="246"/>
      <c r="AO586" s="246"/>
      <c r="AP586" s="246"/>
      <c r="AQ586" s="246"/>
      <c r="AR586" s="246"/>
      <c r="AS586" s="246"/>
      <c r="AT586" s="246"/>
      <c r="AU586" s="246"/>
      <c r="AV586" s="246"/>
      <c r="AW586" s="246"/>
      <c r="AX586" s="246"/>
      <c r="AY586" s="246"/>
      <c r="AZ586" s="246"/>
      <c r="BA586" s="246"/>
      <c r="BB586" s="246"/>
      <c r="BC586" s="246"/>
      <c r="BD586" s="246"/>
      <c r="BE586" s="246"/>
      <c r="BF586" s="246"/>
      <c r="BG586" s="246"/>
      <c r="BH586" s="246"/>
      <c r="BI586" s="246"/>
      <c r="BJ586" s="246"/>
    </row>
    <row r="587" spans="2:62" ht="15.75">
      <c r="B587" s="7"/>
      <c r="C587" s="334"/>
      <c r="D587" s="334"/>
      <c r="E587" s="334"/>
      <c r="F587" s="334"/>
      <c r="G587" s="334"/>
      <c r="H587" s="334"/>
      <c r="I587" s="334"/>
      <c r="J587" s="334"/>
      <c r="K587" s="334"/>
      <c r="L587" s="334"/>
      <c r="M587" s="334"/>
      <c r="N587" s="334"/>
      <c r="O587" s="334"/>
      <c r="P587" s="334"/>
      <c r="Q587" s="334"/>
      <c r="R587" s="334"/>
      <c r="S587" s="334"/>
      <c r="T587" s="334"/>
      <c r="U587" s="334"/>
      <c r="V587" s="334"/>
      <c r="W587" s="334"/>
      <c r="X587" s="334"/>
      <c r="Y587" s="246"/>
      <c r="Z587" s="246"/>
      <c r="AA587" s="246"/>
      <c r="AB587" s="246"/>
      <c r="AC587" s="246"/>
      <c r="AD587" s="246"/>
      <c r="AE587" s="246"/>
      <c r="AF587" s="246"/>
      <c r="AG587" s="246"/>
      <c r="AH587" s="246"/>
      <c r="AI587" s="246"/>
      <c r="AJ587" s="246"/>
      <c r="AK587" s="246"/>
      <c r="AL587" s="246"/>
      <c r="AM587" s="246"/>
      <c r="AN587" s="246"/>
      <c r="AO587" s="246"/>
      <c r="AP587" s="246"/>
      <c r="AQ587" s="246"/>
      <c r="AR587" s="246"/>
      <c r="AS587" s="246"/>
      <c r="AT587" s="246"/>
      <c r="AU587" s="246"/>
      <c r="AV587" s="246"/>
      <c r="AW587" s="246"/>
      <c r="AX587" s="246"/>
      <c r="AY587" s="246"/>
      <c r="AZ587" s="246"/>
      <c r="BA587" s="246"/>
      <c r="BB587" s="246"/>
      <c r="BC587" s="246"/>
      <c r="BD587" s="246"/>
      <c r="BE587" s="246"/>
      <c r="BF587" s="246"/>
      <c r="BG587" s="246"/>
      <c r="BH587" s="246"/>
      <c r="BI587" s="246"/>
      <c r="BJ587" s="246"/>
    </row>
    <row r="588" spans="2:62" ht="15.75">
      <c r="B588" s="7"/>
      <c r="C588" s="334"/>
      <c r="D588" s="334"/>
      <c r="E588" s="334"/>
      <c r="F588" s="334"/>
      <c r="G588" s="334"/>
      <c r="H588" s="334"/>
      <c r="I588" s="334"/>
      <c r="J588" s="334"/>
      <c r="K588" s="334"/>
      <c r="L588" s="334"/>
      <c r="M588" s="334"/>
      <c r="N588" s="334"/>
      <c r="O588" s="334"/>
      <c r="P588" s="334"/>
      <c r="Q588" s="334"/>
      <c r="R588" s="334"/>
      <c r="S588" s="334"/>
      <c r="T588" s="334"/>
      <c r="U588" s="334"/>
      <c r="V588" s="334"/>
      <c r="W588" s="334"/>
      <c r="X588" s="334"/>
      <c r="Y588" s="246"/>
      <c r="Z588" s="246"/>
      <c r="AA588" s="246"/>
      <c r="AB588" s="246"/>
      <c r="AC588" s="246"/>
      <c r="AD588" s="246"/>
      <c r="AE588" s="246"/>
      <c r="AF588" s="246"/>
      <c r="AG588" s="246"/>
      <c r="AH588" s="246"/>
      <c r="AI588" s="246"/>
      <c r="AJ588" s="246"/>
      <c r="AK588" s="246"/>
      <c r="AL588" s="246"/>
      <c r="AM588" s="246"/>
      <c r="AN588" s="246"/>
      <c r="AO588" s="246"/>
      <c r="AP588" s="246"/>
      <c r="AQ588" s="246"/>
      <c r="AR588" s="246"/>
      <c r="AS588" s="246"/>
      <c r="AT588" s="246"/>
      <c r="AU588" s="246"/>
      <c r="AV588" s="246"/>
      <c r="AW588" s="246"/>
      <c r="AX588" s="246"/>
      <c r="AY588" s="246"/>
      <c r="AZ588" s="246"/>
      <c r="BA588" s="246"/>
      <c r="BB588" s="246"/>
      <c r="BC588" s="246"/>
      <c r="BD588" s="246"/>
      <c r="BE588" s="246"/>
      <c r="BF588" s="246"/>
      <c r="BG588" s="246"/>
      <c r="BH588" s="246"/>
      <c r="BI588" s="246"/>
      <c r="BJ588" s="246"/>
    </row>
    <row r="589" spans="2:62" ht="15.75">
      <c r="B589" s="7"/>
      <c r="C589" s="334"/>
      <c r="D589" s="334"/>
      <c r="E589" s="334"/>
      <c r="F589" s="334"/>
      <c r="G589" s="334"/>
      <c r="H589" s="334"/>
      <c r="I589" s="334"/>
      <c r="J589" s="334"/>
      <c r="K589" s="334"/>
      <c r="L589" s="334"/>
      <c r="M589" s="334"/>
      <c r="N589" s="334"/>
      <c r="O589" s="334"/>
      <c r="P589" s="334"/>
      <c r="Q589" s="334"/>
      <c r="R589" s="334"/>
      <c r="S589" s="334"/>
      <c r="T589" s="334"/>
      <c r="U589" s="334"/>
      <c r="V589" s="334"/>
      <c r="W589" s="334"/>
      <c r="X589" s="334"/>
      <c r="Y589" s="246"/>
      <c r="Z589" s="246"/>
      <c r="AA589" s="246"/>
      <c r="AB589" s="246"/>
      <c r="AC589" s="246"/>
      <c r="AD589" s="246"/>
      <c r="AE589" s="246"/>
      <c r="AF589" s="246"/>
      <c r="AG589" s="246"/>
      <c r="AH589" s="246"/>
      <c r="AI589" s="246"/>
      <c r="AJ589" s="246"/>
      <c r="AK589" s="246"/>
      <c r="AL589" s="246"/>
      <c r="AM589" s="246"/>
      <c r="AN589" s="246"/>
      <c r="AO589" s="246"/>
      <c r="AP589" s="246"/>
      <c r="AQ589" s="246"/>
      <c r="AR589" s="246"/>
      <c r="AS589" s="246"/>
      <c r="AT589" s="246"/>
      <c r="AU589" s="246"/>
      <c r="AV589" s="246"/>
      <c r="AW589" s="246"/>
      <c r="AX589" s="246"/>
      <c r="AY589" s="246"/>
      <c r="AZ589" s="246"/>
      <c r="BA589" s="246"/>
      <c r="BB589" s="246"/>
      <c r="BC589" s="246"/>
      <c r="BD589" s="246"/>
      <c r="BE589" s="246"/>
      <c r="BF589" s="246"/>
      <c r="BG589" s="246"/>
      <c r="BH589" s="246"/>
      <c r="BI589" s="246"/>
      <c r="BJ589" s="246"/>
    </row>
    <row r="590" spans="2:62" ht="15.75">
      <c r="B590" s="7"/>
      <c r="C590" s="334"/>
      <c r="D590" s="334"/>
      <c r="E590" s="334"/>
      <c r="F590" s="334"/>
      <c r="G590" s="334"/>
      <c r="H590" s="334"/>
      <c r="I590" s="334"/>
      <c r="J590" s="334"/>
      <c r="K590" s="334"/>
      <c r="L590" s="334"/>
      <c r="M590" s="334"/>
      <c r="N590" s="334"/>
      <c r="O590" s="334"/>
      <c r="P590" s="334"/>
      <c r="Q590" s="334"/>
      <c r="R590" s="334"/>
      <c r="S590" s="334"/>
      <c r="T590" s="334"/>
      <c r="U590" s="334"/>
      <c r="V590" s="334"/>
      <c r="W590" s="334"/>
      <c r="X590" s="334"/>
      <c r="Y590" s="246"/>
      <c r="Z590" s="246"/>
      <c r="AA590" s="246"/>
      <c r="AB590" s="246"/>
      <c r="AC590" s="246"/>
      <c r="AD590" s="246"/>
      <c r="AE590" s="246"/>
      <c r="AF590" s="246"/>
      <c r="AG590" s="246"/>
      <c r="AH590" s="246"/>
      <c r="AI590" s="246"/>
      <c r="AJ590" s="246"/>
      <c r="AK590" s="246"/>
      <c r="AL590" s="246"/>
      <c r="AM590" s="246"/>
      <c r="AN590" s="246"/>
      <c r="AO590" s="246"/>
      <c r="AP590" s="246"/>
      <c r="AQ590" s="246"/>
      <c r="AR590" s="246"/>
      <c r="AS590" s="246"/>
      <c r="AT590" s="246"/>
      <c r="AU590" s="246"/>
      <c r="AV590" s="246"/>
      <c r="AW590" s="246"/>
      <c r="AX590" s="246"/>
      <c r="AY590" s="246"/>
      <c r="AZ590" s="246"/>
      <c r="BA590" s="246"/>
      <c r="BB590" s="246"/>
      <c r="BC590" s="246"/>
      <c r="BD590" s="246"/>
      <c r="BE590" s="246"/>
      <c r="BF590" s="246"/>
      <c r="BG590" s="246"/>
      <c r="BH590" s="246"/>
      <c r="BI590" s="246"/>
      <c r="BJ590" s="246"/>
    </row>
    <row r="591" spans="2:62" ht="15.75">
      <c r="B591" s="7"/>
      <c r="C591" s="334"/>
      <c r="D591" s="334"/>
      <c r="E591" s="334"/>
      <c r="F591" s="334"/>
      <c r="G591" s="334"/>
      <c r="H591" s="334"/>
      <c r="I591" s="334"/>
      <c r="J591" s="334"/>
      <c r="K591" s="334"/>
      <c r="L591" s="334"/>
      <c r="M591" s="334"/>
      <c r="N591" s="334"/>
      <c r="O591" s="334"/>
      <c r="P591" s="334"/>
      <c r="Q591" s="334"/>
      <c r="R591" s="334"/>
      <c r="S591" s="334"/>
      <c r="T591" s="334"/>
      <c r="U591" s="334"/>
      <c r="V591" s="334"/>
      <c r="W591" s="334"/>
      <c r="X591" s="334"/>
      <c r="Y591" s="246"/>
      <c r="Z591" s="246"/>
      <c r="AA591" s="246"/>
      <c r="AB591" s="246"/>
      <c r="AC591" s="246"/>
      <c r="AD591" s="246"/>
      <c r="AE591" s="246"/>
      <c r="AF591" s="246"/>
      <c r="AG591" s="246"/>
      <c r="AH591" s="246"/>
      <c r="AI591" s="246"/>
      <c r="AJ591" s="246"/>
      <c r="AK591" s="246"/>
      <c r="AL591" s="246"/>
      <c r="AM591" s="246"/>
      <c r="AN591" s="246"/>
      <c r="AO591" s="246"/>
      <c r="AP591" s="246"/>
      <c r="AQ591" s="246"/>
      <c r="AR591" s="246"/>
      <c r="AS591" s="246"/>
      <c r="AT591" s="246"/>
      <c r="AU591" s="246"/>
      <c r="AV591" s="246"/>
      <c r="AW591" s="246"/>
      <c r="AX591" s="246"/>
      <c r="AY591" s="246"/>
      <c r="AZ591" s="246"/>
      <c r="BA591" s="246"/>
      <c r="BB591" s="246"/>
      <c r="BC591" s="246"/>
      <c r="BD591" s="246"/>
      <c r="BE591" s="246"/>
      <c r="BF591" s="246"/>
      <c r="BG591" s="246"/>
      <c r="BH591" s="246"/>
      <c r="BI591" s="246"/>
      <c r="BJ591" s="246"/>
    </row>
    <row r="592" spans="2:62" ht="15.75">
      <c r="B592" s="7"/>
      <c r="C592" s="334"/>
      <c r="D592" s="334"/>
      <c r="E592" s="334"/>
      <c r="F592" s="334"/>
      <c r="G592" s="334"/>
      <c r="H592" s="334"/>
      <c r="I592" s="334"/>
      <c r="J592" s="334"/>
      <c r="K592" s="334"/>
      <c r="L592" s="334"/>
      <c r="M592" s="334"/>
      <c r="N592" s="334"/>
      <c r="O592" s="334"/>
      <c r="P592" s="334"/>
      <c r="Q592" s="334"/>
      <c r="R592" s="334"/>
      <c r="S592" s="334"/>
      <c r="T592" s="334"/>
      <c r="U592" s="334"/>
      <c r="V592" s="334"/>
      <c r="W592" s="334"/>
      <c r="X592" s="334"/>
      <c r="Y592" s="246"/>
      <c r="Z592" s="246"/>
      <c r="AA592" s="246"/>
      <c r="AB592" s="246"/>
      <c r="AC592" s="246"/>
      <c r="AD592" s="246"/>
      <c r="AE592" s="246"/>
      <c r="AF592" s="246"/>
      <c r="AG592" s="246"/>
      <c r="AH592" s="246"/>
      <c r="AI592" s="246"/>
      <c r="AJ592" s="246"/>
      <c r="AK592" s="246"/>
      <c r="AL592" s="246"/>
      <c r="AM592" s="246"/>
      <c r="AN592" s="246"/>
      <c r="AO592" s="246"/>
      <c r="AP592" s="246"/>
      <c r="AQ592" s="246"/>
      <c r="AR592" s="246"/>
      <c r="AS592" s="246"/>
      <c r="AT592" s="246"/>
      <c r="AU592" s="246"/>
      <c r="AV592" s="246"/>
      <c r="AW592" s="246"/>
      <c r="AX592" s="246"/>
      <c r="AY592" s="246"/>
      <c r="AZ592" s="246"/>
      <c r="BA592" s="246"/>
      <c r="BB592" s="246"/>
      <c r="BC592" s="246"/>
      <c r="BD592" s="246"/>
      <c r="BE592" s="246"/>
      <c r="BF592" s="246"/>
      <c r="BG592" s="246"/>
      <c r="BH592" s="246"/>
      <c r="BI592" s="246"/>
      <c r="BJ592" s="246"/>
    </row>
    <row r="593" spans="2:62" ht="15.75">
      <c r="B593" s="7"/>
      <c r="C593" s="334"/>
      <c r="D593" s="334"/>
      <c r="E593" s="334"/>
      <c r="F593" s="334"/>
      <c r="G593" s="334"/>
      <c r="H593" s="334"/>
      <c r="I593" s="334"/>
      <c r="J593" s="334"/>
      <c r="K593" s="334"/>
      <c r="L593" s="334"/>
      <c r="M593" s="334"/>
      <c r="N593" s="334"/>
      <c r="O593" s="334"/>
      <c r="P593" s="334"/>
      <c r="Q593" s="334"/>
      <c r="R593" s="334"/>
      <c r="S593" s="334"/>
      <c r="T593" s="334"/>
      <c r="U593" s="334"/>
      <c r="V593" s="334"/>
      <c r="W593" s="334"/>
      <c r="X593" s="334"/>
      <c r="Y593" s="246"/>
      <c r="Z593" s="246"/>
      <c r="AA593" s="246"/>
      <c r="AB593" s="246"/>
      <c r="AC593" s="246"/>
      <c r="AD593" s="246"/>
      <c r="AE593" s="246"/>
      <c r="AF593" s="246"/>
      <c r="AG593" s="246"/>
      <c r="AH593" s="246"/>
      <c r="AI593" s="246"/>
      <c r="AJ593" s="246"/>
      <c r="AK593" s="246"/>
      <c r="AL593" s="246"/>
      <c r="AM593" s="246"/>
      <c r="AN593" s="246"/>
      <c r="AO593" s="246"/>
      <c r="AP593" s="246"/>
      <c r="AQ593" s="246"/>
      <c r="AR593" s="246"/>
      <c r="AS593" s="246"/>
      <c r="AT593" s="246"/>
      <c r="AU593" s="246"/>
      <c r="AV593" s="246"/>
      <c r="AW593" s="246"/>
      <c r="AX593" s="246"/>
      <c r="AY593" s="246"/>
      <c r="AZ593" s="246"/>
      <c r="BA593" s="246"/>
      <c r="BB593" s="246"/>
      <c r="BC593" s="246"/>
      <c r="BD593" s="246"/>
      <c r="BE593" s="246"/>
      <c r="BF593" s="246"/>
      <c r="BG593" s="246"/>
      <c r="BH593" s="246"/>
      <c r="BI593" s="246"/>
      <c r="BJ593" s="246"/>
    </row>
    <row r="594" spans="2:62" ht="15.75">
      <c r="B594" s="7"/>
      <c r="C594" s="334"/>
      <c r="D594" s="334"/>
      <c r="E594" s="334"/>
      <c r="F594" s="334"/>
      <c r="G594" s="334"/>
      <c r="H594" s="334"/>
      <c r="I594" s="334"/>
      <c r="J594" s="334"/>
      <c r="K594" s="334"/>
      <c r="L594" s="334"/>
      <c r="M594" s="334"/>
      <c r="N594" s="334"/>
      <c r="O594" s="334"/>
      <c r="P594" s="334"/>
      <c r="Q594" s="334"/>
      <c r="R594" s="334"/>
      <c r="S594" s="334"/>
      <c r="T594" s="334"/>
      <c r="U594" s="334"/>
      <c r="V594" s="334"/>
      <c r="W594" s="334"/>
      <c r="X594" s="334"/>
      <c r="Y594" s="246"/>
      <c r="Z594" s="246"/>
      <c r="AA594" s="246"/>
      <c r="AB594" s="246"/>
      <c r="AC594" s="246"/>
      <c r="AD594" s="246"/>
      <c r="AE594" s="246"/>
      <c r="AF594" s="246"/>
      <c r="AG594" s="246"/>
      <c r="AH594" s="246"/>
      <c r="AI594" s="246"/>
      <c r="AJ594" s="246"/>
      <c r="AK594" s="246"/>
      <c r="AL594" s="246"/>
      <c r="AM594" s="246"/>
      <c r="AN594" s="246"/>
      <c r="AO594" s="246"/>
      <c r="AP594" s="246"/>
      <c r="AQ594" s="246"/>
      <c r="AR594" s="246"/>
      <c r="AS594" s="246"/>
      <c r="AT594" s="246"/>
      <c r="AU594" s="246"/>
      <c r="AV594" s="246"/>
      <c r="AW594" s="246"/>
      <c r="AX594" s="246"/>
      <c r="AY594" s="246"/>
      <c r="AZ594" s="246"/>
      <c r="BA594" s="246"/>
      <c r="BB594" s="246"/>
      <c r="BC594" s="246"/>
      <c r="BD594" s="246"/>
      <c r="BE594" s="246"/>
      <c r="BF594" s="246"/>
      <c r="BG594" s="246"/>
      <c r="BH594" s="246"/>
      <c r="BI594" s="246"/>
      <c r="BJ594" s="246"/>
    </row>
    <row r="595" spans="2:62" ht="15.75">
      <c r="B595" s="7"/>
      <c r="C595" s="334"/>
      <c r="D595" s="334"/>
      <c r="E595" s="334"/>
      <c r="F595" s="334"/>
      <c r="G595" s="334"/>
      <c r="H595" s="334"/>
      <c r="I595" s="334"/>
      <c r="J595" s="334"/>
      <c r="K595" s="334"/>
      <c r="L595" s="334"/>
      <c r="M595" s="334"/>
      <c r="N595" s="334"/>
      <c r="O595" s="334"/>
      <c r="P595" s="334"/>
      <c r="Q595" s="334"/>
      <c r="R595" s="334"/>
      <c r="S595" s="334"/>
      <c r="T595" s="334"/>
      <c r="U595" s="334"/>
      <c r="V595" s="334"/>
      <c r="W595" s="334"/>
      <c r="X595" s="334"/>
      <c r="Y595" s="246"/>
      <c r="Z595" s="246"/>
      <c r="AA595" s="246"/>
      <c r="AB595" s="246"/>
      <c r="AC595" s="246"/>
      <c r="AD595" s="246"/>
      <c r="AE595" s="246"/>
      <c r="AF595" s="246"/>
      <c r="AG595" s="246"/>
      <c r="AH595" s="246"/>
      <c r="AI595" s="246"/>
      <c r="AJ595" s="246"/>
      <c r="AK595" s="246"/>
      <c r="AL595" s="246"/>
      <c r="AM595" s="246"/>
      <c r="AN595" s="246"/>
      <c r="AO595" s="246"/>
      <c r="AP595" s="246"/>
      <c r="AQ595" s="246"/>
      <c r="AR595" s="246"/>
      <c r="AS595" s="246"/>
      <c r="AT595" s="246"/>
      <c r="AU595" s="246"/>
      <c r="AV595" s="246"/>
      <c r="AW595" s="246"/>
      <c r="AX595" s="246"/>
      <c r="AY595" s="246"/>
      <c r="AZ595" s="246"/>
      <c r="BA595" s="246"/>
      <c r="BB595" s="246"/>
      <c r="BC595" s="246"/>
      <c r="BD595" s="246"/>
      <c r="BE595" s="246"/>
      <c r="BF595" s="246"/>
      <c r="BG595" s="246"/>
      <c r="BH595" s="246"/>
      <c r="BI595" s="246"/>
      <c r="BJ595" s="246"/>
    </row>
    <row r="596" spans="2:62" ht="15.75">
      <c r="B596" s="7"/>
      <c r="C596" s="334"/>
      <c r="D596" s="334"/>
      <c r="E596" s="334"/>
      <c r="F596" s="334"/>
      <c r="G596" s="334"/>
      <c r="H596" s="334"/>
      <c r="I596" s="334"/>
      <c r="J596" s="334"/>
      <c r="K596" s="334"/>
      <c r="L596" s="334"/>
      <c r="M596" s="334"/>
      <c r="N596" s="334"/>
      <c r="O596" s="334"/>
      <c r="P596" s="334"/>
      <c r="Q596" s="334"/>
      <c r="R596" s="334"/>
      <c r="S596" s="334"/>
      <c r="T596" s="334"/>
      <c r="U596" s="334"/>
      <c r="V596" s="334"/>
      <c r="W596" s="334"/>
      <c r="X596" s="334"/>
      <c r="Y596" s="246"/>
      <c r="Z596" s="246"/>
      <c r="AA596" s="246"/>
      <c r="AB596" s="246"/>
      <c r="AC596" s="246"/>
      <c r="AD596" s="246"/>
      <c r="AE596" s="246"/>
      <c r="AF596" s="246"/>
      <c r="AG596" s="246"/>
      <c r="AH596" s="246"/>
      <c r="AI596" s="246"/>
      <c r="AJ596" s="246"/>
      <c r="AK596" s="246"/>
      <c r="AL596" s="246"/>
      <c r="AM596" s="246"/>
      <c r="AN596" s="246"/>
      <c r="AO596" s="246"/>
      <c r="AP596" s="246"/>
      <c r="AQ596" s="246"/>
      <c r="AR596" s="246"/>
      <c r="AS596" s="246"/>
      <c r="AT596" s="246"/>
      <c r="AU596" s="246"/>
      <c r="AV596" s="246"/>
      <c r="AW596" s="246"/>
      <c r="AX596" s="246"/>
      <c r="AY596" s="246"/>
      <c r="AZ596" s="246"/>
      <c r="BA596" s="246"/>
      <c r="BB596" s="246"/>
      <c r="BC596" s="246"/>
      <c r="BD596" s="246"/>
      <c r="BE596" s="246"/>
      <c r="BF596" s="246"/>
      <c r="BG596" s="246"/>
      <c r="BH596" s="246"/>
      <c r="BI596" s="246"/>
      <c r="BJ596" s="246"/>
    </row>
    <row r="597" spans="2:62" ht="15.75">
      <c r="B597" s="7"/>
      <c r="C597" s="334"/>
      <c r="D597" s="334"/>
      <c r="E597" s="334"/>
      <c r="F597" s="334"/>
      <c r="G597" s="334"/>
      <c r="H597" s="334"/>
      <c r="I597" s="334"/>
      <c r="J597" s="334"/>
      <c r="K597" s="334"/>
      <c r="L597" s="334"/>
      <c r="M597" s="334"/>
      <c r="N597" s="334"/>
      <c r="O597" s="334"/>
      <c r="P597" s="334"/>
      <c r="Q597" s="334"/>
      <c r="R597" s="334"/>
      <c r="S597" s="334"/>
      <c r="T597" s="334"/>
      <c r="U597" s="334"/>
      <c r="V597" s="334"/>
      <c r="W597" s="334"/>
      <c r="X597" s="334"/>
      <c r="Y597" s="246"/>
      <c r="Z597" s="246"/>
      <c r="AA597" s="246"/>
      <c r="AB597" s="246"/>
      <c r="AC597" s="246"/>
      <c r="AD597" s="246"/>
      <c r="AE597" s="246"/>
      <c r="AF597" s="246"/>
      <c r="AG597" s="246"/>
      <c r="AH597" s="246"/>
      <c r="AI597" s="246"/>
      <c r="AJ597" s="246"/>
      <c r="AK597" s="246"/>
      <c r="AL597" s="246"/>
      <c r="AM597" s="246"/>
      <c r="AN597" s="246"/>
      <c r="AO597" s="246"/>
      <c r="AP597" s="246"/>
      <c r="AQ597" s="246"/>
      <c r="AR597" s="246"/>
      <c r="AS597" s="246"/>
      <c r="AT597" s="246"/>
      <c r="AU597" s="246"/>
      <c r="AV597" s="246"/>
      <c r="AW597" s="246"/>
      <c r="AX597" s="246"/>
      <c r="AY597" s="246"/>
      <c r="AZ597" s="246"/>
      <c r="BA597" s="246"/>
      <c r="BB597" s="246"/>
      <c r="BC597" s="246"/>
      <c r="BD597" s="246"/>
      <c r="BE597" s="246"/>
      <c r="BF597" s="246"/>
      <c r="BG597" s="246"/>
      <c r="BH597" s="246"/>
      <c r="BI597" s="246"/>
      <c r="BJ597" s="246"/>
    </row>
    <row r="598" spans="2:62" ht="15.75">
      <c r="B598" s="7"/>
      <c r="C598" s="334"/>
      <c r="D598" s="334"/>
      <c r="E598" s="334"/>
      <c r="F598" s="334"/>
      <c r="G598" s="334"/>
      <c r="H598" s="334"/>
      <c r="I598" s="334"/>
      <c r="J598" s="334"/>
      <c r="K598" s="334"/>
      <c r="L598" s="334"/>
      <c r="M598" s="334"/>
      <c r="N598" s="334"/>
      <c r="O598" s="334"/>
      <c r="P598" s="334"/>
      <c r="Q598" s="334"/>
      <c r="R598" s="334"/>
      <c r="S598" s="334"/>
      <c r="T598" s="334"/>
      <c r="U598" s="334"/>
      <c r="V598" s="334"/>
      <c r="W598" s="334"/>
      <c r="X598" s="334"/>
      <c r="Y598" s="246"/>
      <c r="Z598" s="246"/>
      <c r="AA598" s="246"/>
      <c r="AB598" s="246"/>
      <c r="AC598" s="246"/>
      <c r="AD598" s="246"/>
      <c r="AE598" s="246"/>
      <c r="AF598" s="246"/>
      <c r="AG598" s="246"/>
      <c r="AH598" s="246"/>
      <c r="AI598" s="246"/>
      <c r="AJ598" s="246"/>
      <c r="AK598" s="246"/>
      <c r="AL598" s="246"/>
      <c r="AM598" s="246"/>
      <c r="AN598" s="246"/>
      <c r="AO598" s="246"/>
      <c r="AP598" s="246"/>
      <c r="AQ598" s="246"/>
      <c r="AR598" s="246"/>
      <c r="AS598" s="246"/>
      <c r="AT598" s="246"/>
      <c r="AU598" s="246"/>
      <c r="AV598" s="246"/>
      <c r="AW598" s="246"/>
      <c r="AX598" s="246"/>
      <c r="AY598" s="246"/>
      <c r="AZ598" s="246"/>
      <c r="BA598" s="246"/>
      <c r="BB598" s="246"/>
      <c r="BC598" s="246"/>
      <c r="BD598" s="246"/>
      <c r="BE598" s="246"/>
      <c r="BF598" s="246"/>
      <c r="BG598" s="246"/>
      <c r="BH598" s="246"/>
      <c r="BI598" s="246"/>
      <c r="BJ598" s="246"/>
    </row>
    <row r="599" spans="2:62" ht="15.75">
      <c r="B599" s="7"/>
      <c r="C599" s="334"/>
      <c r="D599" s="334"/>
      <c r="E599" s="334"/>
      <c r="F599" s="334"/>
      <c r="G599" s="334"/>
      <c r="H599" s="334"/>
      <c r="I599" s="334"/>
      <c r="J599" s="334"/>
      <c r="K599" s="334"/>
      <c r="L599" s="334"/>
      <c r="M599" s="334"/>
      <c r="N599" s="334"/>
      <c r="O599" s="334"/>
      <c r="P599" s="334"/>
      <c r="Q599" s="334"/>
      <c r="R599" s="334"/>
      <c r="S599" s="334"/>
      <c r="T599" s="334"/>
      <c r="U599" s="334"/>
      <c r="V599" s="334"/>
      <c r="W599" s="334"/>
      <c r="X599" s="334"/>
      <c r="Y599" s="246"/>
      <c r="Z599" s="246"/>
      <c r="AA599" s="246"/>
      <c r="AB599" s="246"/>
      <c r="AC599" s="246"/>
      <c r="AD599" s="246"/>
      <c r="AE599" s="246"/>
      <c r="AF599" s="246"/>
      <c r="AG599" s="246"/>
      <c r="AH599" s="246"/>
      <c r="AI599" s="246"/>
      <c r="AJ599" s="246"/>
      <c r="AK599" s="246"/>
      <c r="AL599" s="246"/>
      <c r="AM599" s="246"/>
      <c r="AN599" s="246"/>
      <c r="AO599" s="246"/>
      <c r="AP599" s="246"/>
      <c r="AQ599" s="246"/>
      <c r="AR599" s="246"/>
      <c r="AS599" s="246"/>
      <c r="AT599" s="246"/>
      <c r="AU599" s="246"/>
      <c r="AV599" s="246"/>
      <c r="AW599" s="246"/>
      <c r="AX599" s="246"/>
      <c r="AY599" s="246"/>
      <c r="AZ599" s="246"/>
      <c r="BA599" s="246"/>
      <c r="BB599" s="246"/>
      <c r="BC599" s="246"/>
      <c r="BD599" s="246"/>
      <c r="BE599" s="246"/>
      <c r="BF599" s="246"/>
      <c r="BG599" s="246"/>
      <c r="BH599" s="246"/>
      <c r="BI599" s="246"/>
      <c r="BJ599" s="246"/>
    </row>
    <row r="600" spans="2:62" ht="15.75">
      <c r="B600" s="7"/>
      <c r="C600" s="334"/>
      <c r="D600" s="334"/>
      <c r="E600" s="334"/>
      <c r="F600" s="334"/>
      <c r="G600" s="334"/>
      <c r="H600" s="334"/>
      <c r="I600" s="334"/>
      <c r="J600" s="334"/>
      <c r="K600" s="334"/>
      <c r="L600" s="334"/>
      <c r="M600" s="334"/>
      <c r="N600" s="334"/>
      <c r="O600" s="334"/>
      <c r="P600" s="334"/>
      <c r="Q600" s="334"/>
      <c r="R600" s="334"/>
      <c r="S600" s="334"/>
      <c r="T600" s="334"/>
      <c r="U600" s="334"/>
      <c r="V600" s="334"/>
      <c r="W600" s="334"/>
      <c r="X600" s="334"/>
      <c r="Y600" s="246"/>
      <c r="Z600" s="246"/>
      <c r="AA600" s="246"/>
      <c r="AB600" s="246"/>
      <c r="AC600" s="246"/>
      <c r="AD600" s="246"/>
      <c r="AE600" s="246"/>
      <c r="AF600" s="246"/>
      <c r="AG600" s="246"/>
      <c r="AH600" s="246"/>
      <c r="AI600" s="246"/>
      <c r="AJ600" s="246"/>
      <c r="AK600" s="246"/>
      <c r="AL600" s="246"/>
      <c r="AM600" s="246"/>
      <c r="AN600" s="246"/>
      <c r="AO600" s="246"/>
      <c r="AP600" s="246"/>
      <c r="AQ600" s="246"/>
      <c r="AR600" s="246"/>
      <c r="AS600" s="246"/>
      <c r="AT600" s="246"/>
      <c r="AU600" s="246"/>
      <c r="AV600" s="246"/>
      <c r="AW600" s="246"/>
      <c r="AX600" s="246"/>
      <c r="AY600" s="246"/>
      <c r="AZ600" s="246"/>
      <c r="BA600" s="246"/>
      <c r="BB600" s="246"/>
      <c r="BC600" s="246"/>
      <c r="BD600" s="246"/>
      <c r="BE600" s="246"/>
      <c r="BF600" s="246"/>
      <c r="BG600" s="246"/>
      <c r="BH600" s="246"/>
      <c r="BI600" s="246"/>
      <c r="BJ600" s="246"/>
    </row>
    <row r="601" spans="2:62" ht="15.75">
      <c r="B601" s="7"/>
      <c r="C601" s="334"/>
      <c r="D601" s="334"/>
      <c r="E601" s="334"/>
      <c r="F601" s="334"/>
      <c r="G601" s="334"/>
      <c r="H601" s="334"/>
      <c r="I601" s="334"/>
      <c r="J601" s="334"/>
      <c r="K601" s="334"/>
      <c r="L601" s="334"/>
      <c r="M601" s="334"/>
      <c r="N601" s="334"/>
      <c r="O601" s="334"/>
      <c r="P601" s="334"/>
      <c r="Q601" s="334"/>
      <c r="R601" s="334"/>
      <c r="S601" s="334"/>
      <c r="T601" s="334"/>
      <c r="U601" s="334"/>
      <c r="V601" s="334"/>
      <c r="W601" s="334"/>
      <c r="X601" s="334"/>
      <c r="Y601" s="246"/>
      <c r="Z601" s="246"/>
      <c r="AA601" s="246"/>
      <c r="AB601" s="246"/>
      <c r="AC601" s="246"/>
      <c r="AD601" s="246"/>
      <c r="AE601" s="246"/>
      <c r="AF601" s="246"/>
      <c r="AG601" s="246"/>
      <c r="AH601" s="246"/>
      <c r="AI601" s="246"/>
      <c r="AJ601" s="246"/>
      <c r="AK601" s="246"/>
      <c r="AL601" s="246"/>
      <c r="AM601" s="246"/>
      <c r="AN601" s="246"/>
      <c r="AO601" s="246"/>
      <c r="AP601" s="246"/>
      <c r="AQ601" s="246"/>
      <c r="AR601" s="246"/>
      <c r="AS601" s="246"/>
      <c r="AT601" s="246"/>
      <c r="AU601" s="246"/>
      <c r="AV601" s="246"/>
      <c r="AW601" s="246"/>
      <c r="AX601" s="246"/>
      <c r="AY601" s="246"/>
      <c r="AZ601" s="246"/>
      <c r="BA601" s="246"/>
      <c r="BB601" s="246"/>
      <c r="BC601" s="246"/>
      <c r="BD601" s="246"/>
      <c r="BE601" s="246"/>
      <c r="BF601" s="246"/>
      <c r="BG601" s="246"/>
      <c r="BH601" s="246"/>
      <c r="BI601" s="246"/>
      <c r="BJ601" s="246"/>
    </row>
    <row r="602" spans="2:62" ht="15.75">
      <c r="B602" s="7"/>
      <c r="C602" s="334"/>
      <c r="D602" s="334"/>
      <c r="E602" s="334"/>
      <c r="F602" s="334"/>
      <c r="G602" s="334"/>
      <c r="H602" s="334"/>
      <c r="I602" s="334"/>
      <c r="J602" s="334"/>
      <c r="K602" s="334"/>
      <c r="L602" s="334"/>
      <c r="M602" s="334"/>
      <c r="N602" s="334"/>
      <c r="O602" s="334"/>
      <c r="P602" s="334"/>
      <c r="Q602" s="334"/>
      <c r="R602" s="334"/>
      <c r="S602" s="334"/>
      <c r="T602" s="334"/>
      <c r="U602" s="334"/>
      <c r="V602" s="334"/>
      <c r="W602" s="334"/>
      <c r="X602" s="334"/>
      <c r="Y602" s="246"/>
      <c r="Z602" s="246"/>
      <c r="AA602" s="246"/>
      <c r="AB602" s="246"/>
      <c r="AC602" s="246"/>
      <c r="AD602" s="246"/>
      <c r="AE602" s="246"/>
      <c r="AF602" s="246"/>
      <c r="AG602" s="246"/>
      <c r="AH602" s="246"/>
      <c r="AI602" s="246"/>
      <c r="AJ602" s="246"/>
      <c r="AK602" s="246"/>
      <c r="AL602" s="246"/>
      <c r="AM602" s="246"/>
      <c r="AN602" s="246"/>
      <c r="AO602" s="246"/>
      <c r="AP602" s="246"/>
      <c r="AQ602" s="246"/>
      <c r="AR602" s="246"/>
      <c r="AS602" s="246"/>
      <c r="AT602" s="246"/>
      <c r="AU602" s="246"/>
      <c r="AV602" s="246"/>
      <c r="AW602" s="246"/>
      <c r="AX602" s="246"/>
      <c r="AY602" s="246"/>
      <c r="AZ602" s="246"/>
      <c r="BA602" s="246"/>
      <c r="BB602" s="246"/>
      <c r="BC602" s="246"/>
      <c r="BD602" s="246"/>
      <c r="BE602" s="246"/>
      <c r="BF602" s="246"/>
      <c r="BG602" s="246"/>
      <c r="BH602" s="246"/>
      <c r="BI602" s="246"/>
      <c r="BJ602" s="246"/>
    </row>
    <row r="603" spans="2:62" ht="15.75">
      <c r="B603" s="7"/>
      <c r="C603" s="334"/>
      <c r="D603" s="334"/>
      <c r="E603" s="334"/>
      <c r="F603" s="334"/>
      <c r="G603" s="334"/>
      <c r="H603" s="334"/>
      <c r="I603" s="334"/>
      <c r="J603" s="334"/>
      <c r="K603" s="334"/>
      <c r="L603" s="334"/>
      <c r="M603" s="334"/>
      <c r="N603" s="334"/>
      <c r="O603" s="334"/>
      <c r="P603" s="334"/>
      <c r="Q603" s="334"/>
      <c r="R603" s="334"/>
      <c r="S603" s="334"/>
      <c r="T603" s="334"/>
      <c r="U603" s="334"/>
      <c r="V603" s="334"/>
      <c r="W603" s="334"/>
      <c r="X603" s="334"/>
      <c r="Y603" s="246"/>
      <c r="Z603" s="246"/>
      <c r="AA603" s="246"/>
      <c r="AB603" s="246"/>
      <c r="AC603" s="246"/>
      <c r="AD603" s="246"/>
      <c r="AE603" s="246"/>
      <c r="AF603" s="246"/>
      <c r="AG603" s="246"/>
      <c r="AH603" s="246"/>
      <c r="AI603" s="246"/>
      <c r="AJ603" s="246"/>
      <c r="AK603" s="246"/>
      <c r="AL603" s="246"/>
      <c r="AM603" s="246"/>
      <c r="AN603" s="246"/>
      <c r="AO603" s="246"/>
      <c r="AP603" s="246"/>
      <c r="AQ603" s="246"/>
      <c r="AR603" s="246"/>
      <c r="AS603" s="246"/>
      <c r="AT603" s="246"/>
      <c r="AU603" s="246"/>
      <c r="AV603" s="246"/>
      <c r="AW603" s="246"/>
      <c r="AX603" s="246"/>
      <c r="AY603" s="246"/>
      <c r="AZ603" s="246"/>
      <c r="BA603" s="246"/>
      <c r="BB603" s="246"/>
      <c r="BC603" s="246"/>
      <c r="BD603" s="246"/>
      <c r="BE603" s="246"/>
      <c r="BF603" s="246"/>
      <c r="BG603" s="246"/>
      <c r="BH603" s="246"/>
      <c r="BI603" s="246"/>
      <c r="BJ603" s="246"/>
    </row>
    <row r="604" spans="2:62" ht="15.75">
      <c r="B604" s="7"/>
      <c r="C604" s="334"/>
      <c r="D604" s="334"/>
      <c r="E604" s="334"/>
      <c r="F604" s="334"/>
      <c r="G604" s="334"/>
      <c r="H604" s="334"/>
      <c r="I604" s="334"/>
      <c r="J604" s="334"/>
      <c r="K604" s="334"/>
      <c r="L604" s="334"/>
      <c r="M604" s="334"/>
      <c r="N604" s="334"/>
      <c r="O604" s="334"/>
      <c r="P604" s="334"/>
      <c r="Q604" s="334"/>
      <c r="R604" s="334"/>
      <c r="S604" s="334"/>
      <c r="T604" s="334"/>
      <c r="U604" s="334"/>
      <c r="V604" s="334"/>
      <c r="W604" s="334"/>
      <c r="X604" s="334"/>
      <c r="Y604" s="246"/>
      <c r="Z604" s="246"/>
      <c r="AA604" s="246"/>
      <c r="AB604" s="246"/>
      <c r="AC604" s="246"/>
      <c r="AD604" s="246"/>
      <c r="AE604" s="246"/>
      <c r="AF604" s="246"/>
      <c r="AG604" s="246"/>
      <c r="AH604" s="246"/>
      <c r="AI604" s="246"/>
      <c r="AJ604" s="246"/>
      <c r="AK604" s="246"/>
      <c r="AL604" s="246"/>
      <c r="AM604" s="246"/>
      <c r="AN604" s="246"/>
      <c r="AO604" s="246"/>
      <c r="AP604" s="246"/>
      <c r="AQ604" s="246"/>
      <c r="AR604" s="246"/>
      <c r="AS604" s="246"/>
      <c r="AT604" s="246"/>
      <c r="AU604" s="246"/>
      <c r="AV604" s="246"/>
      <c r="AW604" s="246"/>
      <c r="AX604" s="246"/>
      <c r="AY604" s="246"/>
      <c r="AZ604" s="246"/>
      <c r="BA604" s="246"/>
      <c r="BB604" s="246"/>
      <c r="BC604" s="246"/>
      <c r="BD604" s="246"/>
      <c r="BE604" s="246"/>
      <c r="BF604" s="246"/>
      <c r="BG604" s="246"/>
      <c r="BH604" s="246"/>
      <c r="BI604" s="246"/>
      <c r="BJ604" s="246"/>
    </row>
    <row r="605" spans="2:62" ht="15.75">
      <c r="B605" s="7"/>
      <c r="C605" s="334"/>
      <c r="D605" s="334"/>
      <c r="E605" s="334"/>
      <c r="F605" s="334"/>
      <c r="G605" s="334"/>
      <c r="H605" s="334"/>
      <c r="I605" s="334"/>
      <c r="J605" s="334"/>
      <c r="K605" s="334"/>
      <c r="L605" s="334"/>
      <c r="M605" s="334"/>
      <c r="N605" s="334"/>
      <c r="O605" s="334"/>
      <c r="P605" s="334"/>
      <c r="Q605" s="334"/>
      <c r="R605" s="334"/>
      <c r="S605" s="334"/>
      <c r="T605" s="334"/>
      <c r="U605" s="334"/>
      <c r="V605" s="334"/>
      <c r="W605" s="334"/>
      <c r="X605" s="334"/>
      <c r="Y605" s="246"/>
      <c r="Z605" s="246"/>
      <c r="AA605" s="246"/>
      <c r="AB605" s="246"/>
      <c r="AC605" s="246"/>
      <c r="AD605" s="246"/>
      <c r="AE605" s="246"/>
      <c r="AF605" s="246"/>
      <c r="AG605" s="246"/>
      <c r="AH605" s="246"/>
      <c r="AI605" s="246"/>
      <c r="AJ605" s="246"/>
      <c r="AK605" s="246"/>
      <c r="AL605" s="246"/>
      <c r="AM605" s="246"/>
      <c r="AN605" s="246"/>
      <c r="AO605" s="246"/>
      <c r="AP605" s="246"/>
      <c r="AQ605" s="246"/>
      <c r="AR605" s="246"/>
      <c r="AS605" s="246"/>
      <c r="AT605" s="246"/>
      <c r="AU605" s="246"/>
      <c r="AV605" s="246"/>
      <c r="AW605" s="246"/>
      <c r="AX605" s="246"/>
      <c r="AY605" s="246"/>
      <c r="AZ605" s="246"/>
      <c r="BA605" s="246"/>
      <c r="BB605" s="246"/>
      <c r="BC605" s="246"/>
      <c r="BD605" s="246"/>
      <c r="BE605" s="246"/>
      <c r="BF605" s="246"/>
      <c r="BG605" s="246"/>
      <c r="BH605" s="246"/>
      <c r="BI605" s="246"/>
      <c r="BJ605" s="246"/>
    </row>
    <row r="606" spans="2:62" ht="15.75">
      <c r="B606" s="7"/>
      <c r="C606" s="334"/>
      <c r="D606" s="334"/>
      <c r="E606" s="334"/>
      <c r="F606" s="334"/>
      <c r="G606" s="334"/>
      <c r="H606" s="334"/>
      <c r="I606" s="334"/>
      <c r="J606" s="334"/>
      <c r="K606" s="334"/>
      <c r="L606" s="334"/>
      <c r="M606" s="334"/>
      <c r="N606" s="334"/>
      <c r="O606" s="334"/>
      <c r="P606" s="334"/>
      <c r="Q606" s="334"/>
      <c r="R606" s="334"/>
      <c r="S606" s="334"/>
      <c r="T606" s="334"/>
      <c r="U606" s="334"/>
      <c r="V606" s="334"/>
      <c r="W606" s="334"/>
      <c r="X606" s="334"/>
      <c r="Y606" s="246"/>
      <c r="Z606" s="246"/>
      <c r="AA606" s="246"/>
      <c r="AB606" s="246"/>
      <c r="AC606" s="246"/>
      <c r="AD606" s="246"/>
      <c r="AE606" s="246"/>
      <c r="AF606" s="246"/>
      <c r="AG606" s="246"/>
      <c r="AH606" s="246"/>
      <c r="AI606" s="246"/>
      <c r="AJ606" s="246"/>
      <c r="AK606" s="246"/>
      <c r="AL606" s="246"/>
      <c r="AM606" s="246"/>
      <c r="AN606" s="246"/>
      <c r="AO606" s="246"/>
      <c r="AP606" s="246"/>
      <c r="AQ606" s="246"/>
      <c r="AR606" s="246"/>
      <c r="AS606" s="246"/>
      <c r="AT606" s="246"/>
      <c r="AU606" s="246"/>
      <c r="AV606" s="246"/>
      <c r="AW606" s="246"/>
      <c r="AX606" s="246"/>
      <c r="AY606" s="246"/>
      <c r="AZ606" s="246"/>
      <c r="BA606" s="246"/>
      <c r="BB606" s="246"/>
      <c r="BC606" s="246"/>
      <c r="BD606" s="246"/>
      <c r="BE606" s="246"/>
      <c r="BF606" s="246"/>
      <c r="BG606" s="246"/>
      <c r="BH606" s="246"/>
      <c r="BI606" s="246"/>
      <c r="BJ606" s="246"/>
    </row>
    <row r="607" spans="2:62" ht="15.75">
      <c r="B607" s="7"/>
      <c r="C607" s="334"/>
      <c r="D607" s="334"/>
      <c r="E607" s="334"/>
      <c r="F607" s="334"/>
      <c r="G607" s="334"/>
      <c r="H607" s="334"/>
      <c r="I607" s="334"/>
      <c r="J607" s="334"/>
      <c r="K607" s="334"/>
      <c r="L607" s="334"/>
      <c r="M607" s="334"/>
      <c r="N607" s="334"/>
      <c r="O607" s="334"/>
      <c r="P607" s="334"/>
      <c r="Q607" s="334"/>
      <c r="R607" s="334"/>
      <c r="S607" s="334"/>
      <c r="T607" s="334"/>
      <c r="U607" s="334"/>
      <c r="V607" s="334"/>
      <c r="W607" s="334"/>
      <c r="X607" s="334"/>
      <c r="Y607" s="246"/>
      <c r="Z607" s="246"/>
      <c r="AA607" s="246"/>
      <c r="AB607" s="246"/>
      <c r="AC607" s="246"/>
      <c r="AD607" s="246"/>
      <c r="AE607" s="246"/>
      <c r="AF607" s="246"/>
      <c r="AG607" s="246"/>
      <c r="AH607" s="246"/>
      <c r="AI607" s="246"/>
      <c r="AJ607" s="246"/>
      <c r="AK607" s="246"/>
      <c r="AL607" s="246"/>
      <c r="AM607" s="246"/>
      <c r="AN607" s="246"/>
      <c r="AO607" s="246"/>
      <c r="AP607" s="246"/>
      <c r="AQ607" s="246"/>
      <c r="AR607" s="246"/>
      <c r="AS607" s="246"/>
      <c r="AT607" s="246"/>
      <c r="AU607" s="246"/>
      <c r="AV607" s="246"/>
      <c r="AW607" s="246"/>
      <c r="AX607" s="246"/>
      <c r="AY607" s="246"/>
      <c r="AZ607" s="246"/>
      <c r="BA607" s="246"/>
      <c r="BB607" s="246"/>
      <c r="BC607" s="246"/>
      <c r="BD607" s="246"/>
      <c r="BE607" s="246"/>
      <c r="BF607" s="246"/>
      <c r="BG607" s="246"/>
      <c r="BH607" s="246"/>
      <c r="BI607" s="246"/>
      <c r="BJ607" s="246"/>
    </row>
    <row r="608" spans="2:62" ht="15.75">
      <c r="B608" s="7"/>
      <c r="C608" s="334"/>
      <c r="D608" s="334"/>
      <c r="E608" s="334"/>
      <c r="F608" s="334"/>
      <c r="G608" s="334"/>
      <c r="H608" s="334"/>
      <c r="I608" s="334"/>
      <c r="J608" s="334"/>
      <c r="K608" s="334"/>
      <c r="L608" s="334"/>
      <c r="M608" s="334"/>
      <c r="N608" s="334"/>
      <c r="O608" s="334"/>
      <c r="P608" s="334"/>
      <c r="Q608" s="334"/>
      <c r="R608" s="334"/>
      <c r="S608" s="334"/>
      <c r="T608" s="334"/>
      <c r="U608" s="334"/>
      <c r="V608" s="334"/>
      <c r="W608" s="334"/>
      <c r="X608" s="334"/>
      <c r="Y608" s="246"/>
      <c r="Z608" s="246"/>
      <c r="AA608" s="246"/>
      <c r="AB608" s="246"/>
      <c r="AC608" s="246"/>
      <c r="AD608" s="246"/>
      <c r="AE608" s="246"/>
      <c r="AF608" s="246"/>
      <c r="AG608" s="246"/>
      <c r="AH608" s="246"/>
      <c r="AI608" s="246"/>
      <c r="AJ608" s="246"/>
      <c r="AK608" s="246"/>
      <c r="AL608" s="246"/>
      <c r="AM608" s="246"/>
      <c r="AN608" s="246"/>
      <c r="AO608" s="246"/>
      <c r="AP608" s="246"/>
      <c r="AQ608" s="246"/>
      <c r="AR608" s="246"/>
      <c r="AS608" s="246"/>
      <c r="AT608" s="246"/>
      <c r="AU608" s="246"/>
      <c r="AV608" s="246"/>
      <c r="AW608" s="246"/>
      <c r="AX608" s="246"/>
      <c r="AY608" s="246"/>
      <c r="AZ608" s="246"/>
      <c r="BA608" s="246"/>
      <c r="BB608" s="246"/>
      <c r="BC608" s="246"/>
      <c r="BD608" s="246"/>
      <c r="BE608" s="246"/>
      <c r="BF608" s="246"/>
      <c r="BG608" s="246"/>
      <c r="BH608" s="246"/>
      <c r="BI608" s="246"/>
      <c r="BJ608" s="246"/>
    </row>
    <row r="609" spans="2:62" ht="15.75">
      <c r="B609" s="7"/>
      <c r="C609" s="334"/>
      <c r="D609" s="334"/>
      <c r="E609" s="334"/>
      <c r="F609" s="334"/>
      <c r="G609" s="334"/>
      <c r="H609" s="334"/>
      <c r="I609" s="334"/>
      <c r="J609" s="334"/>
      <c r="K609" s="334"/>
      <c r="L609" s="334"/>
      <c r="M609" s="334"/>
      <c r="N609" s="334"/>
      <c r="O609" s="334"/>
      <c r="P609" s="334"/>
      <c r="Q609" s="334"/>
      <c r="R609" s="334"/>
      <c r="S609" s="334"/>
      <c r="T609" s="334"/>
      <c r="U609" s="334"/>
      <c r="V609" s="334"/>
      <c r="W609" s="334"/>
      <c r="X609" s="334"/>
      <c r="Y609" s="246"/>
      <c r="Z609" s="246"/>
      <c r="AA609" s="246"/>
      <c r="AB609" s="246"/>
      <c r="AC609" s="246"/>
      <c r="AD609" s="246"/>
      <c r="AE609" s="246"/>
      <c r="AF609" s="246"/>
      <c r="AG609" s="246"/>
      <c r="AH609" s="246"/>
      <c r="AI609" s="246"/>
      <c r="AJ609" s="246"/>
      <c r="AK609" s="246"/>
      <c r="AL609" s="246"/>
      <c r="AM609" s="246"/>
      <c r="AN609" s="246"/>
      <c r="AO609" s="246"/>
      <c r="AP609" s="246"/>
      <c r="AQ609" s="246"/>
      <c r="AR609" s="246"/>
      <c r="AS609" s="246"/>
      <c r="AT609" s="246"/>
      <c r="AU609" s="246"/>
      <c r="AV609" s="246"/>
      <c r="AW609" s="246"/>
      <c r="AX609" s="246"/>
      <c r="AY609" s="246"/>
      <c r="AZ609" s="246"/>
      <c r="BA609" s="246"/>
      <c r="BB609" s="246"/>
      <c r="BC609" s="246"/>
      <c r="BD609" s="246"/>
      <c r="BE609" s="246"/>
      <c r="BF609" s="246"/>
      <c r="BG609" s="246"/>
      <c r="BH609" s="246"/>
      <c r="BI609" s="246"/>
      <c r="BJ609" s="246"/>
    </row>
    <row r="610" spans="2:62" ht="15.75">
      <c r="B610" s="7"/>
      <c r="C610" s="334"/>
      <c r="D610" s="334"/>
      <c r="E610" s="334"/>
      <c r="F610" s="334"/>
      <c r="G610" s="334"/>
      <c r="H610" s="334"/>
      <c r="I610" s="334"/>
      <c r="J610" s="334"/>
      <c r="K610" s="334"/>
      <c r="L610" s="334"/>
      <c r="M610" s="334"/>
      <c r="N610" s="334"/>
      <c r="O610" s="334"/>
      <c r="P610" s="334"/>
      <c r="Q610" s="334"/>
      <c r="R610" s="334"/>
      <c r="S610" s="334"/>
      <c r="T610" s="334"/>
      <c r="U610" s="334"/>
      <c r="V610" s="334"/>
      <c r="W610" s="334"/>
      <c r="X610" s="334"/>
      <c r="Y610" s="246"/>
      <c r="Z610" s="246"/>
      <c r="AA610" s="246"/>
      <c r="AB610" s="246"/>
      <c r="AC610" s="246"/>
      <c r="AD610" s="246"/>
      <c r="AE610" s="246"/>
      <c r="AF610" s="246"/>
      <c r="AG610" s="246"/>
      <c r="AH610" s="246"/>
      <c r="AI610" s="246"/>
      <c r="AJ610" s="246"/>
      <c r="AK610" s="246"/>
      <c r="AL610" s="246"/>
      <c r="AM610" s="246"/>
      <c r="AN610" s="246"/>
      <c r="AO610" s="246"/>
      <c r="AP610" s="246"/>
      <c r="AQ610" s="246"/>
      <c r="AR610" s="246"/>
      <c r="AS610" s="246"/>
      <c r="AT610" s="246"/>
      <c r="AU610" s="246"/>
      <c r="AV610" s="246"/>
      <c r="AW610" s="246"/>
      <c r="AX610" s="246"/>
      <c r="AY610" s="246"/>
      <c r="AZ610" s="246"/>
      <c r="BA610" s="246"/>
      <c r="BB610" s="246"/>
      <c r="BC610" s="246"/>
      <c r="BD610" s="246"/>
      <c r="BE610" s="246"/>
      <c r="BF610" s="246"/>
      <c r="BG610" s="246"/>
      <c r="BH610" s="246"/>
      <c r="BI610" s="246"/>
      <c r="BJ610" s="246"/>
    </row>
    <row r="611" spans="2:62" ht="15.75">
      <c r="B611" s="7"/>
      <c r="C611" s="334"/>
      <c r="D611" s="334"/>
      <c r="E611" s="334"/>
      <c r="F611" s="334"/>
      <c r="G611" s="334"/>
      <c r="H611" s="334"/>
      <c r="I611" s="334"/>
      <c r="J611" s="334"/>
      <c r="K611" s="334"/>
      <c r="L611" s="334"/>
      <c r="M611" s="334"/>
      <c r="N611" s="334"/>
      <c r="O611" s="334"/>
      <c r="P611" s="334"/>
      <c r="Q611" s="334"/>
      <c r="R611" s="334"/>
      <c r="S611" s="334"/>
      <c r="T611" s="334"/>
      <c r="U611" s="334"/>
      <c r="V611" s="334"/>
      <c r="W611" s="334"/>
      <c r="X611" s="334"/>
      <c r="Y611" s="246"/>
      <c r="Z611" s="246"/>
      <c r="AA611" s="246"/>
      <c r="AB611" s="246"/>
      <c r="AC611" s="246"/>
      <c r="AD611" s="246"/>
      <c r="AE611" s="246"/>
      <c r="AF611" s="246"/>
      <c r="AG611" s="246"/>
      <c r="AH611" s="246"/>
      <c r="AI611" s="246"/>
      <c r="AJ611" s="246"/>
      <c r="AK611" s="246"/>
      <c r="AL611" s="246"/>
      <c r="AM611" s="246"/>
      <c r="AN611" s="246"/>
      <c r="AO611" s="246"/>
      <c r="AP611" s="246"/>
      <c r="AQ611" s="246"/>
      <c r="AR611" s="246"/>
      <c r="AS611" s="246"/>
      <c r="AT611" s="246"/>
      <c r="AU611" s="246"/>
      <c r="AV611" s="246"/>
      <c r="AW611" s="246"/>
      <c r="AX611" s="246"/>
      <c r="AY611" s="246"/>
      <c r="AZ611" s="246"/>
      <c r="BA611" s="246"/>
      <c r="BB611" s="246"/>
      <c r="BC611" s="246"/>
      <c r="BD611" s="246"/>
      <c r="BE611" s="246"/>
      <c r="BF611" s="246"/>
      <c r="BG611" s="246"/>
      <c r="BH611" s="246"/>
      <c r="BI611" s="246"/>
      <c r="BJ611" s="246"/>
    </row>
    <row r="612" spans="2:62" ht="15.75">
      <c r="B612" s="7"/>
      <c r="C612" s="334"/>
      <c r="D612" s="334"/>
      <c r="E612" s="334"/>
      <c r="F612" s="334"/>
      <c r="G612" s="334"/>
      <c r="H612" s="334"/>
      <c r="I612" s="334"/>
      <c r="J612" s="334"/>
      <c r="K612" s="334"/>
      <c r="L612" s="334"/>
      <c r="M612" s="334"/>
      <c r="N612" s="334"/>
      <c r="O612" s="334"/>
      <c r="P612" s="334"/>
      <c r="Q612" s="334"/>
      <c r="R612" s="334"/>
      <c r="S612" s="334"/>
      <c r="T612" s="334"/>
      <c r="U612" s="334"/>
      <c r="V612" s="334"/>
      <c r="W612" s="334"/>
      <c r="X612" s="334"/>
      <c r="Y612" s="246"/>
      <c r="Z612" s="246"/>
      <c r="AA612" s="246"/>
      <c r="AB612" s="246"/>
      <c r="AC612" s="246"/>
      <c r="AD612" s="246"/>
      <c r="AE612" s="246"/>
      <c r="AF612" s="246"/>
      <c r="AG612" s="246"/>
      <c r="AH612" s="246"/>
      <c r="AI612" s="246"/>
      <c r="AJ612" s="246"/>
      <c r="AK612" s="246"/>
      <c r="AL612" s="246"/>
      <c r="AM612" s="246"/>
      <c r="AN612" s="246"/>
      <c r="AO612" s="246"/>
      <c r="AP612" s="246"/>
      <c r="AQ612" s="246"/>
      <c r="AR612" s="246"/>
      <c r="AS612" s="246"/>
      <c r="AT612" s="246"/>
      <c r="AU612" s="246"/>
      <c r="AV612" s="246"/>
      <c r="AW612" s="246"/>
      <c r="AX612" s="246"/>
      <c r="AY612" s="246"/>
      <c r="AZ612" s="246"/>
      <c r="BA612" s="246"/>
      <c r="BB612" s="246"/>
      <c r="BC612" s="246"/>
      <c r="BD612" s="246"/>
      <c r="BE612" s="246"/>
      <c r="BF612" s="246"/>
      <c r="BG612" s="246"/>
      <c r="BH612" s="246"/>
      <c r="BI612" s="246"/>
      <c r="BJ612" s="246"/>
    </row>
    <row r="613" spans="2:62" ht="15.75">
      <c r="B613" s="7"/>
      <c r="C613" s="334"/>
      <c r="D613" s="334"/>
      <c r="E613" s="334"/>
      <c r="F613" s="334"/>
      <c r="G613" s="334"/>
      <c r="H613" s="334"/>
      <c r="I613" s="334"/>
      <c r="J613" s="334"/>
      <c r="K613" s="334"/>
      <c r="L613" s="334"/>
      <c r="M613" s="334"/>
      <c r="N613" s="334"/>
      <c r="O613" s="334"/>
      <c r="P613" s="334"/>
      <c r="Q613" s="334"/>
      <c r="R613" s="334"/>
      <c r="S613" s="334"/>
      <c r="T613" s="334"/>
      <c r="U613" s="334"/>
      <c r="V613" s="334"/>
      <c r="W613" s="334"/>
      <c r="X613" s="334"/>
      <c r="Y613" s="246"/>
      <c r="Z613" s="246"/>
      <c r="AA613" s="246"/>
      <c r="AB613" s="246"/>
      <c r="AC613" s="246"/>
      <c r="AD613" s="246"/>
      <c r="AE613" s="246"/>
      <c r="AF613" s="246"/>
      <c r="AG613" s="246"/>
      <c r="AH613" s="246"/>
      <c r="AI613" s="246"/>
      <c r="AJ613" s="246"/>
      <c r="AK613" s="246"/>
      <c r="AL613" s="246"/>
      <c r="AM613" s="246"/>
      <c r="AN613" s="246"/>
      <c r="AO613" s="246"/>
      <c r="AP613" s="246"/>
      <c r="AQ613" s="246"/>
      <c r="AR613" s="246"/>
      <c r="AS613" s="246"/>
      <c r="AT613" s="246"/>
      <c r="AU613" s="246"/>
      <c r="AV613" s="246"/>
      <c r="AW613" s="246"/>
      <c r="AX613" s="246"/>
      <c r="AY613" s="246"/>
      <c r="AZ613" s="246"/>
      <c r="BA613" s="246"/>
      <c r="BB613" s="246"/>
      <c r="BC613" s="246"/>
      <c r="BD613" s="246"/>
      <c r="BE613" s="246"/>
      <c r="BF613" s="246"/>
      <c r="BG613" s="246"/>
      <c r="BH613" s="246"/>
      <c r="BI613" s="246"/>
      <c r="BJ613" s="246"/>
    </row>
    <row r="614" spans="2:62" ht="15.75">
      <c r="B614" s="7"/>
      <c r="C614" s="334"/>
      <c r="D614" s="334"/>
      <c r="E614" s="334"/>
      <c r="F614" s="334"/>
      <c r="G614" s="334"/>
      <c r="H614" s="334"/>
      <c r="I614" s="334"/>
      <c r="J614" s="334"/>
      <c r="K614" s="334"/>
      <c r="L614" s="334"/>
      <c r="M614" s="334"/>
      <c r="N614" s="334"/>
      <c r="O614" s="334"/>
      <c r="P614" s="334"/>
      <c r="Q614" s="334"/>
      <c r="R614" s="334"/>
      <c r="S614" s="334"/>
      <c r="T614" s="334"/>
      <c r="U614" s="334"/>
      <c r="V614" s="334"/>
      <c r="W614" s="334"/>
      <c r="X614" s="334"/>
      <c r="Y614" s="246"/>
      <c r="Z614" s="246"/>
      <c r="AA614" s="246"/>
      <c r="AB614" s="246"/>
      <c r="AC614" s="246"/>
      <c r="AD614" s="246"/>
      <c r="AE614" s="246"/>
      <c r="AF614" s="246"/>
      <c r="AG614" s="246"/>
      <c r="AH614" s="246"/>
      <c r="AI614" s="246"/>
      <c r="AJ614" s="246"/>
      <c r="AK614" s="246"/>
      <c r="AL614" s="246"/>
      <c r="AM614" s="246"/>
      <c r="AN614" s="246"/>
      <c r="AO614" s="246"/>
      <c r="AP614" s="246"/>
      <c r="AQ614" s="246"/>
      <c r="AR614" s="246"/>
      <c r="AS614" s="246"/>
      <c r="AT614" s="246"/>
      <c r="AU614" s="246"/>
      <c r="AV614" s="246"/>
      <c r="AW614" s="246"/>
      <c r="AX614" s="246"/>
      <c r="AY614" s="246"/>
      <c r="AZ614" s="246"/>
      <c r="BA614" s="246"/>
      <c r="BB614" s="246"/>
      <c r="BC614" s="246"/>
      <c r="BD614" s="246"/>
      <c r="BE614" s="246"/>
      <c r="BF614" s="246"/>
      <c r="BG614" s="246"/>
      <c r="BH614" s="246"/>
      <c r="BI614" s="246"/>
      <c r="BJ614" s="246"/>
    </row>
    <row r="615" spans="2:62" ht="15.75">
      <c r="B615" s="7"/>
      <c r="C615" s="334"/>
      <c r="D615" s="334"/>
      <c r="E615" s="334"/>
      <c r="F615" s="334"/>
      <c r="G615" s="334"/>
      <c r="H615" s="334"/>
      <c r="I615" s="334"/>
      <c r="J615" s="334"/>
      <c r="K615" s="334"/>
      <c r="L615" s="334"/>
      <c r="M615" s="334"/>
      <c r="N615" s="334"/>
      <c r="O615" s="334"/>
      <c r="P615" s="334"/>
      <c r="Q615" s="334"/>
      <c r="R615" s="334"/>
      <c r="S615" s="334"/>
      <c r="T615" s="334"/>
      <c r="U615" s="334"/>
      <c r="V615" s="334"/>
      <c r="W615" s="334"/>
      <c r="X615" s="334"/>
      <c r="Y615" s="246"/>
      <c r="Z615" s="246"/>
      <c r="AA615" s="246"/>
      <c r="AB615" s="246"/>
      <c r="AC615" s="246"/>
      <c r="AD615" s="246"/>
      <c r="AE615" s="246"/>
      <c r="AF615" s="246"/>
      <c r="AG615" s="246"/>
      <c r="AH615" s="246"/>
      <c r="AI615" s="246"/>
      <c r="AJ615" s="246"/>
      <c r="AK615" s="246"/>
      <c r="AL615" s="246"/>
      <c r="AM615" s="246"/>
      <c r="AN615" s="246"/>
      <c r="AO615" s="246"/>
      <c r="AP615" s="246"/>
      <c r="AQ615" s="246"/>
      <c r="AR615" s="246"/>
      <c r="AS615" s="246"/>
      <c r="AT615" s="246"/>
      <c r="AU615" s="246"/>
      <c r="AV615" s="246"/>
      <c r="AW615" s="246"/>
      <c r="AX615" s="246"/>
      <c r="AY615" s="246"/>
      <c r="AZ615" s="246"/>
      <c r="BA615" s="246"/>
      <c r="BB615" s="246"/>
      <c r="BC615" s="246"/>
      <c r="BD615" s="246"/>
      <c r="BE615" s="246"/>
      <c r="BF615" s="246"/>
      <c r="BG615" s="246"/>
      <c r="BH615" s="246"/>
      <c r="BI615" s="246"/>
      <c r="BJ615" s="246"/>
    </row>
    <row r="616" spans="2:62" ht="15.75">
      <c r="B616" s="7"/>
      <c r="C616" s="334"/>
      <c r="D616" s="334"/>
      <c r="E616" s="334"/>
      <c r="F616" s="334"/>
      <c r="G616" s="334"/>
      <c r="H616" s="334"/>
      <c r="I616" s="334"/>
      <c r="J616" s="334"/>
      <c r="K616" s="334"/>
      <c r="L616" s="334"/>
      <c r="M616" s="334"/>
      <c r="N616" s="334"/>
      <c r="O616" s="334"/>
      <c r="P616" s="334"/>
      <c r="Q616" s="334"/>
      <c r="R616" s="334"/>
      <c r="S616" s="334"/>
      <c r="T616" s="334"/>
      <c r="U616" s="334"/>
      <c r="V616" s="334"/>
      <c r="W616" s="334"/>
      <c r="X616" s="334"/>
      <c r="Y616" s="246"/>
      <c r="Z616" s="246"/>
      <c r="AA616" s="246"/>
      <c r="AB616" s="246"/>
      <c r="AC616" s="246"/>
      <c r="AD616" s="246"/>
      <c r="AE616" s="246"/>
      <c r="AF616" s="246"/>
      <c r="AG616" s="246"/>
      <c r="AH616" s="246"/>
      <c r="AI616" s="246"/>
      <c r="AJ616" s="246"/>
      <c r="AK616" s="246"/>
      <c r="AL616" s="246"/>
      <c r="AM616" s="246"/>
      <c r="AN616" s="246"/>
      <c r="AO616" s="246"/>
      <c r="AP616" s="246"/>
      <c r="AQ616" s="246"/>
      <c r="AR616" s="246"/>
      <c r="AS616" s="246"/>
      <c r="AT616" s="246"/>
      <c r="AU616" s="246"/>
      <c r="AV616" s="246"/>
      <c r="AW616" s="246"/>
      <c r="AX616" s="246"/>
      <c r="AY616" s="246"/>
      <c r="AZ616" s="246"/>
      <c r="BA616" s="246"/>
      <c r="BB616" s="246"/>
      <c r="BC616" s="246"/>
      <c r="BD616" s="246"/>
      <c r="BE616" s="246"/>
      <c r="BF616" s="246"/>
      <c r="BG616" s="246"/>
      <c r="BH616" s="246"/>
      <c r="BI616" s="246"/>
      <c r="BJ616" s="246"/>
    </row>
    <row r="617" spans="2:62" ht="15.75">
      <c r="B617" s="7"/>
      <c r="C617" s="334"/>
      <c r="D617" s="334"/>
      <c r="E617" s="334"/>
      <c r="F617" s="334"/>
      <c r="G617" s="334"/>
      <c r="H617" s="334"/>
      <c r="I617" s="334"/>
      <c r="J617" s="334"/>
      <c r="K617" s="334"/>
      <c r="L617" s="334"/>
      <c r="M617" s="334"/>
      <c r="N617" s="334"/>
      <c r="O617" s="334"/>
      <c r="P617" s="334"/>
      <c r="Q617" s="334"/>
      <c r="R617" s="334"/>
      <c r="S617" s="334"/>
      <c r="T617" s="334"/>
      <c r="U617" s="334"/>
      <c r="V617" s="334"/>
      <c r="W617" s="334"/>
      <c r="X617" s="334"/>
      <c r="Y617" s="246"/>
      <c r="Z617" s="246"/>
      <c r="AA617" s="246"/>
      <c r="AB617" s="246"/>
      <c r="AC617" s="246"/>
      <c r="AD617" s="246"/>
      <c r="AE617" s="246"/>
      <c r="AF617" s="246"/>
      <c r="AG617" s="246"/>
      <c r="AH617" s="246"/>
      <c r="AI617" s="246"/>
      <c r="AJ617" s="246"/>
      <c r="AK617" s="246"/>
      <c r="AL617" s="246"/>
      <c r="AM617" s="246"/>
      <c r="AN617" s="246"/>
      <c r="AO617" s="246"/>
      <c r="AP617" s="246"/>
      <c r="AQ617" s="246"/>
      <c r="AR617" s="246"/>
      <c r="AS617" s="246"/>
      <c r="AT617" s="246"/>
      <c r="AU617" s="246"/>
      <c r="AV617" s="246"/>
      <c r="AW617" s="246"/>
      <c r="AX617" s="246"/>
      <c r="AY617" s="246"/>
      <c r="AZ617" s="246"/>
      <c r="BA617" s="246"/>
      <c r="BB617" s="246"/>
      <c r="BC617" s="246"/>
      <c r="BD617" s="246"/>
      <c r="BE617" s="246"/>
      <c r="BF617" s="246"/>
      <c r="BG617" s="246"/>
      <c r="BH617" s="246"/>
      <c r="BI617" s="246"/>
      <c r="BJ617" s="246"/>
    </row>
    <row r="618" spans="2:62" ht="15.75">
      <c r="B618" s="7"/>
      <c r="C618" s="334"/>
      <c r="D618" s="334"/>
      <c r="E618" s="334"/>
      <c r="F618" s="334"/>
      <c r="G618" s="334"/>
      <c r="H618" s="334"/>
      <c r="I618" s="334"/>
      <c r="J618" s="334"/>
      <c r="K618" s="334"/>
      <c r="L618" s="334"/>
      <c r="M618" s="334"/>
      <c r="N618" s="334"/>
      <c r="O618" s="334"/>
      <c r="P618" s="334"/>
      <c r="Q618" s="334"/>
      <c r="R618" s="334"/>
      <c r="S618" s="334"/>
      <c r="T618" s="334"/>
      <c r="U618" s="334"/>
      <c r="V618" s="334"/>
      <c r="W618" s="334"/>
      <c r="X618" s="334"/>
      <c r="Y618" s="246"/>
      <c r="Z618" s="246"/>
      <c r="AA618" s="246"/>
      <c r="AB618" s="246"/>
      <c r="AC618" s="246"/>
      <c r="AD618" s="246"/>
      <c r="AE618" s="246"/>
      <c r="AF618" s="246"/>
      <c r="AG618" s="246"/>
      <c r="AH618" s="246"/>
      <c r="AI618" s="246"/>
      <c r="AJ618" s="246"/>
      <c r="AK618" s="246"/>
      <c r="AL618" s="246"/>
      <c r="AM618" s="246"/>
      <c r="AN618" s="246"/>
      <c r="AO618" s="246"/>
      <c r="AP618" s="246"/>
      <c r="AQ618" s="246"/>
      <c r="AR618" s="246"/>
      <c r="AS618" s="246"/>
      <c r="AT618" s="246"/>
      <c r="AU618" s="246"/>
      <c r="AV618" s="246"/>
      <c r="AW618" s="246"/>
      <c r="AX618" s="246"/>
      <c r="AY618" s="246"/>
      <c r="AZ618" s="246"/>
      <c r="BA618" s="246"/>
      <c r="BB618" s="246"/>
      <c r="BC618" s="246"/>
      <c r="BD618" s="246"/>
      <c r="BE618" s="246"/>
      <c r="BF618" s="246"/>
      <c r="BG618" s="246"/>
      <c r="BH618" s="246"/>
      <c r="BI618" s="246"/>
      <c r="BJ618" s="246"/>
    </row>
    <row r="619" spans="2:62" ht="15.75">
      <c r="B619" s="7"/>
      <c r="C619" s="334"/>
      <c r="D619" s="334"/>
      <c r="E619" s="334"/>
      <c r="F619" s="334"/>
      <c r="G619" s="334"/>
      <c r="H619" s="334"/>
      <c r="I619" s="334"/>
      <c r="J619" s="334"/>
      <c r="K619" s="334"/>
      <c r="L619" s="334"/>
      <c r="M619" s="334"/>
      <c r="N619" s="334"/>
      <c r="O619" s="334"/>
      <c r="P619" s="334"/>
      <c r="Q619" s="334"/>
      <c r="R619" s="334"/>
      <c r="S619" s="334"/>
      <c r="T619" s="334"/>
      <c r="U619" s="334"/>
      <c r="V619" s="334"/>
      <c r="W619" s="334"/>
      <c r="X619" s="334"/>
      <c r="Y619" s="246"/>
      <c r="Z619" s="246"/>
      <c r="AA619" s="246"/>
      <c r="AB619" s="246"/>
      <c r="AC619" s="246"/>
      <c r="AD619" s="246"/>
      <c r="AE619" s="246"/>
      <c r="AF619" s="246"/>
      <c r="AG619" s="246"/>
      <c r="AH619" s="246"/>
      <c r="AI619" s="246"/>
      <c r="AJ619" s="246"/>
      <c r="AK619" s="246"/>
      <c r="AL619" s="246"/>
      <c r="AM619" s="246"/>
      <c r="AN619" s="246"/>
      <c r="AO619" s="246"/>
      <c r="AP619" s="246"/>
      <c r="AQ619" s="246"/>
      <c r="AR619" s="246"/>
      <c r="AS619" s="246"/>
      <c r="AT619" s="246"/>
      <c r="AU619" s="246"/>
      <c r="AV619" s="246"/>
      <c r="AW619" s="246"/>
      <c r="AX619" s="246"/>
      <c r="AY619" s="246"/>
      <c r="AZ619" s="246"/>
      <c r="BA619" s="246"/>
      <c r="BB619" s="246"/>
      <c r="BC619" s="246"/>
      <c r="BD619" s="246"/>
      <c r="BE619" s="246"/>
      <c r="BF619" s="246"/>
      <c r="BG619" s="246"/>
      <c r="BH619" s="246"/>
      <c r="BI619" s="246"/>
      <c r="BJ619" s="246"/>
    </row>
    <row r="620" spans="2:62" ht="15.75">
      <c r="B620" s="7"/>
      <c r="C620" s="334"/>
      <c r="D620" s="334"/>
      <c r="E620" s="334"/>
      <c r="F620" s="334"/>
      <c r="G620" s="334"/>
      <c r="H620" s="334"/>
      <c r="I620" s="334"/>
      <c r="J620" s="334"/>
      <c r="K620" s="334"/>
      <c r="L620" s="334"/>
      <c r="M620" s="334"/>
      <c r="N620" s="334"/>
      <c r="O620" s="334"/>
      <c r="P620" s="334"/>
      <c r="Q620" s="334"/>
      <c r="R620" s="334"/>
      <c r="S620" s="334"/>
      <c r="T620" s="334"/>
      <c r="U620" s="334"/>
      <c r="V620" s="334"/>
      <c r="W620" s="334"/>
      <c r="X620" s="334"/>
      <c r="Y620" s="246"/>
      <c r="Z620" s="246"/>
      <c r="AA620" s="246"/>
      <c r="AB620" s="246"/>
      <c r="AC620" s="246"/>
      <c r="AD620" s="246"/>
      <c r="AE620" s="246"/>
      <c r="AF620" s="246"/>
      <c r="AG620" s="246"/>
      <c r="AH620" s="246"/>
      <c r="AI620" s="246"/>
      <c r="AJ620" s="246"/>
      <c r="AK620" s="246"/>
      <c r="AL620" s="246"/>
      <c r="AM620" s="246"/>
      <c r="AN620" s="246"/>
      <c r="AO620" s="246"/>
      <c r="AP620" s="246"/>
      <c r="AQ620" s="246"/>
      <c r="AR620" s="246"/>
      <c r="AS620" s="246"/>
      <c r="AT620" s="246"/>
      <c r="AU620" s="246"/>
      <c r="AV620" s="246"/>
      <c r="AW620" s="246"/>
      <c r="AX620" s="246"/>
      <c r="AY620" s="246"/>
      <c r="AZ620" s="246"/>
      <c r="BA620" s="246"/>
      <c r="BB620" s="246"/>
      <c r="BC620" s="246"/>
      <c r="BD620" s="246"/>
      <c r="BE620" s="246"/>
      <c r="BF620" s="246"/>
      <c r="BG620" s="246"/>
      <c r="BH620" s="246"/>
      <c r="BI620" s="246"/>
      <c r="BJ620" s="246"/>
    </row>
    <row r="621" spans="2:62" ht="15.75">
      <c r="B621" s="7"/>
      <c r="C621" s="334"/>
      <c r="D621" s="334"/>
      <c r="E621" s="334"/>
      <c r="F621" s="334"/>
      <c r="G621" s="334"/>
      <c r="H621" s="334"/>
      <c r="I621" s="334"/>
      <c r="J621" s="334"/>
      <c r="K621" s="334"/>
      <c r="L621" s="334"/>
      <c r="M621" s="334"/>
      <c r="N621" s="334"/>
      <c r="O621" s="334"/>
      <c r="P621" s="334"/>
      <c r="Q621" s="334"/>
      <c r="R621" s="334"/>
      <c r="S621" s="334"/>
      <c r="T621" s="334"/>
      <c r="U621" s="334"/>
      <c r="V621" s="334"/>
      <c r="W621" s="334"/>
      <c r="X621" s="334"/>
      <c r="Y621" s="246"/>
      <c r="Z621" s="246"/>
      <c r="AA621" s="246"/>
      <c r="AB621" s="246"/>
      <c r="AC621" s="246"/>
      <c r="AD621" s="246"/>
      <c r="AE621" s="246"/>
      <c r="AF621" s="246"/>
      <c r="AG621" s="246"/>
      <c r="AH621" s="246"/>
      <c r="AI621" s="246"/>
      <c r="AJ621" s="246"/>
      <c r="AK621" s="246"/>
      <c r="AL621" s="246"/>
      <c r="AM621" s="246"/>
      <c r="AN621" s="246"/>
      <c r="AO621" s="246"/>
      <c r="AP621" s="246"/>
      <c r="AQ621" s="246"/>
      <c r="AR621" s="246"/>
      <c r="AS621" s="246"/>
      <c r="AT621" s="246"/>
      <c r="AU621" s="246"/>
      <c r="AV621" s="246"/>
      <c r="AW621" s="246"/>
      <c r="AX621" s="246"/>
      <c r="AY621" s="246"/>
      <c r="AZ621" s="246"/>
      <c r="BA621" s="246"/>
      <c r="BB621" s="246"/>
      <c r="BC621" s="246"/>
      <c r="BD621" s="246"/>
      <c r="BE621" s="246"/>
      <c r="BF621" s="246"/>
      <c r="BG621" s="246"/>
      <c r="BH621" s="246"/>
      <c r="BI621" s="246"/>
      <c r="BJ621" s="246"/>
    </row>
    <row r="622" spans="2:62" ht="15.75">
      <c r="B622" s="7"/>
      <c r="C622" s="334"/>
      <c r="D622" s="334"/>
      <c r="E622" s="334"/>
      <c r="F622" s="334"/>
      <c r="G622" s="334"/>
      <c r="H622" s="334"/>
      <c r="I622" s="334"/>
      <c r="J622" s="334"/>
      <c r="K622" s="334"/>
      <c r="L622" s="334"/>
      <c r="M622" s="334"/>
      <c r="N622" s="334"/>
      <c r="O622" s="334"/>
      <c r="P622" s="334"/>
      <c r="Q622" s="334"/>
      <c r="R622" s="334"/>
      <c r="S622" s="334"/>
      <c r="T622" s="334"/>
      <c r="U622" s="334"/>
      <c r="V622" s="334"/>
      <c r="W622" s="334"/>
      <c r="X622" s="334"/>
      <c r="Y622" s="246"/>
      <c r="Z622" s="246"/>
      <c r="AA622" s="246"/>
      <c r="AB622" s="246"/>
      <c r="AC622" s="246"/>
      <c r="AD622" s="246"/>
      <c r="AE622" s="246"/>
      <c r="AF622" s="246"/>
      <c r="AG622" s="246"/>
      <c r="AH622" s="246"/>
      <c r="AI622" s="246"/>
      <c r="AJ622" s="246"/>
      <c r="AK622" s="246"/>
      <c r="AL622" s="246"/>
      <c r="AM622" s="246"/>
      <c r="AN622" s="246"/>
      <c r="AO622" s="246"/>
      <c r="AP622" s="246"/>
      <c r="AQ622" s="246"/>
      <c r="AR622" s="246"/>
      <c r="AS622" s="246"/>
      <c r="AT622" s="246"/>
      <c r="AU622" s="246"/>
      <c r="AV622" s="246"/>
      <c r="AW622" s="246"/>
      <c r="AX622" s="246"/>
      <c r="AY622" s="246"/>
      <c r="AZ622" s="246"/>
      <c r="BA622" s="246"/>
      <c r="BB622" s="246"/>
      <c r="BC622" s="246"/>
      <c r="BD622" s="246"/>
      <c r="BE622" s="246"/>
      <c r="BF622" s="246"/>
      <c r="BG622" s="246"/>
      <c r="BH622" s="246"/>
      <c r="BI622" s="246"/>
      <c r="BJ622" s="246"/>
    </row>
    <row r="623" spans="2:62" ht="15.75">
      <c r="B623" s="7"/>
      <c r="C623" s="334"/>
      <c r="D623" s="334"/>
      <c r="E623" s="334"/>
      <c r="F623" s="334"/>
      <c r="G623" s="334"/>
      <c r="H623" s="334"/>
      <c r="I623" s="334"/>
      <c r="J623" s="334"/>
      <c r="K623" s="334"/>
      <c r="L623" s="334"/>
      <c r="M623" s="334"/>
      <c r="N623" s="334"/>
      <c r="O623" s="334"/>
      <c r="P623" s="334"/>
      <c r="Q623" s="334"/>
      <c r="R623" s="334"/>
      <c r="S623" s="334"/>
      <c r="T623" s="334"/>
      <c r="U623" s="334"/>
      <c r="V623" s="334"/>
      <c r="W623" s="334"/>
      <c r="X623" s="334"/>
      <c r="Y623" s="246"/>
      <c r="Z623" s="246"/>
      <c r="AA623" s="246"/>
      <c r="AB623" s="246"/>
      <c r="AC623" s="246"/>
      <c r="AD623" s="246"/>
      <c r="AE623" s="246"/>
      <c r="AF623" s="246"/>
      <c r="AG623" s="246"/>
      <c r="AH623" s="246"/>
      <c r="AI623" s="246"/>
      <c r="AJ623" s="246"/>
      <c r="AK623" s="246"/>
      <c r="AL623" s="246"/>
      <c r="AM623" s="246"/>
      <c r="AN623" s="246"/>
      <c r="AO623" s="246"/>
      <c r="AP623" s="246"/>
      <c r="AQ623" s="246"/>
      <c r="AR623" s="246"/>
      <c r="AS623" s="246"/>
      <c r="AT623" s="246"/>
      <c r="AU623" s="246"/>
      <c r="AV623" s="246"/>
      <c r="AW623" s="246"/>
      <c r="AX623" s="246"/>
      <c r="AY623" s="246"/>
      <c r="AZ623" s="246"/>
      <c r="BA623" s="246"/>
      <c r="BB623" s="246"/>
      <c r="BC623" s="246"/>
      <c r="BD623" s="246"/>
      <c r="BE623" s="246"/>
      <c r="BF623" s="246"/>
      <c r="BG623" s="246"/>
      <c r="BH623" s="246"/>
      <c r="BI623" s="246"/>
      <c r="BJ623" s="246"/>
    </row>
    <row r="624" spans="2:62" ht="15.75">
      <c r="B624" s="7"/>
      <c r="C624" s="334"/>
      <c r="D624" s="334"/>
      <c r="E624" s="334"/>
      <c r="F624" s="334"/>
      <c r="G624" s="334"/>
      <c r="H624" s="334"/>
      <c r="I624" s="334"/>
      <c r="J624" s="334"/>
      <c r="K624" s="334"/>
      <c r="L624" s="334"/>
      <c r="M624" s="334"/>
      <c r="N624" s="334"/>
      <c r="O624" s="334"/>
      <c r="P624" s="334"/>
      <c r="Q624" s="334"/>
      <c r="R624" s="334"/>
      <c r="S624" s="334"/>
      <c r="T624" s="334"/>
      <c r="U624" s="334"/>
      <c r="V624" s="334"/>
      <c r="W624" s="334"/>
      <c r="X624" s="334"/>
      <c r="Y624" s="246"/>
      <c r="Z624" s="246"/>
      <c r="AA624" s="246"/>
      <c r="AB624" s="246"/>
      <c r="AC624" s="246"/>
      <c r="AD624" s="246"/>
      <c r="AE624" s="246"/>
      <c r="AF624" s="246"/>
      <c r="AG624" s="246"/>
      <c r="AH624" s="246"/>
      <c r="AI624" s="246"/>
      <c r="AJ624" s="246"/>
      <c r="AK624" s="246"/>
      <c r="AL624" s="246"/>
      <c r="AM624" s="246"/>
      <c r="AN624" s="246"/>
      <c r="AO624" s="246"/>
      <c r="AP624" s="246"/>
      <c r="AQ624" s="246"/>
      <c r="AR624" s="246"/>
      <c r="AS624" s="246"/>
      <c r="AT624" s="246"/>
      <c r="AU624" s="246"/>
      <c r="AV624" s="246"/>
      <c r="AW624" s="246"/>
      <c r="AX624" s="246"/>
      <c r="AY624" s="246"/>
      <c r="AZ624" s="246"/>
      <c r="BA624" s="246"/>
      <c r="BB624" s="246"/>
      <c r="BC624" s="246"/>
      <c r="BD624" s="246"/>
      <c r="BE624" s="246"/>
      <c r="BF624" s="246"/>
      <c r="BG624" s="246"/>
      <c r="BH624" s="246"/>
      <c r="BI624" s="246"/>
      <c r="BJ624" s="246"/>
    </row>
    <row r="625" spans="2:62" ht="15.75">
      <c r="B625" s="7"/>
      <c r="C625" s="334"/>
      <c r="D625" s="334"/>
      <c r="E625" s="334"/>
      <c r="F625" s="334"/>
      <c r="G625" s="334"/>
      <c r="H625" s="334"/>
      <c r="I625" s="334"/>
      <c r="J625" s="334"/>
      <c r="K625" s="334"/>
      <c r="L625" s="334"/>
      <c r="M625" s="334"/>
      <c r="N625" s="334"/>
      <c r="O625" s="334"/>
      <c r="P625" s="334"/>
      <c r="Q625" s="334"/>
      <c r="R625" s="334"/>
      <c r="S625" s="334"/>
      <c r="T625" s="334"/>
      <c r="U625" s="334"/>
      <c r="V625" s="334"/>
      <c r="W625" s="334"/>
      <c r="X625" s="334"/>
      <c r="Y625" s="246"/>
      <c r="Z625" s="246"/>
      <c r="AA625" s="246"/>
      <c r="AB625" s="246"/>
      <c r="AC625" s="246"/>
      <c r="AD625" s="246"/>
      <c r="AE625" s="246"/>
      <c r="AF625" s="246"/>
      <c r="AG625" s="246"/>
      <c r="AH625" s="246"/>
      <c r="AI625" s="246"/>
      <c r="AJ625" s="246"/>
      <c r="AK625" s="246"/>
      <c r="AL625" s="246"/>
      <c r="AM625" s="246"/>
      <c r="AN625" s="246"/>
      <c r="AO625" s="246"/>
      <c r="AP625" s="246"/>
      <c r="AQ625" s="246"/>
      <c r="AR625" s="246"/>
      <c r="AS625" s="246"/>
      <c r="AT625" s="246"/>
      <c r="AU625" s="246"/>
      <c r="AV625" s="246"/>
      <c r="AW625" s="246"/>
      <c r="AX625" s="246"/>
      <c r="AY625" s="246"/>
      <c r="AZ625" s="246"/>
      <c r="BA625" s="246"/>
      <c r="BB625" s="246"/>
      <c r="BC625" s="246"/>
      <c r="BD625" s="246"/>
      <c r="BE625" s="246"/>
      <c r="BF625" s="246"/>
      <c r="BG625" s="246"/>
      <c r="BH625" s="246"/>
      <c r="BI625" s="246"/>
      <c r="BJ625" s="246"/>
    </row>
    <row r="626" spans="2:62" ht="15.75">
      <c r="B626" s="7"/>
      <c r="C626" s="334"/>
      <c r="D626" s="334"/>
      <c r="E626" s="334"/>
      <c r="F626" s="334"/>
      <c r="G626" s="334"/>
      <c r="H626" s="334"/>
      <c r="I626" s="334"/>
      <c r="J626" s="334"/>
      <c r="K626" s="334"/>
      <c r="L626" s="334"/>
      <c r="M626" s="334"/>
      <c r="N626" s="334"/>
      <c r="O626" s="334"/>
      <c r="P626" s="334"/>
      <c r="Q626" s="334"/>
      <c r="R626" s="334"/>
      <c r="S626" s="334"/>
      <c r="T626" s="334"/>
      <c r="U626" s="334"/>
      <c r="V626" s="334"/>
      <c r="W626" s="334"/>
      <c r="X626" s="334"/>
      <c r="Y626" s="246"/>
      <c r="Z626" s="246"/>
      <c r="AA626" s="246"/>
      <c r="AB626" s="246"/>
      <c r="AC626" s="246"/>
      <c r="AD626" s="246"/>
      <c r="AE626" s="246"/>
      <c r="AF626" s="246"/>
      <c r="AG626" s="246"/>
      <c r="AH626" s="246"/>
      <c r="AI626" s="246"/>
      <c r="AJ626" s="246"/>
      <c r="AK626" s="246"/>
      <c r="AL626" s="246"/>
      <c r="AM626" s="246"/>
      <c r="AN626" s="246"/>
      <c r="AO626" s="246"/>
      <c r="AP626" s="246"/>
      <c r="AQ626" s="246"/>
      <c r="AR626" s="246"/>
      <c r="AS626" s="246"/>
      <c r="AT626" s="246"/>
      <c r="AU626" s="246"/>
      <c r="AV626" s="246"/>
      <c r="AW626" s="246"/>
      <c r="AX626" s="246"/>
      <c r="AY626" s="246"/>
      <c r="AZ626" s="246"/>
      <c r="BA626" s="246"/>
      <c r="BB626" s="246"/>
      <c r="BC626" s="246"/>
      <c r="BD626" s="246"/>
      <c r="BE626" s="246"/>
      <c r="BF626" s="246"/>
      <c r="BG626" s="246"/>
      <c r="BH626" s="246"/>
      <c r="BI626" s="246"/>
      <c r="BJ626" s="246"/>
    </row>
    <row r="627" spans="2:62" ht="15.75">
      <c r="B627" s="7"/>
      <c r="C627" s="334"/>
      <c r="D627" s="334"/>
      <c r="E627" s="334"/>
      <c r="F627" s="334"/>
      <c r="G627" s="334"/>
      <c r="H627" s="334"/>
      <c r="I627" s="334"/>
      <c r="J627" s="334"/>
      <c r="K627" s="334"/>
      <c r="L627" s="334"/>
      <c r="M627" s="334"/>
      <c r="N627" s="334"/>
      <c r="O627" s="334"/>
      <c r="P627" s="334"/>
      <c r="Q627" s="334"/>
      <c r="R627" s="334"/>
      <c r="S627" s="334"/>
      <c r="T627" s="334"/>
      <c r="U627" s="334"/>
      <c r="V627" s="334"/>
      <c r="W627" s="334"/>
      <c r="X627" s="334"/>
      <c r="Y627" s="246"/>
      <c r="Z627" s="246"/>
      <c r="AA627" s="246"/>
      <c r="AB627" s="246"/>
      <c r="AC627" s="246"/>
      <c r="AD627" s="246"/>
      <c r="AE627" s="246"/>
      <c r="AF627" s="246"/>
      <c r="AG627" s="246"/>
      <c r="AH627" s="246"/>
      <c r="AI627" s="246"/>
      <c r="AJ627" s="246"/>
      <c r="AK627" s="246"/>
      <c r="AL627" s="246"/>
      <c r="AM627" s="246"/>
      <c r="AN627" s="246"/>
      <c r="AO627" s="246"/>
      <c r="AP627" s="246"/>
      <c r="AQ627" s="246"/>
      <c r="AR627" s="246"/>
      <c r="AS627" s="246"/>
      <c r="AT627" s="246"/>
      <c r="AU627" s="246"/>
      <c r="AV627" s="246"/>
      <c r="AW627" s="246"/>
      <c r="AX627" s="246"/>
      <c r="AY627" s="246"/>
      <c r="AZ627" s="246"/>
      <c r="BA627" s="246"/>
      <c r="BB627" s="246"/>
      <c r="BC627" s="246"/>
      <c r="BD627" s="246"/>
      <c r="BE627" s="246"/>
      <c r="BF627" s="246"/>
      <c r="BG627" s="246"/>
      <c r="BH627" s="246"/>
      <c r="BI627" s="246"/>
      <c r="BJ627" s="246"/>
    </row>
    <row r="628" spans="2:62" ht="15.75">
      <c r="B628" s="7"/>
      <c r="C628" s="334"/>
      <c r="D628" s="334"/>
      <c r="E628" s="334"/>
      <c r="F628" s="334"/>
      <c r="G628" s="334"/>
      <c r="H628" s="334"/>
      <c r="I628" s="334"/>
      <c r="J628" s="334"/>
      <c r="K628" s="334"/>
      <c r="L628" s="334"/>
      <c r="M628" s="334"/>
      <c r="N628" s="334"/>
      <c r="O628" s="334"/>
      <c r="P628" s="334"/>
      <c r="Q628" s="334"/>
      <c r="R628" s="334"/>
      <c r="S628" s="334"/>
      <c r="T628" s="334"/>
      <c r="U628" s="334"/>
      <c r="V628" s="334"/>
      <c r="W628" s="334"/>
      <c r="X628" s="334"/>
      <c r="Y628" s="246"/>
      <c r="Z628" s="246"/>
      <c r="AA628" s="246"/>
      <c r="AB628" s="246"/>
      <c r="AC628" s="246"/>
      <c r="AD628" s="246"/>
      <c r="AE628" s="246"/>
      <c r="AF628" s="246"/>
      <c r="AG628" s="246"/>
      <c r="AH628" s="246"/>
      <c r="AI628" s="246"/>
      <c r="AJ628" s="246"/>
      <c r="AK628" s="246"/>
      <c r="AL628" s="246"/>
      <c r="AM628" s="246"/>
      <c r="AN628" s="246"/>
      <c r="AO628" s="246"/>
      <c r="AP628" s="246"/>
      <c r="AQ628" s="246"/>
      <c r="AR628" s="246"/>
      <c r="AS628" s="246"/>
      <c r="AT628" s="246"/>
      <c r="AU628" s="246"/>
      <c r="AV628" s="246"/>
      <c r="AW628" s="246"/>
      <c r="AX628" s="246"/>
      <c r="AY628" s="246"/>
      <c r="AZ628" s="246"/>
      <c r="BA628" s="246"/>
      <c r="BB628" s="246"/>
      <c r="BC628" s="246"/>
      <c r="BD628" s="246"/>
      <c r="BE628" s="246"/>
      <c r="BF628" s="246"/>
      <c r="BG628" s="246"/>
      <c r="BH628" s="246"/>
      <c r="BI628" s="246"/>
      <c r="BJ628" s="246"/>
    </row>
    <row r="629" spans="2:62" ht="15.75">
      <c r="B629" s="7"/>
      <c r="C629" s="334"/>
      <c r="D629" s="334"/>
      <c r="E629" s="334"/>
      <c r="F629" s="334"/>
      <c r="G629" s="334"/>
      <c r="H629" s="334"/>
      <c r="I629" s="334"/>
      <c r="J629" s="334"/>
      <c r="K629" s="334"/>
      <c r="L629" s="334"/>
      <c r="M629" s="334"/>
      <c r="N629" s="334"/>
      <c r="O629" s="334"/>
      <c r="P629" s="334"/>
      <c r="Q629" s="334"/>
      <c r="R629" s="334"/>
      <c r="S629" s="334"/>
      <c r="T629" s="334"/>
      <c r="U629" s="334"/>
      <c r="V629" s="334"/>
      <c r="W629" s="334"/>
      <c r="X629" s="334"/>
      <c r="Y629" s="246"/>
      <c r="Z629" s="246"/>
      <c r="AA629" s="246"/>
      <c r="AB629" s="246"/>
      <c r="AC629" s="246"/>
      <c r="AD629" s="246"/>
      <c r="AE629" s="246"/>
      <c r="AF629" s="246"/>
      <c r="AG629" s="246"/>
      <c r="AH629" s="246"/>
      <c r="AI629" s="246"/>
      <c r="AJ629" s="246"/>
      <c r="AK629" s="246"/>
      <c r="AL629" s="246"/>
      <c r="AM629" s="246"/>
      <c r="AN629" s="246"/>
      <c r="AO629" s="246"/>
      <c r="AP629" s="246"/>
      <c r="AQ629" s="246"/>
      <c r="AR629" s="246"/>
      <c r="AS629" s="246"/>
      <c r="AT629" s="246"/>
      <c r="AU629" s="246"/>
      <c r="AV629" s="246"/>
      <c r="AW629" s="246"/>
      <c r="AX629" s="246"/>
      <c r="AY629" s="246"/>
      <c r="AZ629" s="246"/>
      <c r="BA629" s="246"/>
      <c r="BB629" s="246"/>
      <c r="BC629" s="246"/>
      <c r="BD629" s="246"/>
      <c r="BE629" s="246"/>
      <c r="BF629" s="246"/>
      <c r="BG629" s="246"/>
      <c r="BH629" s="246"/>
      <c r="BI629" s="246"/>
      <c r="BJ629" s="246"/>
    </row>
    <row r="630" spans="2:62" ht="15.75">
      <c r="B630" s="7"/>
      <c r="C630" s="334"/>
      <c r="D630" s="334"/>
      <c r="E630" s="334"/>
      <c r="F630" s="334"/>
      <c r="G630" s="334"/>
      <c r="H630" s="334"/>
      <c r="I630" s="334"/>
      <c r="J630" s="334"/>
      <c r="K630" s="334"/>
      <c r="L630" s="334"/>
      <c r="M630" s="334"/>
      <c r="N630" s="334"/>
      <c r="O630" s="334"/>
      <c r="P630" s="334"/>
      <c r="Q630" s="334"/>
      <c r="R630" s="334"/>
      <c r="S630" s="334"/>
      <c r="T630" s="334"/>
      <c r="U630" s="334"/>
      <c r="V630" s="334"/>
      <c r="W630" s="334"/>
      <c r="X630" s="334"/>
      <c r="Y630" s="246"/>
      <c r="Z630" s="246"/>
      <c r="AA630" s="246"/>
      <c r="AB630" s="246"/>
      <c r="AC630" s="246"/>
      <c r="AD630" s="246"/>
      <c r="AE630" s="246"/>
      <c r="AF630" s="246"/>
      <c r="AG630" s="246"/>
      <c r="AH630" s="246"/>
      <c r="AI630" s="246"/>
      <c r="AJ630" s="246"/>
      <c r="AK630" s="246"/>
      <c r="AL630" s="246"/>
      <c r="AM630" s="246"/>
      <c r="AN630" s="246"/>
      <c r="AO630" s="246"/>
      <c r="AP630" s="246"/>
      <c r="AQ630" s="246"/>
      <c r="AR630" s="246"/>
      <c r="AS630" s="246"/>
      <c r="AT630" s="246"/>
      <c r="AU630" s="246"/>
      <c r="AV630" s="246"/>
      <c r="AW630" s="246"/>
      <c r="AX630" s="246"/>
      <c r="AY630" s="246"/>
      <c r="AZ630" s="246"/>
      <c r="BA630" s="246"/>
      <c r="BB630" s="246"/>
      <c r="BC630" s="246"/>
      <c r="BD630" s="246"/>
      <c r="BE630" s="246"/>
      <c r="BF630" s="246"/>
      <c r="BG630" s="246"/>
      <c r="BH630" s="246"/>
      <c r="BI630" s="246"/>
      <c r="BJ630" s="246"/>
    </row>
    <row r="631" spans="2:62" ht="15.75">
      <c r="B631" s="7"/>
      <c r="C631" s="334"/>
      <c r="D631" s="334"/>
      <c r="E631" s="334"/>
      <c r="F631" s="334"/>
      <c r="G631" s="334"/>
      <c r="H631" s="334"/>
      <c r="I631" s="334"/>
      <c r="J631" s="334"/>
      <c r="K631" s="334"/>
      <c r="L631" s="334"/>
      <c r="M631" s="334"/>
      <c r="N631" s="334"/>
      <c r="O631" s="334"/>
      <c r="P631" s="334"/>
      <c r="Q631" s="334"/>
      <c r="R631" s="334"/>
      <c r="S631" s="334"/>
      <c r="T631" s="334"/>
      <c r="U631" s="334"/>
      <c r="V631" s="334"/>
      <c r="W631" s="334"/>
      <c r="X631" s="334"/>
      <c r="Y631" s="246"/>
      <c r="Z631" s="246"/>
      <c r="AA631" s="246"/>
      <c r="AB631" s="246"/>
      <c r="AC631" s="246"/>
      <c r="AD631" s="246"/>
      <c r="AE631" s="246"/>
      <c r="AF631" s="246"/>
      <c r="AG631" s="246"/>
      <c r="AH631" s="246"/>
      <c r="AI631" s="246"/>
      <c r="AJ631" s="246"/>
      <c r="AK631" s="246"/>
      <c r="AL631" s="246"/>
      <c r="AM631" s="246"/>
      <c r="AN631" s="246"/>
      <c r="AO631" s="246"/>
      <c r="AP631" s="246"/>
      <c r="AQ631" s="246"/>
      <c r="AR631" s="246"/>
      <c r="AS631" s="246"/>
      <c r="AT631" s="246"/>
      <c r="AU631" s="246"/>
      <c r="AV631" s="246"/>
      <c r="AW631" s="246"/>
      <c r="AX631" s="246"/>
      <c r="AY631" s="246"/>
      <c r="AZ631" s="246"/>
      <c r="BA631" s="246"/>
      <c r="BB631" s="246"/>
      <c r="BC631" s="246"/>
      <c r="BD631" s="246"/>
      <c r="BE631" s="246"/>
      <c r="BF631" s="246"/>
      <c r="BG631" s="246"/>
      <c r="BH631" s="246"/>
      <c r="BI631" s="246"/>
      <c r="BJ631" s="246"/>
    </row>
    <row r="632" spans="2:62" ht="15.75">
      <c r="B632" s="7"/>
      <c r="C632" s="334"/>
      <c r="D632" s="334"/>
      <c r="E632" s="334"/>
      <c r="F632" s="334"/>
      <c r="G632" s="334"/>
      <c r="H632" s="334"/>
      <c r="I632" s="334"/>
      <c r="J632" s="334"/>
      <c r="K632" s="334"/>
      <c r="L632" s="334"/>
      <c r="M632" s="334"/>
      <c r="N632" s="334"/>
      <c r="O632" s="334"/>
      <c r="P632" s="334"/>
      <c r="Q632" s="334"/>
      <c r="R632" s="334"/>
      <c r="S632" s="334"/>
      <c r="T632" s="334"/>
      <c r="U632" s="334"/>
      <c r="V632" s="334"/>
      <c r="W632" s="334"/>
      <c r="X632" s="334"/>
      <c r="Y632" s="246"/>
      <c r="Z632" s="246"/>
      <c r="AA632" s="246"/>
      <c r="AB632" s="246"/>
      <c r="AC632" s="246"/>
      <c r="AD632" s="246"/>
      <c r="AE632" s="246"/>
      <c r="AF632" s="246"/>
      <c r="AG632" s="246"/>
      <c r="AH632" s="246"/>
      <c r="AI632" s="246"/>
      <c r="AJ632" s="246"/>
      <c r="AK632" s="246"/>
      <c r="AL632" s="246"/>
      <c r="AM632" s="246"/>
      <c r="AN632" s="246"/>
      <c r="AO632" s="246"/>
      <c r="AP632" s="246"/>
      <c r="AQ632" s="246"/>
      <c r="AR632" s="246"/>
      <c r="AS632" s="246"/>
      <c r="AT632" s="246"/>
      <c r="AU632" s="246"/>
      <c r="AV632" s="246"/>
      <c r="AW632" s="246"/>
      <c r="AX632" s="246"/>
      <c r="AY632" s="246"/>
      <c r="AZ632" s="246"/>
      <c r="BA632" s="246"/>
      <c r="BB632" s="246"/>
      <c r="BC632" s="246"/>
      <c r="BD632" s="246"/>
      <c r="BE632" s="246"/>
      <c r="BF632" s="246"/>
      <c r="BG632" s="246"/>
      <c r="BH632" s="246"/>
      <c r="BI632" s="246"/>
      <c r="BJ632" s="246"/>
    </row>
    <row r="633" spans="2:62" ht="15.75">
      <c r="B633" s="7"/>
      <c r="C633" s="334"/>
      <c r="D633" s="334"/>
      <c r="E633" s="334"/>
      <c r="F633" s="334"/>
      <c r="G633" s="334"/>
      <c r="H633" s="334"/>
      <c r="I633" s="334"/>
      <c r="J633" s="334"/>
      <c r="K633" s="334"/>
      <c r="L633" s="334"/>
      <c r="M633" s="334"/>
      <c r="N633" s="334"/>
      <c r="O633" s="334"/>
      <c r="P633" s="334"/>
      <c r="Q633" s="334"/>
      <c r="R633" s="334"/>
      <c r="S633" s="334"/>
      <c r="T633" s="334"/>
      <c r="U633" s="334"/>
      <c r="V633" s="334"/>
      <c r="W633" s="334"/>
      <c r="X633" s="334"/>
      <c r="Y633" s="246"/>
      <c r="Z633" s="246"/>
      <c r="AA633" s="246"/>
      <c r="AB633" s="246"/>
      <c r="AC633" s="246"/>
      <c r="AD633" s="246"/>
      <c r="AE633" s="246"/>
      <c r="AF633" s="246"/>
      <c r="AG633" s="246"/>
      <c r="AH633" s="246"/>
      <c r="AI633" s="246"/>
      <c r="AJ633" s="246"/>
      <c r="AK633" s="246"/>
      <c r="AL633" s="246"/>
      <c r="AM633" s="246"/>
      <c r="AN633" s="246"/>
      <c r="AO633" s="246"/>
      <c r="AP633" s="246"/>
      <c r="AQ633" s="246"/>
      <c r="AR633" s="246"/>
      <c r="AS633" s="246"/>
      <c r="AT633" s="246"/>
      <c r="AU633" s="246"/>
      <c r="AV633" s="246"/>
      <c r="AW633" s="246"/>
      <c r="AX633" s="246"/>
      <c r="AY633" s="246"/>
      <c r="AZ633" s="246"/>
      <c r="BA633" s="246"/>
      <c r="BB633" s="246"/>
      <c r="BC633" s="246"/>
      <c r="BD633" s="246"/>
      <c r="BE633" s="246"/>
      <c r="BF633" s="246"/>
      <c r="BG633" s="246"/>
      <c r="BH633" s="246"/>
      <c r="BI633" s="246"/>
      <c r="BJ633" s="246"/>
    </row>
    <row r="634" spans="2:62" ht="15.75">
      <c r="B634" s="7"/>
      <c r="C634" s="334"/>
      <c r="D634" s="334"/>
      <c r="E634" s="334"/>
      <c r="F634" s="334"/>
      <c r="G634" s="334"/>
      <c r="H634" s="334"/>
      <c r="I634" s="334"/>
      <c r="J634" s="334"/>
      <c r="K634" s="334"/>
      <c r="L634" s="334"/>
      <c r="M634" s="334"/>
      <c r="N634" s="334"/>
      <c r="O634" s="334"/>
      <c r="P634" s="334"/>
      <c r="Q634" s="334"/>
      <c r="R634" s="334"/>
      <c r="S634" s="334"/>
      <c r="T634" s="334"/>
      <c r="U634" s="334"/>
      <c r="V634" s="334"/>
      <c r="W634" s="334"/>
      <c r="X634" s="334"/>
      <c r="Y634" s="246"/>
      <c r="Z634" s="246"/>
      <c r="AA634" s="246"/>
      <c r="AB634" s="246"/>
      <c r="AC634" s="246"/>
      <c r="AD634" s="246"/>
      <c r="AE634" s="246"/>
      <c r="AF634" s="246"/>
      <c r="AG634" s="246"/>
      <c r="AH634" s="246"/>
      <c r="AI634" s="246"/>
      <c r="AJ634" s="246"/>
      <c r="AK634" s="246"/>
      <c r="AL634" s="246"/>
      <c r="AM634" s="246"/>
      <c r="AN634" s="246"/>
      <c r="AO634" s="246"/>
      <c r="AP634" s="246"/>
      <c r="AQ634" s="246"/>
      <c r="AR634" s="246"/>
      <c r="AS634" s="246"/>
      <c r="AT634" s="246"/>
      <c r="AU634" s="246"/>
      <c r="AV634" s="246"/>
      <c r="AW634" s="246"/>
      <c r="AX634" s="246"/>
      <c r="AY634" s="246"/>
      <c r="AZ634" s="246"/>
      <c r="BA634" s="246"/>
      <c r="BB634" s="246"/>
      <c r="BC634" s="246"/>
      <c r="BD634" s="246"/>
      <c r="BE634" s="246"/>
      <c r="BF634" s="246"/>
      <c r="BG634" s="246"/>
      <c r="BH634" s="246"/>
      <c r="BI634" s="246"/>
      <c r="BJ634" s="246"/>
    </row>
    <row r="635" spans="2:62" ht="15.75">
      <c r="B635" s="7"/>
      <c r="C635" s="334"/>
      <c r="D635" s="334"/>
      <c r="E635" s="334"/>
      <c r="F635" s="334"/>
      <c r="G635" s="334"/>
      <c r="H635" s="334"/>
      <c r="I635" s="334"/>
      <c r="J635" s="334"/>
      <c r="K635" s="334"/>
      <c r="L635" s="334"/>
      <c r="M635" s="334"/>
      <c r="N635" s="334"/>
      <c r="O635" s="334"/>
      <c r="P635" s="334"/>
      <c r="Q635" s="334"/>
      <c r="R635" s="334"/>
      <c r="S635" s="334"/>
      <c r="T635" s="334"/>
      <c r="U635" s="334"/>
      <c r="V635" s="334"/>
      <c r="W635" s="334"/>
      <c r="X635" s="334"/>
      <c r="Y635" s="246"/>
      <c r="Z635" s="246"/>
      <c r="AA635" s="246"/>
      <c r="AB635" s="246"/>
      <c r="AC635" s="246"/>
      <c r="AD635" s="246"/>
      <c r="AE635" s="246"/>
      <c r="AF635" s="246"/>
      <c r="AG635" s="246"/>
      <c r="AH635" s="246"/>
      <c r="AI635" s="246"/>
      <c r="AJ635" s="246"/>
      <c r="AK635" s="246"/>
      <c r="AL635" s="246"/>
      <c r="AM635" s="246"/>
      <c r="AN635" s="246"/>
      <c r="AO635" s="246"/>
      <c r="AP635" s="246"/>
      <c r="AQ635" s="246"/>
      <c r="AR635" s="246"/>
      <c r="AS635" s="246"/>
      <c r="AT635" s="246"/>
      <c r="AU635" s="246"/>
      <c r="AV635" s="246"/>
      <c r="AW635" s="246"/>
      <c r="AX635" s="246"/>
      <c r="AY635" s="246"/>
      <c r="AZ635" s="246"/>
      <c r="BA635" s="246"/>
      <c r="BB635" s="246"/>
      <c r="BC635" s="246"/>
      <c r="BD635" s="246"/>
      <c r="BE635" s="246"/>
      <c r="BF635" s="246"/>
      <c r="BG635" s="246"/>
      <c r="BH635" s="246"/>
      <c r="BI635" s="246"/>
      <c r="BJ635" s="246"/>
    </row>
    <row r="636" spans="2:62" ht="15.75">
      <c r="B636" s="7"/>
      <c r="C636" s="334"/>
      <c r="D636" s="334"/>
      <c r="E636" s="334"/>
      <c r="F636" s="334"/>
      <c r="G636" s="334"/>
      <c r="H636" s="334"/>
      <c r="I636" s="334"/>
      <c r="J636" s="334"/>
      <c r="K636" s="334"/>
      <c r="L636" s="334"/>
      <c r="M636" s="334"/>
      <c r="N636" s="334"/>
      <c r="O636" s="334"/>
      <c r="P636" s="334"/>
      <c r="Q636" s="334"/>
      <c r="R636" s="334"/>
      <c r="S636" s="334"/>
      <c r="T636" s="334"/>
      <c r="U636" s="334"/>
      <c r="V636" s="334"/>
      <c r="W636" s="334"/>
      <c r="X636" s="334"/>
      <c r="Y636" s="246"/>
      <c r="Z636" s="246"/>
      <c r="AA636" s="246"/>
      <c r="AB636" s="246"/>
      <c r="AC636" s="246"/>
      <c r="AD636" s="246"/>
      <c r="AE636" s="246"/>
      <c r="AF636" s="246"/>
      <c r="AG636" s="246"/>
      <c r="AH636" s="246"/>
      <c r="AI636" s="246"/>
      <c r="AJ636" s="246"/>
      <c r="AK636" s="246"/>
      <c r="AL636" s="246"/>
      <c r="AM636" s="246"/>
      <c r="AN636" s="246"/>
      <c r="AO636" s="246"/>
      <c r="AP636" s="246"/>
      <c r="AQ636" s="246"/>
      <c r="AR636" s="246"/>
      <c r="AS636" s="246"/>
      <c r="AT636" s="246"/>
      <c r="AU636" s="246"/>
      <c r="AV636" s="246"/>
      <c r="AW636" s="246"/>
      <c r="AX636" s="246"/>
      <c r="AY636" s="246"/>
      <c r="AZ636" s="246"/>
      <c r="BA636" s="246"/>
      <c r="BB636" s="246"/>
      <c r="BC636" s="246"/>
      <c r="BD636" s="246"/>
      <c r="BE636" s="246"/>
      <c r="BF636" s="246"/>
      <c r="BG636" s="246"/>
      <c r="BH636" s="246"/>
      <c r="BI636" s="246"/>
      <c r="BJ636" s="246"/>
    </row>
    <row r="637" spans="2:62" ht="15.75">
      <c r="B637" s="7"/>
      <c r="C637" s="334"/>
      <c r="D637" s="334"/>
      <c r="E637" s="334"/>
      <c r="F637" s="334"/>
      <c r="G637" s="334"/>
      <c r="H637" s="334"/>
      <c r="I637" s="334"/>
      <c r="J637" s="334"/>
      <c r="K637" s="334"/>
      <c r="L637" s="334"/>
      <c r="M637" s="334"/>
      <c r="N637" s="334"/>
      <c r="O637" s="334"/>
      <c r="P637" s="334"/>
      <c r="Q637" s="334"/>
      <c r="R637" s="334"/>
      <c r="S637" s="334"/>
      <c r="T637" s="334"/>
      <c r="U637" s="334"/>
      <c r="V637" s="334"/>
      <c r="W637" s="334"/>
      <c r="X637" s="334"/>
      <c r="Y637" s="246"/>
      <c r="Z637" s="246"/>
      <c r="AA637" s="246"/>
      <c r="AB637" s="246"/>
      <c r="AC637" s="246"/>
      <c r="AD637" s="246"/>
      <c r="AE637" s="246"/>
      <c r="AF637" s="246"/>
      <c r="AG637" s="246"/>
      <c r="AH637" s="246"/>
      <c r="AI637" s="246"/>
      <c r="AJ637" s="246"/>
      <c r="AK637" s="246"/>
      <c r="AL637" s="246"/>
      <c r="AM637" s="246"/>
      <c r="AN637" s="246"/>
      <c r="AO637" s="246"/>
      <c r="AP637" s="246"/>
      <c r="AQ637" s="246"/>
      <c r="AR637" s="246"/>
      <c r="AS637" s="246"/>
      <c r="AT637" s="246"/>
      <c r="AU637" s="246"/>
      <c r="AV637" s="246"/>
      <c r="AW637" s="246"/>
      <c r="AX637" s="246"/>
      <c r="AY637" s="246"/>
      <c r="AZ637" s="246"/>
      <c r="BA637" s="246"/>
      <c r="BB637" s="246"/>
      <c r="BC637" s="246"/>
      <c r="BD637" s="246"/>
      <c r="BE637" s="246"/>
      <c r="BF637" s="246"/>
      <c r="BG637" s="246"/>
      <c r="BH637" s="246"/>
      <c r="BI637" s="246"/>
      <c r="BJ637" s="246"/>
    </row>
    <row r="638" spans="2:62" ht="15.75">
      <c r="B638" s="7"/>
      <c r="C638" s="334"/>
      <c r="D638" s="334"/>
      <c r="E638" s="334"/>
      <c r="F638" s="334"/>
      <c r="G638" s="334"/>
      <c r="H638" s="334"/>
      <c r="I638" s="334"/>
      <c r="J638" s="334"/>
      <c r="K638" s="334"/>
      <c r="L638" s="334"/>
      <c r="M638" s="334"/>
      <c r="N638" s="334"/>
      <c r="O638" s="334"/>
      <c r="P638" s="334"/>
      <c r="Q638" s="334"/>
      <c r="R638" s="334"/>
      <c r="S638" s="334"/>
      <c r="T638" s="334"/>
      <c r="U638" s="334"/>
      <c r="V638" s="334"/>
      <c r="W638" s="334"/>
      <c r="X638" s="334"/>
      <c r="Y638" s="246"/>
      <c r="Z638" s="246"/>
      <c r="AA638" s="246"/>
      <c r="AB638" s="246"/>
      <c r="AC638" s="246"/>
      <c r="AD638" s="246"/>
      <c r="AE638" s="246"/>
      <c r="AF638" s="246"/>
      <c r="AG638" s="246"/>
      <c r="AH638" s="246"/>
      <c r="AI638" s="246"/>
      <c r="AJ638" s="246"/>
      <c r="AK638" s="246"/>
      <c r="AL638" s="246"/>
      <c r="AM638" s="246"/>
      <c r="AN638" s="246"/>
      <c r="AO638" s="246"/>
      <c r="AP638" s="246"/>
      <c r="AQ638" s="246"/>
      <c r="AR638" s="246"/>
      <c r="AS638" s="246"/>
      <c r="AT638" s="246"/>
      <c r="AU638" s="246"/>
      <c r="AV638" s="246"/>
      <c r="AW638" s="246"/>
      <c r="AX638" s="246"/>
      <c r="AY638" s="246"/>
      <c r="AZ638" s="246"/>
      <c r="BA638" s="246"/>
      <c r="BB638" s="246"/>
      <c r="BC638" s="246"/>
      <c r="BD638" s="246"/>
      <c r="BE638" s="246"/>
      <c r="BF638" s="246"/>
      <c r="BG638" s="246"/>
      <c r="BH638" s="246"/>
      <c r="BI638" s="246"/>
      <c r="BJ638" s="246"/>
    </row>
    <row r="639" spans="2:62" ht="15.75">
      <c r="B639" s="7"/>
      <c r="C639" s="334"/>
      <c r="D639" s="334"/>
      <c r="E639" s="334"/>
      <c r="F639" s="334"/>
      <c r="G639" s="334"/>
      <c r="H639" s="334"/>
      <c r="I639" s="334"/>
      <c r="J639" s="334"/>
      <c r="K639" s="334"/>
      <c r="L639" s="334"/>
      <c r="M639" s="334"/>
      <c r="N639" s="334"/>
      <c r="O639" s="334"/>
      <c r="P639" s="334"/>
      <c r="Q639" s="334"/>
      <c r="R639" s="334"/>
      <c r="S639" s="334"/>
      <c r="T639" s="334"/>
      <c r="U639" s="334"/>
      <c r="V639" s="334"/>
      <c r="W639" s="334"/>
      <c r="X639" s="334"/>
      <c r="Y639" s="246"/>
      <c r="Z639" s="246"/>
      <c r="AA639" s="246"/>
      <c r="AB639" s="246"/>
      <c r="AC639" s="246"/>
      <c r="AD639" s="246"/>
      <c r="AE639" s="246"/>
      <c r="AF639" s="246"/>
      <c r="AG639" s="246"/>
      <c r="AH639" s="246"/>
      <c r="AI639" s="246"/>
      <c r="AJ639" s="246"/>
      <c r="AK639" s="246"/>
      <c r="AL639" s="246"/>
      <c r="AM639" s="246"/>
      <c r="AN639" s="246"/>
      <c r="AO639" s="246"/>
      <c r="AP639" s="246"/>
      <c r="AQ639" s="246"/>
      <c r="AR639" s="246"/>
      <c r="AS639" s="246"/>
      <c r="AT639" s="246"/>
      <c r="AU639" s="246"/>
      <c r="AV639" s="246"/>
      <c r="AW639" s="246"/>
      <c r="AX639" s="246"/>
      <c r="AY639" s="246"/>
      <c r="AZ639" s="246"/>
      <c r="BA639" s="246"/>
      <c r="BB639" s="246"/>
      <c r="BC639" s="246"/>
      <c r="BD639" s="246"/>
      <c r="BE639" s="246"/>
      <c r="BF639" s="246"/>
      <c r="BG639" s="246"/>
      <c r="BH639" s="246"/>
      <c r="BI639" s="246"/>
      <c r="BJ639" s="246"/>
    </row>
    <row r="640" spans="2:62" ht="15.75">
      <c r="B640" s="7"/>
      <c r="C640" s="334"/>
      <c r="D640" s="334"/>
      <c r="E640" s="334"/>
      <c r="F640" s="334"/>
      <c r="G640" s="334"/>
      <c r="H640" s="334"/>
      <c r="I640" s="334"/>
      <c r="J640" s="334"/>
      <c r="K640" s="334"/>
      <c r="L640" s="334"/>
      <c r="M640" s="334"/>
      <c r="N640" s="334"/>
      <c r="O640" s="334"/>
      <c r="P640" s="334"/>
      <c r="Q640" s="334"/>
      <c r="R640" s="334"/>
      <c r="S640" s="334"/>
      <c r="T640" s="334"/>
      <c r="U640" s="334"/>
      <c r="V640" s="334"/>
      <c r="W640" s="334"/>
      <c r="X640" s="334"/>
      <c r="Y640" s="246"/>
      <c r="Z640" s="246"/>
      <c r="AA640" s="246"/>
      <c r="AB640" s="246"/>
      <c r="AC640" s="246"/>
      <c r="AD640" s="246"/>
      <c r="AE640" s="246"/>
      <c r="AF640" s="246"/>
      <c r="AG640" s="246"/>
      <c r="AH640" s="246"/>
      <c r="AI640" s="246"/>
      <c r="AJ640" s="246"/>
      <c r="AK640" s="246"/>
      <c r="AL640" s="246"/>
      <c r="AM640" s="246"/>
      <c r="AN640" s="246"/>
      <c r="AO640" s="246"/>
      <c r="AP640" s="246"/>
      <c r="AQ640" s="246"/>
      <c r="AR640" s="246"/>
      <c r="AS640" s="246"/>
      <c r="AT640" s="246"/>
      <c r="AU640" s="246"/>
      <c r="AV640" s="246"/>
      <c r="AW640" s="246"/>
      <c r="AX640" s="246"/>
      <c r="AY640" s="246"/>
      <c r="AZ640" s="246"/>
      <c r="BA640" s="246"/>
      <c r="BB640" s="246"/>
      <c r="BC640" s="246"/>
      <c r="BD640" s="246"/>
      <c r="BE640" s="246"/>
      <c r="BF640" s="246"/>
      <c r="BG640" s="246"/>
      <c r="BH640" s="246"/>
      <c r="BI640" s="246"/>
      <c r="BJ640" s="246"/>
    </row>
    <row r="641" spans="2:62" ht="15.75">
      <c r="B641" s="7"/>
      <c r="C641" s="334"/>
      <c r="D641" s="334"/>
      <c r="E641" s="334"/>
      <c r="F641" s="334"/>
      <c r="G641" s="334"/>
      <c r="H641" s="334"/>
      <c r="I641" s="334"/>
      <c r="J641" s="334"/>
      <c r="K641" s="334"/>
      <c r="L641" s="334"/>
      <c r="M641" s="334"/>
      <c r="N641" s="334"/>
      <c r="O641" s="334"/>
      <c r="P641" s="334"/>
      <c r="Q641" s="334"/>
      <c r="R641" s="334"/>
      <c r="S641" s="334"/>
      <c r="T641" s="334"/>
      <c r="U641" s="334"/>
      <c r="V641" s="334"/>
      <c r="W641" s="334"/>
      <c r="X641" s="334"/>
      <c r="Y641" s="246"/>
      <c r="Z641" s="246"/>
      <c r="AA641" s="246"/>
      <c r="AB641" s="246"/>
      <c r="AC641" s="246"/>
      <c r="AD641" s="246"/>
      <c r="AE641" s="246"/>
      <c r="AF641" s="246"/>
      <c r="AG641" s="246"/>
      <c r="AH641" s="246"/>
      <c r="AI641" s="246"/>
      <c r="AJ641" s="246"/>
      <c r="AK641" s="246"/>
      <c r="AL641" s="246"/>
      <c r="AM641" s="246"/>
      <c r="AN641" s="246"/>
      <c r="AO641" s="246"/>
      <c r="AP641" s="246"/>
      <c r="AQ641" s="246"/>
      <c r="AR641" s="246"/>
      <c r="AS641" s="246"/>
      <c r="AT641" s="246"/>
      <c r="AU641" s="246"/>
      <c r="AV641" s="246"/>
      <c r="AW641" s="246"/>
      <c r="AX641" s="246"/>
      <c r="AY641" s="246"/>
      <c r="AZ641" s="246"/>
      <c r="BA641" s="246"/>
      <c r="BB641" s="246"/>
      <c r="BC641" s="246"/>
      <c r="BD641" s="246"/>
      <c r="BE641" s="246"/>
      <c r="BF641" s="246"/>
      <c r="BG641" s="246"/>
      <c r="BH641" s="246"/>
      <c r="BI641" s="246"/>
      <c r="BJ641" s="246"/>
    </row>
    <row r="642" spans="2:62" ht="15.75">
      <c r="B642" s="7"/>
      <c r="C642" s="334"/>
      <c r="D642" s="334"/>
      <c r="E642" s="334"/>
      <c r="F642" s="334"/>
      <c r="G642" s="334"/>
      <c r="H642" s="334"/>
      <c r="I642" s="334"/>
      <c r="J642" s="334"/>
      <c r="K642" s="334"/>
      <c r="L642" s="334"/>
      <c r="M642" s="334"/>
      <c r="N642" s="334"/>
      <c r="O642" s="334"/>
      <c r="P642" s="334"/>
      <c r="Q642" s="334"/>
      <c r="R642" s="334"/>
      <c r="S642" s="334"/>
      <c r="T642" s="334"/>
      <c r="U642" s="334"/>
      <c r="V642" s="334"/>
      <c r="W642" s="334"/>
      <c r="X642" s="334"/>
      <c r="Y642" s="246"/>
      <c r="Z642" s="246"/>
      <c r="AA642" s="246"/>
      <c r="AB642" s="246"/>
      <c r="AC642" s="246"/>
      <c r="AD642" s="246"/>
      <c r="AE642" s="246"/>
      <c r="AF642" s="246"/>
      <c r="AG642" s="246"/>
      <c r="AH642" s="246"/>
      <c r="AI642" s="246"/>
      <c r="AJ642" s="246"/>
      <c r="AK642" s="246"/>
      <c r="AL642" s="246"/>
      <c r="AM642" s="246"/>
      <c r="AN642" s="246"/>
      <c r="AO642" s="246"/>
      <c r="AP642" s="246"/>
      <c r="AQ642" s="246"/>
      <c r="AR642" s="246"/>
      <c r="AS642" s="246"/>
      <c r="AT642" s="246"/>
      <c r="AU642" s="246"/>
      <c r="AV642" s="246"/>
      <c r="AW642" s="246"/>
      <c r="AX642" s="246"/>
      <c r="AY642" s="246"/>
      <c r="AZ642" s="246"/>
      <c r="BA642" s="246"/>
      <c r="BB642" s="246"/>
      <c r="BC642" s="246"/>
      <c r="BD642" s="246"/>
      <c r="BE642" s="246"/>
      <c r="BF642" s="246"/>
      <c r="BG642" s="246"/>
      <c r="BH642" s="246"/>
      <c r="BI642" s="246"/>
      <c r="BJ642" s="246"/>
    </row>
    <row r="643" spans="2:62" ht="15.75">
      <c r="B643" s="7"/>
      <c r="C643" s="334"/>
      <c r="D643" s="334"/>
      <c r="E643" s="334"/>
      <c r="F643" s="334"/>
      <c r="G643" s="334"/>
      <c r="H643" s="334"/>
      <c r="I643" s="334"/>
      <c r="J643" s="334"/>
      <c r="K643" s="334"/>
      <c r="L643" s="334"/>
      <c r="M643" s="334"/>
      <c r="N643" s="334"/>
      <c r="O643" s="334"/>
      <c r="P643" s="334"/>
      <c r="Q643" s="334"/>
      <c r="R643" s="334"/>
      <c r="S643" s="334"/>
      <c r="T643" s="334"/>
      <c r="U643" s="334"/>
      <c r="V643" s="334"/>
      <c r="W643" s="334"/>
      <c r="X643" s="334"/>
      <c r="Y643" s="246"/>
      <c r="Z643" s="246"/>
      <c r="AA643" s="246"/>
      <c r="AB643" s="246"/>
      <c r="AC643" s="246"/>
      <c r="AD643" s="246"/>
      <c r="AE643" s="246"/>
      <c r="AF643" s="246"/>
      <c r="AG643" s="246"/>
      <c r="AH643" s="246"/>
      <c r="AI643" s="246"/>
      <c r="AJ643" s="246"/>
      <c r="AK643" s="246"/>
      <c r="AL643" s="246"/>
      <c r="AM643" s="246"/>
      <c r="AN643" s="246"/>
      <c r="AO643" s="246"/>
      <c r="AP643" s="246"/>
      <c r="AQ643" s="246"/>
      <c r="AR643" s="246"/>
      <c r="AS643" s="246"/>
      <c r="AT643" s="246"/>
      <c r="AU643" s="246"/>
      <c r="AV643" s="246"/>
      <c r="AW643" s="246"/>
      <c r="AX643" s="246"/>
      <c r="AY643" s="246"/>
      <c r="AZ643" s="246"/>
      <c r="BA643" s="246"/>
      <c r="BB643" s="246"/>
      <c r="BC643" s="246"/>
      <c r="BD643" s="246"/>
      <c r="BE643" s="246"/>
      <c r="BF643" s="246"/>
      <c r="BG643" s="246"/>
      <c r="BH643" s="246"/>
      <c r="BI643" s="246"/>
      <c r="BJ643" s="246"/>
    </row>
    <row r="644" spans="2:62" ht="15.75">
      <c r="B644" s="7"/>
      <c r="C644" s="334"/>
      <c r="D644" s="334"/>
      <c r="E644" s="334"/>
      <c r="F644" s="334"/>
      <c r="G644" s="334"/>
      <c r="H644" s="334"/>
      <c r="I644" s="334"/>
      <c r="J644" s="334"/>
      <c r="K644" s="334"/>
      <c r="L644" s="334"/>
      <c r="M644" s="334"/>
      <c r="N644" s="334"/>
      <c r="O644" s="334"/>
      <c r="P644" s="334"/>
      <c r="Q644" s="334"/>
      <c r="R644" s="334"/>
      <c r="S644" s="334"/>
      <c r="T644" s="334"/>
      <c r="U644" s="334"/>
      <c r="V644" s="334"/>
      <c r="W644" s="334"/>
      <c r="X644" s="334"/>
      <c r="Y644" s="246"/>
      <c r="Z644" s="246"/>
      <c r="AA644" s="246"/>
      <c r="AB644" s="246"/>
      <c r="AC644" s="246"/>
      <c r="AD644" s="246"/>
      <c r="AE644" s="246"/>
      <c r="AF644" s="246"/>
      <c r="AG644" s="246"/>
      <c r="AH644" s="246"/>
      <c r="AI644" s="246"/>
      <c r="AJ644" s="246"/>
      <c r="AK644" s="246"/>
      <c r="AL644" s="246"/>
      <c r="AM644" s="246"/>
      <c r="AN644" s="246"/>
      <c r="AO644" s="246"/>
      <c r="AP644" s="246"/>
      <c r="AQ644" s="246"/>
      <c r="AR644" s="246"/>
      <c r="AS644" s="246"/>
      <c r="AT644" s="246"/>
      <c r="AU644" s="246"/>
      <c r="AV644" s="246"/>
      <c r="AW644" s="246"/>
      <c r="AX644" s="246"/>
      <c r="AY644" s="246"/>
      <c r="AZ644" s="246"/>
      <c r="BA644" s="246"/>
      <c r="BB644" s="246"/>
      <c r="BC644" s="246"/>
      <c r="BD644" s="246"/>
      <c r="BE644" s="246"/>
      <c r="BF644" s="246"/>
      <c r="BG644" s="246"/>
      <c r="BH644" s="246"/>
      <c r="BI644" s="246"/>
      <c r="BJ644" s="246"/>
    </row>
    <row r="645" spans="2:62" ht="15.75">
      <c r="B645" s="7"/>
      <c r="C645" s="334"/>
      <c r="D645" s="334"/>
      <c r="E645" s="334"/>
      <c r="F645" s="334"/>
      <c r="G645" s="334"/>
      <c r="H645" s="334"/>
      <c r="I645" s="334"/>
      <c r="J645" s="334"/>
      <c r="K645" s="334"/>
      <c r="L645" s="334"/>
      <c r="M645" s="334"/>
      <c r="N645" s="334"/>
      <c r="O645" s="334"/>
      <c r="P645" s="334"/>
      <c r="Q645" s="334"/>
      <c r="R645" s="334"/>
      <c r="S645" s="334"/>
      <c r="T645" s="334"/>
      <c r="U645" s="334"/>
      <c r="V645" s="334"/>
      <c r="W645" s="334"/>
      <c r="X645" s="334"/>
      <c r="Y645" s="246"/>
      <c r="Z645" s="246"/>
      <c r="AA645" s="246"/>
      <c r="AB645" s="246"/>
      <c r="AC645" s="246"/>
      <c r="AD645" s="246"/>
      <c r="AE645" s="246"/>
      <c r="AF645" s="246"/>
      <c r="AG645" s="246"/>
      <c r="AH645" s="246"/>
      <c r="AI645" s="246"/>
      <c r="AJ645" s="246"/>
      <c r="AK645" s="246"/>
      <c r="AL645" s="246"/>
      <c r="AM645" s="246"/>
      <c r="AN645" s="246"/>
      <c r="AO645" s="246"/>
      <c r="AP645" s="246"/>
      <c r="AQ645" s="246"/>
      <c r="AR645" s="246"/>
      <c r="AS645" s="246"/>
      <c r="AT645" s="246"/>
      <c r="AU645" s="246"/>
      <c r="AV645" s="246"/>
      <c r="AW645" s="246"/>
      <c r="AX645" s="246"/>
      <c r="AY645" s="246"/>
      <c r="AZ645" s="246"/>
      <c r="BA645" s="246"/>
      <c r="BB645" s="246"/>
      <c r="BC645" s="246"/>
      <c r="BD645" s="246"/>
      <c r="BE645" s="246"/>
      <c r="BF645" s="246"/>
      <c r="BG645" s="246"/>
      <c r="BH645" s="246"/>
      <c r="BI645" s="246"/>
      <c r="BJ645" s="246"/>
    </row>
    <row r="646" spans="2:62" ht="15.75">
      <c r="B646" s="7"/>
      <c r="C646" s="334"/>
      <c r="D646" s="334"/>
      <c r="E646" s="334"/>
      <c r="F646" s="334"/>
      <c r="G646" s="334"/>
      <c r="H646" s="334"/>
      <c r="I646" s="334"/>
      <c r="J646" s="334"/>
      <c r="K646" s="334"/>
      <c r="L646" s="334"/>
      <c r="M646" s="334"/>
      <c r="N646" s="334"/>
      <c r="O646" s="334"/>
      <c r="P646" s="334"/>
      <c r="Q646" s="334"/>
      <c r="R646" s="334"/>
      <c r="S646" s="334"/>
      <c r="T646" s="334"/>
      <c r="U646" s="334"/>
      <c r="V646" s="334"/>
      <c r="W646" s="334"/>
      <c r="X646" s="334"/>
      <c r="Y646" s="246"/>
      <c r="Z646" s="246"/>
      <c r="AA646" s="246"/>
      <c r="AB646" s="246"/>
      <c r="AC646" s="246"/>
      <c r="AD646" s="246"/>
      <c r="AE646" s="246"/>
      <c r="AF646" s="246"/>
      <c r="AG646" s="246"/>
      <c r="AH646" s="246"/>
      <c r="AI646" s="246"/>
      <c r="AJ646" s="246"/>
      <c r="AK646" s="246"/>
      <c r="AL646" s="246"/>
      <c r="AM646" s="246"/>
      <c r="AN646" s="246"/>
      <c r="AO646" s="246"/>
      <c r="AP646" s="246"/>
      <c r="AQ646" s="246"/>
      <c r="AR646" s="246"/>
      <c r="AS646" s="246"/>
      <c r="AT646" s="246"/>
      <c r="AU646" s="246"/>
      <c r="AV646" s="246"/>
      <c r="AW646" s="246"/>
      <c r="AX646" s="246"/>
      <c r="AY646" s="246"/>
      <c r="AZ646" s="246"/>
      <c r="BA646" s="246"/>
      <c r="BB646" s="246"/>
      <c r="BC646" s="246"/>
      <c r="BD646" s="246"/>
      <c r="BE646" s="246"/>
      <c r="BF646" s="246"/>
      <c r="BG646" s="246"/>
      <c r="BH646" s="246"/>
      <c r="BI646" s="246"/>
      <c r="BJ646" s="246"/>
    </row>
    <row r="647" spans="2:62" ht="15.75">
      <c r="B647" s="7"/>
      <c r="C647" s="334"/>
      <c r="D647" s="334"/>
      <c r="E647" s="334"/>
      <c r="F647" s="334"/>
      <c r="G647" s="334"/>
      <c r="H647" s="334"/>
      <c r="I647" s="334"/>
      <c r="J647" s="334"/>
      <c r="K647" s="334"/>
      <c r="L647" s="334"/>
      <c r="M647" s="334"/>
      <c r="N647" s="334"/>
      <c r="O647" s="334"/>
      <c r="P647" s="334"/>
      <c r="Q647" s="334"/>
      <c r="R647" s="334"/>
      <c r="S647" s="334"/>
      <c r="T647" s="334"/>
      <c r="U647" s="334"/>
      <c r="V647" s="334"/>
      <c r="W647" s="334"/>
      <c r="X647" s="334"/>
      <c r="Y647" s="246"/>
      <c r="Z647" s="246"/>
      <c r="AA647" s="246"/>
      <c r="AB647" s="246"/>
      <c r="AC647" s="246"/>
      <c r="AD647" s="246"/>
      <c r="AE647" s="246"/>
      <c r="AF647" s="246"/>
      <c r="AG647" s="246"/>
      <c r="AH647" s="246"/>
      <c r="AI647" s="246"/>
      <c r="AJ647" s="246"/>
      <c r="AK647" s="246"/>
      <c r="AL647" s="246"/>
      <c r="AM647" s="246"/>
      <c r="AN647" s="246"/>
      <c r="AO647" s="246"/>
      <c r="AP647" s="246"/>
      <c r="AQ647" s="246"/>
      <c r="AR647" s="246"/>
      <c r="AS647" s="246"/>
      <c r="AT647" s="246"/>
      <c r="AU647" s="246"/>
      <c r="AV647" s="246"/>
      <c r="AW647" s="246"/>
      <c r="AX647" s="246"/>
      <c r="AY647" s="246"/>
      <c r="AZ647" s="246"/>
      <c r="BA647" s="246"/>
      <c r="BB647" s="246"/>
      <c r="BC647" s="246"/>
      <c r="BD647" s="246"/>
      <c r="BE647" s="246"/>
      <c r="BF647" s="246"/>
      <c r="BG647" s="246"/>
      <c r="BH647" s="246"/>
      <c r="BI647" s="246"/>
      <c r="BJ647" s="246"/>
    </row>
    <row r="648" spans="2:62" ht="15.75">
      <c r="B648" s="7"/>
      <c r="C648" s="334"/>
      <c r="D648" s="334"/>
      <c r="E648" s="334"/>
      <c r="F648" s="334"/>
      <c r="G648" s="334"/>
      <c r="H648" s="334"/>
      <c r="I648" s="334"/>
      <c r="J648" s="334"/>
      <c r="K648" s="334"/>
      <c r="L648" s="334"/>
      <c r="M648" s="334"/>
      <c r="N648" s="334"/>
      <c r="O648" s="334"/>
      <c r="P648" s="334"/>
      <c r="Q648" s="334"/>
      <c r="R648" s="334"/>
      <c r="S648" s="334"/>
      <c r="T648" s="334"/>
      <c r="U648" s="334"/>
      <c r="V648" s="334"/>
      <c r="W648" s="334"/>
      <c r="X648" s="334"/>
      <c r="Y648" s="246"/>
      <c r="Z648" s="246"/>
      <c r="AA648" s="246"/>
      <c r="AB648" s="246"/>
      <c r="AC648" s="246"/>
      <c r="AD648" s="246"/>
      <c r="AE648" s="246"/>
      <c r="AF648" s="246"/>
      <c r="AG648" s="246"/>
      <c r="AH648" s="246"/>
      <c r="AI648" s="246"/>
      <c r="AJ648" s="246"/>
      <c r="AK648" s="246"/>
      <c r="AL648" s="246"/>
      <c r="AM648" s="246"/>
      <c r="AN648" s="246"/>
      <c r="AO648" s="246"/>
      <c r="AP648" s="246"/>
      <c r="AQ648" s="246"/>
      <c r="AR648" s="246"/>
      <c r="AS648" s="246"/>
      <c r="AT648" s="246"/>
      <c r="AU648" s="246"/>
      <c r="AV648" s="246"/>
      <c r="AW648" s="246"/>
      <c r="AX648" s="246"/>
      <c r="AY648" s="246"/>
      <c r="AZ648" s="246"/>
      <c r="BA648" s="246"/>
      <c r="BB648" s="246"/>
      <c r="BC648" s="246"/>
      <c r="BD648" s="246"/>
      <c r="BE648" s="246"/>
      <c r="BF648" s="246"/>
      <c r="BG648" s="246"/>
      <c r="BH648" s="246"/>
      <c r="BI648" s="246"/>
      <c r="BJ648" s="246"/>
    </row>
    <row r="649" spans="2:62" ht="15.75">
      <c r="B649" s="7"/>
      <c r="C649" s="334"/>
      <c r="D649" s="334"/>
      <c r="E649" s="334"/>
      <c r="F649" s="334"/>
      <c r="G649" s="334"/>
      <c r="H649" s="334"/>
      <c r="I649" s="334"/>
      <c r="J649" s="334"/>
      <c r="K649" s="334"/>
      <c r="L649" s="334"/>
      <c r="M649" s="334"/>
      <c r="N649" s="334"/>
      <c r="O649" s="334"/>
      <c r="P649" s="334"/>
      <c r="Q649" s="334"/>
      <c r="R649" s="334"/>
      <c r="S649" s="334"/>
      <c r="T649" s="334"/>
      <c r="U649" s="334"/>
      <c r="V649" s="334"/>
      <c r="W649" s="334"/>
      <c r="X649" s="334"/>
      <c r="Y649" s="246"/>
      <c r="Z649" s="246"/>
      <c r="AA649" s="246"/>
      <c r="AB649" s="246"/>
      <c r="AC649" s="246"/>
      <c r="AD649" s="246"/>
      <c r="AE649" s="246"/>
      <c r="AF649" s="246"/>
      <c r="AG649" s="246"/>
      <c r="AH649" s="246"/>
      <c r="AI649" s="246"/>
      <c r="AJ649" s="246"/>
      <c r="AK649" s="246"/>
      <c r="AL649" s="246"/>
      <c r="AM649" s="246"/>
      <c r="AN649" s="246"/>
      <c r="AO649" s="246"/>
      <c r="AP649" s="246"/>
      <c r="AQ649" s="246"/>
      <c r="AR649" s="246"/>
      <c r="AS649" s="246"/>
      <c r="AT649" s="246"/>
      <c r="AU649" s="246"/>
      <c r="AV649" s="246"/>
      <c r="AW649" s="246"/>
      <c r="AX649" s="246"/>
      <c r="AY649" s="246"/>
      <c r="AZ649" s="246"/>
      <c r="BA649" s="246"/>
      <c r="BB649" s="246"/>
      <c r="BC649" s="246"/>
      <c r="BD649" s="246"/>
      <c r="BE649" s="246"/>
      <c r="BF649" s="246"/>
      <c r="BG649" s="246"/>
      <c r="BH649" s="246"/>
      <c r="BI649" s="246"/>
      <c r="BJ649" s="246"/>
    </row>
    <row r="650" spans="2:62" ht="30">
      <c r="B650" s="7"/>
      <c r="C650" s="412"/>
      <c r="D650" s="334"/>
      <c r="E650" s="334"/>
      <c r="F650" s="334"/>
      <c r="G650" s="334"/>
      <c r="H650" s="334"/>
      <c r="I650" s="334"/>
      <c r="J650" s="334"/>
      <c r="K650" s="334"/>
      <c r="L650" s="334"/>
      <c r="M650" s="334"/>
      <c r="N650" s="334"/>
      <c r="O650" s="413"/>
      <c r="P650" s="334"/>
      <c r="Q650" s="334"/>
      <c r="R650" s="334"/>
      <c r="S650" s="334"/>
      <c r="T650" s="334"/>
      <c r="U650" s="334"/>
      <c r="V650" s="334"/>
      <c r="W650" s="334"/>
      <c r="X650" s="334"/>
      <c r="Y650" s="246"/>
      <c r="Z650" s="246"/>
      <c r="AA650" s="246"/>
      <c r="AB650" s="246"/>
      <c r="AC650" s="246"/>
      <c r="AD650" s="246"/>
      <c r="AE650" s="246"/>
      <c r="AF650" s="246"/>
      <c r="AG650" s="246"/>
      <c r="AH650" s="246"/>
      <c r="AI650" s="246"/>
      <c r="AJ650" s="246"/>
      <c r="AK650" s="246"/>
      <c r="AL650" s="246"/>
      <c r="AM650" s="246"/>
      <c r="AN650" s="246"/>
      <c r="AO650" s="246"/>
      <c r="AP650" s="246"/>
      <c r="AQ650" s="246"/>
      <c r="AR650" s="246"/>
      <c r="AS650" s="246"/>
      <c r="AT650" s="246"/>
      <c r="AU650" s="246"/>
      <c r="AV650" s="246"/>
      <c r="AW650" s="246"/>
      <c r="AX650" s="246"/>
      <c r="AY650" s="246"/>
      <c r="AZ650" s="246"/>
      <c r="BA650" s="246"/>
      <c r="BB650" s="246"/>
      <c r="BC650" s="246"/>
      <c r="BD650" s="246"/>
      <c r="BE650" s="246"/>
      <c r="BF650" s="246"/>
      <c r="BG650" s="246"/>
      <c r="BH650" s="246"/>
      <c r="BI650" s="246"/>
      <c r="BJ650" s="246"/>
    </row>
    <row r="651" spans="2:62" ht="18.75">
      <c r="B651" s="7"/>
      <c r="C651" s="402"/>
      <c r="D651" s="406"/>
      <c r="E651" s="406"/>
      <c r="F651" s="406"/>
      <c r="G651" s="406"/>
      <c r="H651" s="406"/>
      <c r="I651" s="406"/>
      <c r="J651" s="406"/>
      <c r="K651" s="406"/>
      <c r="L651" s="406"/>
      <c r="M651" s="406"/>
      <c r="N651" s="406"/>
      <c r="O651" s="406"/>
      <c r="P651" s="406"/>
      <c r="Q651" s="414"/>
      <c r="R651" s="406"/>
      <c r="S651" s="406"/>
      <c r="T651" s="334"/>
      <c r="U651" s="334"/>
      <c r="V651" s="334"/>
      <c r="W651" s="334"/>
      <c r="X651" s="334"/>
      <c r="Y651" s="246"/>
      <c r="Z651" s="246"/>
      <c r="AA651" s="246"/>
      <c r="AB651" s="246"/>
      <c r="AC651" s="246"/>
      <c r="AD651" s="246"/>
      <c r="AE651" s="246"/>
      <c r="AF651" s="246"/>
      <c r="AG651" s="246"/>
      <c r="AH651" s="246"/>
      <c r="AI651" s="246"/>
      <c r="AJ651" s="246"/>
      <c r="AK651" s="246"/>
      <c r="AL651" s="246"/>
      <c r="AM651" s="246"/>
      <c r="AN651" s="246"/>
      <c r="AO651" s="246"/>
      <c r="AP651" s="246"/>
      <c r="AQ651" s="246"/>
      <c r="AR651" s="246"/>
      <c r="AS651" s="246"/>
      <c r="AT651" s="246"/>
      <c r="AU651" s="246"/>
      <c r="AV651" s="246"/>
      <c r="AW651" s="246"/>
      <c r="AX651" s="246"/>
      <c r="AY651" s="246"/>
      <c r="AZ651" s="246"/>
      <c r="BA651" s="246"/>
      <c r="BB651" s="246"/>
      <c r="BC651" s="246"/>
      <c r="BD651" s="246"/>
      <c r="BE651" s="246"/>
      <c r="BF651" s="246"/>
      <c r="BG651" s="246"/>
      <c r="BH651" s="246"/>
      <c r="BI651" s="246"/>
      <c r="BJ651" s="246"/>
    </row>
    <row r="652" spans="2:62" ht="15.75">
      <c r="B652" s="7"/>
      <c r="C652" s="334"/>
      <c r="D652" s="403"/>
      <c r="E652" s="403"/>
      <c r="F652" s="415"/>
      <c r="G652" s="403"/>
      <c r="H652" s="403"/>
      <c r="I652" s="415"/>
      <c r="J652" s="407"/>
      <c r="K652" s="407"/>
      <c r="L652" s="416"/>
      <c r="M652" s="407"/>
      <c r="N652" s="407"/>
      <c r="O652" s="407"/>
      <c r="P652" s="407"/>
      <c r="Q652" s="404"/>
      <c r="R652" s="403"/>
      <c r="S652" s="415"/>
      <c r="T652" s="334"/>
      <c r="U652" s="334"/>
      <c r="V652" s="334"/>
      <c r="W652" s="334"/>
      <c r="X652" s="334"/>
      <c r="Y652" s="246"/>
      <c r="Z652" s="246"/>
      <c r="AA652" s="246"/>
      <c r="AB652" s="246"/>
      <c r="AC652" s="246"/>
      <c r="AD652" s="246"/>
      <c r="AE652" s="246"/>
      <c r="AF652" s="246"/>
      <c r="AG652" s="246"/>
      <c r="AH652" s="246"/>
      <c r="AI652" s="246"/>
      <c r="AJ652" s="246"/>
      <c r="AK652" s="246"/>
      <c r="AL652" s="246"/>
      <c r="AM652" s="246"/>
      <c r="AN652" s="246"/>
      <c r="AO652" s="246"/>
      <c r="AP652" s="246"/>
      <c r="AQ652" s="246"/>
      <c r="AR652" s="246"/>
      <c r="AS652" s="246"/>
      <c r="AT652" s="246"/>
      <c r="AU652" s="246"/>
      <c r="AV652" s="246"/>
      <c r="AW652" s="246"/>
      <c r="AX652" s="246"/>
      <c r="AY652" s="246"/>
      <c r="AZ652" s="246"/>
      <c r="BA652" s="246"/>
      <c r="BB652" s="246"/>
      <c r="BC652" s="246"/>
      <c r="BD652" s="246"/>
      <c r="BE652" s="246"/>
      <c r="BF652" s="246"/>
      <c r="BG652" s="246"/>
      <c r="BH652" s="246"/>
      <c r="BI652" s="246"/>
      <c r="BJ652" s="246"/>
    </row>
    <row r="653" spans="2:62" ht="15.75">
      <c r="B653" s="7"/>
      <c r="C653" s="417"/>
      <c r="D653" s="334"/>
      <c r="E653" s="334"/>
      <c r="F653" s="406"/>
      <c r="G653" s="334"/>
      <c r="H653" s="334"/>
      <c r="I653" s="406"/>
      <c r="J653" s="406"/>
      <c r="K653" s="406"/>
      <c r="L653" s="334"/>
      <c r="M653" s="406"/>
      <c r="N653" s="406"/>
      <c r="O653" s="334"/>
      <c r="P653" s="406"/>
      <c r="Q653" s="406"/>
      <c r="R653" s="334"/>
      <c r="S653" s="406"/>
      <c r="T653" s="334"/>
      <c r="U653" s="334"/>
      <c r="V653" s="334"/>
      <c r="W653" s="334"/>
      <c r="X653" s="334"/>
      <c r="Y653" s="246"/>
      <c r="Z653" s="246"/>
      <c r="AA653" s="246"/>
      <c r="AB653" s="246"/>
      <c r="AC653" s="246"/>
      <c r="AD653" s="246"/>
      <c r="AE653" s="246"/>
      <c r="AF653" s="246"/>
      <c r="AG653" s="246"/>
      <c r="AH653" s="246"/>
      <c r="AI653" s="246"/>
      <c r="AJ653" s="246"/>
      <c r="AK653" s="246"/>
      <c r="AL653" s="246"/>
      <c r="AM653" s="246"/>
      <c r="AN653" s="246"/>
      <c r="AO653" s="246"/>
      <c r="AP653" s="246"/>
      <c r="AQ653" s="246"/>
      <c r="AR653" s="246"/>
      <c r="AS653" s="246"/>
      <c r="AT653" s="246"/>
      <c r="AU653" s="246"/>
      <c r="AV653" s="246"/>
      <c r="AW653" s="246"/>
      <c r="AX653" s="246"/>
      <c r="AY653" s="246"/>
      <c r="AZ653" s="246"/>
      <c r="BA653" s="246"/>
      <c r="BB653" s="246"/>
      <c r="BC653" s="246"/>
      <c r="BD653" s="246"/>
      <c r="BE653" s="246"/>
      <c r="BF653" s="246"/>
      <c r="BG653" s="246"/>
      <c r="BH653" s="246"/>
      <c r="BI653" s="246"/>
      <c r="BJ653" s="246"/>
    </row>
    <row r="654" spans="2:62" ht="15.75">
      <c r="B654" s="7"/>
      <c r="C654" s="334"/>
      <c r="D654" s="334"/>
      <c r="E654" s="334"/>
      <c r="F654" s="399"/>
      <c r="G654" s="334"/>
      <c r="H654" s="334"/>
      <c r="I654" s="399"/>
      <c r="J654" s="399"/>
      <c r="K654" s="399"/>
      <c r="L654" s="399"/>
      <c r="M654" s="399"/>
      <c r="N654" s="399"/>
      <c r="O654" s="399"/>
      <c r="P654" s="399"/>
      <c r="Q654" s="399"/>
      <c r="R654" s="399"/>
      <c r="S654" s="399"/>
      <c r="T654" s="334"/>
      <c r="U654" s="334"/>
      <c r="V654" s="334"/>
      <c r="W654" s="334"/>
      <c r="X654" s="334"/>
      <c r="Y654" s="246"/>
      <c r="Z654" s="246"/>
      <c r="AA654" s="246"/>
      <c r="AB654" s="246"/>
      <c r="AC654" s="246"/>
      <c r="AD654" s="246"/>
      <c r="AE654" s="246"/>
      <c r="AF654" s="246"/>
      <c r="AG654" s="246"/>
      <c r="AH654" s="246"/>
      <c r="AI654" s="246"/>
      <c r="AJ654" s="246"/>
      <c r="AK654" s="246"/>
      <c r="AL654" s="246"/>
      <c r="AM654" s="246"/>
      <c r="AN654" s="246"/>
      <c r="AO654" s="246"/>
      <c r="AP654" s="246"/>
      <c r="AQ654" s="246"/>
      <c r="AR654" s="246"/>
      <c r="AS654" s="246"/>
      <c r="AT654" s="246"/>
      <c r="AU654" s="246"/>
      <c r="AV654" s="246"/>
      <c r="AW654" s="246"/>
      <c r="AX654" s="246"/>
      <c r="AY654" s="246"/>
      <c r="AZ654" s="246"/>
      <c r="BA654" s="246"/>
      <c r="BB654" s="246"/>
      <c r="BC654" s="246"/>
      <c r="BD654" s="246"/>
      <c r="BE654" s="246"/>
      <c r="BF654" s="246"/>
      <c r="BG654" s="246"/>
      <c r="BH654" s="246"/>
      <c r="BI654" s="246"/>
      <c r="BJ654" s="246"/>
    </row>
    <row r="655" spans="2:62" ht="15.75">
      <c r="B655" s="7"/>
      <c r="C655" s="398"/>
      <c r="D655" s="398"/>
      <c r="E655" s="398"/>
      <c r="F655" s="401"/>
      <c r="G655" s="398"/>
      <c r="H655" s="398"/>
      <c r="I655" s="401"/>
      <c r="J655" s="401"/>
      <c r="K655" s="401"/>
      <c r="L655" s="401"/>
      <c r="M655" s="401"/>
      <c r="N655" s="401"/>
      <c r="O655" s="401"/>
      <c r="P655" s="401"/>
      <c r="Q655" s="401"/>
      <c r="R655" s="401"/>
      <c r="S655" s="401"/>
      <c r="T655" s="334"/>
      <c r="U655" s="334"/>
      <c r="V655" s="334"/>
      <c r="W655" s="334"/>
      <c r="X655" s="334"/>
      <c r="Y655" s="246"/>
      <c r="Z655" s="246"/>
      <c r="AA655" s="246"/>
      <c r="AB655" s="246"/>
      <c r="AC655" s="246"/>
      <c r="AD655" s="246"/>
      <c r="AE655" s="246"/>
      <c r="AF655" s="246"/>
      <c r="AG655" s="246"/>
      <c r="AH655" s="246"/>
      <c r="AI655" s="246"/>
      <c r="AJ655" s="246"/>
      <c r="AK655" s="246"/>
      <c r="AL655" s="246"/>
      <c r="AM655" s="246"/>
      <c r="AN655" s="246"/>
      <c r="AO655" s="246"/>
      <c r="AP655" s="246"/>
      <c r="AQ655" s="246"/>
      <c r="AR655" s="246"/>
      <c r="AS655" s="246"/>
      <c r="AT655" s="246"/>
      <c r="AU655" s="246"/>
      <c r="AV655" s="246"/>
      <c r="AW655" s="246"/>
      <c r="AX655" s="246"/>
      <c r="AY655" s="246"/>
      <c r="AZ655" s="246"/>
      <c r="BA655" s="246"/>
      <c r="BB655" s="246"/>
      <c r="BC655" s="246"/>
      <c r="BD655" s="246"/>
      <c r="BE655" s="246"/>
      <c r="BF655" s="246"/>
      <c r="BG655" s="246"/>
      <c r="BH655" s="246"/>
      <c r="BI655" s="246"/>
      <c r="BJ655" s="246"/>
    </row>
    <row r="656" spans="2:62" ht="15.75">
      <c r="B656" s="7"/>
      <c r="C656" s="334"/>
      <c r="D656" s="334"/>
      <c r="E656" s="334"/>
      <c r="F656" s="334"/>
      <c r="G656" s="334"/>
      <c r="H656" s="334"/>
      <c r="I656" s="334"/>
      <c r="J656" s="399"/>
      <c r="K656" s="399"/>
      <c r="L656" s="399"/>
      <c r="M656" s="399"/>
      <c r="N656" s="399"/>
      <c r="O656" s="399"/>
      <c r="P656" s="399"/>
      <c r="Q656" s="399"/>
      <c r="R656" s="399"/>
      <c r="S656" s="399"/>
      <c r="T656" s="334"/>
      <c r="U656" s="334"/>
      <c r="V656" s="334"/>
      <c r="W656" s="334"/>
      <c r="X656" s="334"/>
      <c r="Y656" s="246"/>
      <c r="Z656" s="246"/>
      <c r="AA656" s="246"/>
      <c r="AB656" s="246"/>
      <c r="AC656" s="246"/>
      <c r="AD656" s="246"/>
      <c r="AE656" s="246"/>
      <c r="AF656" s="246"/>
      <c r="AG656" s="246"/>
      <c r="AH656" s="246"/>
      <c r="AI656" s="246"/>
      <c r="AJ656" s="246"/>
      <c r="AK656" s="246"/>
      <c r="AL656" s="246"/>
      <c r="AM656" s="246"/>
      <c r="AN656" s="246"/>
      <c r="AO656" s="246"/>
      <c r="AP656" s="246"/>
      <c r="AQ656" s="246"/>
      <c r="AR656" s="246"/>
      <c r="AS656" s="246"/>
      <c r="AT656" s="246"/>
      <c r="AU656" s="246"/>
      <c r="AV656" s="246"/>
      <c r="AW656" s="246"/>
      <c r="AX656" s="246"/>
      <c r="AY656" s="246"/>
      <c r="AZ656" s="246"/>
      <c r="BA656" s="246"/>
      <c r="BB656" s="246"/>
      <c r="BC656" s="246"/>
      <c r="BD656" s="246"/>
      <c r="BE656" s="246"/>
      <c r="BF656" s="246"/>
      <c r="BG656" s="246"/>
      <c r="BH656" s="246"/>
      <c r="BI656" s="246"/>
      <c r="BJ656" s="246"/>
    </row>
    <row r="657" spans="2:62" ht="15.75">
      <c r="B657" s="7"/>
      <c r="C657" s="334"/>
      <c r="D657" s="334"/>
      <c r="E657" s="334"/>
      <c r="F657" s="334"/>
      <c r="G657" s="334"/>
      <c r="H657" s="334"/>
      <c r="I657" s="334"/>
      <c r="J657" s="334"/>
      <c r="K657" s="399"/>
      <c r="L657" s="399"/>
      <c r="M657" s="334"/>
      <c r="N657" s="399"/>
      <c r="O657" s="399"/>
      <c r="P657" s="334"/>
      <c r="Q657" s="399"/>
      <c r="R657" s="399"/>
      <c r="S657" s="334"/>
      <c r="T657" s="334"/>
      <c r="U657" s="334"/>
      <c r="V657" s="334"/>
      <c r="W657" s="334"/>
      <c r="X657" s="334"/>
      <c r="Y657" s="246"/>
      <c r="Z657" s="246"/>
      <c r="AA657" s="246"/>
      <c r="AB657" s="246"/>
      <c r="AC657" s="246"/>
      <c r="AD657" s="246"/>
      <c r="AE657" s="246"/>
      <c r="AF657" s="246"/>
      <c r="AG657" s="246"/>
      <c r="AH657" s="246"/>
      <c r="AI657" s="246"/>
      <c r="AJ657" s="246"/>
      <c r="AK657" s="246"/>
      <c r="AL657" s="246"/>
      <c r="AM657" s="246"/>
      <c r="AN657" s="246"/>
      <c r="AO657" s="246"/>
      <c r="AP657" s="246"/>
      <c r="AQ657" s="246"/>
      <c r="AR657" s="246"/>
      <c r="AS657" s="246"/>
      <c r="AT657" s="246"/>
      <c r="AU657" s="246"/>
      <c r="AV657" s="246"/>
      <c r="AW657" s="246"/>
      <c r="AX657" s="246"/>
      <c r="AY657" s="246"/>
      <c r="AZ657" s="246"/>
      <c r="BA657" s="246"/>
      <c r="BB657" s="246"/>
      <c r="BC657" s="246"/>
      <c r="BD657" s="246"/>
      <c r="BE657" s="246"/>
      <c r="BF657" s="246"/>
      <c r="BG657" s="246"/>
      <c r="BH657" s="246"/>
      <c r="BI657" s="246"/>
      <c r="BJ657" s="246"/>
    </row>
    <row r="658" spans="2:62" ht="15.75">
      <c r="B658" s="7"/>
      <c r="C658" s="334"/>
      <c r="D658" s="334"/>
      <c r="E658" s="334"/>
      <c r="F658" s="334"/>
      <c r="G658" s="334"/>
      <c r="H658" s="334"/>
      <c r="I658" s="334"/>
      <c r="J658" s="334"/>
      <c r="K658" s="399"/>
      <c r="L658" s="399"/>
      <c r="M658" s="334"/>
      <c r="N658" s="399"/>
      <c r="O658" s="399"/>
      <c r="P658" s="334"/>
      <c r="Q658" s="399"/>
      <c r="R658" s="399"/>
      <c r="S658" s="334"/>
      <c r="T658" s="334"/>
      <c r="U658" s="334"/>
      <c r="V658" s="334"/>
      <c r="W658" s="334"/>
      <c r="X658" s="334"/>
      <c r="Y658" s="246"/>
      <c r="Z658" s="246"/>
      <c r="AA658" s="246"/>
      <c r="AB658" s="246"/>
      <c r="AC658" s="246"/>
      <c r="AD658" s="246"/>
      <c r="AE658" s="246"/>
      <c r="AF658" s="246"/>
      <c r="AG658" s="246"/>
      <c r="AH658" s="246"/>
      <c r="AI658" s="246"/>
      <c r="AJ658" s="246"/>
      <c r="AK658" s="246"/>
      <c r="AL658" s="246"/>
      <c r="AM658" s="246"/>
      <c r="AN658" s="246"/>
      <c r="AO658" s="246"/>
      <c r="AP658" s="246"/>
      <c r="AQ658" s="246"/>
      <c r="AR658" s="246"/>
      <c r="AS658" s="246"/>
      <c r="AT658" s="246"/>
      <c r="AU658" s="246"/>
      <c r="AV658" s="246"/>
      <c r="AW658" s="246"/>
      <c r="AX658" s="246"/>
      <c r="AY658" s="246"/>
      <c r="AZ658" s="246"/>
      <c r="BA658" s="246"/>
      <c r="BB658" s="246"/>
      <c r="BC658" s="246"/>
      <c r="BD658" s="246"/>
      <c r="BE658" s="246"/>
      <c r="BF658" s="246"/>
      <c r="BG658" s="246"/>
      <c r="BH658" s="246"/>
      <c r="BI658" s="246"/>
      <c r="BJ658" s="246"/>
    </row>
    <row r="659" spans="2:62" ht="15.75">
      <c r="B659" s="7"/>
      <c r="C659" s="334"/>
      <c r="D659" s="334"/>
      <c r="E659" s="334"/>
      <c r="F659" s="334"/>
      <c r="G659" s="334"/>
      <c r="H659" s="334"/>
      <c r="I659" s="334"/>
      <c r="J659" s="334"/>
      <c r="K659" s="399"/>
      <c r="L659" s="399"/>
      <c r="M659" s="334"/>
      <c r="N659" s="399"/>
      <c r="O659" s="399"/>
      <c r="P659" s="334"/>
      <c r="Q659" s="399"/>
      <c r="R659" s="399"/>
      <c r="S659" s="334"/>
      <c r="T659" s="334"/>
      <c r="U659" s="334"/>
      <c r="V659" s="334"/>
      <c r="W659" s="334"/>
      <c r="X659" s="334"/>
      <c r="Y659" s="246"/>
      <c r="Z659" s="246"/>
      <c r="AA659" s="246"/>
      <c r="AB659" s="246"/>
      <c r="AC659" s="246"/>
      <c r="AD659" s="246"/>
      <c r="AE659" s="246"/>
      <c r="AF659" s="246"/>
      <c r="AG659" s="246"/>
      <c r="AH659" s="246"/>
      <c r="AI659" s="246"/>
      <c r="AJ659" s="246"/>
      <c r="AK659" s="246"/>
      <c r="AL659" s="246"/>
      <c r="AM659" s="246"/>
      <c r="AN659" s="246"/>
      <c r="AO659" s="246"/>
      <c r="AP659" s="246"/>
      <c r="AQ659" s="246"/>
      <c r="AR659" s="246"/>
      <c r="AS659" s="246"/>
      <c r="AT659" s="246"/>
      <c r="AU659" s="246"/>
      <c r="AV659" s="246"/>
      <c r="AW659" s="246"/>
      <c r="AX659" s="246"/>
      <c r="AY659" s="246"/>
      <c r="AZ659" s="246"/>
      <c r="BA659" s="246"/>
      <c r="BB659" s="246"/>
      <c r="BC659" s="246"/>
      <c r="BD659" s="246"/>
      <c r="BE659" s="246"/>
      <c r="BF659" s="246"/>
      <c r="BG659" s="246"/>
      <c r="BH659" s="246"/>
      <c r="BI659" s="246"/>
      <c r="BJ659" s="246"/>
    </row>
    <row r="660" spans="2:62" ht="15.75">
      <c r="B660" s="7"/>
      <c r="C660" s="334"/>
      <c r="D660" s="334"/>
      <c r="E660" s="334"/>
      <c r="F660" s="334"/>
      <c r="G660" s="334"/>
      <c r="H660" s="334"/>
      <c r="I660" s="334"/>
      <c r="J660" s="334"/>
      <c r="K660" s="399"/>
      <c r="L660" s="399"/>
      <c r="M660" s="334"/>
      <c r="N660" s="399"/>
      <c r="O660" s="399"/>
      <c r="P660" s="334"/>
      <c r="Q660" s="399"/>
      <c r="R660" s="399"/>
      <c r="S660" s="334"/>
      <c r="T660" s="334"/>
      <c r="U660" s="334"/>
      <c r="V660" s="334"/>
      <c r="W660" s="334"/>
      <c r="X660" s="334"/>
      <c r="Y660" s="246"/>
      <c r="Z660" s="246"/>
      <c r="AA660" s="246"/>
      <c r="AB660" s="246"/>
      <c r="AC660" s="246"/>
      <c r="AD660" s="246"/>
      <c r="AE660" s="246"/>
      <c r="AF660" s="246"/>
      <c r="AG660" s="246"/>
      <c r="AH660" s="246"/>
      <c r="AI660" s="246"/>
      <c r="AJ660" s="246"/>
      <c r="AK660" s="246"/>
      <c r="AL660" s="246"/>
      <c r="AM660" s="246"/>
      <c r="AN660" s="246"/>
      <c r="AO660" s="246"/>
      <c r="AP660" s="246"/>
      <c r="AQ660" s="246"/>
      <c r="AR660" s="246"/>
      <c r="AS660" s="246"/>
      <c r="AT660" s="246"/>
      <c r="AU660" s="246"/>
      <c r="AV660" s="246"/>
      <c r="AW660" s="246"/>
      <c r="AX660" s="246"/>
      <c r="AY660" s="246"/>
      <c r="AZ660" s="246"/>
      <c r="BA660" s="246"/>
      <c r="BB660" s="246"/>
      <c r="BC660" s="246"/>
      <c r="BD660" s="246"/>
      <c r="BE660" s="246"/>
      <c r="BF660" s="246"/>
      <c r="BG660" s="246"/>
      <c r="BH660" s="246"/>
      <c r="BI660" s="246"/>
      <c r="BJ660" s="246"/>
    </row>
    <row r="661" spans="2:62" ht="15.75">
      <c r="B661" s="7"/>
      <c r="C661" s="334"/>
      <c r="D661" s="334"/>
      <c r="E661" s="334"/>
      <c r="F661" s="334"/>
      <c r="G661" s="334"/>
      <c r="H661" s="334"/>
      <c r="I661" s="334"/>
      <c r="J661" s="334"/>
      <c r="K661" s="399"/>
      <c r="L661" s="399"/>
      <c r="M661" s="334"/>
      <c r="N661" s="399"/>
      <c r="O661" s="399"/>
      <c r="P661" s="334"/>
      <c r="Q661" s="399"/>
      <c r="R661" s="399"/>
      <c r="S661" s="334"/>
      <c r="T661" s="334"/>
      <c r="U661" s="334"/>
      <c r="V661" s="334"/>
      <c r="W661" s="334"/>
      <c r="X661" s="334"/>
      <c r="Y661" s="246"/>
      <c r="Z661" s="246"/>
      <c r="AA661" s="246"/>
      <c r="AB661" s="246"/>
      <c r="AC661" s="246"/>
      <c r="AD661" s="246"/>
      <c r="AE661" s="246"/>
      <c r="AF661" s="246"/>
      <c r="AG661" s="246"/>
      <c r="AH661" s="246"/>
      <c r="AI661" s="246"/>
      <c r="AJ661" s="246"/>
      <c r="AK661" s="246"/>
      <c r="AL661" s="246"/>
      <c r="AM661" s="246"/>
      <c r="AN661" s="246"/>
      <c r="AO661" s="246"/>
      <c r="AP661" s="246"/>
      <c r="AQ661" s="246"/>
      <c r="AR661" s="246"/>
      <c r="AS661" s="246"/>
      <c r="AT661" s="246"/>
      <c r="AU661" s="246"/>
      <c r="AV661" s="246"/>
      <c r="AW661" s="246"/>
      <c r="AX661" s="246"/>
      <c r="AY661" s="246"/>
      <c r="AZ661" s="246"/>
      <c r="BA661" s="246"/>
      <c r="BB661" s="246"/>
      <c r="BC661" s="246"/>
      <c r="BD661" s="246"/>
      <c r="BE661" s="246"/>
      <c r="BF661" s="246"/>
      <c r="BG661" s="246"/>
      <c r="BH661" s="246"/>
      <c r="BI661" s="246"/>
      <c r="BJ661" s="246"/>
    </row>
    <row r="662" spans="2:62" ht="15.75">
      <c r="B662" s="7"/>
      <c r="C662" s="334"/>
      <c r="D662" s="334"/>
      <c r="E662" s="334"/>
      <c r="F662" s="334"/>
      <c r="G662" s="334"/>
      <c r="H662" s="334"/>
      <c r="I662" s="334"/>
      <c r="J662" s="334"/>
      <c r="K662" s="399"/>
      <c r="L662" s="401"/>
      <c r="M662" s="334"/>
      <c r="N662" s="399"/>
      <c r="O662" s="399"/>
      <c r="P662" s="334"/>
      <c r="Q662" s="399"/>
      <c r="R662" s="401"/>
      <c r="S662" s="334"/>
      <c r="T662" s="334"/>
      <c r="U662" s="334"/>
      <c r="V662" s="334"/>
      <c r="W662" s="334"/>
      <c r="X662" s="334"/>
      <c r="Y662" s="246"/>
      <c r="Z662" s="246"/>
      <c r="AA662" s="246"/>
      <c r="AB662" s="246"/>
      <c r="AC662" s="246"/>
      <c r="AD662" s="246"/>
      <c r="AE662" s="246"/>
      <c r="AF662" s="246"/>
      <c r="AG662" s="246"/>
      <c r="AH662" s="246"/>
      <c r="AI662" s="246"/>
      <c r="AJ662" s="246"/>
      <c r="AK662" s="246"/>
      <c r="AL662" s="246"/>
      <c r="AM662" s="246"/>
      <c r="AN662" s="246"/>
      <c r="AO662" s="246"/>
      <c r="AP662" s="246"/>
      <c r="AQ662" s="246"/>
      <c r="AR662" s="246"/>
      <c r="AS662" s="246"/>
      <c r="AT662" s="246"/>
      <c r="AU662" s="246"/>
      <c r="AV662" s="246"/>
      <c r="AW662" s="246"/>
      <c r="AX662" s="246"/>
      <c r="AY662" s="246"/>
      <c r="AZ662" s="246"/>
      <c r="BA662" s="246"/>
      <c r="BB662" s="246"/>
      <c r="BC662" s="246"/>
      <c r="BD662" s="246"/>
      <c r="BE662" s="246"/>
      <c r="BF662" s="246"/>
      <c r="BG662" s="246"/>
      <c r="BH662" s="246"/>
      <c r="BI662" s="246"/>
      <c r="BJ662" s="246"/>
    </row>
    <row r="663" spans="2:62" ht="15.75">
      <c r="B663" s="7"/>
      <c r="C663" s="334"/>
      <c r="D663" s="334"/>
      <c r="E663" s="334"/>
      <c r="F663" s="334"/>
      <c r="G663" s="334"/>
      <c r="H663" s="334"/>
      <c r="I663" s="334"/>
      <c r="J663" s="334"/>
      <c r="K663" s="399"/>
      <c r="L663" s="399"/>
      <c r="M663" s="334"/>
      <c r="N663" s="399"/>
      <c r="O663" s="399"/>
      <c r="P663" s="334"/>
      <c r="Q663" s="399"/>
      <c r="R663" s="399"/>
      <c r="S663" s="334"/>
      <c r="T663" s="334"/>
      <c r="U663" s="334"/>
      <c r="V663" s="334"/>
      <c r="W663" s="334"/>
      <c r="X663" s="334"/>
      <c r="Y663" s="246"/>
      <c r="Z663" s="246"/>
      <c r="AA663" s="246"/>
      <c r="AB663" s="246"/>
      <c r="AC663" s="246"/>
      <c r="AD663" s="246"/>
      <c r="AE663" s="246"/>
      <c r="AF663" s="246"/>
      <c r="AG663" s="246"/>
      <c r="AH663" s="246"/>
      <c r="AI663" s="246"/>
      <c r="AJ663" s="246"/>
      <c r="AK663" s="246"/>
      <c r="AL663" s="246"/>
      <c r="AM663" s="246"/>
      <c r="AN663" s="246"/>
      <c r="AO663" s="246"/>
      <c r="AP663" s="246"/>
      <c r="AQ663" s="246"/>
      <c r="AR663" s="246"/>
      <c r="AS663" s="246"/>
      <c r="AT663" s="246"/>
      <c r="AU663" s="246"/>
      <c r="AV663" s="246"/>
      <c r="AW663" s="246"/>
      <c r="AX663" s="246"/>
      <c r="AY663" s="246"/>
      <c r="AZ663" s="246"/>
      <c r="BA663" s="246"/>
      <c r="BB663" s="246"/>
      <c r="BC663" s="246"/>
      <c r="BD663" s="246"/>
      <c r="BE663" s="246"/>
      <c r="BF663" s="246"/>
      <c r="BG663" s="246"/>
      <c r="BH663" s="246"/>
      <c r="BI663" s="246"/>
      <c r="BJ663" s="246"/>
    </row>
    <row r="664" spans="2:62" ht="15.75">
      <c r="B664" s="7"/>
      <c r="C664" s="334"/>
      <c r="D664" s="334"/>
      <c r="E664" s="334"/>
      <c r="F664" s="334"/>
      <c r="G664" s="334"/>
      <c r="H664" s="334"/>
      <c r="I664" s="334"/>
      <c r="J664" s="334"/>
      <c r="K664" s="334"/>
      <c r="L664" s="334"/>
      <c r="M664" s="334"/>
      <c r="N664" s="401"/>
      <c r="O664" s="401"/>
      <c r="P664" s="334"/>
      <c r="Q664" s="401"/>
      <c r="R664" s="334"/>
      <c r="S664" s="334"/>
      <c r="T664" s="334"/>
      <c r="U664" s="334"/>
      <c r="V664" s="334"/>
      <c r="W664" s="334"/>
      <c r="X664" s="334"/>
      <c r="Y664" s="246"/>
      <c r="Z664" s="246"/>
      <c r="AA664" s="246"/>
      <c r="AB664" s="246"/>
      <c r="AC664" s="246"/>
      <c r="AD664" s="246"/>
      <c r="AE664" s="246"/>
      <c r="AF664" s="246"/>
      <c r="AG664" s="246"/>
      <c r="AH664" s="246"/>
      <c r="AI664" s="246"/>
      <c r="AJ664" s="246"/>
      <c r="AK664" s="246"/>
      <c r="AL664" s="246"/>
      <c r="AM664" s="246"/>
      <c r="AN664" s="246"/>
      <c r="AO664" s="246"/>
      <c r="AP664" s="246"/>
      <c r="AQ664" s="246"/>
      <c r="AR664" s="246"/>
      <c r="AS664" s="246"/>
      <c r="AT664" s="246"/>
      <c r="AU664" s="246"/>
      <c r="AV664" s="246"/>
      <c r="AW664" s="246"/>
      <c r="AX664" s="246"/>
      <c r="AY664" s="246"/>
      <c r="AZ664" s="246"/>
      <c r="BA664" s="246"/>
      <c r="BB664" s="246"/>
      <c r="BC664" s="246"/>
      <c r="BD664" s="246"/>
      <c r="BE664" s="246"/>
      <c r="BF664" s="246"/>
      <c r="BG664" s="246"/>
      <c r="BH664" s="246"/>
      <c r="BI664" s="246"/>
      <c r="BJ664" s="246"/>
    </row>
    <row r="665" spans="2:62" ht="15.75">
      <c r="B665" s="7"/>
      <c r="C665" s="334"/>
      <c r="D665" s="334"/>
      <c r="E665" s="334"/>
      <c r="F665" s="334"/>
      <c r="G665" s="334"/>
      <c r="H665" s="334"/>
      <c r="I665" s="334"/>
      <c r="J665" s="334"/>
      <c r="K665" s="401"/>
      <c r="L665" s="401"/>
      <c r="M665" s="334"/>
      <c r="N665" s="399"/>
      <c r="O665" s="399"/>
      <c r="P665" s="334"/>
      <c r="Q665" s="399"/>
      <c r="R665" s="401"/>
      <c r="S665" s="334"/>
      <c r="T665" s="334"/>
      <c r="U665" s="334"/>
      <c r="V665" s="334"/>
      <c r="W665" s="334"/>
      <c r="X665" s="334"/>
      <c r="Y665" s="246"/>
      <c r="Z665" s="246"/>
      <c r="AA665" s="246"/>
      <c r="AB665" s="246"/>
      <c r="AC665" s="246"/>
      <c r="AD665" s="246"/>
      <c r="AE665" s="246"/>
      <c r="AF665" s="246"/>
      <c r="AG665" s="246"/>
      <c r="AH665" s="246"/>
      <c r="AI665" s="246"/>
      <c r="AJ665" s="246"/>
      <c r="AK665" s="246"/>
      <c r="AL665" s="246"/>
      <c r="AM665" s="246"/>
      <c r="AN665" s="246"/>
      <c r="AO665" s="246"/>
      <c r="AP665" s="246"/>
      <c r="AQ665" s="246"/>
      <c r="AR665" s="246"/>
      <c r="AS665" s="246"/>
      <c r="AT665" s="246"/>
      <c r="AU665" s="246"/>
      <c r="AV665" s="246"/>
      <c r="AW665" s="246"/>
      <c r="AX665" s="246"/>
      <c r="AY665" s="246"/>
      <c r="AZ665" s="246"/>
      <c r="BA665" s="246"/>
      <c r="BB665" s="246"/>
      <c r="BC665" s="246"/>
      <c r="BD665" s="246"/>
      <c r="BE665" s="246"/>
      <c r="BF665" s="246"/>
      <c r="BG665" s="246"/>
      <c r="BH665" s="246"/>
      <c r="BI665" s="246"/>
      <c r="BJ665" s="246"/>
    </row>
    <row r="666" spans="2:62" ht="15.75">
      <c r="B666" s="7"/>
      <c r="C666" s="334"/>
      <c r="D666" s="334"/>
      <c r="E666" s="334"/>
      <c r="F666" s="334"/>
      <c r="G666" s="334"/>
      <c r="H666" s="334"/>
      <c r="I666" s="334"/>
      <c r="J666" s="334"/>
      <c r="K666" s="399"/>
      <c r="L666" s="399"/>
      <c r="M666" s="334"/>
      <c r="N666" s="399"/>
      <c r="O666" s="399"/>
      <c r="P666" s="334"/>
      <c r="Q666" s="399"/>
      <c r="R666" s="399"/>
      <c r="S666" s="334"/>
      <c r="T666" s="334"/>
      <c r="U666" s="334"/>
      <c r="V666" s="334"/>
      <c r="W666" s="334"/>
      <c r="X666" s="334"/>
      <c r="Y666" s="246"/>
      <c r="Z666" s="246"/>
      <c r="AA666" s="246"/>
      <c r="AB666" s="246"/>
      <c r="AC666" s="246"/>
      <c r="AD666" s="246"/>
      <c r="AE666" s="246"/>
      <c r="AF666" s="246"/>
      <c r="AG666" s="246"/>
      <c r="AH666" s="246"/>
      <c r="AI666" s="246"/>
      <c r="AJ666" s="246"/>
      <c r="AK666" s="246"/>
      <c r="AL666" s="246"/>
      <c r="AM666" s="246"/>
      <c r="AN666" s="246"/>
      <c r="AO666" s="246"/>
      <c r="AP666" s="246"/>
      <c r="AQ666" s="246"/>
      <c r="AR666" s="246"/>
      <c r="AS666" s="246"/>
      <c r="AT666" s="246"/>
      <c r="AU666" s="246"/>
      <c r="AV666" s="246"/>
      <c r="AW666" s="246"/>
      <c r="AX666" s="246"/>
      <c r="AY666" s="246"/>
      <c r="AZ666" s="246"/>
      <c r="BA666" s="246"/>
      <c r="BB666" s="246"/>
      <c r="BC666" s="246"/>
      <c r="BD666" s="246"/>
      <c r="BE666" s="246"/>
      <c r="BF666" s="246"/>
      <c r="BG666" s="246"/>
      <c r="BH666" s="246"/>
      <c r="BI666" s="246"/>
      <c r="BJ666" s="246"/>
    </row>
    <row r="667" spans="2:62" ht="15.75">
      <c r="B667" s="7"/>
      <c r="C667" s="334"/>
      <c r="D667" s="334"/>
      <c r="E667" s="334"/>
      <c r="F667" s="334"/>
      <c r="G667" s="334"/>
      <c r="H667" s="334"/>
      <c r="I667" s="334"/>
      <c r="J667" s="334"/>
      <c r="K667" s="399"/>
      <c r="L667" s="399"/>
      <c r="M667" s="334"/>
      <c r="N667" s="399"/>
      <c r="O667" s="399"/>
      <c r="P667" s="334"/>
      <c r="Q667" s="399"/>
      <c r="R667" s="399"/>
      <c r="S667" s="334"/>
      <c r="T667" s="334"/>
      <c r="U667" s="334"/>
      <c r="V667" s="334"/>
      <c r="W667" s="334"/>
      <c r="X667" s="334"/>
      <c r="Y667" s="246"/>
      <c r="Z667" s="246"/>
      <c r="AA667" s="246"/>
      <c r="AB667" s="246"/>
      <c r="AC667" s="246"/>
      <c r="AD667" s="246"/>
      <c r="AE667" s="246"/>
      <c r="AF667" s="246"/>
      <c r="AG667" s="246"/>
      <c r="AH667" s="246"/>
      <c r="AI667" s="246"/>
      <c r="AJ667" s="246"/>
      <c r="AK667" s="246"/>
      <c r="AL667" s="246"/>
      <c r="AM667" s="246"/>
      <c r="AN667" s="246"/>
      <c r="AO667" s="246"/>
      <c r="AP667" s="246"/>
      <c r="AQ667" s="246"/>
      <c r="AR667" s="246"/>
      <c r="AS667" s="246"/>
      <c r="AT667" s="246"/>
      <c r="AU667" s="246"/>
      <c r="AV667" s="246"/>
      <c r="AW667" s="246"/>
      <c r="AX667" s="246"/>
      <c r="AY667" s="246"/>
      <c r="AZ667" s="246"/>
      <c r="BA667" s="246"/>
      <c r="BB667" s="246"/>
      <c r="BC667" s="246"/>
      <c r="BD667" s="246"/>
      <c r="BE667" s="246"/>
      <c r="BF667" s="246"/>
      <c r="BG667" s="246"/>
      <c r="BH667" s="246"/>
      <c r="BI667" s="246"/>
      <c r="BJ667" s="246"/>
    </row>
    <row r="668" spans="2:62" ht="15.75">
      <c r="B668" s="7"/>
      <c r="C668" s="334"/>
      <c r="D668" s="334"/>
      <c r="E668" s="334"/>
      <c r="F668" s="334"/>
      <c r="G668" s="334"/>
      <c r="H668" s="334"/>
      <c r="I668" s="334"/>
      <c r="J668" s="334"/>
      <c r="K668" s="399"/>
      <c r="L668" s="399"/>
      <c r="M668" s="334"/>
      <c r="N668" s="399"/>
      <c r="O668" s="399"/>
      <c r="P668" s="334"/>
      <c r="Q668" s="399"/>
      <c r="R668" s="399"/>
      <c r="S668" s="334"/>
      <c r="T668" s="334"/>
      <c r="U668" s="334"/>
      <c r="V668" s="334"/>
      <c r="W668" s="334"/>
      <c r="X668" s="334"/>
      <c r="Y668" s="246"/>
      <c r="Z668" s="246"/>
      <c r="AA668" s="246"/>
      <c r="AB668" s="246"/>
      <c r="AC668" s="246"/>
      <c r="AD668" s="246"/>
      <c r="AE668" s="246"/>
      <c r="AF668" s="246"/>
      <c r="AG668" s="246"/>
      <c r="AH668" s="246"/>
      <c r="AI668" s="246"/>
      <c r="AJ668" s="246"/>
      <c r="AK668" s="246"/>
      <c r="AL668" s="246"/>
      <c r="AM668" s="246"/>
      <c r="AN668" s="246"/>
      <c r="AO668" s="246"/>
      <c r="AP668" s="246"/>
      <c r="AQ668" s="246"/>
      <c r="AR668" s="246"/>
      <c r="AS668" s="246"/>
      <c r="AT668" s="246"/>
      <c r="AU668" s="246"/>
      <c r="AV668" s="246"/>
      <c r="AW668" s="246"/>
      <c r="AX668" s="246"/>
      <c r="AY668" s="246"/>
      <c r="AZ668" s="246"/>
      <c r="BA668" s="246"/>
      <c r="BB668" s="246"/>
      <c r="BC668" s="246"/>
      <c r="BD668" s="246"/>
      <c r="BE668" s="246"/>
      <c r="BF668" s="246"/>
      <c r="BG668" s="246"/>
      <c r="BH668" s="246"/>
      <c r="BI668" s="246"/>
      <c r="BJ668" s="246"/>
    </row>
    <row r="669" spans="2:62" ht="15.75">
      <c r="B669" s="7"/>
      <c r="C669" s="334"/>
      <c r="D669" s="334"/>
      <c r="E669" s="334"/>
      <c r="F669" s="334"/>
      <c r="G669" s="334"/>
      <c r="H669" s="334"/>
      <c r="I669" s="334"/>
      <c r="J669" s="334"/>
      <c r="K669" s="399"/>
      <c r="L669" s="399"/>
      <c r="M669" s="334"/>
      <c r="N669" s="399"/>
      <c r="O669" s="399"/>
      <c r="P669" s="334"/>
      <c r="Q669" s="399"/>
      <c r="R669" s="399"/>
      <c r="S669" s="334"/>
      <c r="T669" s="334"/>
      <c r="U669" s="334"/>
      <c r="V669" s="334"/>
      <c r="W669" s="334"/>
      <c r="X669" s="334"/>
      <c r="Y669" s="246"/>
      <c r="Z669" s="246"/>
      <c r="AA669" s="246"/>
      <c r="AB669" s="246"/>
      <c r="AC669" s="246"/>
      <c r="AD669" s="246"/>
      <c r="AE669" s="246"/>
      <c r="AF669" s="246"/>
      <c r="AG669" s="246"/>
      <c r="AH669" s="246"/>
      <c r="AI669" s="246"/>
      <c r="AJ669" s="246"/>
      <c r="AK669" s="246"/>
      <c r="AL669" s="246"/>
      <c r="AM669" s="246"/>
      <c r="AN669" s="246"/>
      <c r="AO669" s="246"/>
      <c r="AP669" s="246"/>
      <c r="AQ669" s="246"/>
      <c r="AR669" s="246"/>
      <c r="AS669" s="246"/>
      <c r="AT669" s="246"/>
      <c r="AU669" s="246"/>
      <c r="AV669" s="246"/>
      <c r="AW669" s="246"/>
      <c r="AX669" s="246"/>
      <c r="AY669" s="246"/>
      <c r="AZ669" s="246"/>
      <c r="BA669" s="246"/>
      <c r="BB669" s="246"/>
      <c r="BC669" s="246"/>
      <c r="BD669" s="246"/>
      <c r="BE669" s="246"/>
      <c r="BF669" s="246"/>
      <c r="BG669" s="246"/>
      <c r="BH669" s="246"/>
      <c r="BI669" s="246"/>
      <c r="BJ669" s="246"/>
    </row>
    <row r="670" spans="2:62" ht="15.75">
      <c r="B670" s="7"/>
      <c r="C670" s="334"/>
      <c r="D670" s="334"/>
      <c r="E670" s="334"/>
      <c r="F670" s="334"/>
      <c r="G670" s="334"/>
      <c r="H670" s="334"/>
      <c r="I670" s="334"/>
      <c r="J670" s="334"/>
      <c r="K670" s="399"/>
      <c r="L670" s="399"/>
      <c r="M670" s="334"/>
      <c r="N670" s="399"/>
      <c r="O670" s="399"/>
      <c r="P670" s="334"/>
      <c r="Q670" s="399"/>
      <c r="R670" s="399"/>
      <c r="S670" s="334"/>
      <c r="T670" s="334"/>
      <c r="U670" s="334"/>
      <c r="V670" s="334"/>
      <c r="W670" s="334"/>
      <c r="X670" s="334"/>
      <c r="Y670" s="246"/>
      <c r="Z670" s="246"/>
      <c r="AA670" s="246"/>
      <c r="AB670" s="246"/>
      <c r="AC670" s="246"/>
      <c r="AD670" s="246"/>
      <c r="AE670" s="246"/>
      <c r="AF670" s="246"/>
      <c r="AG670" s="246"/>
      <c r="AH670" s="246"/>
      <c r="AI670" s="246"/>
      <c r="AJ670" s="246"/>
      <c r="AK670" s="246"/>
      <c r="AL670" s="246"/>
      <c r="AM670" s="246"/>
      <c r="AN670" s="246"/>
      <c r="AO670" s="246"/>
      <c r="AP670" s="246"/>
      <c r="AQ670" s="246"/>
      <c r="AR670" s="246"/>
      <c r="AS670" s="246"/>
      <c r="AT670" s="246"/>
      <c r="AU670" s="246"/>
      <c r="AV670" s="246"/>
      <c r="AW670" s="246"/>
      <c r="AX670" s="246"/>
      <c r="AY670" s="246"/>
      <c r="AZ670" s="246"/>
      <c r="BA670" s="246"/>
      <c r="BB670" s="246"/>
      <c r="BC670" s="246"/>
      <c r="BD670" s="246"/>
      <c r="BE670" s="246"/>
      <c r="BF670" s="246"/>
      <c r="BG670" s="246"/>
      <c r="BH670" s="246"/>
      <c r="BI670" s="246"/>
      <c r="BJ670" s="246"/>
    </row>
    <row r="671" spans="2:62" ht="15.75">
      <c r="B671" s="7"/>
      <c r="C671" s="334"/>
      <c r="D671" s="334"/>
      <c r="E671" s="334"/>
      <c r="F671" s="334"/>
      <c r="G671" s="334"/>
      <c r="H671" s="334"/>
      <c r="I671" s="334"/>
      <c r="J671" s="334"/>
      <c r="K671" s="399"/>
      <c r="L671" s="399"/>
      <c r="M671" s="334"/>
      <c r="N671" s="399"/>
      <c r="O671" s="399"/>
      <c r="P671" s="334"/>
      <c r="Q671" s="399"/>
      <c r="R671" s="399"/>
      <c r="S671" s="334"/>
      <c r="T671" s="334"/>
      <c r="U671" s="334"/>
      <c r="V671" s="334"/>
      <c r="W671" s="334"/>
      <c r="X671" s="334"/>
      <c r="Y671" s="246"/>
      <c r="Z671" s="246"/>
      <c r="AA671" s="246"/>
      <c r="AB671" s="246"/>
      <c r="AC671" s="246"/>
      <c r="AD671" s="246"/>
      <c r="AE671" s="246"/>
      <c r="AF671" s="246"/>
      <c r="AG671" s="246"/>
      <c r="AH671" s="246"/>
      <c r="AI671" s="246"/>
      <c r="AJ671" s="246"/>
      <c r="AK671" s="246"/>
      <c r="AL671" s="246"/>
      <c r="AM671" s="246"/>
      <c r="AN671" s="246"/>
      <c r="AO671" s="246"/>
      <c r="AP671" s="246"/>
      <c r="AQ671" s="246"/>
      <c r="AR671" s="246"/>
      <c r="AS671" s="246"/>
      <c r="AT671" s="246"/>
      <c r="AU671" s="246"/>
      <c r="AV671" s="246"/>
      <c r="AW671" s="246"/>
      <c r="AX671" s="246"/>
      <c r="AY671" s="246"/>
      <c r="AZ671" s="246"/>
      <c r="BA671" s="246"/>
      <c r="BB671" s="246"/>
      <c r="BC671" s="246"/>
      <c r="BD671" s="246"/>
      <c r="BE671" s="246"/>
      <c r="BF671" s="246"/>
      <c r="BG671" s="246"/>
      <c r="BH671" s="246"/>
      <c r="BI671" s="246"/>
      <c r="BJ671" s="246"/>
    </row>
    <row r="672" spans="2:62" ht="15.75">
      <c r="B672" s="7"/>
      <c r="C672" s="334"/>
      <c r="D672" s="334"/>
      <c r="E672" s="334"/>
      <c r="F672" s="334"/>
      <c r="G672" s="334"/>
      <c r="H672" s="334"/>
      <c r="I672" s="334"/>
      <c r="J672" s="334"/>
      <c r="K672" s="399"/>
      <c r="L672" s="399"/>
      <c r="M672" s="334"/>
      <c r="N672" s="399"/>
      <c r="O672" s="399"/>
      <c r="P672" s="334"/>
      <c r="Q672" s="399"/>
      <c r="R672" s="399"/>
      <c r="S672" s="334"/>
      <c r="T672" s="334"/>
      <c r="U672" s="334"/>
      <c r="V672" s="334"/>
      <c r="W672" s="334"/>
      <c r="X672" s="334"/>
      <c r="Y672" s="246"/>
      <c r="Z672" s="246"/>
      <c r="AA672" s="246"/>
      <c r="AB672" s="246"/>
      <c r="AC672" s="246"/>
      <c r="AD672" s="246"/>
      <c r="AE672" s="246"/>
      <c r="AF672" s="246"/>
      <c r="AG672" s="246"/>
      <c r="AH672" s="246"/>
      <c r="AI672" s="246"/>
      <c r="AJ672" s="246"/>
      <c r="AK672" s="246"/>
      <c r="AL672" s="246"/>
      <c r="AM672" s="246"/>
      <c r="AN672" s="246"/>
      <c r="AO672" s="246"/>
      <c r="AP672" s="246"/>
      <c r="AQ672" s="246"/>
      <c r="AR672" s="246"/>
      <c r="AS672" s="246"/>
      <c r="AT672" s="246"/>
      <c r="AU672" s="246"/>
      <c r="AV672" s="246"/>
      <c r="AW672" s="246"/>
      <c r="AX672" s="246"/>
      <c r="AY672" s="246"/>
      <c r="AZ672" s="246"/>
      <c r="BA672" s="246"/>
      <c r="BB672" s="246"/>
      <c r="BC672" s="246"/>
      <c r="BD672" s="246"/>
      <c r="BE672" s="246"/>
      <c r="BF672" s="246"/>
      <c r="BG672" s="246"/>
      <c r="BH672" s="246"/>
      <c r="BI672" s="246"/>
      <c r="BJ672" s="246"/>
    </row>
    <row r="673" spans="2:62" ht="15.75">
      <c r="B673" s="7"/>
      <c r="C673" s="334"/>
      <c r="D673" s="334"/>
      <c r="E673" s="334"/>
      <c r="F673" s="334"/>
      <c r="G673" s="334"/>
      <c r="H673" s="334"/>
      <c r="I673" s="334"/>
      <c r="J673" s="334"/>
      <c r="K673" s="399"/>
      <c r="L673" s="399"/>
      <c r="M673" s="334"/>
      <c r="N673" s="399"/>
      <c r="O673" s="399"/>
      <c r="P673" s="334"/>
      <c r="Q673" s="399"/>
      <c r="R673" s="399"/>
      <c r="S673" s="334"/>
      <c r="T673" s="334"/>
      <c r="U673" s="334"/>
      <c r="V673" s="334"/>
      <c r="W673" s="334"/>
      <c r="X673" s="334"/>
      <c r="Y673" s="246"/>
      <c r="Z673" s="246"/>
      <c r="AA673" s="246"/>
      <c r="AB673" s="246"/>
      <c r="AC673" s="246"/>
      <c r="AD673" s="246"/>
      <c r="AE673" s="246"/>
      <c r="AF673" s="246"/>
      <c r="AG673" s="246"/>
      <c r="AH673" s="246"/>
      <c r="AI673" s="246"/>
      <c r="AJ673" s="246"/>
      <c r="AK673" s="246"/>
      <c r="AL673" s="246"/>
      <c r="AM673" s="246"/>
      <c r="AN673" s="246"/>
      <c r="AO673" s="246"/>
      <c r="AP673" s="246"/>
      <c r="AQ673" s="246"/>
      <c r="AR673" s="246"/>
      <c r="AS673" s="246"/>
      <c r="AT673" s="246"/>
      <c r="AU673" s="246"/>
      <c r="AV673" s="246"/>
      <c r="AW673" s="246"/>
      <c r="AX673" s="246"/>
      <c r="AY673" s="246"/>
      <c r="AZ673" s="246"/>
      <c r="BA673" s="246"/>
      <c r="BB673" s="246"/>
      <c r="BC673" s="246"/>
      <c r="BD673" s="246"/>
      <c r="BE673" s="246"/>
      <c r="BF673" s="246"/>
      <c r="BG673" s="246"/>
      <c r="BH673" s="246"/>
      <c r="BI673" s="246"/>
      <c r="BJ673" s="246"/>
    </row>
    <row r="674" spans="2:62" ht="15.75">
      <c r="B674" s="7"/>
      <c r="C674" s="334"/>
      <c r="D674" s="334"/>
      <c r="E674" s="334"/>
      <c r="F674" s="334"/>
      <c r="G674" s="334"/>
      <c r="H674" s="334"/>
      <c r="I674" s="334"/>
      <c r="J674" s="334"/>
      <c r="K674" s="399"/>
      <c r="L674" s="399"/>
      <c r="M674" s="334"/>
      <c r="N674" s="401"/>
      <c r="O674" s="401"/>
      <c r="P674" s="334"/>
      <c r="Q674" s="401"/>
      <c r="R674" s="399"/>
      <c r="S674" s="334"/>
      <c r="T674" s="334"/>
      <c r="U674" s="334"/>
      <c r="V674" s="334"/>
      <c r="W674" s="334"/>
      <c r="X674" s="334"/>
      <c r="Y674" s="246"/>
      <c r="Z674" s="246"/>
      <c r="AA674" s="246"/>
      <c r="AB674" s="246"/>
      <c r="AC674" s="246"/>
      <c r="AD674" s="246"/>
      <c r="AE674" s="246"/>
      <c r="AF674" s="246"/>
      <c r="AG674" s="246"/>
      <c r="AH674" s="246"/>
      <c r="AI674" s="246"/>
      <c r="AJ674" s="246"/>
      <c r="AK674" s="246"/>
      <c r="AL674" s="246"/>
      <c r="AM674" s="246"/>
      <c r="AN674" s="246"/>
      <c r="AO674" s="246"/>
      <c r="AP674" s="246"/>
      <c r="AQ674" s="246"/>
      <c r="AR674" s="246"/>
      <c r="AS674" s="246"/>
      <c r="AT674" s="246"/>
      <c r="AU674" s="246"/>
      <c r="AV674" s="246"/>
      <c r="AW674" s="246"/>
      <c r="AX674" s="246"/>
      <c r="AY674" s="246"/>
      <c r="AZ674" s="246"/>
      <c r="BA674" s="246"/>
      <c r="BB674" s="246"/>
      <c r="BC674" s="246"/>
      <c r="BD674" s="246"/>
      <c r="BE674" s="246"/>
      <c r="BF674" s="246"/>
      <c r="BG674" s="246"/>
      <c r="BH674" s="246"/>
      <c r="BI674" s="246"/>
      <c r="BJ674" s="246"/>
    </row>
    <row r="675" spans="2:62" ht="15.75">
      <c r="B675" s="7"/>
      <c r="C675" s="334"/>
      <c r="D675" s="334"/>
      <c r="E675" s="334"/>
      <c r="F675" s="334"/>
      <c r="G675" s="334"/>
      <c r="H675" s="334"/>
      <c r="I675" s="334"/>
      <c r="J675" s="334"/>
      <c r="K675" s="401"/>
      <c r="L675" s="401"/>
      <c r="M675" s="334"/>
      <c r="N675" s="399"/>
      <c r="O675" s="399"/>
      <c r="P675" s="334"/>
      <c r="Q675" s="399"/>
      <c r="R675" s="401"/>
      <c r="S675" s="334"/>
      <c r="T675" s="334"/>
      <c r="U675" s="334"/>
      <c r="V675" s="334"/>
      <c r="W675" s="334"/>
      <c r="X675" s="334"/>
      <c r="Y675" s="246"/>
      <c r="Z675" s="246"/>
      <c r="AA675" s="246"/>
      <c r="AB675" s="246"/>
      <c r="AC675" s="246"/>
      <c r="AD675" s="246"/>
      <c r="AE675" s="246"/>
      <c r="AF675" s="246"/>
      <c r="AG675" s="246"/>
      <c r="AH675" s="246"/>
      <c r="AI675" s="246"/>
      <c r="AJ675" s="246"/>
      <c r="AK675" s="246"/>
      <c r="AL675" s="246"/>
      <c r="AM675" s="246"/>
      <c r="AN675" s="246"/>
      <c r="AO675" s="246"/>
      <c r="AP675" s="246"/>
      <c r="AQ675" s="246"/>
      <c r="AR675" s="246"/>
      <c r="AS675" s="246"/>
      <c r="AT675" s="246"/>
      <c r="AU675" s="246"/>
      <c r="AV675" s="246"/>
      <c r="AW675" s="246"/>
      <c r="AX675" s="246"/>
      <c r="AY675" s="246"/>
      <c r="AZ675" s="246"/>
      <c r="BA675" s="246"/>
      <c r="BB675" s="246"/>
      <c r="BC675" s="246"/>
      <c r="BD675" s="246"/>
      <c r="BE675" s="246"/>
      <c r="BF675" s="246"/>
      <c r="BG675" s="246"/>
      <c r="BH675" s="246"/>
      <c r="BI675" s="246"/>
      <c r="BJ675" s="246"/>
    </row>
    <row r="676" spans="2:62" ht="15.75">
      <c r="B676" s="7"/>
      <c r="C676" s="334"/>
      <c r="D676" s="334"/>
      <c r="E676" s="334"/>
      <c r="F676" s="334"/>
      <c r="G676" s="334"/>
      <c r="H676" s="334"/>
      <c r="I676" s="334"/>
      <c r="J676" s="334"/>
      <c r="K676" s="399"/>
      <c r="L676" s="399"/>
      <c r="M676" s="334"/>
      <c r="N676" s="399"/>
      <c r="O676" s="399"/>
      <c r="P676" s="334"/>
      <c r="Q676" s="399"/>
      <c r="R676" s="399"/>
      <c r="S676" s="334"/>
      <c r="T676" s="334"/>
      <c r="U676" s="334"/>
      <c r="V676" s="334"/>
      <c r="W676" s="334"/>
      <c r="X676" s="334"/>
      <c r="Y676" s="246"/>
      <c r="Z676" s="246"/>
      <c r="AA676" s="246"/>
      <c r="AB676" s="246"/>
      <c r="AC676" s="246"/>
      <c r="AD676" s="246"/>
      <c r="AE676" s="246"/>
      <c r="AF676" s="246"/>
      <c r="AG676" s="246"/>
      <c r="AH676" s="246"/>
      <c r="AI676" s="246"/>
      <c r="AJ676" s="246"/>
      <c r="AK676" s="246"/>
      <c r="AL676" s="246"/>
      <c r="AM676" s="246"/>
      <c r="AN676" s="246"/>
      <c r="AO676" s="246"/>
      <c r="AP676" s="246"/>
      <c r="AQ676" s="246"/>
      <c r="AR676" s="246"/>
      <c r="AS676" s="246"/>
      <c r="AT676" s="246"/>
      <c r="AU676" s="246"/>
      <c r="AV676" s="246"/>
      <c r="AW676" s="246"/>
      <c r="AX676" s="246"/>
      <c r="AY676" s="246"/>
      <c r="AZ676" s="246"/>
      <c r="BA676" s="246"/>
      <c r="BB676" s="246"/>
      <c r="BC676" s="246"/>
      <c r="BD676" s="246"/>
      <c r="BE676" s="246"/>
      <c r="BF676" s="246"/>
      <c r="BG676" s="246"/>
      <c r="BH676" s="246"/>
      <c r="BI676" s="246"/>
      <c r="BJ676" s="246"/>
    </row>
    <row r="677" spans="2:62" ht="15.75">
      <c r="B677" s="7"/>
      <c r="C677" s="334"/>
      <c r="D677" s="334"/>
      <c r="E677" s="334"/>
      <c r="F677" s="334"/>
      <c r="G677" s="334"/>
      <c r="H677" s="334"/>
      <c r="I677" s="334"/>
      <c r="J677" s="334"/>
      <c r="K677" s="399"/>
      <c r="L677" s="399"/>
      <c r="M677" s="334"/>
      <c r="N677" s="399"/>
      <c r="O677" s="399"/>
      <c r="P677" s="334"/>
      <c r="Q677" s="399"/>
      <c r="R677" s="399"/>
      <c r="S677" s="334"/>
      <c r="T677" s="334"/>
      <c r="U677" s="334"/>
      <c r="V677" s="334"/>
      <c r="W677" s="334"/>
      <c r="X677" s="334"/>
      <c r="Y677" s="246"/>
      <c r="Z677" s="246"/>
      <c r="AA677" s="246"/>
      <c r="AB677" s="246"/>
      <c r="AC677" s="246"/>
      <c r="AD677" s="246"/>
      <c r="AE677" s="246"/>
      <c r="AF677" s="246"/>
      <c r="AG677" s="246"/>
      <c r="AH677" s="246"/>
      <c r="AI677" s="246"/>
      <c r="AJ677" s="246"/>
      <c r="AK677" s="246"/>
      <c r="AL677" s="246"/>
      <c r="AM677" s="246"/>
      <c r="AN677" s="246"/>
      <c r="AO677" s="246"/>
      <c r="AP677" s="246"/>
      <c r="AQ677" s="246"/>
      <c r="AR677" s="246"/>
      <c r="AS677" s="246"/>
      <c r="AT677" s="246"/>
      <c r="AU677" s="246"/>
      <c r="AV677" s="246"/>
      <c r="AW677" s="246"/>
      <c r="AX677" s="246"/>
      <c r="AY677" s="246"/>
      <c r="AZ677" s="246"/>
      <c r="BA677" s="246"/>
      <c r="BB677" s="246"/>
      <c r="BC677" s="246"/>
      <c r="BD677" s="246"/>
      <c r="BE677" s="246"/>
      <c r="BF677" s="246"/>
      <c r="BG677" s="246"/>
      <c r="BH677" s="246"/>
      <c r="BI677" s="246"/>
      <c r="BJ677" s="246"/>
    </row>
    <row r="678" spans="2:62" ht="15.75">
      <c r="B678" s="7"/>
      <c r="C678" s="334"/>
      <c r="D678" s="334"/>
      <c r="E678" s="334"/>
      <c r="F678" s="334"/>
      <c r="G678" s="334"/>
      <c r="H678" s="334"/>
      <c r="I678" s="334"/>
      <c r="J678" s="334"/>
      <c r="K678" s="399"/>
      <c r="L678" s="399"/>
      <c r="M678" s="334"/>
      <c r="N678" s="399"/>
      <c r="O678" s="399"/>
      <c r="P678" s="334"/>
      <c r="Q678" s="399"/>
      <c r="R678" s="399"/>
      <c r="S678" s="334"/>
      <c r="T678" s="334"/>
      <c r="U678" s="334"/>
      <c r="V678" s="334"/>
      <c r="W678" s="334"/>
      <c r="X678" s="334"/>
      <c r="Y678" s="246"/>
      <c r="Z678" s="246"/>
      <c r="AA678" s="246"/>
      <c r="AB678" s="246"/>
      <c r="AC678" s="246"/>
      <c r="AD678" s="246"/>
      <c r="AE678" s="246"/>
      <c r="AF678" s="246"/>
      <c r="AG678" s="246"/>
      <c r="AH678" s="246"/>
      <c r="AI678" s="246"/>
      <c r="AJ678" s="246"/>
      <c r="AK678" s="246"/>
      <c r="AL678" s="246"/>
      <c r="AM678" s="246"/>
      <c r="AN678" s="246"/>
      <c r="AO678" s="246"/>
      <c r="AP678" s="246"/>
      <c r="AQ678" s="246"/>
      <c r="AR678" s="246"/>
      <c r="AS678" s="246"/>
      <c r="AT678" s="246"/>
      <c r="AU678" s="246"/>
      <c r="AV678" s="246"/>
      <c r="AW678" s="246"/>
      <c r="AX678" s="246"/>
      <c r="AY678" s="246"/>
      <c r="AZ678" s="246"/>
      <c r="BA678" s="246"/>
      <c r="BB678" s="246"/>
      <c r="BC678" s="246"/>
      <c r="BD678" s="246"/>
      <c r="BE678" s="246"/>
      <c r="BF678" s="246"/>
      <c r="BG678" s="246"/>
      <c r="BH678" s="246"/>
      <c r="BI678" s="246"/>
      <c r="BJ678" s="246"/>
    </row>
    <row r="679" spans="2:62" ht="15.75">
      <c r="B679" s="7"/>
      <c r="C679" s="334"/>
      <c r="D679" s="334"/>
      <c r="E679" s="334"/>
      <c r="F679" s="334"/>
      <c r="G679" s="334"/>
      <c r="H679" s="334"/>
      <c r="I679" s="334"/>
      <c r="J679" s="334"/>
      <c r="K679" s="399"/>
      <c r="L679" s="399"/>
      <c r="M679" s="334"/>
      <c r="N679" s="399"/>
      <c r="O679" s="399"/>
      <c r="P679" s="334"/>
      <c r="Q679" s="399"/>
      <c r="R679" s="399"/>
      <c r="S679" s="334"/>
      <c r="T679" s="334"/>
      <c r="U679" s="334"/>
      <c r="V679" s="334"/>
      <c r="W679" s="334"/>
      <c r="X679" s="334"/>
      <c r="Y679" s="246"/>
      <c r="Z679" s="246"/>
      <c r="AA679" s="246"/>
      <c r="AB679" s="246"/>
      <c r="AC679" s="246"/>
      <c r="AD679" s="246"/>
      <c r="AE679" s="246"/>
      <c r="AF679" s="246"/>
      <c r="AG679" s="246"/>
      <c r="AH679" s="246"/>
      <c r="AI679" s="246"/>
      <c r="AJ679" s="246"/>
      <c r="AK679" s="246"/>
      <c r="AL679" s="246"/>
      <c r="AM679" s="246"/>
      <c r="AN679" s="246"/>
      <c r="AO679" s="246"/>
      <c r="AP679" s="246"/>
      <c r="AQ679" s="246"/>
      <c r="AR679" s="246"/>
      <c r="AS679" s="246"/>
      <c r="AT679" s="246"/>
      <c r="AU679" s="246"/>
      <c r="AV679" s="246"/>
      <c r="AW679" s="246"/>
      <c r="AX679" s="246"/>
      <c r="AY679" s="246"/>
      <c r="AZ679" s="246"/>
      <c r="BA679" s="246"/>
      <c r="BB679" s="246"/>
      <c r="BC679" s="246"/>
      <c r="BD679" s="246"/>
      <c r="BE679" s="246"/>
      <c r="BF679" s="246"/>
      <c r="BG679" s="246"/>
      <c r="BH679" s="246"/>
      <c r="BI679" s="246"/>
      <c r="BJ679" s="246"/>
    </row>
    <row r="680" spans="2:62" ht="15.75">
      <c r="B680" s="7"/>
      <c r="C680" s="334"/>
      <c r="D680" s="334"/>
      <c r="E680" s="334"/>
      <c r="F680" s="334"/>
      <c r="G680" s="334"/>
      <c r="H680" s="334"/>
      <c r="I680" s="334"/>
      <c r="J680" s="334"/>
      <c r="K680" s="399"/>
      <c r="L680" s="399"/>
      <c r="M680" s="334"/>
      <c r="N680" s="399"/>
      <c r="O680" s="399"/>
      <c r="P680" s="334"/>
      <c r="Q680" s="399"/>
      <c r="R680" s="399"/>
      <c r="S680" s="334"/>
      <c r="T680" s="334"/>
      <c r="U680" s="334"/>
      <c r="V680" s="334"/>
      <c r="W680" s="334"/>
      <c r="X680" s="334"/>
      <c r="Y680" s="246"/>
      <c r="Z680" s="246"/>
      <c r="AA680" s="246"/>
      <c r="AB680" s="246"/>
      <c r="AC680" s="246"/>
      <c r="AD680" s="246"/>
      <c r="AE680" s="246"/>
      <c r="AF680" s="246"/>
      <c r="AG680" s="246"/>
      <c r="AH680" s="246"/>
      <c r="AI680" s="246"/>
      <c r="AJ680" s="246"/>
      <c r="AK680" s="246"/>
      <c r="AL680" s="246"/>
      <c r="AM680" s="246"/>
      <c r="AN680" s="246"/>
      <c r="AO680" s="246"/>
      <c r="AP680" s="246"/>
      <c r="AQ680" s="246"/>
      <c r="AR680" s="246"/>
      <c r="AS680" s="246"/>
      <c r="AT680" s="246"/>
      <c r="AU680" s="246"/>
      <c r="AV680" s="246"/>
      <c r="AW680" s="246"/>
      <c r="AX680" s="246"/>
      <c r="AY680" s="246"/>
      <c r="AZ680" s="246"/>
      <c r="BA680" s="246"/>
      <c r="BB680" s="246"/>
      <c r="BC680" s="246"/>
      <c r="BD680" s="246"/>
      <c r="BE680" s="246"/>
      <c r="BF680" s="246"/>
      <c r="BG680" s="246"/>
      <c r="BH680" s="246"/>
      <c r="BI680" s="246"/>
      <c r="BJ680" s="246"/>
    </row>
    <row r="681" spans="2:62" ht="15.75">
      <c r="B681" s="7"/>
      <c r="C681" s="334"/>
      <c r="D681" s="334"/>
      <c r="E681" s="334"/>
      <c r="F681" s="334"/>
      <c r="G681" s="334"/>
      <c r="H681" s="334"/>
      <c r="I681" s="334"/>
      <c r="J681" s="334"/>
      <c r="K681" s="399"/>
      <c r="L681" s="399"/>
      <c r="M681" s="334"/>
      <c r="N681" s="399"/>
      <c r="O681" s="399"/>
      <c r="P681" s="334"/>
      <c r="Q681" s="399"/>
      <c r="R681" s="399"/>
      <c r="S681" s="334"/>
      <c r="T681" s="334"/>
      <c r="U681" s="334"/>
      <c r="V681" s="334"/>
      <c r="W681" s="334"/>
      <c r="X681" s="334"/>
      <c r="Y681" s="246"/>
      <c r="Z681" s="246"/>
      <c r="AA681" s="246"/>
      <c r="AB681" s="246"/>
      <c r="AC681" s="246"/>
      <c r="AD681" s="246"/>
      <c r="AE681" s="246"/>
      <c r="AF681" s="246"/>
      <c r="AG681" s="246"/>
      <c r="AH681" s="246"/>
      <c r="AI681" s="246"/>
      <c r="AJ681" s="246"/>
      <c r="AK681" s="246"/>
      <c r="AL681" s="246"/>
      <c r="AM681" s="246"/>
      <c r="AN681" s="246"/>
      <c r="AO681" s="246"/>
      <c r="AP681" s="246"/>
      <c r="AQ681" s="246"/>
      <c r="AR681" s="246"/>
      <c r="AS681" s="246"/>
      <c r="AT681" s="246"/>
      <c r="AU681" s="246"/>
      <c r="AV681" s="246"/>
      <c r="AW681" s="246"/>
      <c r="AX681" s="246"/>
      <c r="AY681" s="246"/>
      <c r="AZ681" s="246"/>
      <c r="BA681" s="246"/>
      <c r="BB681" s="246"/>
      <c r="BC681" s="246"/>
      <c r="BD681" s="246"/>
      <c r="BE681" s="246"/>
      <c r="BF681" s="246"/>
      <c r="BG681" s="246"/>
      <c r="BH681" s="246"/>
      <c r="BI681" s="246"/>
      <c r="BJ681" s="246"/>
    </row>
    <row r="682" spans="2:62" ht="15.75">
      <c r="B682" s="7"/>
      <c r="C682" s="334"/>
      <c r="D682" s="334"/>
      <c r="E682" s="334"/>
      <c r="F682" s="334"/>
      <c r="G682" s="334"/>
      <c r="H682" s="334"/>
      <c r="I682" s="334"/>
      <c r="J682" s="334"/>
      <c r="K682" s="399"/>
      <c r="L682" s="399"/>
      <c r="M682" s="334"/>
      <c r="N682" s="399"/>
      <c r="O682" s="399"/>
      <c r="P682" s="334"/>
      <c r="Q682" s="399"/>
      <c r="R682" s="399"/>
      <c r="S682" s="334"/>
      <c r="T682" s="334"/>
      <c r="U682" s="334"/>
      <c r="V682" s="334"/>
      <c r="W682" s="334"/>
      <c r="X682" s="334"/>
      <c r="Y682" s="246"/>
      <c r="Z682" s="246"/>
      <c r="AA682" s="246"/>
      <c r="AB682" s="246"/>
      <c r="AC682" s="246"/>
      <c r="AD682" s="246"/>
      <c r="AE682" s="246"/>
      <c r="AF682" s="246"/>
      <c r="AG682" s="246"/>
      <c r="AH682" s="246"/>
      <c r="AI682" s="246"/>
      <c r="AJ682" s="246"/>
      <c r="AK682" s="246"/>
      <c r="AL682" s="246"/>
      <c r="AM682" s="246"/>
      <c r="AN682" s="246"/>
      <c r="AO682" s="246"/>
      <c r="AP682" s="246"/>
      <c r="AQ682" s="246"/>
      <c r="AR682" s="246"/>
      <c r="AS682" s="246"/>
      <c r="AT682" s="246"/>
      <c r="AU682" s="246"/>
      <c r="AV682" s="246"/>
      <c r="AW682" s="246"/>
      <c r="AX682" s="246"/>
      <c r="AY682" s="246"/>
      <c r="AZ682" s="246"/>
      <c r="BA682" s="246"/>
      <c r="BB682" s="246"/>
      <c r="BC682" s="246"/>
      <c r="BD682" s="246"/>
      <c r="BE682" s="246"/>
      <c r="BF682" s="246"/>
      <c r="BG682" s="246"/>
      <c r="BH682" s="246"/>
      <c r="BI682" s="246"/>
      <c r="BJ682" s="246"/>
    </row>
    <row r="683" spans="2:62" ht="15.75">
      <c r="B683" s="7"/>
      <c r="C683" s="334"/>
      <c r="D683" s="334"/>
      <c r="E683" s="334"/>
      <c r="F683" s="334"/>
      <c r="G683" s="334"/>
      <c r="H683" s="334"/>
      <c r="I683" s="334"/>
      <c r="J683" s="334"/>
      <c r="K683" s="399"/>
      <c r="L683" s="399"/>
      <c r="M683" s="334"/>
      <c r="N683" s="399"/>
      <c r="O683" s="399"/>
      <c r="P683" s="334"/>
      <c r="Q683" s="399"/>
      <c r="R683" s="399"/>
      <c r="S683" s="334"/>
      <c r="T683" s="334"/>
      <c r="U683" s="334"/>
      <c r="V683" s="334"/>
      <c r="W683" s="334"/>
      <c r="X683" s="334"/>
      <c r="Y683" s="246"/>
      <c r="Z683" s="246"/>
      <c r="AA683" s="246"/>
      <c r="AB683" s="246"/>
      <c r="AC683" s="246"/>
      <c r="AD683" s="246"/>
      <c r="AE683" s="246"/>
      <c r="AF683" s="246"/>
      <c r="AG683" s="246"/>
      <c r="AH683" s="246"/>
      <c r="AI683" s="246"/>
      <c r="AJ683" s="246"/>
      <c r="AK683" s="246"/>
      <c r="AL683" s="246"/>
      <c r="AM683" s="246"/>
      <c r="AN683" s="246"/>
      <c r="AO683" s="246"/>
      <c r="AP683" s="246"/>
      <c r="AQ683" s="246"/>
      <c r="AR683" s="246"/>
      <c r="AS683" s="246"/>
      <c r="AT683" s="246"/>
      <c r="AU683" s="246"/>
      <c r="AV683" s="246"/>
      <c r="AW683" s="246"/>
      <c r="AX683" s="246"/>
      <c r="AY683" s="246"/>
      <c r="AZ683" s="246"/>
      <c r="BA683" s="246"/>
      <c r="BB683" s="246"/>
      <c r="BC683" s="246"/>
      <c r="BD683" s="246"/>
      <c r="BE683" s="246"/>
      <c r="BF683" s="246"/>
      <c r="BG683" s="246"/>
      <c r="BH683" s="246"/>
      <c r="BI683" s="246"/>
      <c r="BJ683" s="246"/>
    </row>
    <row r="684" spans="2:62" ht="15.75">
      <c r="B684" s="7"/>
      <c r="C684" s="334"/>
      <c r="D684" s="334"/>
      <c r="E684" s="334"/>
      <c r="F684" s="334"/>
      <c r="G684" s="334"/>
      <c r="H684" s="334"/>
      <c r="I684" s="334"/>
      <c r="J684" s="334"/>
      <c r="K684" s="399"/>
      <c r="L684" s="399"/>
      <c r="M684" s="334"/>
      <c r="N684" s="399"/>
      <c r="O684" s="399"/>
      <c r="P684" s="334"/>
      <c r="Q684" s="399"/>
      <c r="R684" s="399"/>
      <c r="S684" s="334"/>
      <c r="T684" s="334"/>
      <c r="U684" s="334"/>
      <c r="V684" s="334"/>
      <c r="W684" s="334"/>
      <c r="X684" s="334"/>
      <c r="Y684" s="246"/>
      <c r="Z684" s="246"/>
      <c r="AA684" s="246"/>
      <c r="AB684" s="246"/>
      <c r="AC684" s="246"/>
      <c r="AD684" s="246"/>
      <c r="AE684" s="246"/>
      <c r="AF684" s="246"/>
      <c r="AG684" s="246"/>
      <c r="AH684" s="246"/>
      <c r="AI684" s="246"/>
      <c r="AJ684" s="246"/>
      <c r="AK684" s="246"/>
      <c r="AL684" s="246"/>
      <c r="AM684" s="246"/>
      <c r="AN684" s="246"/>
      <c r="AO684" s="246"/>
      <c r="AP684" s="246"/>
      <c r="AQ684" s="246"/>
      <c r="AR684" s="246"/>
      <c r="AS684" s="246"/>
      <c r="AT684" s="246"/>
      <c r="AU684" s="246"/>
      <c r="AV684" s="246"/>
      <c r="AW684" s="246"/>
      <c r="AX684" s="246"/>
      <c r="AY684" s="246"/>
      <c r="AZ684" s="246"/>
      <c r="BA684" s="246"/>
      <c r="BB684" s="246"/>
      <c r="BC684" s="246"/>
      <c r="BD684" s="246"/>
      <c r="BE684" s="246"/>
      <c r="BF684" s="246"/>
      <c r="BG684" s="246"/>
      <c r="BH684" s="246"/>
      <c r="BI684" s="246"/>
      <c r="BJ684" s="246"/>
    </row>
    <row r="685" spans="2:62" ht="15.75">
      <c r="B685" s="7"/>
      <c r="C685" s="334"/>
      <c r="D685" s="334"/>
      <c r="E685" s="334"/>
      <c r="F685" s="334"/>
      <c r="G685" s="334"/>
      <c r="H685" s="334"/>
      <c r="I685" s="334"/>
      <c r="J685" s="334"/>
      <c r="K685" s="399"/>
      <c r="L685" s="399"/>
      <c r="M685" s="334"/>
      <c r="N685" s="399"/>
      <c r="O685" s="399"/>
      <c r="P685" s="334"/>
      <c r="Q685" s="399"/>
      <c r="R685" s="399"/>
      <c r="S685" s="334"/>
      <c r="T685" s="334"/>
      <c r="U685" s="334"/>
      <c r="V685" s="334"/>
      <c r="W685" s="334"/>
      <c r="X685" s="334"/>
      <c r="Y685" s="246"/>
      <c r="Z685" s="246"/>
      <c r="AA685" s="246"/>
      <c r="AB685" s="246"/>
      <c r="AC685" s="246"/>
      <c r="AD685" s="246"/>
      <c r="AE685" s="246"/>
      <c r="AF685" s="246"/>
      <c r="AG685" s="246"/>
      <c r="AH685" s="246"/>
      <c r="AI685" s="246"/>
      <c r="AJ685" s="246"/>
      <c r="AK685" s="246"/>
      <c r="AL685" s="246"/>
      <c r="AM685" s="246"/>
      <c r="AN685" s="246"/>
      <c r="AO685" s="246"/>
      <c r="AP685" s="246"/>
      <c r="AQ685" s="246"/>
      <c r="AR685" s="246"/>
      <c r="AS685" s="246"/>
      <c r="AT685" s="246"/>
      <c r="AU685" s="246"/>
      <c r="AV685" s="246"/>
      <c r="AW685" s="246"/>
      <c r="AX685" s="246"/>
      <c r="AY685" s="246"/>
      <c r="AZ685" s="246"/>
      <c r="BA685" s="246"/>
      <c r="BB685" s="246"/>
      <c r="BC685" s="246"/>
      <c r="BD685" s="246"/>
      <c r="BE685" s="246"/>
      <c r="BF685" s="246"/>
      <c r="BG685" s="246"/>
      <c r="BH685" s="246"/>
      <c r="BI685" s="246"/>
      <c r="BJ685" s="246"/>
    </row>
    <row r="686" spans="2:62" ht="15.75">
      <c r="B686" s="7"/>
      <c r="C686" s="334"/>
      <c r="D686" s="334"/>
      <c r="E686" s="334"/>
      <c r="F686" s="334"/>
      <c r="G686" s="334"/>
      <c r="H686" s="334"/>
      <c r="I686" s="334"/>
      <c r="J686" s="334"/>
      <c r="K686" s="399"/>
      <c r="L686" s="399"/>
      <c r="M686" s="334"/>
      <c r="N686" s="399"/>
      <c r="O686" s="399"/>
      <c r="P686" s="334"/>
      <c r="Q686" s="399"/>
      <c r="R686" s="399"/>
      <c r="S686" s="334"/>
      <c r="T686" s="334"/>
      <c r="U686" s="334"/>
      <c r="V686" s="334"/>
      <c r="W686" s="334"/>
      <c r="X686" s="334"/>
      <c r="Y686" s="246"/>
      <c r="Z686" s="246"/>
      <c r="AA686" s="246"/>
      <c r="AB686" s="246"/>
      <c r="AC686" s="246"/>
      <c r="AD686" s="246"/>
      <c r="AE686" s="246"/>
      <c r="AF686" s="246"/>
      <c r="AG686" s="246"/>
      <c r="AH686" s="246"/>
      <c r="AI686" s="246"/>
      <c r="AJ686" s="246"/>
      <c r="AK686" s="246"/>
      <c r="AL686" s="246"/>
      <c r="AM686" s="246"/>
      <c r="AN686" s="246"/>
      <c r="AO686" s="246"/>
      <c r="AP686" s="246"/>
      <c r="AQ686" s="246"/>
      <c r="AR686" s="246"/>
      <c r="AS686" s="246"/>
      <c r="AT686" s="246"/>
      <c r="AU686" s="246"/>
      <c r="AV686" s="246"/>
      <c r="AW686" s="246"/>
      <c r="AX686" s="246"/>
      <c r="AY686" s="246"/>
      <c r="AZ686" s="246"/>
      <c r="BA686" s="246"/>
      <c r="BB686" s="246"/>
      <c r="BC686" s="246"/>
      <c r="BD686" s="246"/>
      <c r="BE686" s="246"/>
      <c r="BF686" s="246"/>
      <c r="BG686" s="246"/>
      <c r="BH686" s="246"/>
      <c r="BI686" s="246"/>
      <c r="BJ686" s="246"/>
    </row>
    <row r="687" spans="2:62" ht="15.75">
      <c r="B687" s="7"/>
      <c r="C687" s="334"/>
      <c r="D687" s="334"/>
      <c r="E687" s="334"/>
      <c r="F687" s="334"/>
      <c r="G687" s="334"/>
      <c r="H687" s="334"/>
      <c r="I687" s="334"/>
      <c r="J687" s="334"/>
      <c r="K687" s="399"/>
      <c r="L687" s="399"/>
      <c r="M687" s="334"/>
      <c r="N687" s="399"/>
      <c r="O687" s="399"/>
      <c r="P687" s="334"/>
      <c r="Q687" s="399"/>
      <c r="R687" s="399"/>
      <c r="S687" s="334"/>
      <c r="T687" s="334"/>
      <c r="U687" s="334"/>
      <c r="V687" s="334"/>
      <c r="W687" s="334"/>
      <c r="X687" s="334"/>
      <c r="Y687" s="246"/>
      <c r="Z687" s="246"/>
      <c r="AA687" s="246"/>
      <c r="AB687" s="246"/>
      <c r="AC687" s="246"/>
      <c r="AD687" s="246"/>
      <c r="AE687" s="246"/>
      <c r="AF687" s="246"/>
      <c r="AG687" s="246"/>
      <c r="AH687" s="246"/>
      <c r="AI687" s="246"/>
      <c r="AJ687" s="246"/>
      <c r="AK687" s="246"/>
      <c r="AL687" s="246"/>
      <c r="AM687" s="246"/>
      <c r="AN687" s="246"/>
      <c r="AO687" s="246"/>
      <c r="AP687" s="246"/>
      <c r="AQ687" s="246"/>
      <c r="AR687" s="246"/>
      <c r="AS687" s="246"/>
      <c r="AT687" s="246"/>
      <c r="AU687" s="246"/>
      <c r="AV687" s="246"/>
      <c r="AW687" s="246"/>
      <c r="AX687" s="246"/>
      <c r="AY687" s="246"/>
      <c r="AZ687" s="246"/>
      <c r="BA687" s="246"/>
      <c r="BB687" s="246"/>
      <c r="BC687" s="246"/>
      <c r="BD687" s="246"/>
      <c r="BE687" s="246"/>
      <c r="BF687" s="246"/>
      <c r="BG687" s="246"/>
      <c r="BH687" s="246"/>
      <c r="BI687" s="246"/>
      <c r="BJ687" s="246"/>
    </row>
    <row r="688" spans="2:62" ht="15.75">
      <c r="B688" s="7"/>
      <c r="C688" s="334"/>
      <c r="D688" s="334"/>
      <c r="E688" s="334"/>
      <c r="F688" s="334"/>
      <c r="G688" s="334"/>
      <c r="H688" s="334"/>
      <c r="I688" s="334"/>
      <c r="J688" s="334"/>
      <c r="K688" s="399"/>
      <c r="L688" s="399"/>
      <c r="M688" s="334"/>
      <c r="N688" s="399"/>
      <c r="O688" s="399"/>
      <c r="P688" s="334"/>
      <c r="Q688" s="399"/>
      <c r="R688" s="399"/>
      <c r="S688" s="334"/>
      <c r="T688" s="334"/>
      <c r="U688" s="334"/>
      <c r="V688" s="334"/>
      <c r="W688" s="334"/>
      <c r="X688" s="334"/>
      <c r="Y688" s="246"/>
      <c r="Z688" s="246"/>
      <c r="AA688" s="246"/>
      <c r="AB688" s="246"/>
      <c r="AC688" s="246"/>
      <c r="AD688" s="246"/>
      <c r="AE688" s="246"/>
      <c r="AF688" s="246"/>
      <c r="AG688" s="246"/>
      <c r="AH688" s="246"/>
      <c r="AI688" s="246"/>
      <c r="AJ688" s="246"/>
      <c r="AK688" s="246"/>
      <c r="AL688" s="246"/>
      <c r="AM688" s="246"/>
      <c r="AN688" s="246"/>
      <c r="AO688" s="246"/>
      <c r="AP688" s="246"/>
      <c r="AQ688" s="246"/>
      <c r="AR688" s="246"/>
      <c r="AS688" s="246"/>
      <c r="AT688" s="246"/>
      <c r="AU688" s="246"/>
      <c r="AV688" s="246"/>
      <c r="AW688" s="246"/>
      <c r="AX688" s="246"/>
      <c r="AY688" s="246"/>
      <c r="AZ688" s="246"/>
      <c r="BA688" s="246"/>
      <c r="BB688" s="246"/>
      <c r="BC688" s="246"/>
      <c r="BD688" s="246"/>
      <c r="BE688" s="246"/>
      <c r="BF688" s="246"/>
      <c r="BG688" s="246"/>
      <c r="BH688" s="246"/>
      <c r="BI688" s="246"/>
      <c r="BJ688" s="246"/>
    </row>
    <row r="689" spans="2:62" ht="15.75">
      <c r="B689" s="7"/>
      <c r="C689" s="334"/>
      <c r="D689" s="334"/>
      <c r="E689" s="334"/>
      <c r="F689" s="334"/>
      <c r="G689" s="334"/>
      <c r="H689" s="334"/>
      <c r="I689" s="334"/>
      <c r="J689" s="334"/>
      <c r="K689" s="399"/>
      <c r="L689" s="399"/>
      <c r="M689" s="334"/>
      <c r="N689" s="334"/>
      <c r="O689" s="334"/>
      <c r="P689" s="334"/>
      <c r="Q689" s="334"/>
      <c r="R689" s="399"/>
      <c r="S689" s="334"/>
      <c r="T689" s="334"/>
      <c r="U689" s="334"/>
      <c r="V689" s="334"/>
      <c r="W689" s="334"/>
      <c r="X689" s="334"/>
      <c r="Y689" s="246"/>
      <c r="Z689" s="246"/>
      <c r="AA689" s="246"/>
      <c r="AB689" s="246"/>
      <c r="AC689" s="246"/>
      <c r="AD689" s="246"/>
      <c r="AE689" s="246"/>
      <c r="AF689" s="246"/>
      <c r="AG689" s="246"/>
      <c r="AH689" s="246"/>
      <c r="AI689" s="246"/>
      <c r="AJ689" s="246"/>
      <c r="AK689" s="246"/>
      <c r="AL689" s="246"/>
      <c r="AM689" s="246"/>
      <c r="AN689" s="246"/>
      <c r="AO689" s="246"/>
      <c r="AP689" s="246"/>
      <c r="AQ689" s="246"/>
      <c r="AR689" s="246"/>
      <c r="AS689" s="246"/>
      <c r="AT689" s="246"/>
      <c r="AU689" s="246"/>
      <c r="AV689" s="246"/>
      <c r="AW689" s="246"/>
      <c r="AX689" s="246"/>
      <c r="AY689" s="246"/>
      <c r="AZ689" s="246"/>
      <c r="BA689" s="246"/>
      <c r="BB689" s="246"/>
      <c r="BC689" s="246"/>
      <c r="BD689" s="246"/>
      <c r="BE689" s="246"/>
      <c r="BF689" s="246"/>
      <c r="BG689" s="246"/>
      <c r="BH689" s="246"/>
      <c r="BI689" s="246"/>
      <c r="BJ689" s="246"/>
    </row>
    <row r="690" spans="2:62" ht="15.75">
      <c r="B690" s="7"/>
      <c r="C690" s="334"/>
      <c r="D690" s="334"/>
      <c r="E690" s="334"/>
      <c r="F690" s="334"/>
      <c r="G690" s="334"/>
      <c r="H690" s="334"/>
      <c r="I690" s="334"/>
      <c r="J690" s="334"/>
      <c r="K690" s="399"/>
      <c r="L690" s="399"/>
      <c r="M690" s="334"/>
      <c r="N690" s="401"/>
      <c r="O690" s="401"/>
      <c r="P690" s="334"/>
      <c r="Q690" s="401"/>
      <c r="R690" s="399"/>
      <c r="S690" s="334"/>
      <c r="T690" s="334"/>
      <c r="U690" s="334"/>
      <c r="V690" s="334"/>
      <c r="W690" s="334"/>
      <c r="X690" s="334"/>
      <c r="Y690" s="246"/>
      <c r="Z690" s="246"/>
      <c r="AA690" s="246"/>
      <c r="AB690" s="246"/>
      <c r="AC690" s="246"/>
      <c r="AD690" s="246"/>
      <c r="AE690" s="246"/>
      <c r="AF690" s="246"/>
      <c r="AG690" s="246"/>
      <c r="AH690" s="246"/>
      <c r="AI690" s="246"/>
      <c r="AJ690" s="246"/>
      <c r="AK690" s="246"/>
      <c r="AL690" s="246"/>
      <c r="AM690" s="246"/>
      <c r="AN690" s="246"/>
      <c r="AO690" s="246"/>
      <c r="AP690" s="246"/>
      <c r="AQ690" s="246"/>
      <c r="AR690" s="246"/>
      <c r="AS690" s="246"/>
      <c r="AT690" s="246"/>
      <c r="AU690" s="246"/>
      <c r="AV690" s="246"/>
      <c r="AW690" s="246"/>
      <c r="AX690" s="246"/>
      <c r="AY690" s="246"/>
      <c r="AZ690" s="246"/>
      <c r="BA690" s="246"/>
      <c r="BB690" s="246"/>
      <c r="BC690" s="246"/>
      <c r="BD690" s="246"/>
      <c r="BE690" s="246"/>
      <c r="BF690" s="246"/>
      <c r="BG690" s="246"/>
      <c r="BH690" s="246"/>
      <c r="BI690" s="246"/>
      <c r="BJ690" s="246"/>
    </row>
    <row r="691" spans="2:62" ht="15.75">
      <c r="B691" s="7"/>
      <c r="C691" s="334"/>
      <c r="D691" s="334"/>
      <c r="E691" s="334"/>
      <c r="F691" s="334"/>
      <c r="G691" s="334"/>
      <c r="H691" s="334"/>
      <c r="I691" s="334"/>
      <c r="J691" s="334"/>
      <c r="K691" s="334"/>
      <c r="L691" s="334"/>
      <c r="M691" s="334"/>
      <c r="N691" s="399"/>
      <c r="O691" s="399"/>
      <c r="P691" s="334"/>
      <c r="Q691" s="399"/>
      <c r="R691" s="334"/>
      <c r="S691" s="334"/>
      <c r="T691" s="334"/>
      <c r="U691" s="334"/>
      <c r="V691" s="334"/>
      <c r="W691" s="334"/>
      <c r="X691" s="334"/>
      <c r="Y691" s="246"/>
      <c r="Z691" s="246"/>
      <c r="AA691" s="246"/>
      <c r="AB691" s="246"/>
      <c r="AC691" s="246"/>
      <c r="AD691" s="246"/>
      <c r="AE691" s="246"/>
      <c r="AF691" s="246"/>
      <c r="AG691" s="246"/>
      <c r="AH691" s="246"/>
      <c r="AI691" s="246"/>
      <c r="AJ691" s="246"/>
      <c r="AK691" s="246"/>
      <c r="AL691" s="246"/>
      <c r="AM691" s="246"/>
      <c r="AN691" s="246"/>
      <c r="AO691" s="246"/>
      <c r="AP691" s="246"/>
      <c r="AQ691" s="246"/>
      <c r="AR691" s="246"/>
      <c r="AS691" s="246"/>
      <c r="AT691" s="246"/>
      <c r="AU691" s="246"/>
      <c r="AV691" s="246"/>
      <c r="AW691" s="246"/>
      <c r="AX691" s="246"/>
      <c r="AY691" s="246"/>
      <c r="AZ691" s="246"/>
      <c r="BA691" s="246"/>
      <c r="BB691" s="246"/>
      <c r="BC691" s="246"/>
      <c r="BD691" s="246"/>
      <c r="BE691" s="246"/>
      <c r="BF691" s="246"/>
      <c r="BG691" s="246"/>
      <c r="BH691" s="246"/>
      <c r="BI691" s="246"/>
      <c r="BJ691" s="246"/>
    </row>
    <row r="692" spans="2:62" ht="15.75">
      <c r="B692" s="7"/>
      <c r="C692" s="334"/>
      <c r="D692" s="334"/>
      <c r="E692" s="334"/>
      <c r="F692" s="334"/>
      <c r="G692" s="334"/>
      <c r="H692" s="334"/>
      <c r="I692" s="334"/>
      <c r="J692" s="334"/>
      <c r="K692" s="401"/>
      <c r="L692" s="401"/>
      <c r="M692" s="334"/>
      <c r="N692" s="399"/>
      <c r="O692" s="399"/>
      <c r="P692" s="334"/>
      <c r="Q692" s="399"/>
      <c r="R692" s="401"/>
      <c r="S692" s="334"/>
      <c r="T692" s="334"/>
      <c r="U692" s="334"/>
      <c r="V692" s="334"/>
      <c r="W692" s="334"/>
      <c r="X692" s="334"/>
      <c r="Y692" s="246"/>
      <c r="Z692" s="246"/>
      <c r="AA692" s="246"/>
      <c r="AB692" s="246"/>
      <c r="AC692" s="246"/>
      <c r="AD692" s="246"/>
      <c r="AE692" s="246"/>
      <c r="AF692" s="246"/>
      <c r="AG692" s="246"/>
      <c r="AH692" s="246"/>
      <c r="AI692" s="246"/>
      <c r="AJ692" s="246"/>
      <c r="AK692" s="246"/>
      <c r="AL692" s="246"/>
      <c r="AM692" s="246"/>
      <c r="AN692" s="246"/>
      <c r="AO692" s="246"/>
      <c r="AP692" s="246"/>
      <c r="AQ692" s="246"/>
      <c r="AR692" s="246"/>
      <c r="AS692" s="246"/>
      <c r="AT692" s="246"/>
      <c r="AU692" s="246"/>
      <c r="AV692" s="246"/>
      <c r="AW692" s="246"/>
      <c r="AX692" s="246"/>
      <c r="AY692" s="246"/>
      <c r="AZ692" s="246"/>
      <c r="BA692" s="246"/>
      <c r="BB692" s="246"/>
      <c r="BC692" s="246"/>
      <c r="BD692" s="246"/>
      <c r="BE692" s="246"/>
      <c r="BF692" s="246"/>
      <c r="BG692" s="246"/>
      <c r="BH692" s="246"/>
      <c r="BI692" s="246"/>
      <c r="BJ692" s="246"/>
    </row>
    <row r="693" spans="2:62" ht="15.75">
      <c r="B693" s="7"/>
      <c r="C693" s="334"/>
      <c r="D693" s="334"/>
      <c r="E693" s="334"/>
      <c r="F693" s="334"/>
      <c r="G693" s="334"/>
      <c r="H693" s="334"/>
      <c r="I693" s="334"/>
      <c r="J693" s="334"/>
      <c r="K693" s="399"/>
      <c r="L693" s="399"/>
      <c r="M693" s="334"/>
      <c r="N693" s="399"/>
      <c r="O693" s="399"/>
      <c r="P693" s="334"/>
      <c r="Q693" s="399"/>
      <c r="R693" s="399"/>
      <c r="S693" s="334"/>
      <c r="T693" s="334"/>
      <c r="U693" s="334"/>
      <c r="V693" s="334"/>
      <c r="W693" s="334"/>
      <c r="X693" s="334"/>
      <c r="Y693" s="246"/>
      <c r="Z693" s="246"/>
      <c r="AA693" s="246"/>
      <c r="AB693" s="246"/>
      <c r="AC693" s="246"/>
      <c r="AD693" s="246"/>
      <c r="AE693" s="246"/>
      <c r="AF693" s="246"/>
      <c r="AG693" s="246"/>
      <c r="AH693" s="246"/>
      <c r="AI693" s="246"/>
      <c r="AJ693" s="246"/>
      <c r="AK693" s="246"/>
      <c r="AL693" s="246"/>
      <c r="AM693" s="246"/>
      <c r="AN693" s="246"/>
      <c r="AO693" s="246"/>
      <c r="AP693" s="246"/>
      <c r="AQ693" s="246"/>
      <c r="AR693" s="246"/>
      <c r="AS693" s="246"/>
      <c r="AT693" s="246"/>
      <c r="AU693" s="246"/>
      <c r="AV693" s="246"/>
      <c r="AW693" s="246"/>
      <c r="AX693" s="246"/>
      <c r="AY693" s="246"/>
      <c r="AZ693" s="246"/>
      <c r="BA693" s="246"/>
      <c r="BB693" s="246"/>
      <c r="BC693" s="246"/>
      <c r="BD693" s="246"/>
      <c r="BE693" s="246"/>
      <c r="BF693" s="246"/>
      <c r="BG693" s="246"/>
      <c r="BH693" s="246"/>
      <c r="BI693" s="246"/>
      <c r="BJ693" s="246"/>
    </row>
    <row r="694" spans="2:62" ht="15.75">
      <c r="B694" s="7"/>
      <c r="C694" s="334"/>
      <c r="D694" s="334"/>
      <c r="E694" s="334"/>
      <c r="F694" s="334"/>
      <c r="G694" s="334"/>
      <c r="H694" s="334"/>
      <c r="I694" s="334"/>
      <c r="J694" s="334"/>
      <c r="K694" s="399"/>
      <c r="L694" s="399"/>
      <c r="M694" s="334"/>
      <c r="N694" s="399"/>
      <c r="O694" s="399"/>
      <c r="P694" s="334"/>
      <c r="Q694" s="399"/>
      <c r="R694" s="399"/>
      <c r="S694" s="334"/>
      <c r="T694" s="334"/>
      <c r="U694" s="334"/>
      <c r="V694" s="334"/>
      <c r="W694" s="334"/>
      <c r="X694" s="334"/>
      <c r="Y694" s="246"/>
      <c r="Z694" s="246"/>
      <c r="AA694" s="246"/>
      <c r="AB694" s="246"/>
      <c r="AC694" s="246"/>
      <c r="AD694" s="246"/>
      <c r="AE694" s="246"/>
      <c r="AF694" s="246"/>
      <c r="AG694" s="246"/>
      <c r="AH694" s="246"/>
      <c r="AI694" s="246"/>
      <c r="AJ694" s="246"/>
      <c r="AK694" s="246"/>
      <c r="AL694" s="246"/>
      <c r="AM694" s="246"/>
      <c r="AN694" s="246"/>
      <c r="AO694" s="246"/>
      <c r="AP694" s="246"/>
      <c r="AQ694" s="246"/>
      <c r="AR694" s="246"/>
      <c r="AS694" s="246"/>
      <c r="AT694" s="246"/>
      <c r="AU694" s="246"/>
      <c r="AV694" s="246"/>
      <c r="AW694" s="246"/>
      <c r="AX694" s="246"/>
      <c r="AY694" s="246"/>
      <c r="AZ694" s="246"/>
      <c r="BA694" s="246"/>
      <c r="BB694" s="246"/>
      <c r="BC694" s="246"/>
      <c r="BD694" s="246"/>
      <c r="BE694" s="246"/>
      <c r="BF694" s="246"/>
      <c r="BG694" s="246"/>
      <c r="BH694" s="246"/>
      <c r="BI694" s="246"/>
      <c r="BJ694" s="246"/>
    </row>
    <row r="695" spans="2:62" ht="15.75">
      <c r="B695" s="7"/>
      <c r="C695" s="334"/>
      <c r="D695" s="334"/>
      <c r="E695" s="334"/>
      <c r="F695" s="334"/>
      <c r="G695" s="334"/>
      <c r="H695" s="334"/>
      <c r="I695" s="334"/>
      <c r="J695" s="334"/>
      <c r="K695" s="399"/>
      <c r="L695" s="399"/>
      <c r="M695" s="334"/>
      <c r="N695" s="399"/>
      <c r="O695" s="399"/>
      <c r="P695" s="334"/>
      <c r="Q695" s="399"/>
      <c r="R695" s="399"/>
      <c r="S695" s="334"/>
      <c r="T695" s="334"/>
      <c r="U695" s="334"/>
      <c r="V695" s="334"/>
      <c r="W695" s="334"/>
      <c r="X695" s="334"/>
      <c r="Y695" s="246"/>
      <c r="Z695" s="246"/>
      <c r="AA695" s="246"/>
      <c r="AB695" s="246"/>
      <c r="AC695" s="246"/>
      <c r="AD695" s="246"/>
      <c r="AE695" s="246"/>
      <c r="AF695" s="246"/>
      <c r="AG695" s="246"/>
      <c r="AH695" s="246"/>
      <c r="AI695" s="246"/>
      <c r="AJ695" s="246"/>
      <c r="AK695" s="246"/>
      <c r="AL695" s="246"/>
      <c r="AM695" s="246"/>
      <c r="AN695" s="246"/>
      <c r="AO695" s="246"/>
      <c r="AP695" s="246"/>
      <c r="AQ695" s="246"/>
      <c r="AR695" s="246"/>
      <c r="AS695" s="246"/>
      <c r="AT695" s="246"/>
      <c r="AU695" s="246"/>
      <c r="AV695" s="246"/>
      <c r="AW695" s="246"/>
      <c r="AX695" s="246"/>
      <c r="AY695" s="246"/>
      <c r="AZ695" s="246"/>
      <c r="BA695" s="246"/>
      <c r="BB695" s="246"/>
      <c r="BC695" s="246"/>
      <c r="BD695" s="246"/>
      <c r="BE695" s="246"/>
      <c r="BF695" s="246"/>
      <c r="BG695" s="246"/>
      <c r="BH695" s="246"/>
      <c r="BI695" s="246"/>
      <c r="BJ695" s="246"/>
    </row>
    <row r="696" spans="2:62" ht="15.75">
      <c r="B696" s="7"/>
      <c r="C696" s="334"/>
      <c r="D696" s="334"/>
      <c r="E696" s="334"/>
      <c r="F696" s="334"/>
      <c r="G696" s="334"/>
      <c r="H696" s="334"/>
      <c r="I696" s="334"/>
      <c r="J696" s="334"/>
      <c r="K696" s="399"/>
      <c r="L696" s="399"/>
      <c r="M696" s="334"/>
      <c r="N696" s="399"/>
      <c r="O696" s="399"/>
      <c r="P696" s="334"/>
      <c r="Q696" s="399"/>
      <c r="R696" s="399"/>
      <c r="S696" s="334"/>
      <c r="T696" s="334"/>
      <c r="U696" s="334"/>
      <c r="V696" s="334"/>
      <c r="W696" s="334"/>
      <c r="X696" s="334"/>
      <c r="Y696" s="246"/>
      <c r="Z696" s="246"/>
      <c r="AA696" s="246"/>
      <c r="AB696" s="246"/>
      <c r="AC696" s="246"/>
      <c r="AD696" s="246"/>
      <c r="AE696" s="246"/>
      <c r="AF696" s="246"/>
      <c r="AG696" s="246"/>
      <c r="AH696" s="246"/>
      <c r="AI696" s="246"/>
      <c r="AJ696" s="246"/>
      <c r="AK696" s="246"/>
      <c r="AL696" s="246"/>
      <c r="AM696" s="246"/>
      <c r="AN696" s="246"/>
      <c r="AO696" s="246"/>
      <c r="AP696" s="246"/>
      <c r="AQ696" s="246"/>
      <c r="AR696" s="246"/>
      <c r="AS696" s="246"/>
      <c r="AT696" s="246"/>
      <c r="AU696" s="246"/>
      <c r="AV696" s="246"/>
      <c r="AW696" s="246"/>
      <c r="AX696" s="246"/>
      <c r="AY696" s="246"/>
      <c r="AZ696" s="246"/>
      <c r="BA696" s="246"/>
      <c r="BB696" s="246"/>
      <c r="BC696" s="246"/>
      <c r="BD696" s="246"/>
      <c r="BE696" s="246"/>
      <c r="BF696" s="246"/>
      <c r="BG696" s="246"/>
      <c r="BH696" s="246"/>
      <c r="BI696" s="246"/>
      <c r="BJ696" s="246"/>
    </row>
    <row r="697" spans="2:62" ht="15.75">
      <c r="B697" s="7"/>
      <c r="C697" s="334"/>
      <c r="D697" s="334"/>
      <c r="E697" s="334"/>
      <c r="F697" s="334"/>
      <c r="G697" s="334"/>
      <c r="H697" s="334"/>
      <c r="I697" s="334"/>
      <c r="J697" s="334"/>
      <c r="K697" s="399"/>
      <c r="L697" s="399"/>
      <c r="M697" s="334"/>
      <c r="N697" s="399"/>
      <c r="O697" s="399"/>
      <c r="P697" s="334"/>
      <c r="Q697" s="399"/>
      <c r="R697" s="399"/>
      <c r="S697" s="334"/>
      <c r="T697" s="334"/>
      <c r="U697" s="334"/>
      <c r="V697" s="334"/>
      <c r="W697" s="334"/>
      <c r="X697" s="334"/>
      <c r="Y697" s="246"/>
      <c r="Z697" s="246"/>
      <c r="AA697" s="246"/>
      <c r="AB697" s="246"/>
      <c r="AC697" s="246"/>
      <c r="AD697" s="246"/>
      <c r="AE697" s="246"/>
      <c r="AF697" s="246"/>
      <c r="AG697" s="246"/>
      <c r="AH697" s="246"/>
      <c r="AI697" s="246"/>
      <c r="AJ697" s="246"/>
      <c r="AK697" s="246"/>
      <c r="AL697" s="246"/>
      <c r="AM697" s="246"/>
      <c r="AN697" s="246"/>
      <c r="AO697" s="246"/>
      <c r="AP697" s="246"/>
      <c r="AQ697" s="246"/>
      <c r="AR697" s="246"/>
      <c r="AS697" s="246"/>
      <c r="AT697" s="246"/>
      <c r="AU697" s="246"/>
      <c r="AV697" s="246"/>
      <c r="AW697" s="246"/>
      <c r="AX697" s="246"/>
      <c r="AY697" s="246"/>
      <c r="AZ697" s="246"/>
      <c r="BA697" s="246"/>
      <c r="BB697" s="246"/>
      <c r="BC697" s="246"/>
      <c r="BD697" s="246"/>
      <c r="BE697" s="246"/>
      <c r="BF697" s="246"/>
      <c r="BG697" s="246"/>
      <c r="BH697" s="246"/>
      <c r="BI697" s="246"/>
      <c r="BJ697" s="246"/>
    </row>
    <row r="698" spans="2:62" ht="15.75">
      <c r="B698" s="7"/>
      <c r="C698" s="334"/>
      <c r="D698" s="334"/>
      <c r="E698" s="334"/>
      <c r="F698" s="334"/>
      <c r="G698" s="334"/>
      <c r="H698" s="334"/>
      <c r="I698" s="334"/>
      <c r="J698" s="334"/>
      <c r="K698" s="399"/>
      <c r="L698" s="399"/>
      <c r="M698" s="334"/>
      <c r="N698" s="399"/>
      <c r="O698" s="399"/>
      <c r="P698" s="334"/>
      <c r="Q698" s="399"/>
      <c r="R698" s="399"/>
      <c r="S698" s="334"/>
      <c r="T698" s="334"/>
      <c r="U698" s="334"/>
      <c r="V698" s="334"/>
      <c r="W698" s="334"/>
      <c r="X698" s="334"/>
      <c r="Y698" s="246"/>
      <c r="Z698" s="246"/>
      <c r="AA698" s="246"/>
      <c r="AB698" s="246"/>
      <c r="AC698" s="246"/>
      <c r="AD698" s="246"/>
      <c r="AE698" s="246"/>
      <c r="AF698" s="246"/>
      <c r="AG698" s="246"/>
      <c r="AH698" s="246"/>
      <c r="AI698" s="246"/>
      <c r="AJ698" s="246"/>
      <c r="AK698" s="246"/>
      <c r="AL698" s="246"/>
      <c r="AM698" s="246"/>
      <c r="AN698" s="246"/>
      <c r="AO698" s="246"/>
      <c r="AP698" s="246"/>
      <c r="AQ698" s="246"/>
      <c r="AR698" s="246"/>
      <c r="AS698" s="246"/>
      <c r="AT698" s="246"/>
      <c r="AU698" s="246"/>
      <c r="AV698" s="246"/>
      <c r="AW698" s="246"/>
      <c r="AX698" s="246"/>
      <c r="AY698" s="246"/>
      <c r="AZ698" s="246"/>
      <c r="BA698" s="246"/>
      <c r="BB698" s="246"/>
      <c r="BC698" s="246"/>
      <c r="BD698" s="246"/>
      <c r="BE698" s="246"/>
      <c r="BF698" s="246"/>
      <c r="BG698" s="246"/>
      <c r="BH698" s="246"/>
      <c r="BI698" s="246"/>
      <c r="BJ698" s="246"/>
    </row>
    <row r="699" spans="2:62" ht="15.75">
      <c r="B699" s="7"/>
      <c r="C699" s="334"/>
      <c r="D699" s="334"/>
      <c r="E699" s="334"/>
      <c r="F699" s="334"/>
      <c r="G699" s="334"/>
      <c r="H699" s="334"/>
      <c r="I699" s="334"/>
      <c r="J699" s="334"/>
      <c r="K699" s="399"/>
      <c r="L699" s="401"/>
      <c r="M699" s="334"/>
      <c r="N699" s="399"/>
      <c r="O699" s="399"/>
      <c r="P699" s="334"/>
      <c r="Q699" s="399"/>
      <c r="R699" s="401"/>
      <c r="S699" s="334"/>
      <c r="T699" s="334"/>
      <c r="U699" s="334"/>
      <c r="V699" s="334"/>
      <c r="W699" s="334"/>
      <c r="X699" s="334"/>
      <c r="Y699" s="246"/>
      <c r="Z699" s="246"/>
      <c r="AA699" s="246"/>
      <c r="AB699" s="246"/>
      <c r="AC699" s="246"/>
      <c r="AD699" s="246"/>
      <c r="AE699" s="246"/>
      <c r="AF699" s="246"/>
      <c r="AG699" s="246"/>
      <c r="AH699" s="246"/>
      <c r="AI699" s="246"/>
      <c r="AJ699" s="246"/>
      <c r="AK699" s="246"/>
      <c r="AL699" s="246"/>
      <c r="AM699" s="246"/>
      <c r="AN699" s="246"/>
      <c r="AO699" s="246"/>
      <c r="AP699" s="246"/>
      <c r="AQ699" s="246"/>
      <c r="AR699" s="246"/>
      <c r="AS699" s="246"/>
      <c r="AT699" s="246"/>
      <c r="AU699" s="246"/>
      <c r="AV699" s="246"/>
      <c r="AW699" s="246"/>
      <c r="AX699" s="246"/>
      <c r="AY699" s="246"/>
      <c r="AZ699" s="246"/>
      <c r="BA699" s="246"/>
      <c r="BB699" s="246"/>
      <c r="BC699" s="246"/>
      <c r="BD699" s="246"/>
      <c r="BE699" s="246"/>
      <c r="BF699" s="246"/>
      <c r="BG699" s="246"/>
      <c r="BH699" s="246"/>
      <c r="BI699" s="246"/>
      <c r="BJ699" s="246"/>
    </row>
    <row r="700" spans="2:62" ht="15.75">
      <c r="B700" s="7"/>
      <c r="C700" s="334"/>
      <c r="D700" s="334"/>
      <c r="E700" s="334"/>
      <c r="F700" s="334"/>
      <c r="G700" s="334"/>
      <c r="H700" s="334"/>
      <c r="I700" s="334"/>
      <c r="J700" s="334"/>
      <c r="K700" s="399"/>
      <c r="L700" s="399"/>
      <c r="M700" s="334"/>
      <c r="N700" s="399"/>
      <c r="O700" s="399"/>
      <c r="P700" s="334"/>
      <c r="Q700" s="399"/>
      <c r="R700" s="399"/>
      <c r="S700" s="334"/>
      <c r="T700" s="334"/>
      <c r="U700" s="334"/>
      <c r="V700" s="334"/>
      <c r="W700" s="334"/>
      <c r="X700" s="334"/>
      <c r="Y700" s="246"/>
      <c r="Z700" s="246"/>
      <c r="AA700" s="246"/>
      <c r="AB700" s="246"/>
      <c r="AC700" s="246"/>
      <c r="AD700" s="246"/>
      <c r="AE700" s="246"/>
      <c r="AF700" s="246"/>
      <c r="AG700" s="246"/>
      <c r="AH700" s="246"/>
      <c r="AI700" s="246"/>
      <c r="AJ700" s="246"/>
      <c r="AK700" s="246"/>
      <c r="AL700" s="246"/>
      <c r="AM700" s="246"/>
      <c r="AN700" s="246"/>
      <c r="AO700" s="246"/>
      <c r="AP700" s="246"/>
      <c r="AQ700" s="246"/>
      <c r="AR700" s="246"/>
      <c r="AS700" s="246"/>
      <c r="AT700" s="246"/>
      <c r="AU700" s="246"/>
      <c r="AV700" s="246"/>
      <c r="AW700" s="246"/>
      <c r="AX700" s="246"/>
      <c r="AY700" s="246"/>
      <c r="AZ700" s="246"/>
      <c r="BA700" s="246"/>
      <c r="BB700" s="246"/>
      <c r="BC700" s="246"/>
      <c r="BD700" s="246"/>
      <c r="BE700" s="246"/>
      <c r="BF700" s="246"/>
      <c r="BG700" s="246"/>
      <c r="BH700" s="246"/>
      <c r="BI700" s="246"/>
      <c r="BJ700" s="246"/>
    </row>
    <row r="701" spans="2:62" ht="15.75">
      <c r="B701" s="7"/>
      <c r="C701" s="334"/>
      <c r="D701" s="334"/>
      <c r="E701" s="334"/>
      <c r="F701" s="334"/>
      <c r="G701" s="334"/>
      <c r="H701" s="334"/>
      <c r="I701" s="334"/>
      <c r="J701" s="334"/>
      <c r="K701" s="399"/>
      <c r="L701" s="399"/>
      <c r="M701" s="334"/>
      <c r="N701" s="399"/>
      <c r="O701" s="399"/>
      <c r="P701" s="334"/>
      <c r="Q701" s="399"/>
      <c r="R701" s="399"/>
      <c r="S701" s="334"/>
      <c r="T701" s="334"/>
      <c r="U701" s="334"/>
      <c r="V701" s="334"/>
      <c r="W701" s="334"/>
      <c r="X701" s="334"/>
      <c r="Y701" s="246"/>
      <c r="Z701" s="246"/>
      <c r="AA701" s="246"/>
      <c r="AB701" s="246"/>
      <c r="AC701" s="246"/>
      <c r="AD701" s="246"/>
      <c r="AE701" s="246"/>
      <c r="AF701" s="246"/>
      <c r="AG701" s="246"/>
      <c r="AH701" s="246"/>
      <c r="AI701" s="246"/>
      <c r="AJ701" s="246"/>
      <c r="AK701" s="246"/>
      <c r="AL701" s="246"/>
      <c r="AM701" s="246"/>
      <c r="AN701" s="246"/>
      <c r="AO701" s="246"/>
      <c r="AP701" s="246"/>
      <c r="AQ701" s="246"/>
      <c r="AR701" s="246"/>
      <c r="AS701" s="246"/>
      <c r="AT701" s="246"/>
      <c r="AU701" s="246"/>
      <c r="AV701" s="246"/>
      <c r="AW701" s="246"/>
      <c r="AX701" s="246"/>
      <c r="AY701" s="246"/>
      <c r="AZ701" s="246"/>
      <c r="BA701" s="246"/>
      <c r="BB701" s="246"/>
      <c r="BC701" s="246"/>
      <c r="BD701" s="246"/>
      <c r="BE701" s="246"/>
      <c r="BF701" s="246"/>
      <c r="BG701" s="246"/>
      <c r="BH701" s="246"/>
      <c r="BI701" s="246"/>
      <c r="BJ701" s="246"/>
    </row>
    <row r="702" spans="2:62" ht="15.75">
      <c r="B702" s="7"/>
      <c r="C702" s="334"/>
      <c r="D702" s="334"/>
      <c r="E702" s="334"/>
      <c r="F702" s="334"/>
      <c r="G702" s="334"/>
      <c r="H702" s="334"/>
      <c r="I702" s="334"/>
      <c r="J702" s="334"/>
      <c r="K702" s="399"/>
      <c r="L702" s="399"/>
      <c r="M702" s="334"/>
      <c r="N702" s="401"/>
      <c r="O702" s="401"/>
      <c r="P702" s="334"/>
      <c r="Q702" s="401"/>
      <c r="R702" s="399"/>
      <c r="S702" s="334"/>
      <c r="T702" s="334"/>
      <c r="U702" s="334"/>
      <c r="V702" s="334"/>
      <c r="W702" s="334"/>
      <c r="X702" s="334"/>
      <c r="Y702" s="246"/>
      <c r="Z702" s="246"/>
      <c r="AA702" s="246"/>
      <c r="AB702" s="246"/>
      <c r="AC702" s="246"/>
      <c r="AD702" s="246"/>
      <c r="AE702" s="246"/>
      <c r="AF702" s="246"/>
      <c r="AG702" s="246"/>
      <c r="AH702" s="246"/>
      <c r="AI702" s="246"/>
      <c r="AJ702" s="246"/>
      <c r="AK702" s="246"/>
      <c r="AL702" s="246"/>
      <c r="AM702" s="246"/>
      <c r="AN702" s="246"/>
      <c r="AO702" s="246"/>
      <c r="AP702" s="246"/>
      <c r="AQ702" s="246"/>
      <c r="AR702" s="246"/>
      <c r="AS702" s="246"/>
      <c r="AT702" s="246"/>
      <c r="AU702" s="246"/>
      <c r="AV702" s="246"/>
      <c r="AW702" s="246"/>
      <c r="AX702" s="246"/>
      <c r="AY702" s="246"/>
      <c r="AZ702" s="246"/>
      <c r="BA702" s="246"/>
      <c r="BB702" s="246"/>
      <c r="BC702" s="246"/>
      <c r="BD702" s="246"/>
      <c r="BE702" s="246"/>
      <c r="BF702" s="246"/>
      <c r="BG702" s="246"/>
      <c r="BH702" s="246"/>
      <c r="BI702" s="246"/>
      <c r="BJ702" s="246"/>
    </row>
  </sheetData>
  <mergeCells count="42">
    <mergeCell ref="AM404:AO404"/>
    <mergeCell ref="X404:Z404"/>
    <mergeCell ref="AA404:AC404"/>
    <mergeCell ref="AD404:AF404"/>
    <mergeCell ref="AG404:AI404"/>
    <mergeCell ref="AJ404:AL404"/>
    <mergeCell ref="R358:S358"/>
    <mergeCell ref="D293:F293"/>
    <mergeCell ref="G293:I293"/>
    <mergeCell ref="J293:L293"/>
    <mergeCell ref="M293:N293"/>
    <mergeCell ref="O293:Q293"/>
    <mergeCell ref="R293:S293"/>
    <mergeCell ref="D358:F358"/>
    <mergeCell ref="G358:I358"/>
    <mergeCell ref="J358:L358"/>
    <mergeCell ref="M358:N358"/>
    <mergeCell ref="O358:Q358"/>
    <mergeCell ref="R238:S238"/>
    <mergeCell ref="D170:F170"/>
    <mergeCell ref="G170:I170"/>
    <mergeCell ref="J170:L170"/>
    <mergeCell ref="M170:N170"/>
    <mergeCell ref="O170:Q170"/>
    <mergeCell ref="R170:S170"/>
    <mergeCell ref="D238:F238"/>
    <mergeCell ref="G238:I238"/>
    <mergeCell ref="J238:L238"/>
    <mergeCell ref="M238:N238"/>
    <mergeCell ref="O238:Q238"/>
    <mergeCell ref="M91:N91"/>
    <mergeCell ref="O91:Q91"/>
    <mergeCell ref="R3:S3"/>
    <mergeCell ref="D3:F3"/>
    <mergeCell ref="G3:I3"/>
    <mergeCell ref="J3:L3"/>
    <mergeCell ref="M3:N3"/>
    <mergeCell ref="O3:Q3"/>
    <mergeCell ref="R91:S91"/>
    <mergeCell ref="D91:F91"/>
    <mergeCell ref="G91:I91"/>
    <mergeCell ref="J91:L91"/>
  </mergeCells>
  <conditionalFormatting sqref="D31:D32">
    <cfRule type="expression" dxfId="451" priority="6" stopIfTrue="1">
      <formula>"esterreur(reference)"</formula>
    </cfRule>
  </conditionalFormatting>
  <conditionalFormatting sqref="D112:D113">
    <cfRule type="expression" dxfId="450" priority="1" stopIfTrue="1">
      <formula>"esterreur(reference)"</formula>
    </cfRule>
  </conditionalFormatting>
  <conditionalFormatting sqref="F5">
    <cfRule type="expression" dxfId="449" priority="67" stopIfTrue="1">
      <formula>"esterreur(reference)"</formula>
    </cfRule>
  </conditionalFormatting>
  <conditionalFormatting sqref="F184">
    <cfRule type="expression" dxfId="448" priority="77" stopIfTrue="1">
      <formula>"esterreur(reference)"</formula>
    </cfRule>
  </conditionalFormatting>
  <conditionalFormatting sqref="G31:G32">
    <cfRule type="expression" dxfId="447" priority="5" stopIfTrue="1">
      <formula>"esterreur(reference)"</formula>
    </cfRule>
  </conditionalFormatting>
  <conditionalFormatting sqref="G112:G113">
    <cfRule type="expression" dxfId="446" priority="2" stopIfTrue="1">
      <formula>"esterreur(reference)"</formula>
    </cfRule>
  </conditionalFormatting>
  <conditionalFormatting sqref="H136:H152">
    <cfRule type="expression" dxfId="445" priority="31" stopIfTrue="1">
      <formula>"esterreur(reference)"</formula>
    </cfRule>
  </conditionalFormatting>
  <conditionalFormatting sqref="H360">
    <cfRule type="expression" dxfId="444" priority="110" stopIfTrue="1">
      <formula>"esterreur(reference)"</formula>
    </cfRule>
  </conditionalFormatting>
  <conditionalFormatting sqref="H197:L197">
    <cfRule type="expression" dxfId="443" priority="112" stopIfTrue="1">
      <formula>"esterreur(reference)"</formula>
    </cfRule>
  </conditionalFormatting>
  <conditionalFormatting sqref="H396:L399">
    <cfRule type="expression" dxfId="442" priority="108" stopIfTrue="1">
      <formula>"esterreur(reference)"</formula>
    </cfRule>
  </conditionalFormatting>
  <conditionalFormatting sqref="I377:L377 H378:H395">
    <cfRule type="expression" dxfId="441" priority="109" stopIfTrue="1">
      <formula>"esterreur(reference)"</formula>
    </cfRule>
  </conditionalFormatting>
  <conditionalFormatting sqref="J3 I13:J14 I16:J16 I17 I18:J18 J19 I20:J20 J21:J23 I24:J24 H25:L30 J31:K48 H31:H72 J49:L54 J72:L72 F83:F85 H83:L85 H86:K88 L86:L90 H90:I90 K90 J90:J91 H97:L98 I101:L101 H101:H104 I105:L111 H106:H134 I122:L122 H135:L135 J136:K148 H153:L153 H156:H157 J156:K157 H164:L164 H165 J165:K165 H166:K167 L166:L169 H169:I169 K169 J169:J196 H171:I171 H173:I174 H176:I177 H179:I180 H182:I183 L183 H185:I187 H189:I190 H192:I196 H198:H229 J198:K229 H232:L232 H233 J233:K233 H234:K235 L234:L237 H237:I237 K237 J237:J240 H239:I240 H243:L243 H252:L253 H254:K284 H285:L285 H288:L288 H289 J289:K289 H290:K290 L290:L292 H292:I292 K292 J292:J293 H294:L294 H304:L306 H309:L311 H313:L317 H318:H348 J318:K348 H349:L349 H352:L352 H353:H355 J353:K355 H361:L364 H365:H376 H400 J400:K400">
    <cfRule type="expression" dxfId="440" priority="102" stopIfTrue="1">
      <formula>"esterreur(reference)"</formula>
    </cfRule>
  </conditionalFormatting>
  <conditionalFormatting sqref="J55:K71">
    <cfRule type="expression" dxfId="439" priority="113" stopIfTrue="1">
      <formula>"esterreur(reference)"</formula>
    </cfRule>
  </conditionalFormatting>
  <conditionalFormatting sqref="J102:L104">
    <cfRule type="expression" dxfId="438" priority="98" stopIfTrue="1">
      <formula>"esterreur(reference)"</formula>
    </cfRule>
  </conditionalFormatting>
  <conditionalFormatting sqref="J149:L152">
    <cfRule type="expression" dxfId="437" priority="30" stopIfTrue="1">
      <formula>"esterreur(reference)"</formula>
    </cfRule>
  </conditionalFormatting>
  <conditionalFormatting sqref="J295:L303">
    <cfRule type="expression" dxfId="436" priority="94" stopIfTrue="1">
      <formula>"esterreur(reference)"</formula>
    </cfRule>
  </conditionalFormatting>
  <conditionalFormatting sqref="J307:L308">
    <cfRule type="expression" dxfId="435" priority="84" stopIfTrue="1">
      <formula>"esterreur(reference)"</formula>
    </cfRule>
  </conditionalFormatting>
  <conditionalFormatting sqref="J360:L360">
    <cfRule type="expression" dxfId="434" priority="76" stopIfTrue="1">
      <formula>"esterreur(reference)"</formula>
    </cfRule>
  </conditionalFormatting>
  <conditionalFormatting sqref="J365:L376">
    <cfRule type="expression" dxfId="433" priority="81" stopIfTrue="1">
      <formula>"esterreur(reference)"</formula>
    </cfRule>
  </conditionalFormatting>
  <conditionalFormatting sqref="J378:L394">
    <cfRule type="expression" dxfId="432" priority="80" stopIfTrue="1">
      <formula>"esterreur(reference)"</formula>
    </cfRule>
  </conditionalFormatting>
  <conditionalFormatting sqref="J312:M312">
    <cfRule type="expression" dxfId="431" priority="82" stopIfTrue="1">
      <formula>"esterreur(reference)"</formula>
    </cfRule>
  </conditionalFormatting>
  <conditionalFormatting sqref="J112:Q121">
    <cfRule type="expression" dxfId="430" priority="3" stopIfTrue="1">
      <formula>"esterreur(reference)"</formula>
    </cfRule>
  </conditionalFormatting>
  <conditionalFormatting sqref="J123:Q134">
    <cfRule type="expression" dxfId="429" priority="57" stopIfTrue="1">
      <formula>"esterreur(reference)"</formula>
    </cfRule>
  </conditionalFormatting>
  <conditionalFormatting sqref="K5">
    <cfRule type="expression" dxfId="428" priority="91" stopIfTrue="1">
      <formula>"esterreur(reference)"</formula>
    </cfRule>
  </conditionalFormatting>
  <conditionalFormatting sqref="K175">
    <cfRule type="expression" dxfId="427" priority="88" stopIfTrue="1">
      <formula>"esterreur(reference)"</formula>
    </cfRule>
  </conditionalFormatting>
  <conditionalFormatting sqref="K183:K184">
    <cfRule type="expression" dxfId="426" priority="90" stopIfTrue="1">
      <formula>"esterreur(reference)"</formula>
    </cfRule>
  </conditionalFormatting>
  <conditionalFormatting sqref="K287">
    <cfRule type="expression" dxfId="425" priority="74" stopIfTrue="1">
      <formula>"esterreur(reference)"</formula>
    </cfRule>
  </conditionalFormatting>
  <conditionalFormatting sqref="K395">
    <cfRule type="expression" dxfId="424" priority="111" stopIfTrue="1">
      <formula>"esterreur(reference)"</formula>
    </cfRule>
  </conditionalFormatting>
  <conditionalFormatting sqref="K93:L96">
    <cfRule type="expression" dxfId="423" priority="79" stopIfTrue="1">
      <formula>"esterreur(reference)"</formula>
    </cfRule>
  </conditionalFormatting>
  <conditionalFormatting sqref="K99:L100">
    <cfRule type="expression" dxfId="422" priority="99" stopIfTrue="1">
      <formula>"esterreur(reference)"</formula>
    </cfRule>
  </conditionalFormatting>
  <conditionalFormatting sqref="K171:L173">
    <cfRule type="expression" dxfId="421" priority="89" stopIfTrue="1">
      <formula>"esterreur(reference)"</formula>
    </cfRule>
  </conditionalFormatting>
  <conditionalFormatting sqref="K176:L182">
    <cfRule type="expression" dxfId="420" priority="87" stopIfTrue="1">
      <formula>"esterreur(reference)"</formula>
    </cfRule>
  </conditionalFormatting>
  <conditionalFormatting sqref="K185:L196">
    <cfRule type="expression" dxfId="419" priority="83" stopIfTrue="1">
      <formula>"esterreur(reference)"</formula>
    </cfRule>
  </conditionalFormatting>
  <conditionalFormatting sqref="K239:L241">
    <cfRule type="expression" dxfId="418" priority="78" stopIfTrue="1">
      <formula>"esterreur(reference)"</formula>
    </cfRule>
  </conditionalFormatting>
  <conditionalFormatting sqref="K244:L244">
    <cfRule type="expression" dxfId="417" priority="86" stopIfTrue="1">
      <formula>"esterreur(reference)"</formula>
    </cfRule>
  </conditionalFormatting>
  <conditionalFormatting sqref="K247:L247">
    <cfRule type="expression" dxfId="416" priority="85" stopIfTrue="1">
      <formula>"esterreur(reference)"</formula>
    </cfRule>
  </conditionalFormatting>
  <conditionalFormatting sqref="L16:L24">
    <cfRule type="expression" dxfId="415" priority="101" stopIfTrue="1">
      <formula>"esterreur(reference)"</formula>
    </cfRule>
  </conditionalFormatting>
  <conditionalFormatting sqref="L42:L48">
    <cfRule type="expression" dxfId="414" priority="100" stopIfTrue="1">
      <formula>"esterreur(reference)"</formula>
    </cfRule>
  </conditionalFormatting>
  <conditionalFormatting sqref="L55:L66">
    <cfRule type="expression" dxfId="413" priority="68" stopIfTrue="1">
      <formula>"esterreur(reference)"</formula>
    </cfRule>
  </conditionalFormatting>
  <conditionalFormatting sqref="L68:L71">
    <cfRule type="expression" dxfId="412" priority="32" stopIfTrue="1">
      <formula>"esterreur(reference)"</formula>
    </cfRule>
  </conditionalFormatting>
  <conditionalFormatting sqref="L75:L82">
    <cfRule type="expression" dxfId="411" priority="69" stopIfTrue="1">
      <formula>"esterreur(reference)"</formula>
    </cfRule>
  </conditionalFormatting>
  <conditionalFormatting sqref="L136:L147">
    <cfRule type="expression" dxfId="410" priority="73" stopIfTrue="1">
      <formula>"esterreur(reference)"</formula>
    </cfRule>
  </conditionalFormatting>
  <conditionalFormatting sqref="L174:L175">
    <cfRule type="expression" dxfId="409" priority="97" stopIfTrue="1">
      <formula>"esterreur(reference)"</formula>
    </cfRule>
  </conditionalFormatting>
  <conditionalFormatting sqref="L198:L209">
    <cfRule type="expression" dxfId="408" priority="96" stopIfTrue="1">
      <formula>"esterreur(reference)"</formula>
    </cfRule>
  </conditionalFormatting>
  <conditionalFormatting sqref="L211:L228">
    <cfRule type="expression" dxfId="407" priority="72" stopIfTrue="1">
      <formula>"esterreur(reference)"</formula>
    </cfRule>
  </conditionalFormatting>
  <conditionalFormatting sqref="L254:L265">
    <cfRule type="expression" dxfId="406" priority="95" stopIfTrue="1">
      <formula>"esterreur(reference)"</formula>
    </cfRule>
  </conditionalFormatting>
  <conditionalFormatting sqref="L267:L284">
    <cfRule type="expression" dxfId="405" priority="71" stopIfTrue="1">
      <formula>"esterreur(reference)"</formula>
    </cfRule>
  </conditionalFormatting>
  <conditionalFormatting sqref="L318:L329">
    <cfRule type="expression" dxfId="404" priority="93" stopIfTrue="1">
      <formula>"esterreur(reference)"</formula>
    </cfRule>
  </conditionalFormatting>
  <conditionalFormatting sqref="L331">
    <cfRule type="expression" dxfId="403" priority="70" stopIfTrue="1">
      <formula>"esterreur(reference)"</formula>
    </cfRule>
  </conditionalFormatting>
  <conditionalFormatting sqref="L334:L343 L345:L348">
    <cfRule type="expression" dxfId="402" priority="92" stopIfTrue="1">
      <formula>"esterreur(reference)"</formula>
    </cfRule>
  </conditionalFormatting>
  <conditionalFormatting sqref="L356:L357 H357:I357 K357 J357:J358 H359:L359">
    <cfRule type="expression" dxfId="401" priority="107" stopIfTrue="1">
      <formula>"esterreur(reference)"</formula>
    </cfRule>
  </conditionalFormatting>
  <conditionalFormatting sqref="L5:Q14">
    <cfRule type="expression" dxfId="400" priority="62" stopIfTrue="1">
      <formula>"esterreur(reference)"</formula>
    </cfRule>
  </conditionalFormatting>
  <conditionalFormatting sqref="L156:Q162">
    <cfRule type="expression" dxfId="399" priority="28" stopIfTrue="1">
      <formula>"esterreur(reference)"</formula>
    </cfRule>
  </conditionalFormatting>
  <conditionalFormatting sqref="M95:M97">
    <cfRule type="expression" dxfId="398" priority="103" stopIfTrue="1">
      <formula>"esterreur(reference)"</formula>
    </cfRule>
  </conditionalFormatting>
  <conditionalFormatting sqref="O13:O14 O16 O18:O24 O83:Q85">
    <cfRule type="expression" dxfId="397" priority="66" stopIfTrue="1">
      <formula>"esterreur(reference)"</formula>
    </cfRule>
  </conditionalFormatting>
  <conditionalFormatting sqref="O172:O196 Q183 O198:P229 O232:Q232 O233:P233">
    <cfRule type="expression" dxfId="396" priority="55" stopIfTrue="1">
      <formula>"esterreur(reference)"</formula>
    </cfRule>
  </conditionalFormatting>
  <conditionalFormatting sqref="O318:P348 O349:Q349 O352:Q352 O353:P353">
    <cfRule type="expression" dxfId="395" priority="39" stopIfTrue="1">
      <formula>"esterreur(reference)"</formula>
    </cfRule>
  </conditionalFormatting>
  <conditionalFormatting sqref="O25:Q72">
    <cfRule type="expression" dxfId="394" priority="4" stopIfTrue="1">
      <formula>"esterreur(reference)"</formula>
    </cfRule>
  </conditionalFormatting>
  <conditionalFormatting sqref="O97:Q98 O122:Q122 O156:P157 O164:Q164 O165:P165">
    <cfRule type="expression" dxfId="393" priority="61" stopIfTrue="1">
      <formula>"esterreur(reference)"</formula>
    </cfRule>
  </conditionalFormatting>
  <conditionalFormatting sqref="O101:Q111">
    <cfRule type="expression" dxfId="392" priority="59" stopIfTrue="1">
      <formula>"esterreur(reference)"</formula>
    </cfRule>
  </conditionalFormatting>
  <conditionalFormatting sqref="O135:Q153">
    <cfRule type="expression" dxfId="391" priority="29" stopIfTrue="1">
      <formula>"esterreur(reference)"</formula>
    </cfRule>
  </conditionalFormatting>
  <conditionalFormatting sqref="O197:Q197">
    <cfRule type="expression" dxfId="390" priority="56" stopIfTrue="1">
      <formula>"esterreur(reference)"</formula>
    </cfRule>
  </conditionalFormatting>
  <conditionalFormatting sqref="O243:Q243 O252:Q253 O254:P284 O285:Q285 O288:Q288 O289:P289">
    <cfRule type="expression" dxfId="389" priority="46" stopIfTrue="1">
      <formula>"esterreur(reference)"</formula>
    </cfRule>
  </conditionalFormatting>
  <conditionalFormatting sqref="O295:Q317">
    <cfRule type="expression" dxfId="388" priority="37" stopIfTrue="1">
      <formula>"esterreur(reference)"</formula>
    </cfRule>
  </conditionalFormatting>
  <conditionalFormatting sqref="O359:Q394">
    <cfRule type="expression" dxfId="387" priority="33" stopIfTrue="1">
      <formula>"esterreur(reference)"</formula>
    </cfRule>
  </conditionalFormatting>
  <conditionalFormatting sqref="O396:Q399">
    <cfRule type="expression" dxfId="386" priority="34" stopIfTrue="1">
      <formula>"esterreur(reference)"</formula>
    </cfRule>
  </conditionalFormatting>
  <conditionalFormatting sqref="P5">
    <cfRule type="expression" dxfId="385" priority="63" stopIfTrue="1">
      <formula>"esterreur(reference)"</formula>
    </cfRule>
  </conditionalFormatting>
  <conditionalFormatting sqref="P175">
    <cfRule type="expression" dxfId="384" priority="50" stopIfTrue="1">
      <formula>"esterreur(reference)"</formula>
    </cfRule>
  </conditionalFormatting>
  <conditionalFormatting sqref="P183:P184">
    <cfRule type="expression" dxfId="383" priority="52" stopIfTrue="1">
      <formula>"esterreur(reference)"</formula>
    </cfRule>
  </conditionalFormatting>
  <conditionalFormatting sqref="P287">
    <cfRule type="expression" dxfId="382" priority="41" stopIfTrue="1">
      <formula>"esterreur(reference)"</formula>
    </cfRule>
  </conditionalFormatting>
  <conditionalFormatting sqref="P395">
    <cfRule type="expression" dxfId="381" priority="35" stopIfTrue="1">
      <formula>"esterreur(reference)"</formula>
    </cfRule>
  </conditionalFormatting>
  <conditionalFormatting sqref="P93:Q96">
    <cfRule type="expression" dxfId="380" priority="58" stopIfTrue="1">
      <formula>"esterreur(reference)"</formula>
    </cfRule>
  </conditionalFormatting>
  <conditionalFormatting sqref="P99:Q100">
    <cfRule type="expression" dxfId="379" priority="60" stopIfTrue="1">
      <formula>"esterreur(reference)"</formula>
    </cfRule>
  </conditionalFormatting>
  <conditionalFormatting sqref="P172:Q173">
    <cfRule type="expression" dxfId="378" priority="51" stopIfTrue="1">
      <formula>"esterreur(reference)"</formula>
    </cfRule>
  </conditionalFormatting>
  <conditionalFormatting sqref="P176:Q182">
    <cfRule type="expression" dxfId="377" priority="49" stopIfTrue="1">
      <formula>"esterreur(reference)"</formula>
    </cfRule>
  </conditionalFormatting>
  <conditionalFormatting sqref="P185:Q196">
    <cfRule type="expression" dxfId="376" priority="48" stopIfTrue="1">
      <formula>"esterreur(reference)"</formula>
    </cfRule>
  </conditionalFormatting>
  <conditionalFormatting sqref="P241:Q241">
    <cfRule type="expression" dxfId="375" priority="42" stopIfTrue="1">
      <formula>"esterreur(reference)"</formula>
    </cfRule>
  </conditionalFormatting>
  <conditionalFormatting sqref="P244:Q244">
    <cfRule type="expression" dxfId="374" priority="44" stopIfTrue="1">
      <formula>"esterreur(reference)"</formula>
    </cfRule>
  </conditionalFormatting>
  <conditionalFormatting sqref="P247:Q247">
    <cfRule type="expression" dxfId="373" priority="43" stopIfTrue="1">
      <formula>"esterreur(reference)"</formula>
    </cfRule>
  </conditionalFormatting>
  <conditionalFormatting sqref="Q16:Q24">
    <cfRule type="expression" dxfId="372" priority="65" stopIfTrue="1">
      <formula>"esterreur(reference)"</formula>
    </cfRule>
  </conditionalFormatting>
  <conditionalFormatting sqref="Q75:Q82">
    <cfRule type="expression" dxfId="371" priority="64" stopIfTrue="1">
      <formula>"esterreur(reference)"</formula>
    </cfRule>
  </conditionalFormatting>
  <conditionalFormatting sqref="Q174:Q175">
    <cfRule type="expression" dxfId="370" priority="54" stopIfTrue="1">
      <formula>"esterreur(reference)"</formula>
    </cfRule>
  </conditionalFormatting>
  <conditionalFormatting sqref="Q198:Q209">
    <cfRule type="expression" dxfId="369" priority="53" stopIfTrue="1">
      <formula>"esterreur(reference)"</formula>
    </cfRule>
  </conditionalFormatting>
  <conditionalFormatting sqref="Q211:Q228">
    <cfRule type="expression" dxfId="368" priority="47" stopIfTrue="1">
      <formula>"esterreur(reference)"</formula>
    </cfRule>
  </conditionalFormatting>
  <conditionalFormatting sqref="Q254:Q265">
    <cfRule type="expression" dxfId="367" priority="45" stopIfTrue="1">
      <formula>"esterreur(reference)"</formula>
    </cfRule>
  </conditionalFormatting>
  <conditionalFormatting sqref="Q267:Q284">
    <cfRule type="expression" dxfId="366" priority="40" stopIfTrue="1">
      <formula>"esterreur(reference)"</formula>
    </cfRule>
  </conditionalFormatting>
  <conditionalFormatting sqref="Q318:Q329">
    <cfRule type="expression" dxfId="365" priority="38" stopIfTrue="1">
      <formula>"esterreur(reference)"</formula>
    </cfRule>
  </conditionalFormatting>
  <conditionalFormatting sqref="Q331:Q348">
    <cfRule type="expression" dxfId="364" priority="36" stopIfTrue="1">
      <formula>"esterreur(reference)"</formula>
    </cfRule>
  </conditionalFormatting>
  <conditionalFormatting sqref="R312">
    <cfRule type="expression" dxfId="363" priority="104" stopIfTrue="1">
      <formula>"esterreur(reference)"</formula>
    </cfRule>
  </conditionalFormatting>
  <conditionalFormatting sqref="S186">
    <cfRule type="expression" dxfId="362" priority="75" stopIfTrue="1">
      <formula>"esterreur(reference)"</formula>
    </cfRule>
  </conditionalFormatting>
  <conditionalFormatting sqref="Z425:Z427">
    <cfRule type="cellIs" dxfId="361" priority="24" operator="greaterThan">
      <formula>0</formula>
    </cfRule>
  </conditionalFormatting>
  <conditionalFormatting sqref="Z432">
    <cfRule type="cellIs" dxfId="360" priority="21" operator="greaterThan">
      <formula>0</formula>
    </cfRule>
  </conditionalFormatting>
  <conditionalFormatting sqref="Z449:Z451">
    <cfRule type="cellIs" dxfId="359" priority="17" operator="greaterThan">
      <formula>0</formula>
    </cfRule>
  </conditionalFormatting>
  <conditionalFormatting sqref="Z463:Z465">
    <cfRule type="cellIs" dxfId="358" priority="13" operator="greaterThan">
      <formula>0</formula>
    </cfRule>
  </conditionalFormatting>
  <conditionalFormatting sqref="Z478:Z479">
    <cfRule type="cellIs" dxfId="357" priority="10" operator="greaterThan">
      <formula>0</formula>
    </cfRule>
  </conditionalFormatting>
  <conditionalFormatting sqref="Z495:Z497">
    <cfRule type="cellIs" dxfId="356" priority="7" operator="greaterThan">
      <formula>0</formula>
    </cfRule>
  </conditionalFormatting>
  <conditionalFormatting sqref="AC425:AC427">
    <cfRule type="cellIs" dxfId="355" priority="25" operator="greaterThan">
      <formula>0</formula>
    </cfRule>
  </conditionalFormatting>
  <conditionalFormatting sqref="AC432">
    <cfRule type="cellIs" dxfId="354" priority="22" operator="greaterThan">
      <formula>0</formula>
    </cfRule>
  </conditionalFormatting>
  <conditionalFormatting sqref="AC449:AC451">
    <cfRule type="cellIs" dxfId="353" priority="18" operator="greaterThan">
      <formula>0</formula>
    </cfRule>
  </conditionalFormatting>
  <conditionalFormatting sqref="AC463:AC465">
    <cfRule type="cellIs" dxfId="352" priority="14" operator="greaterThan">
      <formula>0</formula>
    </cfRule>
  </conditionalFormatting>
  <conditionalFormatting sqref="AC478:AC479">
    <cfRule type="cellIs" dxfId="351" priority="11" operator="greaterThan">
      <formula>0</formula>
    </cfRule>
  </conditionalFormatting>
  <conditionalFormatting sqref="AC495:AC497">
    <cfRule type="cellIs" dxfId="350" priority="8" operator="greaterThan">
      <formula>0</formula>
    </cfRule>
  </conditionalFormatting>
  <conditionalFormatting sqref="AG409:AI418">
    <cfRule type="cellIs" dxfId="349" priority="27" operator="greaterThan">
      <formula>0</formula>
    </cfRule>
  </conditionalFormatting>
  <conditionalFormatting sqref="AH449:AH452">
    <cfRule type="cellIs" dxfId="348" priority="19" operator="greaterThan">
      <formula>0</formula>
    </cfRule>
  </conditionalFormatting>
  <conditionalFormatting sqref="AH461:AH466">
    <cfRule type="cellIs" dxfId="347" priority="15" operator="greaterThan">
      <formula>0</formula>
    </cfRule>
  </conditionalFormatting>
  <conditionalFormatting sqref="AH420:AI448">
    <cfRule type="cellIs" dxfId="346" priority="23" operator="greaterThan">
      <formula>0</formula>
    </cfRule>
  </conditionalFormatting>
  <conditionalFormatting sqref="AH453:AI460 AH467:AI468">
    <cfRule type="cellIs" dxfId="345" priority="105" operator="greaterThan">
      <formula>0</formula>
    </cfRule>
  </conditionalFormatting>
  <conditionalFormatting sqref="AH469:AI477 AH480:AI480">
    <cfRule type="cellIs" dxfId="344" priority="106" operator="lessThan">
      <formula>0</formula>
    </cfRule>
  </conditionalFormatting>
  <conditionalFormatting sqref="AH478:AI479">
    <cfRule type="cellIs" dxfId="343" priority="12" operator="greaterThan">
      <formula>0</formula>
    </cfRule>
  </conditionalFormatting>
  <conditionalFormatting sqref="AH491:AI497">
    <cfRule type="cellIs" dxfId="342" priority="9" operator="greaterThan">
      <formula>0</formula>
    </cfRule>
  </conditionalFormatting>
  <conditionalFormatting sqref="AI449:AI451">
    <cfRule type="cellIs" dxfId="341" priority="20" operator="greaterThan">
      <formula>0</formula>
    </cfRule>
  </conditionalFormatting>
  <conditionalFormatting sqref="AI463:AI465">
    <cfRule type="cellIs" dxfId="340" priority="16" operator="greaterThan">
      <formula>0</formula>
    </cfRule>
  </conditionalFormatting>
  <conditionalFormatting sqref="AO409:AO418">
    <cfRule type="cellIs" dxfId="339" priority="26" operator="greaterThan">
      <formula>0</formula>
    </cfRule>
  </conditionalFormatting>
  <printOptions horizontalCentered="1"/>
  <pageMargins left="0" right="0" top="0.25" bottom="0.25" header="0.3" footer="0.3"/>
  <pageSetup scale="43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Feuil18">
    <tabColor rgb="FF00B050"/>
  </sheetPr>
  <dimension ref="A1:BJ702"/>
  <sheetViews>
    <sheetView topLeftCell="F452" zoomScale="60" zoomScaleNormal="60" workbookViewId="0">
      <selection activeCell="F452" sqref="A1:XFD1048576"/>
    </sheetView>
  </sheetViews>
  <sheetFormatPr baseColWidth="10" defaultColWidth="12.625" defaultRowHeight="15" customHeight="1" outlineLevelRow="1"/>
  <cols>
    <col min="1" max="1" width="24.125" customWidth="1"/>
    <col min="2" max="2" width="23.25" customWidth="1"/>
    <col min="3" max="3" width="34.625" customWidth="1"/>
    <col min="4" max="4" width="16.375" customWidth="1"/>
    <col min="5" max="5" width="15.625" customWidth="1"/>
    <col min="6" max="6" width="16.875" customWidth="1"/>
    <col min="7" max="7" width="17.75" hidden="1" customWidth="1"/>
    <col min="8" max="8" width="15.625" hidden="1" customWidth="1"/>
    <col min="9" max="9" width="15.875" hidden="1" customWidth="1"/>
    <col min="10" max="10" width="16.75" customWidth="1"/>
    <col min="11" max="11" width="14.5" customWidth="1"/>
    <col min="12" max="12" width="15.875" customWidth="1"/>
    <col min="13" max="13" width="12" customWidth="1"/>
    <col min="14" max="14" width="18.625" customWidth="1"/>
    <col min="15" max="15" width="16.375" customWidth="1"/>
    <col min="16" max="16" width="15.625" customWidth="1"/>
    <col min="17" max="17" width="16.375" customWidth="1"/>
    <col min="18" max="18" width="13.875" customWidth="1"/>
    <col min="19" max="19" width="18.625" customWidth="1"/>
    <col min="20" max="20" width="3" customWidth="1"/>
    <col min="21" max="21" width="4" customWidth="1"/>
    <col min="22" max="22" width="28.75" customWidth="1"/>
    <col min="23" max="23" width="12.25" customWidth="1"/>
    <col min="24" max="24" width="10.875" customWidth="1"/>
    <col min="25" max="25" width="10" customWidth="1"/>
    <col min="26" max="26" width="17.375" customWidth="1"/>
    <col min="27" max="27" width="10.875" hidden="1" customWidth="1"/>
    <col min="28" max="28" width="10" hidden="1" customWidth="1"/>
    <col min="29" max="29" width="17.5" hidden="1" customWidth="1"/>
    <col min="30" max="30" width="10.875" customWidth="1"/>
    <col min="31" max="31" width="12" customWidth="1"/>
    <col min="32" max="32" width="18.875" customWidth="1"/>
    <col min="33" max="33" width="10.875" customWidth="1"/>
    <col min="34" max="34" width="16.25" customWidth="1"/>
    <col min="35" max="35" width="12.375" customWidth="1"/>
    <col min="36" max="36" width="10.875" customWidth="1"/>
    <col min="37" max="37" width="10" customWidth="1"/>
    <col min="38" max="38" width="17.5" customWidth="1"/>
    <col min="39" max="39" width="10.875" customWidth="1"/>
    <col min="40" max="40" width="16" customWidth="1"/>
    <col min="41" max="41" width="12.375" customWidth="1"/>
    <col min="42" max="42" width="11.625" bestFit="1" customWidth="1"/>
    <col min="43" max="62" width="11" customWidth="1"/>
  </cols>
  <sheetData>
    <row r="1" spans="1:40" ht="35.25">
      <c r="B1" s="1"/>
      <c r="C1" s="1" t="s">
        <v>210</v>
      </c>
      <c r="D1" s="2"/>
      <c r="E1" s="2"/>
      <c r="F1" s="2"/>
      <c r="G1" s="2"/>
      <c r="H1" s="1"/>
      <c r="I1" s="2"/>
      <c r="J1" s="1"/>
      <c r="K1" s="3" t="s">
        <v>0</v>
      </c>
      <c r="L1" s="2"/>
      <c r="M1" s="2"/>
      <c r="N1" s="4"/>
      <c r="O1" s="1"/>
      <c r="P1" s="2"/>
      <c r="Q1" s="1"/>
      <c r="R1" s="2"/>
      <c r="S1" s="5" t="s">
        <v>265</v>
      </c>
      <c r="T1" s="2" t="s">
        <v>1</v>
      </c>
      <c r="U1" s="6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</row>
    <row r="2" spans="1:40" ht="16.5" thickBot="1">
      <c r="B2" s="7"/>
      <c r="C2" s="8"/>
      <c r="D2" s="456" t="s">
        <v>2</v>
      </c>
      <c r="E2" s="456" t="s">
        <v>3</v>
      </c>
      <c r="F2" s="456" t="s">
        <v>4</v>
      </c>
      <c r="G2" s="456"/>
      <c r="H2" s="456"/>
      <c r="I2" s="456"/>
      <c r="J2" s="456" t="s">
        <v>211</v>
      </c>
      <c r="K2" s="456"/>
      <c r="L2" s="456" t="s">
        <v>212</v>
      </c>
      <c r="M2" s="457"/>
      <c r="N2" s="457"/>
      <c r="O2" s="456" t="s">
        <v>2</v>
      </c>
      <c r="P2" s="456" t="s">
        <v>3</v>
      </c>
      <c r="Q2" s="456" t="s">
        <v>4</v>
      </c>
      <c r="R2" s="10"/>
      <c r="S2" s="10"/>
      <c r="T2" s="10"/>
      <c r="U2" s="10"/>
    </row>
    <row r="3" spans="1:40" ht="21" thickTop="1">
      <c r="B3" s="11"/>
      <c r="C3" s="12"/>
      <c r="D3" s="496" t="s">
        <v>5</v>
      </c>
      <c r="E3" s="497"/>
      <c r="F3" s="498"/>
      <c r="G3" s="499"/>
      <c r="H3" s="497"/>
      <c r="I3" s="498"/>
      <c r="J3" s="499" t="s">
        <v>7</v>
      </c>
      <c r="K3" s="497"/>
      <c r="L3" s="498"/>
      <c r="M3" s="499" t="s">
        <v>213</v>
      </c>
      <c r="N3" s="498"/>
      <c r="O3" s="496" t="s">
        <v>8</v>
      </c>
      <c r="P3" s="497"/>
      <c r="Q3" s="498"/>
      <c r="R3" s="494" t="s">
        <v>214</v>
      </c>
      <c r="S3" s="495"/>
      <c r="T3" s="13"/>
      <c r="U3" s="13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</row>
    <row r="4" spans="1:40" ht="20.25">
      <c r="B4" s="11"/>
      <c r="C4" s="14"/>
      <c r="D4" s="15" t="s">
        <v>10</v>
      </c>
      <c r="E4" s="16" t="s">
        <v>11</v>
      </c>
      <c r="F4" s="17" t="s">
        <v>12</v>
      </c>
      <c r="G4" s="18"/>
      <c r="H4" s="16"/>
      <c r="I4" s="17"/>
      <c r="J4" s="18" t="s">
        <v>10</v>
      </c>
      <c r="K4" s="16" t="s">
        <v>13</v>
      </c>
      <c r="L4" s="17" t="s">
        <v>12</v>
      </c>
      <c r="M4" s="18" t="s">
        <v>215</v>
      </c>
      <c r="N4" s="17" t="s">
        <v>12</v>
      </c>
      <c r="O4" s="16" t="s">
        <v>10</v>
      </c>
      <c r="P4" s="16" t="s">
        <v>11</v>
      </c>
      <c r="Q4" s="17" t="s">
        <v>12</v>
      </c>
      <c r="R4" s="18" t="s">
        <v>10</v>
      </c>
      <c r="S4" s="19" t="s">
        <v>12</v>
      </c>
      <c r="T4" s="13"/>
      <c r="U4" s="13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</row>
    <row r="5" spans="1:40" ht="20.25">
      <c r="A5" t="str">
        <f>+B5&amp;C5</f>
        <v>Véhicules neufsVentes nettes</v>
      </c>
      <c r="B5" s="11" t="str">
        <f t="shared" ref="B5:B85" si="0">+$K$1</f>
        <v>Véhicules neufs</v>
      </c>
      <c r="C5" s="20" t="s">
        <v>14</v>
      </c>
      <c r="D5" s="21"/>
      <c r="E5" s="21"/>
      <c r="F5" s="22">
        <v>2002452.1157754594</v>
      </c>
      <c r="G5" s="23"/>
      <c r="H5" s="21"/>
      <c r="I5" s="24"/>
      <c r="J5" s="23"/>
      <c r="K5" s="25"/>
      <c r="L5" s="22">
        <v>1468150.11</v>
      </c>
      <c r="M5" s="26"/>
      <c r="N5" s="27"/>
      <c r="O5" s="23"/>
      <c r="P5" s="25"/>
      <c r="Q5" s="22">
        <v>2532428.13</v>
      </c>
      <c r="R5" s="26"/>
      <c r="S5" s="28"/>
      <c r="T5" s="13"/>
      <c r="U5" s="13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</row>
    <row r="6" spans="1:40" ht="20.25">
      <c r="A6" t="str">
        <f t="shared" ref="A6" si="1">+B6&amp;C6</f>
        <v>Véhicules neufsAutos détail</v>
      </c>
      <c r="B6" s="11" t="str">
        <f t="shared" si="0"/>
        <v>Véhicules neufs</v>
      </c>
      <c r="C6" s="29" t="s">
        <v>15</v>
      </c>
      <c r="D6" s="30">
        <v>7</v>
      </c>
      <c r="E6" s="30">
        <f>IF(D6=0,0,F6/D6)</f>
        <v>5144.9382716049386</v>
      </c>
      <c r="F6" s="30">
        <v>36014.567901234572</v>
      </c>
      <c r="G6" s="31"/>
      <c r="H6" s="30"/>
      <c r="I6" s="30"/>
      <c r="J6" s="31">
        <v>8</v>
      </c>
      <c r="K6" s="30">
        <f>IF(J6=0,0,L6/J6)</f>
        <v>2390.5312500000064</v>
      </c>
      <c r="L6" s="32">
        <v>19124.250000000051</v>
      </c>
      <c r="M6" s="31">
        <f t="shared" ref="M6:M12" si="2">J6-D6</f>
        <v>1</v>
      </c>
      <c r="N6" s="33">
        <f t="shared" ref="N6:N12" si="3">L6-F6</f>
        <v>-16890.317901234521</v>
      </c>
      <c r="O6" s="31">
        <v>9</v>
      </c>
      <c r="P6" s="30">
        <f t="shared" ref="P6:P12" si="4">IF(O6=0,0,Q6/O6)</f>
        <v>5589.2288888888779</v>
      </c>
      <c r="Q6" s="32">
        <v>50303.059999999903</v>
      </c>
      <c r="R6" s="31">
        <f>J6-O6</f>
        <v>-1</v>
      </c>
      <c r="S6" s="34">
        <f>L6-Q6</f>
        <v>-31178.809999999852</v>
      </c>
      <c r="T6" s="13"/>
      <c r="U6" s="13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</row>
    <row r="7" spans="1:40" ht="20.25">
      <c r="A7" t="str">
        <f>+B7&amp;C7</f>
        <v>Véhicules neufsCamions détail</v>
      </c>
      <c r="B7" s="11" t="str">
        <f t="shared" si="0"/>
        <v>Véhicules neufs</v>
      </c>
      <c r="C7" s="29" t="s">
        <v>16</v>
      </c>
      <c r="D7" s="30">
        <v>13</v>
      </c>
      <c r="E7" s="30">
        <f t="shared" ref="E7:E12" si="5">IF(D7=0,0,F7/D7)</f>
        <v>5386.4238410596026</v>
      </c>
      <c r="F7" s="30">
        <v>70023.50993377484</v>
      </c>
      <c r="G7" s="31"/>
      <c r="H7" s="30"/>
      <c r="I7" s="30"/>
      <c r="J7" s="31">
        <v>4</v>
      </c>
      <c r="K7" s="30">
        <f t="shared" ref="K7:K12" si="6">IF(J7=0,0,L7/J7)</f>
        <v>4085.9799999999996</v>
      </c>
      <c r="L7" s="32">
        <v>16343.919999999998</v>
      </c>
      <c r="M7" s="31">
        <f t="shared" si="2"/>
        <v>-9</v>
      </c>
      <c r="N7" s="33">
        <f t="shared" si="3"/>
        <v>-53679.589933774841</v>
      </c>
      <c r="O7" s="31">
        <v>14</v>
      </c>
      <c r="P7" s="30">
        <f t="shared" si="4"/>
        <v>5896.9685714285715</v>
      </c>
      <c r="Q7" s="32">
        <v>82557.56</v>
      </c>
      <c r="R7" s="31">
        <f t="shared" ref="R7:R12" si="7">J7-O7</f>
        <v>-10</v>
      </c>
      <c r="S7" s="34">
        <f t="shared" ref="S7:S12" si="8">L7-Q7</f>
        <v>-66213.64</v>
      </c>
      <c r="T7" s="13"/>
      <c r="U7" s="13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</row>
    <row r="8" spans="1:40" ht="20.25" hidden="1">
      <c r="A8" t="str">
        <f>+B8&amp;C8</f>
        <v>Véhicules neufsSprinter</v>
      </c>
      <c r="B8" s="11" t="str">
        <f t="shared" si="0"/>
        <v>Véhicules neufs</v>
      </c>
      <c r="C8" s="29" t="s">
        <v>17</v>
      </c>
      <c r="D8" s="30">
        <v>0</v>
      </c>
      <c r="E8" s="30">
        <f t="shared" si="5"/>
        <v>0</v>
      </c>
      <c r="F8" s="30">
        <v>0</v>
      </c>
      <c r="G8" s="31"/>
      <c r="H8" s="30"/>
      <c r="I8" s="30"/>
      <c r="J8" s="31">
        <v>0</v>
      </c>
      <c r="K8" s="30">
        <f t="shared" si="6"/>
        <v>0</v>
      </c>
      <c r="L8" s="32">
        <v>0</v>
      </c>
      <c r="M8" s="31">
        <f t="shared" si="2"/>
        <v>0</v>
      </c>
      <c r="N8" s="33">
        <f t="shared" si="3"/>
        <v>0</v>
      </c>
      <c r="O8" s="31">
        <v>0</v>
      </c>
      <c r="P8" s="30">
        <f t="shared" si="4"/>
        <v>0</v>
      </c>
      <c r="Q8" s="32">
        <v>0</v>
      </c>
      <c r="R8" s="31">
        <f t="shared" si="7"/>
        <v>0</v>
      </c>
      <c r="S8" s="34">
        <f t="shared" si="8"/>
        <v>0</v>
      </c>
      <c r="T8" s="13"/>
      <c r="U8" s="13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11"/>
    </row>
    <row r="9" spans="1:40" ht="20.25" hidden="1">
      <c r="A9" t="str">
        <f>+B9&amp;C9</f>
        <v>Véhicules neufsMoto détail</v>
      </c>
      <c r="B9" s="11" t="str">
        <f t="shared" si="0"/>
        <v>Véhicules neufs</v>
      </c>
      <c r="C9" s="29" t="s">
        <v>18</v>
      </c>
      <c r="D9" s="30">
        <v>0</v>
      </c>
      <c r="E9" s="30">
        <f t="shared" si="5"/>
        <v>0</v>
      </c>
      <c r="F9" s="30">
        <v>0</v>
      </c>
      <c r="G9" s="31"/>
      <c r="H9" s="30"/>
      <c r="I9" s="30"/>
      <c r="J9" s="31">
        <v>0</v>
      </c>
      <c r="K9" s="30">
        <f t="shared" si="6"/>
        <v>0</v>
      </c>
      <c r="L9" s="32">
        <v>0</v>
      </c>
      <c r="M9" s="31">
        <f t="shared" si="2"/>
        <v>0</v>
      </c>
      <c r="N9" s="33">
        <f t="shared" si="3"/>
        <v>0</v>
      </c>
      <c r="O9" s="31">
        <v>0</v>
      </c>
      <c r="P9" s="30">
        <f t="shared" si="4"/>
        <v>0</v>
      </c>
      <c r="Q9" s="32">
        <v>0</v>
      </c>
      <c r="R9" s="31">
        <f t="shared" si="7"/>
        <v>0</v>
      </c>
      <c r="S9" s="34">
        <f t="shared" si="8"/>
        <v>0</v>
      </c>
      <c r="T9" s="13"/>
      <c r="U9" s="13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11"/>
    </row>
    <row r="10" spans="1:40" ht="20.25" hidden="1">
      <c r="A10" t="str">
        <f>+B10&amp;C10</f>
        <v>Véhicules neufs[...]</v>
      </c>
      <c r="B10" s="11" t="str">
        <f t="shared" si="0"/>
        <v>Véhicules neufs</v>
      </c>
      <c r="C10" s="29" t="s">
        <v>19</v>
      </c>
      <c r="D10" s="30">
        <v>0</v>
      </c>
      <c r="E10" s="30">
        <f t="shared" si="5"/>
        <v>0</v>
      </c>
      <c r="F10" s="30">
        <v>0</v>
      </c>
      <c r="G10" s="31"/>
      <c r="H10" s="30"/>
      <c r="I10" s="30"/>
      <c r="J10" s="31">
        <v>0</v>
      </c>
      <c r="K10" s="30">
        <f t="shared" si="6"/>
        <v>0</v>
      </c>
      <c r="L10" s="32">
        <v>0</v>
      </c>
      <c r="M10" s="31">
        <f t="shared" si="2"/>
        <v>0</v>
      </c>
      <c r="N10" s="33">
        <f t="shared" si="3"/>
        <v>0</v>
      </c>
      <c r="O10" s="31">
        <v>0</v>
      </c>
      <c r="P10" s="30">
        <f t="shared" si="4"/>
        <v>0</v>
      </c>
      <c r="Q10" s="32">
        <v>0</v>
      </c>
      <c r="R10" s="31">
        <f t="shared" si="7"/>
        <v>0</v>
      </c>
      <c r="S10" s="34">
        <f t="shared" si="8"/>
        <v>0</v>
      </c>
      <c r="T10" s="13"/>
      <c r="U10" s="13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1"/>
    </row>
    <row r="11" spans="1:40" ht="20.25" hidden="1">
      <c r="A11" t="str">
        <f>+B11&amp;C11</f>
        <v>Véhicules neufs[...]</v>
      </c>
      <c r="B11" s="11" t="str">
        <f t="shared" si="0"/>
        <v>Véhicules neufs</v>
      </c>
      <c r="C11" s="29" t="s">
        <v>19</v>
      </c>
      <c r="D11" s="30">
        <v>0</v>
      </c>
      <c r="E11" s="30">
        <f t="shared" si="5"/>
        <v>0</v>
      </c>
      <c r="F11" s="30">
        <v>0</v>
      </c>
      <c r="G11" s="31"/>
      <c r="H11" s="30"/>
      <c r="I11" s="30"/>
      <c r="J11" s="31">
        <v>0</v>
      </c>
      <c r="K11" s="30">
        <f t="shared" si="6"/>
        <v>0</v>
      </c>
      <c r="L11" s="32">
        <v>0</v>
      </c>
      <c r="M11" s="31">
        <f t="shared" si="2"/>
        <v>0</v>
      </c>
      <c r="N11" s="33">
        <f t="shared" si="3"/>
        <v>0</v>
      </c>
      <c r="O11" s="31">
        <v>0</v>
      </c>
      <c r="P11" s="30">
        <f t="shared" si="4"/>
        <v>0</v>
      </c>
      <c r="Q11" s="32">
        <v>0</v>
      </c>
      <c r="R11" s="31">
        <f t="shared" si="7"/>
        <v>0</v>
      </c>
      <c r="S11" s="34">
        <f t="shared" si="8"/>
        <v>0</v>
      </c>
      <c r="T11" s="13"/>
      <c r="U11" s="13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/>
    </row>
    <row r="12" spans="1:40" ht="20.25" hidden="1">
      <c r="A12" t="str">
        <f t="shared" ref="A12:A36" si="9">+B12&amp;C12</f>
        <v>Véhicules neufs[...]</v>
      </c>
      <c r="B12" s="11" t="str">
        <f t="shared" si="0"/>
        <v>Véhicules neufs</v>
      </c>
      <c r="C12" s="29" t="s">
        <v>19</v>
      </c>
      <c r="D12" s="30">
        <v>0</v>
      </c>
      <c r="E12" s="30">
        <f t="shared" si="5"/>
        <v>0</v>
      </c>
      <c r="F12" s="30">
        <v>0</v>
      </c>
      <c r="G12" s="31"/>
      <c r="H12" s="30"/>
      <c r="I12" s="30"/>
      <c r="J12" s="31">
        <v>0</v>
      </c>
      <c r="K12" s="30">
        <f t="shared" si="6"/>
        <v>0</v>
      </c>
      <c r="L12" s="32">
        <v>0</v>
      </c>
      <c r="M12" s="31">
        <f t="shared" si="2"/>
        <v>0</v>
      </c>
      <c r="N12" s="33">
        <f t="shared" si="3"/>
        <v>0</v>
      </c>
      <c r="O12" s="31">
        <v>0</v>
      </c>
      <c r="P12" s="30">
        <f t="shared" si="4"/>
        <v>0</v>
      </c>
      <c r="Q12" s="32">
        <v>0</v>
      </c>
      <c r="R12" s="31">
        <f t="shared" si="7"/>
        <v>0</v>
      </c>
      <c r="S12" s="34">
        <f t="shared" si="8"/>
        <v>0</v>
      </c>
      <c r="T12" s="13"/>
      <c r="U12" s="13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1"/>
      <c r="AM12" s="11"/>
      <c r="AN12" s="11"/>
    </row>
    <row r="13" spans="1:40" ht="20.25">
      <c r="A13" t="str">
        <f t="shared" si="9"/>
        <v>Véhicules neufsTotal Neufs</v>
      </c>
      <c r="B13" s="11" t="str">
        <f t="shared" si="0"/>
        <v>Véhicules neufs</v>
      </c>
      <c r="C13" s="35" t="s">
        <v>20</v>
      </c>
      <c r="D13" s="36">
        <f>+SUM(D6:D12)</f>
        <v>20</v>
      </c>
      <c r="E13" s="36">
        <f>IF(D13&lt;=0,0,F13/D13)</f>
        <v>5301.9038917504704</v>
      </c>
      <c r="F13" s="37">
        <f>+SUM(F6:F12)</f>
        <v>106038.0778350094</v>
      </c>
      <c r="G13" s="38"/>
      <c r="H13" s="36"/>
      <c r="I13" s="37"/>
      <c r="J13" s="38">
        <f>+SUM(J6:J12)</f>
        <v>12</v>
      </c>
      <c r="K13" s="36">
        <f>IF(J13&lt;=0,0,L13/J13)</f>
        <v>2955.6808333333374</v>
      </c>
      <c r="L13" s="37">
        <f>+SUM(L6:L12)</f>
        <v>35468.170000000049</v>
      </c>
      <c r="M13" s="38">
        <f>+SUM(M6:M12)</f>
        <v>-8</v>
      </c>
      <c r="N13" s="37">
        <f t="shared" ref="N13" si="10">+SUM(N6:N12)</f>
        <v>-70569.907835009362</v>
      </c>
      <c r="O13" s="38">
        <f>+SUM(O6:O12)</f>
        <v>23</v>
      </c>
      <c r="P13" s="36">
        <f>IF(O13&lt;=0,0,Q13/O13)</f>
        <v>5776.54869565217</v>
      </c>
      <c r="Q13" s="37">
        <f t="shared" ref="Q13" si="11">+SUM(Q6:Q12)</f>
        <v>132860.61999999991</v>
      </c>
      <c r="R13" s="38">
        <f>+SUM(R6:R12)</f>
        <v>-11</v>
      </c>
      <c r="S13" s="39">
        <f>+SUM(S6:S12)</f>
        <v>-97392.449999999852</v>
      </c>
      <c r="T13" s="13"/>
      <c r="U13" s="13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</row>
    <row r="14" spans="1:40" ht="20.25">
      <c r="A14" t="str">
        <f t="shared" si="9"/>
        <v>Véhicules neufs</v>
      </c>
      <c r="B14" s="11" t="str">
        <f t="shared" si="0"/>
        <v>Véhicules neufs</v>
      </c>
      <c r="C14" s="29"/>
      <c r="D14" s="13"/>
      <c r="E14" s="30"/>
      <c r="F14" s="40"/>
      <c r="G14" s="41"/>
      <c r="H14" s="30"/>
      <c r="I14" s="40"/>
      <c r="J14" s="41"/>
      <c r="K14" s="30"/>
      <c r="L14" s="40"/>
      <c r="M14" s="42">
        <f>IF(D13=0,0,M13/D13)</f>
        <v>-0.4</v>
      </c>
      <c r="N14" s="43">
        <f>IF(F13=0,0,N13/F13)</f>
        <v>-0.66551477804806158</v>
      </c>
      <c r="O14" s="41"/>
      <c r="P14" s="30"/>
      <c r="Q14" s="40"/>
      <c r="R14" s="42">
        <f>R13/O13</f>
        <v>-0.47826086956521741</v>
      </c>
      <c r="S14" s="44">
        <f>IF(Q13=0,0,(S13/Q13))</f>
        <v>-0.73304226639917769</v>
      </c>
      <c r="T14" s="13"/>
      <c r="U14" s="13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</row>
    <row r="15" spans="1:40" ht="20.25">
      <c r="A15" t="str">
        <f t="shared" si="9"/>
        <v>Véhicules neufsEx-Démos et courtoisies</v>
      </c>
      <c r="B15" s="11" t="str">
        <f t="shared" si="0"/>
        <v>Véhicules neufs</v>
      </c>
      <c r="C15" s="45" t="s">
        <v>21</v>
      </c>
      <c r="D15" s="25">
        <v>2</v>
      </c>
      <c r="E15" s="25">
        <f>IF(D15=0,0,F15/D15)</f>
        <v>2500</v>
      </c>
      <c r="F15" s="22">
        <v>5000</v>
      </c>
      <c r="G15" s="46"/>
      <c r="H15" s="47"/>
      <c r="I15" s="48"/>
      <c r="J15" s="49">
        <v>2</v>
      </c>
      <c r="K15" s="50">
        <f>IF(J15=0,0,L15/J15)</f>
        <v>1513.8850000000093</v>
      </c>
      <c r="L15" s="50">
        <v>3027.7700000000186</v>
      </c>
      <c r="M15" s="51">
        <f>J15-D15</f>
        <v>0</v>
      </c>
      <c r="N15" s="48">
        <f>L15-F15</f>
        <v>-1972.2299999999814</v>
      </c>
      <c r="O15" s="49">
        <v>3</v>
      </c>
      <c r="P15" s="50">
        <f>IF(O15=0,0,Q15/O15)</f>
        <v>2568.3866666666668</v>
      </c>
      <c r="Q15" s="50">
        <v>7705.16</v>
      </c>
      <c r="R15" s="51">
        <f>J15-O15</f>
        <v>-1</v>
      </c>
      <c r="S15" s="52">
        <f>L15-Q15</f>
        <v>-4677.3899999999812</v>
      </c>
      <c r="T15" s="13"/>
      <c r="U15" s="13"/>
      <c r="V15" s="11"/>
      <c r="W15" s="458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1"/>
    </row>
    <row r="16" spans="1:40" ht="20.25">
      <c r="A16" t="str">
        <f t="shared" si="9"/>
        <v>Véhicules neufs</v>
      </c>
      <c r="B16" s="11" t="str">
        <f t="shared" si="0"/>
        <v>Véhicules neufs</v>
      </c>
      <c r="C16" s="29"/>
      <c r="D16" s="13"/>
      <c r="E16" s="30"/>
      <c r="F16" s="40"/>
      <c r="G16" s="41"/>
      <c r="H16" s="30"/>
      <c r="I16" s="40"/>
      <c r="J16" s="41"/>
      <c r="K16" s="30"/>
      <c r="L16" s="33"/>
      <c r="M16" s="42"/>
      <c r="N16" s="43"/>
      <c r="O16" s="41"/>
      <c r="P16" s="30"/>
      <c r="Q16" s="33"/>
      <c r="R16" s="42"/>
      <c r="S16" s="44"/>
      <c r="T16" s="13"/>
      <c r="U16" s="13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</row>
    <row r="17" spans="1:40" ht="20.25">
      <c r="A17" t="str">
        <f t="shared" si="9"/>
        <v>Véhicules neufsFlottes</v>
      </c>
      <c r="B17" s="11" t="str">
        <f t="shared" si="0"/>
        <v>Véhicules neufs</v>
      </c>
      <c r="C17" s="53" t="s">
        <v>22</v>
      </c>
      <c r="D17" s="30">
        <v>0</v>
      </c>
      <c r="E17" s="30">
        <f>IF(D17=0,0,F17/D17)</f>
        <v>0</v>
      </c>
      <c r="F17" s="30">
        <v>0</v>
      </c>
      <c r="G17" s="31"/>
      <c r="H17" s="30"/>
      <c r="I17" s="30"/>
      <c r="J17" s="51">
        <v>1</v>
      </c>
      <c r="K17" s="30">
        <f>IF(J17=0,0,L17/J17)</f>
        <v>12964.170000000013</v>
      </c>
      <c r="L17" s="33">
        <v>12964.170000000013</v>
      </c>
      <c r="M17" s="51">
        <f>J17-D17</f>
        <v>1</v>
      </c>
      <c r="N17" s="33">
        <f>L17-F17</f>
        <v>12964.170000000013</v>
      </c>
      <c r="O17" s="51">
        <v>0</v>
      </c>
      <c r="P17" s="30">
        <f>IF(O17=0,0,Q17/O17)</f>
        <v>0</v>
      </c>
      <c r="Q17" s="33">
        <v>0</v>
      </c>
      <c r="R17" s="31">
        <f>J17-O17</f>
        <v>1</v>
      </c>
      <c r="S17" s="34">
        <f>L17-Q17</f>
        <v>12964.170000000013</v>
      </c>
      <c r="T17" s="13"/>
      <c r="U17" s="13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</row>
    <row r="18" spans="1:40" ht="20.25">
      <c r="A18" t="str">
        <f t="shared" si="9"/>
        <v>Véhicules neufs</v>
      </c>
      <c r="B18" s="11" t="str">
        <f t="shared" si="0"/>
        <v>Véhicules neufs</v>
      </c>
      <c r="C18" s="35"/>
      <c r="D18" s="54"/>
      <c r="E18" s="54"/>
      <c r="F18" s="55"/>
      <c r="G18" s="56"/>
      <c r="H18" s="54"/>
      <c r="I18" s="55"/>
      <c r="J18" s="31"/>
      <c r="K18" s="54"/>
      <c r="L18" s="55"/>
      <c r="M18" s="31"/>
      <c r="N18" s="55"/>
      <c r="O18" s="31"/>
      <c r="P18" s="54"/>
      <c r="Q18" s="55"/>
      <c r="R18" s="56"/>
      <c r="S18" s="57"/>
      <c r="T18" s="13"/>
      <c r="U18" s="13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</row>
    <row r="19" spans="1:40" ht="20.25">
      <c r="A19" t="str">
        <f t="shared" si="9"/>
        <v>Véhicules neufsRachat bail</v>
      </c>
      <c r="B19" s="11" t="str">
        <f t="shared" si="0"/>
        <v>Véhicules neufs</v>
      </c>
      <c r="C19" s="45" t="s">
        <v>23</v>
      </c>
      <c r="D19" s="30">
        <v>0</v>
      </c>
      <c r="E19" s="30">
        <f>IF(D19=0,0,F19/D19)</f>
        <v>0</v>
      </c>
      <c r="F19" s="30">
        <v>3057.176756561425</v>
      </c>
      <c r="G19" s="31"/>
      <c r="H19" s="30"/>
      <c r="I19" s="30"/>
      <c r="J19" s="46"/>
      <c r="K19" s="30"/>
      <c r="L19" s="33">
        <v>5620.9499999999825</v>
      </c>
      <c r="M19" s="31"/>
      <c r="N19" s="33">
        <f>L19-F19</f>
        <v>2563.7732434385575</v>
      </c>
      <c r="O19" s="46"/>
      <c r="P19" s="30"/>
      <c r="Q19" s="33">
        <v>9990</v>
      </c>
      <c r="R19" s="31">
        <f>O19-K19</f>
        <v>0</v>
      </c>
      <c r="S19" s="34">
        <f>L19-Q19</f>
        <v>-4369.0500000000175</v>
      </c>
      <c r="T19" s="13"/>
      <c r="U19" s="13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</row>
    <row r="20" spans="1:40" ht="20.25">
      <c r="A20" t="str">
        <f t="shared" si="9"/>
        <v>Véhicules neufs</v>
      </c>
      <c r="B20" s="11" t="str">
        <f t="shared" si="0"/>
        <v>Véhicules neufs</v>
      </c>
      <c r="C20" s="35"/>
      <c r="D20" s="54"/>
      <c r="E20" s="54"/>
      <c r="F20" s="55"/>
      <c r="G20" s="56"/>
      <c r="H20" s="54"/>
      <c r="I20" s="55"/>
      <c r="J20" s="31"/>
      <c r="K20" s="54"/>
      <c r="L20" s="55"/>
      <c r="M20" s="56"/>
      <c r="N20" s="55"/>
      <c r="O20" s="31"/>
      <c r="P20" s="54"/>
      <c r="Q20" s="55"/>
      <c r="R20" s="56"/>
      <c r="S20" s="57"/>
      <c r="T20" s="13"/>
      <c r="U20" s="13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</row>
    <row r="21" spans="1:40" ht="20.25">
      <c r="A21" t="str">
        <f t="shared" si="9"/>
        <v>Véhicules neufsRev. Finances</v>
      </c>
      <c r="B21" s="11" t="str">
        <f t="shared" si="0"/>
        <v>Véhicules neufs</v>
      </c>
      <c r="C21" s="29" t="s">
        <v>24</v>
      </c>
      <c r="D21" s="30">
        <v>0</v>
      </c>
      <c r="E21" s="30">
        <f>IF(D21=0,0,F21/D21)</f>
        <v>0</v>
      </c>
      <c r="F21" s="30">
        <v>1870</v>
      </c>
      <c r="G21" s="41"/>
      <c r="H21" s="30"/>
      <c r="I21" s="30"/>
      <c r="J21" s="31"/>
      <c r="K21" s="30">
        <f>IF(J13=0,0,L21/(J13+J15))</f>
        <v>0</v>
      </c>
      <c r="L21" s="33">
        <v>0</v>
      </c>
      <c r="M21" s="31"/>
      <c r="N21" s="33">
        <f>L21-F21</f>
        <v>-1870</v>
      </c>
      <c r="O21" s="31"/>
      <c r="P21" s="30"/>
      <c r="Q21" s="33">
        <v>4398.7</v>
      </c>
      <c r="R21" s="31">
        <f>O21-K21</f>
        <v>0</v>
      </c>
      <c r="S21" s="34">
        <f>L21-Q21</f>
        <v>-4398.7</v>
      </c>
      <c r="T21" s="13"/>
      <c r="U21" s="13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1"/>
      <c r="AL21" s="11"/>
      <c r="AM21" s="11"/>
      <c r="AN21" s="11"/>
    </row>
    <row r="22" spans="1:40" ht="20.25">
      <c r="A22" t="str">
        <f t="shared" si="9"/>
        <v>Véhicules neufsRev. Protections</v>
      </c>
      <c r="B22" s="11" t="str">
        <f t="shared" si="0"/>
        <v>Véhicules neufs</v>
      </c>
      <c r="C22" s="29" t="s">
        <v>25</v>
      </c>
      <c r="D22" s="30">
        <v>0</v>
      </c>
      <c r="E22" s="30">
        <f>IF(D22=0,0,F22/D22)</f>
        <v>0</v>
      </c>
      <c r="F22" s="30">
        <v>22440</v>
      </c>
      <c r="G22" s="41"/>
      <c r="H22" s="30"/>
      <c r="I22" s="30"/>
      <c r="J22" s="31"/>
      <c r="K22" s="30">
        <f>IF(J13=0,0,L22/(J13+J15))</f>
        <v>1140.7714285714287</v>
      </c>
      <c r="L22" s="33">
        <v>15970.800000000003</v>
      </c>
      <c r="M22" s="31"/>
      <c r="N22" s="33">
        <f>L22-F22</f>
        <v>-6469.1999999999971</v>
      </c>
      <c r="O22" s="31"/>
      <c r="P22" s="30"/>
      <c r="Q22" s="33">
        <v>22299.999999999902</v>
      </c>
      <c r="R22" s="31">
        <f>O22-K22</f>
        <v>-1140.7714285714287</v>
      </c>
      <c r="S22" s="34">
        <f>L22-Q22</f>
        <v>-6329.1999999998989</v>
      </c>
      <c r="T22" s="13"/>
      <c r="U22" s="13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  <c r="AI22" s="11"/>
      <c r="AJ22" s="11"/>
      <c r="AK22" s="11"/>
      <c r="AL22" s="11"/>
      <c r="AM22" s="11"/>
      <c r="AN22" s="11"/>
    </row>
    <row r="23" spans="1:40" ht="20.25">
      <c r="A23" t="str">
        <f t="shared" si="9"/>
        <v>Véhicules neufsRev. Autres</v>
      </c>
      <c r="B23" s="11" t="str">
        <f t="shared" si="0"/>
        <v>Véhicules neufs</v>
      </c>
      <c r="C23" s="29" t="s">
        <v>26</v>
      </c>
      <c r="D23" s="30">
        <v>0</v>
      </c>
      <c r="E23" s="30">
        <f>IF(D23=0,0,F23/D23)</f>
        <v>0</v>
      </c>
      <c r="F23" s="30">
        <v>10890</v>
      </c>
      <c r="G23" s="41"/>
      <c r="H23" s="30"/>
      <c r="I23" s="30"/>
      <c r="J23" s="31"/>
      <c r="K23" s="30">
        <f>IF(J13=0,0,L23/(J13+J15))</f>
        <v>419.92857142857144</v>
      </c>
      <c r="L23" s="33">
        <v>5879</v>
      </c>
      <c r="M23" s="51"/>
      <c r="N23" s="33">
        <f>L23-F23</f>
        <v>-5011</v>
      </c>
      <c r="O23" s="31"/>
      <c r="P23" s="30"/>
      <c r="Q23" s="33">
        <v>14145.24</v>
      </c>
      <c r="R23" s="31">
        <f>O23-K23</f>
        <v>-419.92857142857144</v>
      </c>
      <c r="S23" s="34">
        <f>L23-Q23</f>
        <v>-8266.24</v>
      </c>
      <c r="T23" s="13"/>
      <c r="U23" s="13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11"/>
      <c r="AL23" s="11"/>
      <c r="AM23" s="11"/>
      <c r="AN23" s="11"/>
    </row>
    <row r="24" spans="1:40" ht="20.25">
      <c r="A24" t="str">
        <f t="shared" si="9"/>
        <v>Véhicules neufsTotal F&amp;I</v>
      </c>
      <c r="B24" s="11" t="str">
        <f t="shared" si="0"/>
        <v>Véhicules neufs</v>
      </c>
      <c r="C24" s="35" t="s">
        <v>27</v>
      </c>
      <c r="D24" s="36">
        <f>+D15+D13</f>
        <v>22</v>
      </c>
      <c r="E24" s="36">
        <f>IF(D24&lt;=0,0,F24/D24)</f>
        <v>1600</v>
      </c>
      <c r="F24" s="37">
        <f>F21+F22+F23</f>
        <v>35200</v>
      </c>
      <c r="G24" s="38"/>
      <c r="H24" s="36"/>
      <c r="I24" s="37"/>
      <c r="J24" s="38">
        <f>+J15+J13</f>
        <v>14</v>
      </c>
      <c r="K24" s="36">
        <f>IF(J24&lt;=0,0,L24/J24)</f>
        <v>1560.7000000000003</v>
      </c>
      <c r="L24" s="37">
        <f>L21+L22+L23</f>
        <v>21849.800000000003</v>
      </c>
      <c r="M24" s="58">
        <f>J24-D24</f>
        <v>-8</v>
      </c>
      <c r="N24" s="37">
        <f>L24-F24</f>
        <v>-13350.199999999997</v>
      </c>
      <c r="O24" s="38">
        <f>+O15+O13</f>
        <v>26</v>
      </c>
      <c r="P24" s="36">
        <f>IF(O24&lt;=0,0,Q24/O24)</f>
        <v>1570.9207692307655</v>
      </c>
      <c r="Q24" s="37">
        <f>Q21+Q22+Q23</f>
        <v>40843.9399999999</v>
      </c>
      <c r="R24" s="56"/>
      <c r="S24" s="39">
        <f>L24-Q24</f>
        <v>-18994.139999999898</v>
      </c>
      <c r="T24" s="13"/>
      <c r="U24" s="13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11"/>
      <c r="AL24" s="11"/>
      <c r="AM24" s="11"/>
      <c r="AN24" s="11"/>
    </row>
    <row r="25" spans="1:40" ht="20.25">
      <c r="A25" t="str">
        <f t="shared" si="9"/>
        <v>Véhicules neufs</v>
      </c>
      <c r="B25" s="11" t="str">
        <f t="shared" si="0"/>
        <v>Véhicules neufs</v>
      </c>
      <c r="C25" s="29"/>
      <c r="D25" s="13"/>
      <c r="E25" s="13"/>
      <c r="F25" s="59"/>
      <c r="G25" s="41"/>
      <c r="H25" s="13"/>
      <c r="I25" s="59"/>
      <c r="J25" s="41"/>
      <c r="K25" s="13"/>
      <c r="L25" s="59"/>
      <c r="M25" s="42"/>
      <c r="N25" s="43">
        <f>IF(N24=0,0,N24/F24)</f>
        <v>-0.37926704545454537</v>
      </c>
      <c r="O25" s="41"/>
      <c r="P25" s="13"/>
      <c r="Q25" s="59"/>
      <c r="R25" s="60"/>
      <c r="S25" s="44">
        <f>IF(Q24=0,0,(S24/Q24))</f>
        <v>-0.4650418152607203</v>
      </c>
      <c r="T25" s="13"/>
      <c r="U25" s="13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11"/>
      <c r="AL25" s="11"/>
      <c r="AM25" s="11"/>
      <c r="AN25" s="11"/>
    </row>
    <row r="26" spans="1:40" ht="21" thickBot="1">
      <c r="A26" t="str">
        <f t="shared" si="9"/>
        <v>Véhicules neufs</v>
      </c>
      <c r="B26" s="11" t="str">
        <f t="shared" si="0"/>
        <v>Véhicules neufs</v>
      </c>
      <c r="C26" s="29"/>
      <c r="D26" s="13"/>
      <c r="E26" s="13"/>
      <c r="F26" s="40"/>
      <c r="G26" s="41"/>
      <c r="H26" s="13"/>
      <c r="I26" s="40"/>
      <c r="J26" s="41"/>
      <c r="K26" s="13"/>
      <c r="L26" s="40"/>
      <c r="M26" s="41"/>
      <c r="N26" s="40"/>
      <c r="O26" s="41"/>
      <c r="P26" s="13"/>
      <c r="Q26" s="40"/>
      <c r="R26" s="41"/>
      <c r="S26" s="61"/>
      <c r="T26" s="13"/>
      <c r="U26" s="13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11"/>
      <c r="AL26" s="11"/>
      <c r="AM26" s="11"/>
      <c r="AN26" s="11"/>
    </row>
    <row r="27" spans="1:40" ht="21" thickTop="1">
      <c r="A27" t="str">
        <f t="shared" si="9"/>
        <v>Véhicules neufsTotal Dépt. Neufs</v>
      </c>
      <c r="B27" s="11" t="str">
        <f t="shared" si="0"/>
        <v>Véhicules neufs</v>
      </c>
      <c r="C27" s="62" t="s">
        <v>28</v>
      </c>
      <c r="D27" s="63">
        <f>+D13+D15+D17</f>
        <v>22</v>
      </c>
      <c r="E27" s="64">
        <f>IF(D27&lt;=0,0,F27/D27)</f>
        <v>6786.1479359804916</v>
      </c>
      <c r="F27" s="65">
        <f>F13+F17+F24+F19+F15</f>
        <v>149295.25459157082</v>
      </c>
      <c r="G27" s="66"/>
      <c r="H27" s="67"/>
      <c r="I27" s="65"/>
      <c r="J27" s="66">
        <f>+J13+J15+J17</f>
        <v>15</v>
      </c>
      <c r="K27" s="67">
        <f>IF(J27&lt;=0,0,L27/J27)</f>
        <v>5262.0573333333386</v>
      </c>
      <c r="L27" s="65">
        <f>L13+L17+L24+L19+L15</f>
        <v>78930.860000000073</v>
      </c>
      <c r="M27" s="66">
        <f>J27-D27</f>
        <v>-7</v>
      </c>
      <c r="N27" s="65">
        <f>L27-F27</f>
        <v>-70364.394591570745</v>
      </c>
      <c r="O27" s="66">
        <f>+O13+O15+O17</f>
        <v>26</v>
      </c>
      <c r="P27" s="67">
        <f>IF(O27&lt;=0,0,Q27/O27)</f>
        <v>7361.5276923076854</v>
      </c>
      <c r="Q27" s="65">
        <f>Q13+Q17+Q24+Q19+Q15</f>
        <v>191399.71999999983</v>
      </c>
      <c r="R27" s="66">
        <f>J27-O27</f>
        <v>-11</v>
      </c>
      <c r="S27" s="68">
        <f>L27-Q27</f>
        <v>-112468.85999999975</v>
      </c>
      <c r="T27" s="13"/>
      <c r="U27" s="13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11"/>
      <c r="AL27" s="11"/>
      <c r="AM27" s="11"/>
      <c r="AN27" s="11"/>
    </row>
    <row r="28" spans="1:40" ht="21" thickBot="1">
      <c r="A28" t="str">
        <f t="shared" si="9"/>
        <v>Véhicules neufs</v>
      </c>
      <c r="B28" s="11" t="str">
        <f t="shared" si="0"/>
        <v>Véhicules neufs</v>
      </c>
      <c r="C28" s="69"/>
      <c r="D28" s="70"/>
      <c r="E28" s="70"/>
      <c r="F28" s="71"/>
      <c r="G28" s="72"/>
      <c r="H28" s="70"/>
      <c r="I28" s="71"/>
      <c r="J28" s="72"/>
      <c r="K28" s="70"/>
      <c r="L28" s="71"/>
      <c r="M28" s="73">
        <f>M27/D27</f>
        <v>-0.31818181818181818</v>
      </c>
      <c r="N28" s="74">
        <f>N27/F27</f>
        <v>-0.47131032251539162</v>
      </c>
      <c r="O28" s="72"/>
      <c r="P28" s="70"/>
      <c r="Q28" s="71"/>
      <c r="R28" s="73">
        <f>R27/O27</f>
        <v>-0.42307692307692307</v>
      </c>
      <c r="S28" s="75">
        <f>IF(Q27=0,0,S27/Q27)</f>
        <v>-0.58761245836723197</v>
      </c>
      <c r="T28" s="13"/>
      <c r="U28" s="13"/>
      <c r="V28" s="11"/>
      <c r="W28" s="11"/>
      <c r="X28" s="11"/>
      <c r="Y28" s="11"/>
      <c r="Z28" s="11"/>
      <c r="AA28" s="11"/>
      <c r="AB28" s="11"/>
      <c r="AC28" s="11"/>
      <c r="AD28" s="11"/>
      <c r="AE28" s="11"/>
      <c r="AF28" s="11"/>
      <c r="AG28" s="11"/>
      <c r="AH28" s="11"/>
      <c r="AI28" s="11"/>
      <c r="AJ28" s="11"/>
      <c r="AK28" s="11"/>
      <c r="AL28" s="11"/>
      <c r="AM28" s="11"/>
      <c r="AN28" s="11"/>
    </row>
    <row r="29" spans="1:40" ht="21" thickTop="1">
      <c r="A29" t="str">
        <f t="shared" si="9"/>
        <v>Véhicules neufs</v>
      </c>
      <c r="B29" s="11" t="str">
        <f t="shared" si="0"/>
        <v>Véhicules neufs</v>
      </c>
      <c r="C29" s="53"/>
      <c r="D29" s="76"/>
      <c r="E29" s="76"/>
      <c r="F29" s="77"/>
      <c r="G29" s="78"/>
      <c r="H29" s="76"/>
      <c r="I29" s="77"/>
      <c r="J29" s="78"/>
      <c r="K29" s="76"/>
      <c r="L29" s="77"/>
      <c r="M29" s="42"/>
      <c r="N29" s="43"/>
      <c r="O29" s="78"/>
      <c r="P29" s="76"/>
      <c r="Q29" s="77"/>
      <c r="R29" s="42"/>
      <c r="S29" s="44"/>
      <c r="T29" s="13"/>
      <c r="U29" s="13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  <c r="AI29" s="11"/>
      <c r="AJ29" s="11"/>
      <c r="AK29" s="11"/>
      <c r="AL29" s="11"/>
      <c r="AM29" s="11"/>
      <c r="AN29" s="11"/>
    </row>
    <row r="30" spans="1:40" ht="20.25">
      <c r="A30" t="str">
        <f t="shared" si="9"/>
        <v>Véhicules neufsDEPENSES</v>
      </c>
      <c r="B30" s="11" t="str">
        <f t="shared" si="0"/>
        <v>Véhicules neufs</v>
      </c>
      <c r="C30" s="79" t="s">
        <v>29</v>
      </c>
      <c r="D30" s="13"/>
      <c r="E30" s="80"/>
      <c r="F30" s="59"/>
      <c r="G30" s="41"/>
      <c r="H30" s="80"/>
      <c r="I30" s="59"/>
      <c r="J30" s="41"/>
      <c r="K30" s="80"/>
      <c r="L30" s="40"/>
      <c r="M30" s="41"/>
      <c r="N30" s="40"/>
      <c r="O30" s="41"/>
      <c r="P30" s="80"/>
      <c r="Q30" s="40"/>
      <c r="R30" s="41"/>
      <c r="S30" s="61"/>
      <c r="T30" s="13"/>
      <c r="U30" s="13"/>
      <c r="V30" s="11"/>
      <c r="W30" s="11"/>
      <c r="X30" s="11"/>
      <c r="Y30" s="11"/>
      <c r="Z30" s="11"/>
      <c r="AA30" s="11"/>
      <c r="AB30" s="11"/>
      <c r="AC30" s="11"/>
      <c r="AD30" s="11"/>
      <c r="AE30" s="11"/>
      <c r="AF30" s="11"/>
      <c r="AG30" s="11"/>
      <c r="AH30" s="11"/>
      <c r="AI30" s="11"/>
      <c r="AJ30" s="11"/>
      <c r="AK30" s="11"/>
      <c r="AL30" s="11"/>
      <c r="AM30" s="11"/>
      <c r="AN30" s="11"/>
    </row>
    <row r="31" spans="1:40" ht="20.25">
      <c r="A31" t="str">
        <f t="shared" si="9"/>
        <v>Véhicules neufsComm. vendeurs</v>
      </c>
      <c r="B31" s="11" t="str">
        <f t="shared" si="0"/>
        <v>Véhicules neufs</v>
      </c>
      <c r="C31" s="29" t="s">
        <v>30</v>
      </c>
      <c r="D31" s="148">
        <f>F31/(F13+F15)</f>
        <v>0.2924434842381235</v>
      </c>
      <c r="E31" s="82">
        <f t="shared" ref="E31:E36" si="12">F31/D$24</f>
        <v>1476.0164711442774</v>
      </c>
      <c r="F31" s="30">
        <v>32472.3623651741</v>
      </c>
      <c r="G31" s="157"/>
      <c r="H31" s="82"/>
      <c r="I31" s="30"/>
      <c r="J31" s="157">
        <f>L31/(L13+L15)</f>
        <v>0.38257540925094891</v>
      </c>
      <c r="K31" s="82">
        <f t="shared" ref="K31:K36" si="13">IF(L31=0,0,L31/J$24)</f>
        <v>1051.9714285714285</v>
      </c>
      <c r="L31" s="30">
        <v>14727.6</v>
      </c>
      <c r="M31" s="41"/>
      <c r="N31" s="59">
        <f t="shared" ref="N31:N53" si="14">L31-F31</f>
        <v>-17744.762365174101</v>
      </c>
      <c r="O31" s="157">
        <f>Q31/(Q13+Q15+Q17)</f>
        <v>0.29395383428313793</v>
      </c>
      <c r="P31" s="82">
        <f t="shared" ref="P31:P40" si="15">Q31/O$24</f>
        <v>1589.2249999999999</v>
      </c>
      <c r="Q31" s="33">
        <v>41319.85</v>
      </c>
      <c r="R31" s="41"/>
      <c r="S31" s="85">
        <f t="shared" ref="S31:S36" si="16">L31-Q31</f>
        <v>-26592.25</v>
      </c>
      <c r="T31" s="13"/>
      <c r="U31" s="13"/>
      <c r="V31" s="11" t="s">
        <v>255</v>
      </c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11"/>
      <c r="AI31" s="11"/>
      <c r="AJ31" s="11"/>
      <c r="AK31" s="11"/>
      <c r="AL31" s="11"/>
      <c r="AM31" s="11"/>
      <c r="AN31" s="11"/>
    </row>
    <row r="32" spans="1:40" ht="20.25">
      <c r="A32" t="str">
        <f t="shared" si="9"/>
        <v>Véhicules neufsComm. F&amp;I</v>
      </c>
      <c r="B32" s="11" t="str">
        <f t="shared" si="0"/>
        <v>Véhicules neufs</v>
      </c>
      <c r="C32" s="86" t="s">
        <v>31</v>
      </c>
      <c r="D32" s="218">
        <f>F32/F24</f>
        <v>0.25</v>
      </c>
      <c r="E32" s="88">
        <f t="shared" si="12"/>
        <v>400</v>
      </c>
      <c r="F32" s="22">
        <v>8800</v>
      </c>
      <c r="G32" s="162"/>
      <c r="H32" s="90"/>
      <c r="I32" s="22"/>
      <c r="J32" s="162">
        <f>L32/L24</f>
        <v>0.35585955020183246</v>
      </c>
      <c r="K32" s="88">
        <f t="shared" si="13"/>
        <v>555.39</v>
      </c>
      <c r="L32" s="22">
        <v>7775.46</v>
      </c>
      <c r="M32" s="23"/>
      <c r="N32" s="91">
        <f t="shared" si="14"/>
        <v>-1024.54</v>
      </c>
      <c r="O32" s="162">
        <f>Q32/Q24</f>
        <v>0.25000012241718172</v>
      </c>
      <c r="P32" s="88">
        <f t="shared" si="15"/>
        <v>392.73038461538459</v>
      </c>
      <c r="Q32" s="22">
        <v>10210.99</v>
      </c>
      <c r="R32" s="23"/>
      <c r="S32" s="92">
        <f t="shared" si="16"/>
        <v>-2435.5299999999997</v>
      </c>
      <c r="T32" s="13"/>
      <c r="U32" s="13"/>
      <c r="V32" s="11" t="s">
        <v>247</v>
      </c>
      <c r="W32" s="11"/>
      <c r="X32" s="11"/>
      <c r="Y32" s="11"/>
      <c r="Z32" s="11"/>
      <c r="AA32" s="11"/>
      <c r="AB32" s="11"/>
      <c r="AC32" s="11"/>
      <c r="AD32" s="11"/>
      <c r="AE32" s="11"/>
      <c r="AF32" s="11"/>
      <c r="AG32" s="11"/>
      <c r="AH32" s="11"/>
      <c r="AI32" s="11"/>
      <c r="AJ32" s="11"/>
      <c r="AK32" s="11"/>
      <c r="AL32" s="11"/>
      <c r="AM32" s="11"/>
      <c r="AN32" s="11"/>
    </row>
    <row r="33" spans="1:40" ht="20.25">
      <c r="A33" t="str">
        <f t="shared" si="9"/>
        <v>Véhicules neufsFrais de livraison</v>
      </c>
      <c r="B33" s="11" t="str">
        <f t="shared" si="0"/>
        <v>Véhicules neufs</v>
      </c>
      <c r="C33" s="29" t="s">
        <v>32</v>
      </c>
      <c r="D33" s="81"/>
      <c r="E33" s="82">
        <f t="shared" si="12"/>
        <v>100</v>
      </c>
      <c r="F33" s="30">
        <v>2200</v>
      </c>
      <c r="G33" s="83"/>
      <c r="H33" s="82"/>
      <c r="I33" s="30"/>
      <c r="J33" s="41"/>
      <c r="K33" s="82">
        <f t="shared" si="13"/>
        <v>306.69785714285717</v>
      </c>
      <c r="L33" s="30">
        <v>4293.7700000000004</v>
      </c>
      <c r="M33" s="41"/>
      <c r="N33" s="59">
        <f t="shared" si="14"/>
        <v>2093.7700000000004</v>
      </c>
      <c r="O33" s="41"/>
      <c r="P33" s="82">
        <f t="shared" si="15"/>
        <v>97.216538461538462</v>
      </c>
      <c r="Q33" s="33">
        <v>2527.63</v>
      </c>
      <c r="R33" s="41"/>
      <c r="S33" s="85">
        <f t="shared" si="16"/>
        <v>1766.1400000000003</v>
      </c>
      <c r="T33" s="13"/>
      <c r="U33" s="13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11"/>
      <c r="AI33" s="11"/>
      <c r="AJ33" s="11"/>
      <c r="AK33" s="11"/>
      <c r="AL33" s="11"/>
      <c r="AM33" s="11"/>
      <c r="AN33" s="11"/>
    </row>
    <row r="34" spans="1:40" ht="20.25">
      <c r="A34" t="str">
        <f t="shared" si="9"/>
        <v>Véhicules neufsService gratuit 1</v>
      </c>
      <c r="B34" s="11" t="str">
        <f t="shared" si="0"/>
        <v>Véhicules neufs</v>
      </c>
      <c r="C34" s="29" t="s">
        <v>33</v>
      </c>
      <c r="D34" s="81"/>
      <c r="E34" s="82">
        <f t="shared" si="12"/>
        <v>45</v>
      </c>
      <c r="F34" s="30">
        <v>990</v>
      </c>
      <c r="G34" s="83"/>
      <c r="H34" s="82"/>
      <c r="I34" s="30"/>
      <c r="J34" s="41"/>
      <c r="K34" s="82">
        <f t="shared" si="13"/>
        <v>-3.7521428571428572</v>
      </c>
      <c r="L34" s="30">
        <v>-52.53</v>
      </c>
      <c r="M34" s="41"/>
      <c r="N34" s="59">
        <f t="shared" si="14"/>
        <v>-1042.53</v>
      </c>
      <c r="O34" s="41"/>
      <c r="P34" s="82">
        <f t="shared" si="15"/>
        <v>62.066538461538464</v>
      </c>
      <c r="Q34" s="33">
        <v>1613.73</v>
      </c>
      <c r="R34" s="41"/>
      <c r="S34" s="85">
        <f t="shared" si="16"/>
        <v>-1666.26</v>
      </c>
      <c r="T34" s="13"/>
      <c r="U34" s="13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1"/>
      <c r="AM34" s="11"/>
      <c r="AN34" s="11"/>
    </row>
    <row r="35" spans="1:40" ht="20.25">
      <c r="A35" t="str">
        <f t="shared" si="9"/>
        <v>Véhicules neufsEntretien stock</v>
      </c>
      <c r="B35" s="11" t="str">
        <f t="shared" si="0"/>
        <v>Véhicules neufs</v>
      </c>
      <c r="C35" s="86" t="s">
        <v>34</v>
      </c>
      <c r="D35" s="87"/>
      <c r="E35" s="88">
        <f t="shared" si="12"/>
        <v>46.81818181818182</v>
      </c>
      <c r="F35" s="22">
        <v>1030</v>
      </c>
      <c r="G35" s="89"/>
      <c r="H35" s="90"/>
      <c r="I35" s="22"/>
      <c r="J35" s="23"/>
      <c r="K35" s="88">
        <f t="shared" si="13"/>
        <v>115.575</v>
      </c>
      <c r="L35" s="22">
        <v>1618.05</v>
      </c>
      <c r="M35" s="23"/>
      <c r="N35" s="91">
        <f t="shared" si="14"/>
        <v>588.04999999999995</v>
      </c>
      <c r="O35" s="23"/>
      <c r="P35" s="88">
        <f t="shared" si="15"/>
        <v>31.988461538461539</v>
      </c>
      <c r="Q35" s="33">
        <v>831.7</v>
      </c>
      <c r="R35" s="23"/>
      <c r="S35" s="92">
        <f t="shared" si="16"/>
        <v>786.34999999999991</v>
      </c>
      <c r="T35" s="13"/>
      <c r="U35" s="13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11"/>
    </row>
    <row r="36" spans="1:40" ht="20.25">
      <c r="A36" t="str">
        <f t="shared" si="9"/>
        <v>Véhicules neufsPublicité 1</v>
      </c>
      <c r="B36" s="11" t="str">
        <f t="shared" si="0"/>
        <v>Véhicules neufs</v>
      </c>
      <c r="C36" s="29" t="s">
        <v>35</v>
      </c>
      <c r="D36" s="81"/>
      <c r="E36" s="82">
        <f t="shared" si="12"/>
        <v>496.609375</v>
      </c>
      <c r="F36" s="30">
        <v>10925.40625</v>
      </c>
      <c r="G36" s="83"/>
      <c r="H36" s="82"/>
      <c r="I36" s="30"/>
      <c r="J36" s="41"/>
      <c r="K36" s="82">
        <f t="shared" si="13"/>
        <v>841.81499999999994</v>
      </c>
      <c r="L36" s="459">
        <v>11785.41</v>
      </c>
      <c r="M36" s="13"/>
      <c r="N36" s="59">
        <f t="shared" si="14"/>
        <v>860.00374999999985</v>
      </c>
      <c r="O36" s="41"/>
      <c r="P36" s="82">
        <f t="shared" si="15"/>
        <v>353.25038461538463</v>
      </c>
      <c r="Q36" s="55">
        <v>9184.51</v>
      </c>
      <c r="R36" s="41"/>
      <c r="S36" s="85">
        <f t="shared" si="16"/>
        <v>2600.8999999999996</v>
      </c>
      <c r="T36" s="13"/>
      <c r="U36" s="13"/>
      <c r="V36" s="11">
        <f>9785+2000</f>
        <v>11785</v>
      </c>
      <c r="W36" s="11"/>
      <c r="X36" s="458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1"/>
    </row>
    <row r="37" spans="1:40" ht="20.25">
      <c r="A37" t="str">
        <f>+B37&amp;C37</f>
        <v>Véhicules neufsIntérêt de gros</v>
      </c>
      <c r="B37" s="11" t="str">
        <f t="shared" si="0"/>
        <v>Véhicules neufs</v>
      </c>
      <c r="C37" s="29" t="s">
        <v>36</v>
      </c>
      <c r="D37" s="81"/>
      <c r="E37" s="82">
        <f>F37/D$24</f>
        <v>1296.1340687120262</v>
      </c>
      <c r="F37" s="30">
        <v>28514.949511664578</v>
      </c>
      <c r="G37" s="83"/>
      <c r="H37" s="82"/>
      <c r="I37" s="30"/>
      <c r="J37" s="41"/>
      <c r="K37" s="82">
        <f>IF(L37=0,0,L37/J$24)</f>
        <v>2515.3971428571426</v>
      </c>
      <c r="L37" s="460">
        <v>35215.56</v>
      </c>
      <c r="M37" s="13"/>
      <c r="N37" s="59">
        <f t="shared" si="14"/>
        <v>6700.6104883354201</v>
      </c>
      <c r="O37" s="41"/>
      <c r="P37" s="82">
        <f t="shared" si="15"/>
        <v>563.73500000000001</v>
      </c>
      <c r="Q37" s="33">
        <v>14657.11</v>
      </c>
      <c r="R37" s="41"/>
      <c r="S37" s="85">
        <f>L37-Q37</f>
        <v>20558.449999999997</v>
      </c>
      <c r="T37" s="13"/>
      <c r="U37" s="13"/>
      <c r="V37" s="458">
        <v>35216</v>
      </c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1"/>
    </row>
    <row r="38" spans="1:40" ht="20.25" hidden="1">
      <c r="A38" t="str">
        <f>+B38&amp;C38</f>
        <v>Véhicules neufs[...]</v>
      </c>
      <c r="B38" s="11" t="str">
        <f t="shared" si="0"/>
        <v>Véhicules neufs</v>
      </c>
      <c r="C38" s="29" t="s">
        <v>19</v>
      </c>
      <c r="D38" s="81"/>
      <c r="E38" s="82">
        <f>F38/D$24</f>
        <v>0</v>
      </c>
      <c r="F38" s="30">
        <v>0</v>
      </c>
      <c r="G38" s="83"/>
      <c r="H38" s="82"/>
      <c r="I38" s="30"/>
      <c r="J38" s="41"/>
      <c r="K38" s="82">
        <f>IF(L38=0,0,L38/J$24)</f>
        <v>0</v>
      </c>
      <c r="L38" s="460">
        <v>0</v>
      </c>
      <c r="M38" s="13"/>
      <c r="N38" s="59">
        <f t="shared" si="14"/>
        <v>0</v>
      </c>
      <c r="O38" s="41"/>
      <c r="P38" s="82">
        <f t="shared" si="15"/>
        <v>0</v>
      </c>
      <c r="Q38" s="33">
        <v>0</v>
      </c>
      <c r="R38" s="41"/>
      <c r="S38" s="85">
        <f>L38-Q38</f>
        <v>0</v>
      </c>
      <c r="T38" s="13"/>
      <c r="U38" s="13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AL38" s="11"/>
      <c r="AM38" s="11"/>
      <c r="AN38" s="11"/>
    </row>
    <row r="39" spans="1:40" ht="20.25" hidden="1">
      <c r="A39" t="str">
        <f>+B39&amp;C39</f>
        <v>Véhicules neufs[...]</v>
      </c>
      <c r="B39" s="11" t="str">
        <f t="shared" si="0"/>
        <v>Véhicules neufs</v>
      </c>
      <c r="C39" s="29" t="s">
        <v>19</v>
      </c>
      <c r="D39" s="81"/>
      <c r="E39" s="82">
        <f>F39/D$24</f>
        <v>0</v>
      </c>
      <c r="F39" s="30">
        <v>0</v>
      </c>
      <c r="G39" s="83"/>
      <c r="H39" s="82"/>
      <c r="I39" s="30"/>
      <c r="J39" s="41"/>
      <c r="K39" s="82">
        <f>IF(L39=0,0,L39/J$24)</f>
        <v>0</v>
      </c>
      <c r="L39" s="460">
        <v>0</v>
      </c>
      <c r="M39" s="13"/>
      <c r="N39" s="59">
        <f t="shared" si="14"/>
        <v>0</v>
      </c>
      <c r="O39" s="41"/>
      <c r="P39" s="82">
        <f t="shared" si="15"/>
        <v>0</v>
      </c>
      <c r="Q39" s="33">
        <v>0</v>
      </c>
      <c r="R39" s="41"/>
      <c r="S39" s="85">
        <f>L39-Q39</f>
        <v>0</v>
      </c>
      <c r="T39" s="13"/>
      <c r="U39" s="13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11"/>
    </row>
    <row r="40" spans="1:40" ht="20.25" hidden="1">
      <c r="A40" t="str">
        <f t="shared" ref="A40:A45" si="17">+B40&amp;C40</f>
        <v>Véhicules neufs[...]</v>
      </c>
      <c r="B40" s="11" t="str">
        <f t="shared" si="0"/>
        <v>Véhicules neufs</v>
      </c>
      <c r="C40" s="29" t="s">
        <v>19</v>
      </c>
      <c r="D40" s="81"/>
      <c r="E40" s="82">
        <f>F40/D$24</f>
        <v>0</v>
      </c>
      <c r="F40" s="30">
        <v>0</v>
      </c>
      <c r="G40" s="83"/>
      <c r="H40" s="82"/>
      <c r="I40" s="30"/>
      <c r="J40" s="41"/>
      <c r="K40" s="82">
        <f>IF(L40=0,0,L40/J$24)</f>
        <v>0</v>
      </c>
      <c r="L40" s="461">
        <v>0</v>
      </c>
      <c r="M40" s="13"/>
      <c r="N40" s="59">
        <f t="shared" si="14"/>
        <v>0</v>
      </c>
      <c r="O40" s="41"/>
      <c r="P40" s="82">
        <f t="shared" si="15"/>
        <v>0</v>
      </c>
      <c r="Q40" s="33">
        <v>0</v>
      </c>
      <c r="R40" s="41"/>
      <c r="S40" s="85">
        <f>L40-Q40</f>
        <v>0</v>
      </c>
      <c r="T40" s="13"/>
      <c r="U40" s="13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11"/>
      <c r="AJ40" s="11"/>
      <c r="AK40" s="11"/>
      <c r="AL40" s="11"/>
      <c r="AM40" s="11"/>
      <c r="AN40" s="11"/>
    </row>
    <row r="41" spans="1:40" ht="20.25">
      <c r="A41" t="str">
        <f t="shared" si="17"/>
        <v>Véhicules neufsTOTAL VARIABLES</v>
      </c>
      <c r="B41" s="11" t="str">
        <f t="shared" si="0"/>
        <v>Véhicules neufs</v>
      </c>
      <c r="C41" s="93" t="s">
        <v>37</v>
      </c>
      <c r="D41" s="94" t="s">
        <v>38</v>
      </c>
      <c r="E41" s="95">
        <f>F41/F$27</f>
        <v>0.56889094271074014</v>
      </c>
      <c r="F41" s="96">
        <f>SUM(F31:F40)</f>
        <v>84932.718126838678</v>
      </c>
      <c r="G41" s="97"/>
      <c r="H41" s="95"/>
      <c r="I41" s="96"/>
      <c r="J41" s="97" t="s">
        <v>38</v>
      </c>
      <c r="K41" s="95">
        <f>L41/L$27</f>
        <v>0.95480170873597392</v>
      </c>
      <c r="L41" s="96">
        <f>SUM(L31:L40)</f>
        <v>75363.320000000007</v>
      </c>
      <c r="M41" s="98"/>
      <c r="N41" s="96">
        <f t="shared" si="14"/>
        <v>-9569.3981268386706</v>
      </c>
      <c r="O41" s="97" t="s">
        <v>38</v>
      </c>
      <c r="P41" s="95">
        <f>Q41/Q$27</f>
        <v>0.41977867052261131</v>
      </c>
      <c r="Q41" s="99">
        <f>SUM(Q31:Q40)</f>
        <v>80345.51999999999</v>
      </c>
      <c r="R41" s="100"/>
      <c r="S41" s="101">
        <f t="shared" ref="S41:S45" si="18">L41-Q41</f>
        <v>-4982.1999999999825</v>
      </c>
      <c r="T41" s="13"/>
      <c r="U41" s="13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AL41" s="11"/>
      <c r="AM41" s="11"/>
      <c r="AN41" s="11"/>
    </row>
    <row r="42" spans="1:40" ht="20.25">
      <c r="A42" t="str">
        <f t="shared" si="17"/>
        <v>Véhicules neufsSalaires cadres</v>
      </c>
      <c r="B42" s="11" t="str">
        <f t="shared" si="0"/>
        <v>Véhicules neufs</v>
      </c>
      <c r="C42" s="102" t="s">
        <v>40</v>
      </c>
      <c r="D42" s="13"/>
      <c r="E42" s="13"/>
      <c r="F42" s="30">
        <v>12551.695547073792</v>
      </c>
      <c r="G42" s="41"/>
      <c r="H42" s="13"/>
      <c r="I42" s="30"/>
      <c r="J42" s="41"/>
      <c r="K42" s="13"/>
      <c r="L42" s="33">
        <v>11451.95</v>
      </c>
      <c r="M42" s="41"/>
      <c r="N42" s="59">
        <f t="shared" si="14"/>
        <v>-1099.7455470737914</v>
      </c>
      <c r="O42" s="41"/>
      <c r="P42" s="13"/>
      <c r="Q42" s="33">
        <v>18431.25</v>
      </c>
      <c r="R42" s="41"/>
      <c r="S42" s="85">
        <f t="shared" si="18"/>
        <v>-6979.2999999999993</v>
      </c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3"/>
      <c r="AG42" s="13"/>
      <c r="AH42" s="13"/>
      <c r="AI42" s="13"/>
      <c r="AJ42" s="13"/>
      <c r="AK42" s="13"/>
      <c r="AL42" s="13"/>
      <c r="AM42" s="13"/>
      <c r="AN42" s="13"/>
    </row>
    <row r="43" spans="1:40" ht="20.25">
      <c r="A43" t="str">
        <f t="shared" si="17"/>
        <v>Véhicules neufsSalaires commis</v>
      </c>
      <c r="B43" s="11" t="str">
        <f t="shared" si="0"/>
        <v>Véhicules neufs</v>
      </c>
      <c r="C43" s="103" t="s">
        <v>41</v>
      </c>
      <c r="D43" s="81"/>
      <c r="E43" s="13"/>
      <c r="F43" s="22">
        <v>8725.6839694656483</v>
      </c>
      <c r="G43" s="83"/>
      <c r="H43" s="13"/>
      <c r="I43" s="22"/>
      <c r="J43" s="41"/>
      <c r="K43" s="13"/>
      <c r="L43" s="33">
        <v>8557.83</v>
      </c>
      <c r="M43" s="41"/>
      <c r="N43" s="59">
        <f t="shared" si="14"/>
        <v>-167.85396946564833</v>
      </c>
      <c r="O43" s="41"/>
      <c r="P43" s="13"/>
      <c r="Q43" s="33">
        <v>7085.63</v>
      </c>
      <c r="R43" s="41"/>
      <c r="S43" s="85">
        <f t="shared" si="18"/>
        <v>1472.1999999999998</v>
      </c>
      <c r="T43" s="13"/>
      <c r="U43" s="13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11"/>
      <c r="AJ43" s="11"/>
      <c r="AK43" s="11"/>
      <c r="AL43" s="11"/>
      <c r="AM43" s="11"/>
      <c r="AN43" s="11"/>
    </row>
    <row r="44" spans="1:40" ht="20.25">
      <c r="A44" t="str">
        <f t="shared" si="17"/>
        <v>Véhicules neufsSalaires autres</v>
      </c>
      <c r="B44" s="11" t="str">
        <f t="shared" si="0"/>
        <v>Véhicules neufs</v>
      </c>
      <c r="C44" s="102" t="s">
        <v>42</v>
      </c>
      <c r="D44" s="104"/>
      <c r="E44" s="105"/>
      <c r="F44" s="30">
        <v>342</v>
      </c>
      <c r="G44" s="106"/>
      <c r="H44" s="105"/>
      <c r="I44" s="30"/>
      <c r="J44" s="107"/>
      <c r="K44" s="105"/>
      <c r="L44" s="108">
        <v>342</v>
      </c>
      <c r="M44" s="107"/>
      <c r="N44" s="109">
        <f t="shared" si="14"/>
        <v>0</v>
      </c>
      <c r="O44" s="107"/>
      <c r="P44" s="105"/>
      <c r="Q44" s="108">
        <v>342</v>
      </c>
      <c r="R44" s="107"/>
      <c r="S44" s="110">
        <f t="shared" si="18"/>
        <v>0</v>
      </c>
      <c r="T44" s="13"/>
      <c r="U44" s="13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11"/>
      <c r="AJ44" s="11"/>
      <c r="AK44" s="11"/>
      <c r="AL44" s="11"/>
      <c r="AM44" s="11"/>
      <c r="AN44" s="11"/>
    </row>
    <row r="45" spans="1:40" ht="20.25">
      <c r="A45" t="str">
        <f t="shared" si="17"/>
        <v>Véhicules neufsSalaires spécialistes</v>
      </c>
      <c r="B45" s="11" t="str">
        <f t="shared" si="0"/>
        <v>Véhicules neufs</v>
      </c>
      <c r="C45" s="102" t="s">
        <v>43</v>
      </c>
      <c r="D45" s="81"/>
      <c r="E45" s="13"/>
      <c r="F45" s="30">
        <v>0</v>
      </c>
      <c r="G45" s="83"/>
      <c r="H45" s="13"/>
      <c r="I45" s="30"/>
      <c r="J45" s="41"/>
      <c r="K45" s="13"/>
      <c r="L45" s="33">
        <v>0</v>
      </c>
      <c r="M45" s="41"/>
      <c r="N45" s="59">
        <f t="shared" si="14"/>
        <v>0</v>
      </c>
      <c r="O45" s="41"/>
      <c r="P45" s="13"/>
      <c r="Q45" s="33">
        <v>0</v>
      </c>
      <c r="R45" s="41"/>
      <c r="S45" s="85">
        <f t="shared" si="18"/>
        <v>0</v>
      </c>
      <c r="T45" s="13"/>
      <c r="U45" s="13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11"/>
      <c r="AJ45" s="11"/>
      <c r="AK45" s="11"/>
      <c r="AL45" s="11"/>
      <c r="AM45" s="11"/>
      <c r="AN45" s="11"/>
    </row>
    <row r="46" spans="1:40" ht="20.25" hidden="1">
      <c r="A46" t="str">
        <f>+B46&amp;C46</f>
        <v>Véhicules neufs[...]</v>
      </c>
      <c r="B46" s="11" t="str">
        <f t="shared" si="0"/>
        <v>Véhicules neufs</v>
      </c>
      <c r="C46" s="102" t="s">
        <v>19</v>
      </c>
      <c r="D46" s="81"/>
      <c r="E46" s="13"/>
      <c r="F46" s="30">
        <v>0</v>
      </c>
      <c r="G46" s="83"/>
      <c r="H46" s="13"/>
      <c r="I46" s="30"/>
      <c r="J46" s="41"/>
      <c r="K46" s="13"/>
      <c r="L46" s="33">
        <v>0</v>
      </c>
      <c r="M46" s="41"/>
      <c r="N46" s="59">
        <f t="shared" si="14"/>
        <v>0</v>
      </c>
      <c r="O46" s="41"/>
      <c r="P46" s="13"/>
      <c r="Q46" s="33">
        <v>0</v>
      </c>
      <c r="R46" s="41"/>
      <c r="S46" s="85">
        <f>L46-Q46</f>
        <v>0</v>
      </c>
      <c r="T46" s="13"/>
      <c r="U46" s="13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11"/>
      <c r="AJ46" s="11"/>
      <c r="AK46" s="11"/>
      <c r="AL46" s="11"/>
      <c r="AM46" s="11"/>
      <c r="AN46" s="11"/>
    </row>
    <row r="47" spans="1:40" ht="20.25" hidden="1">
      <c r="A47" t="str">
        <f>+B47&amp;C47</f>
        <v>Véhicules neufs[...]</v>
      </c>
      <c r="B47" s="11" t="str">
        <f t="shared" si="0"/>
        <v>Véhicules neufs</v>
      </c>
      <c r="C47" s="102" t="s">
        <v>19</v>
      </c>
      <c r="D47" s="81"/>
      <c r="E47" s="13"/>
      <c r="F47" s="30">
        <v>0</v>
      </c>
      <c r="G47" s="83"/>
      <c r="H47" s="13"/>
      <c r="I47" s="30"/>
      <c r="J47" s="41"/>
      <c r="K47" s="13"/>
      <c r="L47" s="33">
        <v>0</v>
      </c>
      <c r="M47" s="41"/>
      <c r="N47" s="59">
        <f t="shared" si="14"/>
        <v>0</v>
      </c>
      <c r="O47" s="41"/>
      <c r="P47" s="13"/>
      <c r="Q47" s="33">
        <v>0</v>
      </c>
      <c r="R47" s="41"/>
      <c r="S47" s="85">
        <f>L47-Q47</f>
        <v>0</v>
      </c>
      <c r="T47" s="13"/>
      <c r="U47" s="13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11"/>
      <c r="AJ47" s="11"/>
      <c r="AK47" s="11"/>
      <c r="AL47" s="11"/>
      <c r="AM47" s="11"/>
      <c r="AN47" s="11"/>
    </row>
    <row r="48" spans="1:40" ht="20.25" hidden="1">
      <c r="A48" t="str">
        <f>+B48&amp;C48</f>
        <v>Véhicules neufs[...]</v>
      </c>
      <c r="B48" s="11" t="str">
        <f t="shared" si="0"/>
        <v>Véhicules neufs</v>
      </c>
      <c r="C48" s="102" t="s">
        <v>19</v>
      </c>
      <c r="D48" s="81"/>
      <c r="E48" s="13"/>
      <c r="F48" s="30">
        <v>0</v>
      </c>
      <c r="G48" s="83"/>
      <c r="H48" s="13"/>
      <c r="I48" s="30"/>
      <c r="J48" s="41"/>
      <c r="K48" s="13"/>
      <c r="L48" s="33">
        <v>0</v>
      </c>
      <c r="M48" s="41"/>
      <c r="N48" s="59">
        <f t="shared" si="14"/>
        <v>0</v>
      </c>
      <c r="O48" s="41"/>
      <c r="P48" s="13"/>
      <c r="Q48" s="33">
        <v>0</v>
      </c>
      <c r="R48" s="41"/>
      <c r="S48" s="85">
        <f>L48-Q48</f>
        <v>0</v>
      </c>
      <c r="T48" s="13"/>
      <c r="U48" s="13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11"/>
      <c r="AJ48" s="11"/>
      <c r="AK48" s="11"/>
      <c r="AL48" s="11"/>
      <c r="AM48" s="11"/>
      <c r="AN48" s="11"/>
    </row>
    <row r="49" spans="1:40" ht="20.25">
      <c r="A49" t="str">
        <f t="shared" ref="A49:A66" si="19">+B49&amp;C49</f>
        <v>Véhicules neufsSalaires en absences</v>
      </c>
      <c r="B49" s="11" t="str">
        <f t="shared" si="0"/>
        <v>Véhicules neufs</v>
      </c>
      <c r="C49" s="103" t="s">
        <v>44</v>
      </c>
      <c r="D49" s="81"/>
      <c r="E49" s="13"/>
      <c r="F49" s="22">
        <v>6582.0273757830446</v>
      </c>
      <c r="G49" s="83"/>
      <c r="H49" s="13"/>
      <c r="I49" s="22"/>
      <c r="J49" s="41"/>
      <c r="K49" s="13"/>
      <c r="L49" s="22">
        <v>5930.68</v>
      </c>
      <c r="M49" s="41"/>
      <c r="N49" s="59">
        <f t="shared" si="14"/>
        <v>-651.3473757830443</v>
      </c>
      <c r="O49" s="41"/>
      <c r="P49" s="13"/>
      <c r="Q49" s="22">
        <v>5383.38</v>
      </c>
      <c r="R49" s="41"/>
      <c r="S49" s="85">
        <f t="shared" ref="S49:S53" si="20">L49-Q49</f>
        <v>547.30000000000018</v>
      </c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  <c r="AH49" s="13"/>
      <c r="AI49" s="13"/>
      <c r="AJ49" s="13"/>
      <c r="AK49" s="13"/>
      <c r="AL49" s="13"/>
      <c r="AM49" s="13"/>
      <c r="AN49" s="13"/>
    </row>
    <row r="50" spans="1:40" ht="20.25">
      <c r="A50" t="str">
        <f t="shared" si="19"/>
        <v>Véhicules neufsDéduction à la source</v>
      </c>
      <c r="B50" s="11" t="str">
        <f t="shared" si="0"/>
        <v>Véhicules neufs</v>
      </c>
      <c r="C50" s="102" t="s">
        <v>45</v>
      </c>
      <c r="D50" s="104"/>
      <c r="E50" s="105"/>
      <c r="F50" s="30">
        <v>9337.2132363862565</v>
      </c>
      <c r="G50" s="106"/>
      <c r="H50" s="105"/>
      <c r="I50" s="30"/>
      <c r="J50" s="107"/>
      <c r="K50" s="105"/>
      <c r="L50" s="33">
        <v>5915.02</v>
      </c>
      <c r="M50" s="107"/>
      <c r="N50" s="109">
        <f t="shared" si="14"/>
        <v>-3422.1932363862561</v>
      </c>
      <c r="O50" s="107"/>
      <c r="P50" s="105"/>
      <c r="Q50" s="33">
        <v>6393.44</v>
      </c>
      <c r="R50" s="107"/>
      <c r="S50" s="110">
        <f t="shared" si="20"/>
        <v>-478.41999999999916</v>
      </c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3"/>
      <c r="AF50" s="13"/>
      <c r="AG50" s="13"/>
      <c r="AH50" s="13"/>
      <c r="AI50" s="13"/>
      <c r="AJ50" s="13"/>
      <c r="AK50" s="13"/>
      <c r="AL50" s="13"/>
      <c r="AM50" s="13"/>
      <c r="AN50" s="13"/>
    </row>
    <row r="51" spans="1:40" ht="20.25">
      <c r="A51" t="str">
        <f t="shared" si="19"/>
        <v>Véhicules neufsBénéfices marginaux</v>
      </c>
      <c r="B51" s="11" t="str">
        <f t="shared" si="0"/>
        <v>Véhicules neufs</v>
      </c>
      <c r="C51" s="102" t="s">
        <v>46</v>
      </c>
      <c r="D51" s="81"/>
      <c r="E51" s="13"/>
      <c r="F51" s="30">
        <v>4320.2031392234912</v>
      </c>
      <c r="G51" s="83"/>
      <c r="H51" s="13"/>
      <c r="I51" s="30"/>
      <c r="J51" s="41"/>
      <c r="K51" s="13"/>
      <c r="L51" s="33">
        <v>4874.6400000000003</v>
      </c>
      <c r="M51" s="41"/>
      <c r="N51" s="59">
        <f t="shared" si="14"/>
        <v>554.43686077650909</v>
      </c>
      <c r="O51" s="41"/>
      <c r="P51" s="13"/>
      <c r="Q51" s="33">
        <v>3306.05</v>
      </c>
      <c r="R51" s="41"/>
      <c r="S51" s="85">
        <f t="shared" si="20"/>
        <v>1568.5900000000001</v>
      </c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13"/>
      <c r="AG51" s="13"/>
      <c r="AH51" s="13"/>
      <c r="AI51" s="13"/>
      <c r="AJ51" s="13"/>
      <c r="AK51" s="13"/>
      <c r="AL51" s="13"/>
      <c r="AM51" s="13"/>
      <c r="AN51" s="13"/>
    </row>
    <row r="52" spans="1:40" ht="20.25">
      <c r="A52" t="str">
        <f t="shared" si="19"/>
        <v>Véhicules neufsCsst</v>
      </c>
      <c r="B52" s="11" t="str">
        <f t="shared" si="0"/>
        <v>Véhicules neufs</v>
      </c>
      <c r="C52" s="102" t="s">
        <v>47</v>
      </c>
      <c r="D52" s="81"/>
      <c r="E52" s="13"/>
      <c r="F52" s="30">
        <v>975.52974111498202</v>
      </c>
      <c r="G52" s="83"/>
      <c r="H52" s="13"/>
      <c r="I52" s="30"/>
      <c r="J52" s="41"/>
      <c r="K52" s="13"/>
      <c r="L52" s="33">
        <v>299.43</v>
      </c>
      <c r="M52" s="41"/>
      <c r="N52" s="59">
        <f t="shared" si="14"/>
        <v>-676.09974111498195</v>
      </c>
      <c r="O52" s="41"/>
      <c r="P52" s="13"/>
      <c r="Q52" s="33">
        <v>303.64</v>
      </c>
      <c r="R52" s="41"/>
      <c r="S52" s="85">
        <f t="shared" si="20"/>
        <v>-4.2099999999999795</v>
      </c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13"/>
      <c r="AF52" s="13"/>
      <c r="AG52" s="13"/>
      <c r="AH52" s="13"/>
      <c r="AI52" s="13"/>
      <c r="AJ52" s="13"/>
      <c r="AK52" s="13"/>
      <c r="AL52" s="13"/>
      <c r="AM52" s="13"/>
      <c r="AN52" s="13"/>
    </row>
    <row r="53" spans="1:40" ht="20.25" hidden="1">
      <c r="A53" t="str">
        <f t="shared" si="19"/>
        <v>Véhicules neufs[...]</v>
      </c>
      <c r="B53" s="11" t="str">
        <f t="shared" si="0"/>
        <v>Véhicules neufs</v>
      </c>
      <c r="C53" s="29" t="s">
        <v>19</v>
      </c>
      <c r="D53" s="87" t="e">
        <f>VLOOKUP(C53,$B$2:$B$46,1,FALSE)</f>
        <v>#N/A</v>
      </c>
      <c r="E53" s="111"/>
      <c r="F53" s="30">
        <v>0</v>
      </c>
      <c r="G53" s="89"/>
      <c r="H53" s="111"/>
      <c r="I53" s="30"/>
      <c r="J53" s="23"/>
      <c r="K53" s="111"/>
      <c r="L53" s="33">
        <v>0</v>
      </c>
      <c r="M53" s="23"/>
      <c r="N53" s="91">
        <f t="shared" si="14"/>
        <v>0</v>
      </c>
      <c r="O53" s="23"/>
      <c r="P53" s="111"/>
      <c r="Q53" s="33">
        <v>0</v>
      </c>
      <c r="R53" s="23"/>
      <c r="S53" s="92">
        <f t="shared" si="20"/>
        <v>0</v>
      </c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  <c r="AE53" s="13"/>
      <c r="AF53" s="13"/>
      <c r="AG53" s="13"/>
      <c r="AH53" s="13"/>
      <c r="AI53" s="13"/>
      <c r="AJ53" s="13"/>
      <c r="AK53" s="13"/>
      <c r="AL53" s="13"/>
      <c r="AM53" s="13"/>
      <c r="AN53" s="13"/>
    </row>
    <row r="54" spans="1:40" ht="20.25">
      <c r="A54" t="str">
        <f t="shared" si="19"/>
        <v>Véhicules neufsTOTAL PERSONNEL</v>
      </c>
      <c r="B54" s="11" t="str">
        <f t="shared" si="0"/>
        <v>Véhicules neufs</v>
      </c>
      <c r="C54" s="93" t="s">
        <v>48</v>
      </c>
      <c r="D54" s="94" t="s">
        <v>38</v>
      </c>
      <c r="E54" s="95">
        <f>F54/F$27</f>
        <v>0.28691034504900886</v>
      </c>
      <c r="F54" s="96">
        <f>+SUM(F42:F53)</f>
        <v>42834.353009047212</v>
      </c>
      <c r="G54" s="97"/>
      <c r="H54" s="95"/>
      <c r="I54" s="96"/>
      <c r="J54" s="97" t="s">
        <v>38</v>
      </c>
      <c r="K54" s="95">
        <f>L54/L$27</f>
        <v>0.47347197281266123</v>
      </c>
      <c r="L54" s="96">
        <f>+SUM(L42:L53)</f>
        <v>37371.550000000003</v>
      </c>
      <c r="M54" s="100"/>
      <c r="N54" s="96">
        <f>+SUM(N42:N53)</f>
        <v>-5462.803009047213</v>
      </c>
      <c r="O54" s="97" t="s">
        <v>38</v>
      </c>
      <c r="P54" s="95">
        <f>Q54/Q$27</f>
        <v>0.21549347094133703</v>
      </c>
      <c r="Q54" s="96">
        <f>+SUM(Q42:Q53)</f>
        <v>41245.390000000007</v>
      </c>
      <c r="R54" s="100"/>
      <c r="S54" s="101">
        <f>+SUM(S42:S53)</f>
        <v>-3873.8399999999983</v>
      </c>
      <c r="T54" s="82"/>
      <c r="U54" s="13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11"/>
      <c r="AJ54" s="11"/>
      <c r="AK54" s="11"/>
      <c r="AL54" s="11"/>
      <c r="AM54" s="11"/>
      <c r="AN54" s="11"/>
    </row>
    <row r="55" spans="1:40" ht="20.25">
      <c r="A55" t="str">
        <f t="shared" si="19"/>
        <v>Véhicules neufsPublicité 2</v>
      </c>
      <c r="B55" s="11" t="str">
        <f t="shared" si="0"/>
        <v>Véhicules neufs</v>
      </c>
      <c r="C55" s="29" t="s">
        <v>49</v>
      </c>
      <c r="D55" s="81"/>
      <c r="E55" s="13"/>
      <c r="F55" s="30">
        <v>0</v>
      </c>
      <c r="G55" s="83"/>
      <c r="H55" s="13"/>
      <c r="I55" s="30"/>
      <c r="J55" s="41"/>
      <c r="K55" s="13"/>
      <c r="L55" s="33">
        <v>0</v>
      </c>
      <c r="M55" s="41"/>
      <c r="N55" s="59">
        <f t="shared" ref="N55:N71" si="21">L55-F55</f>
        <v>0</v>
      </c>
      <c r="O55" s="41"/>
      <c r="P55" s="13"/>
      <c r="Q55" s="33">
        <v>0</v>
      </c>
      <c r="R55" s="41"/>
      <c r="S55" s="85">
        <f t="shared" ref="S55:S66" si="22">L55-Q55</f>
        <v>0</v>
      </c>
      <c r="T55" s="82"/>
      <c r="U55" s="13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11"/>
      <c r="AJ55" s="11"/>
      <c r="AK55" s="11"/>
      <c r="AL55" s="11"/>
      <c r="AM55" s="11"/>
      <c r="AN55" s="11"/>
    </row>
    <row r="56" spans="1:40" ht="20.25">
      <c r="A56" t="str">
        <f t="shared" si="19"/>
        <v>Véhicules neufsService gratuit 2</v>
      </c>
      <c r="B56" s="11" t="str">
        <f t="shared" si="0"/>
        <v>Véhicules neufs</v>
      </c>
      <c r="C56" s="29" t="s">
        <v>50</v>
      </c>
      <c r="D56" s="81"/>
      <c r="E56" s="13"/>
      <c r="F56" s="30">
        <v>0</v>
      </c>
      <c r="G56" s="83"/>
      <c r="H56" s="13"/>
      <c r="I56" s="30"/>
      <c r="J56" s="41"/>
      <c r="K56" s="13"/>
      <c r="L56" s="33">
        <v>0</v>
      </c>
      <c r="M56" s="41"/>
      <c r="N56" s="59">
        <f t="shared" si="21"/>
        <v>0</v>
      </c>
      <c r="O56" s="41"/>
      <c r="P56" s="13"/>
      <c r="Q56" s="33">
        <v>0</v>
      </c>
      <c r="R56" s="41"/>
      <c r="S56" s="85">
        <f t="shared" si="22"/>
        <v>0</v>
      </c>
      <c r="T56" s="82"/>
      <c r="U56" s="13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11"/>
      <c r="AJ56" s="11"/>
      <c r="AK56" s="11"/>
      <c r="AL56" s="11"/>
      <c r="AM56" s="11"/>
      <c r="AN56" s="11"/>
    </row>
    <row r="57" spans="1:40" ht="20.25">
      <c r="A57" t="str">
        <f t="shared" si="19"/>
        <v>Véhicules neufsFrais véhicules de cie</v>
      </c>
      <c r="B57" s="11" t="str">
        <f t="shared" si="0"/>
        <v>Véhicules neufs</v>
      </c>
      <c r="C57" s="86" t="s">
        <v>51</v>
      </c>
      <c r="D57" s="87"/>
      <c r="E57" s="111"/>
      <c r="F57" s="22">
        <v>5080.0833333333339</v>
      </c>
      <c r="G57" s="89"/>
      <c r="H57" s="111"/>
      <c r="I57" s="22"/>
      <c r="J57" s="23"/>
      <c r="K57" s="111"/>
      <c r="L57" s="22">
        <v>7910.75</v>
      </c>
      <c r="M57" s="23"/>
      <c r="N57" s="91">
        <f t="shared" si="21"/>
        <v>2830.6666666666661</v>
      </c>
      <c r="O57" s="23"/>
      <c r="P57" s="111"/>
      <c r="Q57" s="22">
        <v>4266.63</v>
      </c>
      <c r="R57" s="23"/>
      <c r="S57" s="92">
        <f t="shared" si="22"/>
        <v>3644.12</v>
      </c>
      <c r="T57" s="112"/>
      <c r="U57" s="13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11"/>
      <c r="AJ57" s="11"/>
      <c r="AK57" s="11"/>
      <c r="AL57" s="11"/>
      <c r="AM57" s="11"/>
      <c r="AN57" s="11"/>
    </row>
    <row r="58" spans="1:40" ht="20.25">
      <c r="A58" t="str">
        <f t="shared" si="19"/>
        <v>Véhicules neufsInformatique</v>
      </c>
      <c r="B58" s="11" t="str">
        <f t="shared" si="0"/>
        <v>Véhicules neufs</v>
      </c>
      <c r="C58" s="29" t="s">
        <v>52</v>
      </c>
      <c r="D58" s="81"/>
      <c r="E58" s="13"/>
      <c r="F58" s="30">
        <v>4993.05</v>
      </c>
      <c r="G58" s="83"/>
      <c r="H58" s="13"/>
      <c r="I58" s="30"/>
      <c r="J58" s="41"/>
      <c r="K58" s="13"/>
      <c r="L58" s="33">
        <v>4562.82</v>
      </c>
      <c r="M58" s="41"/>
      <c r="N58" s="59">
        <f t="shared" si="21"/>
        <v>-430.23000000000047</v>
      </c>
      <c r="O58" s="41"/>
      <c r="P58" s="13"/>
      <c r="Q58" s="33">
        <v>4819.6099999999997</v>
      </c>
      <c r="R58" s="41"/>
      <c r="S58" s="85">
        <f t="shared" si="22"/>
        <v>-256.78999999999996</v>
      </c>
      <c r="T58" s="82"/>
      <c r="U58" s="13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11"/>
      <c r="AJ58" s="11"/>
      <c r="AK58" s="11"/>
      <c r="AL58" s="11"/>
      <c r="AM58" s="11"/>
      <c r="AN58" s="11"/>
    </row>
    <row r="59" spans="1:40" ht="20.25">
      <c r="A59" t="str">
        <f t="shared" si="19"/>
        <v>Véhicules neufsFrais de déplacement</v>
      </c>
      <c r="B59" s="11" t="str">
        <f t="shared" si="0"/>
        <v>Véhicules neufs</v>
      </c>
      <c r="C59" s="29" t="s">
        <v>53</v>
      </c>
      <c r="D59" s="81"/>
      <c r="E59" s="13"/>
      <c r="F59" s="30">
        <v>822.6</v>
      </c>
      <c r="G59" s="83"/>
      <c r="H59" s="13"/>
      <c r="I59" s="30"/>
      <c r="J59" s="41"/>
      <c r="K59" s="13"/>
      <c r="L59" s="33">
        <v>1080.6600000000001</v>
      </c>
      <c r="M59" s="41"/>
      <c r="N59" s="59">
        <f t="shared" si="21"/>
        <v>258.06000000000006</v>
      </c>
      <c r="O59" s="41"/>
      <c r="P59" s="13"/>
      <c r="Q59" s="33">
        <v>428.8</v>
      </c>
      <c r="R59" s="41"/>
      <c r="S59" s="85">
        <f t="shared" si="22"/>
        <v>651.86000000000013</v>
      </c>
      <c r="T59" s="13"/>
      <c r="U59" s="13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11"/>
      <c r="AJ59" s="11"/>
      <c r="AK59" s="11"/>
      <c r="AL59" s="11"/>
      <c r="AM59" s="11"/>
      <c r="AN59" s="11"/>
    </row>
    <row r="60" spans="1:40" ht="20.25">
      <c r="A60" t="str">
        <f t="shared" si="19"/>
        <v>Véhicules neufsServices extérieurs</v>
      </c>
      <c r="B60" s="11" t="str">
        <f t="shared" si="0"/>
        <v>Véhicules neufs</v>
      </c>
      <c r="C60" s="86" t="s">
        <v>54</v>
      </c>
      <c r="D60" s="87"/>
      <c r="E60" s="111"/>
      <c r="F60" s="22">
        <v>2754.4500000000003</v>
      </c>
      <c r="G60" s="89"/>
      <c r="H60" s="111"/>
      <c r="I60" s="22"/>
      <c r="J60" s="23"/>
      <c r="K60" s="111"/>
      <c r="L60" s="22">
        <v>3483.32</v>
      </c>
      <c r="M60" s="23"/>
      <c r="N60" s="91">
        <f t="shared" si="21"/>
        <v>728.86999999999989</v>
      </c>
      <c r="O60" s="23"/>
      <c r="P60" s="111"/>
      <c r="Q60" s="22">
        <v>2359.25</v>
      </c>
      <c r="R60" s="23"/>
      <c r="S60" s="92">
        <f t="shared" si="22"/>
        <v>1124.0700000000002</v>
      </c>
      <c r="T60" s="13"/>
      <c r="U60" s="13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/>
      <c r="AG60" s="11"/>
      <c r="AH60" s="11"/>
      <c r="AI60" s="11"/>
      <c r="AJ60" s="11"/>
      <c r="AK60" s="11"/>
      <c r="AL60" s="11"/>
      <c r="AM60" s="11"/>
      <c r="AN60" s="11"/>
    </row>
    <row r="61" spans="1:40" ht="20.25">
      <c r="A61" t="str">
        <f t="shared" si="19"/>
        <v>Véhicules neufsFournitures autres</v>
      </c>
      <c r="B61" s="11" t="str">
        <f t="shared" si="0"/>
        <v>Véhicules neufs</v>
      </c>
      <c r="C61" s="29" t="s">
        <v>55</v>
      </c>
      <c r="D61" s="81"/>
      <c r="E61" s="13"/>
      <c r="F61" s="30">
        <v>68.75</v>
      </c>
      <c r="G61" s="83"/>
      <c r="H61" s="13"/>
      <c r="I61" s="30"/>
      <c r="J61" s="41"/>
      <c r="K61" s="13"/>
      <c r="L61" s="33">
        <v>75.790000000000006</v>
      </c>
      <c r="M61" s="41"/>
      <c r="N61" s="59">
        <f t="shared" si="21"/>
        <v>7.0400000000000063</v>
      </c>
      <c r="O61" s="41"/>
      <c r="P61" s="13"/>
      <c r="Q61" s="33">
        <v>0</v>
      </c>
      <c r="R61" s="41"/>
      <c r="S61" s="85">
        <f t="shared" si="22"/>
        <v>75.790000000000006</v>
      </c>
      <c r="T61" s="13"/>
      <c r="U61" s="13"/>
      <c r="V61" s="13"/>
      <c r="W61" s="13"/>
      <c r="X61" s="13"/>
      <c r="Y61" s="13"/>
      <c r="Z61" s="13"/>
      <c r="AA61" s="13"/>
      <c r="AB61" s="13"/>
      <c r="AC61" s="13"/>
      <c r="AD61" s="13"/>
      <c r="AE61" s="13"/>
      <c r="AF61" s="13"/>
      <c r="AG61" s="13"/>
      <c r="AH61" s="13"/>
      <c r="AI61" s="13"/>
      <c r="AJ61" s="13"/>
      <c r="AK61" s="13"/>
      <c r="AL61" s="13"/>
      <c r="AM61" s="13"/>
      <c r="AN61" s="13"/>
    </row>
    <row r="62" spans="1:40" ht="20.25">
      <c r="A62" t="str">
        <f t="shared" si="19"/>
        <v>Véhicules neufsUniformes</v>
      </c>
      <c r="B62" s="11" t="str">
        <f t="shared" si="0"/>
        <v>Véhicules neufs</v>
      </c>
      <c r="C62" s="29" t="s">
        <v>56</v>
      </c>
      <c r="D62" s="81"/>
      <c r="E62" s="13"/>
      <c r="F62" s="30">
        <v>15</v>
      </c>
      <c r="G62" s="83"/>
      <c r="H62" s="13"/>
      <c r="I62" s="30"/>
      <c r="J62" s="41"/>
      <c r="K62" s="13"/>
      <c r="L62" s="33">
        <v>247.5</v>
      </c>
      <c r="M62" s="41"/>
      <c r="N62" s="59">
        <f t="shared" si="21"/>
        <v>232.5</v>
      </c>
      <c r="O62" s="41"/>
      <c r="P62" s="13"/>
      <c r="Q62" s="33">
        <v>0</v>
      </c>
      <c r="R62" s="41"/>
      <c r="S62" s="85">
        <f t="shared" si="22"/>
        <v>247.5</v>
      </c>
      <c r="T62" s="13"/>
      <c r="U62" s="13"/>
      <c r="V62" s="13"/>
      <c r="W62" s="13"/>
      <c r="X62" s="13"/>
      <c r="Y62" s="13"/>
      <c r="Z62" s="13"/>
      <c r="AA62" s="13"/>
      <c r="AB62" s="13"/>
      <c r="AC62" s="13"/>
      <c r="AD62" s="13"/>
      <c r="AE62" s="13"/>
      <c r="AF62" s="13"/>
      <c r="AG62" s="13"/>
      <c r="AH62" s="13"/>
      <c r="AI62" s="13"/>
      <c r="AJ62" s="13"/>
      <c r="AK62" s="13"/>
      <c r="AL62" s="13"/>
      <c r="AM62" s="13"/>
      <c r="AN62" s="13"/>
    </row>
    <row r="63" spans="1:40" ht="20.25">
      <c r="A63" t="str">
        <f t="shared" si="19"/>
        <v>Véhicules neufsPapeterie</v>
      </c>
      <c r="B63" s="11" t="str">
        <f t="shared" si="0"/>
        <v>Véhicules neufs</v>
      </c>
      <c r="C63" s="29" t="s">
        <v>57</v>
      </c>
      <c r="D63" s="81"/>
      <c r="E63" s="13"/>
      <c r="F63" s="30">
        <v>787.5</v>
      </c>
      <c r="G63" s="83"/>
      <c r="H63" s="13"/>
      <c r="I63" s="30"/>
      <c r="J63" s="41"/>
      <c r="K63" s="13"/>
      <c r="L63" s="32">
        <v>884.8</v>
      </c>
      <c r="M63" s="41"/>
      <c r="N63" s="59">
        <f t="shared" si="21"/>
        <v>97.299999999999955</v>
      </c>
      <c r="O63" s="41"/>
      <c r="P63" s="13"/>
      <c r="Q63" s="32">
        <v>736.41</v>
      </c>
      <c r="R63" s="41"/>
      <c r="S63" s="85">
        <f t="shared" si="22"/>
        <v>148.38999999999999</v>
      </c>
      <c r="T63" s="13"/>
      <c r="U63" s="13"/>
      <c r="V63" s="13"/>
      <c r="W63" s="13"/>
      <c r="X63" s="13"/>
      <c r="Y63" s="13"/>
      <c r="Z63" s="13"/>
      <c r="AA63" s="13"/>
      <c r="AB63" s="13"/>
      <c r="AC63" s="13"/>
      <c r="AD63" s="13"/>
      <c r="AE63" s="13"/>
      <c r="AF63" s="13"/>
      <c r="AG63" s="13"/>
      <c r="AH63" s="13"/>
      <c r="AI63" s="13"/>
      <c r="AJ63" s="13"/>
      <c r="AK63" s="13"/>
      <c r="AL63" s="13"/>
      <c r="AM63" s="13"/>
      <c r="AN63" s="13"/>
    </row>
    <row r="64" spans="1:40" ht="20.25">
      <c r="A64" t="str">
        <f t="shared" si="19"/>
        <v>Véhicules neufsTéléphone</v>
      </c>
      <c r="B64" s="11" t="str">
        <f t="shared" si="0"/>
        <v>Véhicules neufs</v>
      </c>
      <c r="C64" s="29" t="s">
        <v>58</v>
      </c>
      <c r="D64" s="81"/>
      <c r="E64" s="13"/>
      <c r="F64" s="30">
        <v>210.4</v>
      </c>
      <c r="G64" s="83"/>
      <c r="H64" s="13"/>
      <c r="I64" s="30"/>
      <c r="J64" s="41"/>
      <c r="K64" s="13"/>
      <c r="L64" s="33">
        <v>205.77</v>
      </c>
      <c r="M64" s="41"/>
      <c r="N64" s="59">
        <f t="shared" si="21"/>
        <v>-4.6299999999999955</v>
      </c>
      <c r="O64" s="41"/>
      <c r="P64" s="13"/>
      <c r="Q64" s="33">
        <v>273.86</v>
      </c>
      <c r="R64" s="41"/>
      <c r="S64" s="85">
        <f t="shared" si="22"/>
        <v>-68.09</v>
      </c>
      <c r="T64" s="13"/>
      <c r="U64" s="13"/>
      <c r="V64" s="13"/>
      <c r="W64" s="13"/>
      <c r="X64" s="13"/>
      <c r="Y64" s="13"/>
      <c r="Z64" s="13"/>
      <c r="AA64" s="13"/>
      <c r="AB64" s="13"/>
      <c r="AC64" s="13"/>
      <c r="AD64" s="13"/>
      <c r="AE64" s="13"/>
      <c r="AF64" s="13"/>
      <c r="AG64" s="13"/>
      <c r="AH64" s="13"/>
      <c r="AI64" s="13"/>
      <c r="AJ64" s="13"/>
      <c r="AK64" s="13"/>
      <c r="AL64" s="13"/>
      <c r="AM64" s="13"/>
      <c r="AN64" s="13"/>
    </row>
    <row r="65" spans="1:40" ht="20.25">
      <c r="A65" t="str">
        <f t="shared" si="19"/>
        <v>Véhicules neufsFrais postaux</v>
      </c>
      <c r="B65" s="11" t="str">
        <f t="shared" si="0"/>
        <v>Véhicules neufs</v>
      </c>
      <c r="C65" s="29" t="s">
        <v>59</v>
      </c>
      <c r="D65" s="81"/>
      <c r="E65" s="13"/>
      <c r="F65" s="30">
        <v>225</v>
      </c>
      <c r="G65" s="83"/>
      <c r="H65" s="13"/>
      <c r="I65" s="30"/>
      <c r="J65" s="41"/>
      <c r="K65" s="13"/>
      <c r="L65" s="33">
        <v>143.9</v>
      </c>
      <c r="M65" s="41"/>
      <c r="N65" s="59">
        <f t="shared" si="21"/>
        <v>-81.099999999999994</v>
      </c>
      <c r="O65" s="41"/>
      <c r="P65" s="13"/>
      <c r="Q65" s="33">
        <v>297.43</v>
      </c>
      <c r="R65" s="41"/>
      <c r="S65" s="85">
        <f t="shared" si="22"/>
        <v>-153.53</v>
      </c>
      <c r="T65" s="13"/>
      <c r="U65" s="13"/>
      <c r="V65" s="13"/>
      <c r="W65" s="13"/>
      <c r="X65" s="13"/>
      <c r="Y65" s="13"/>
      <c r="Z65" s="13"/>
      <c r="AA65" s="13"/>
      <c r="AB65" s="13"/>
      <c r="AC65" s="13"/>
      <c r="AD65" s="13"/>
      <c r="AE65" s="13"/>
      <c r="AF65" s="13"/>
      <c r="AG65" s="13"/>
      <c r="AH65" s="13"/>
      <c r="AI65" s="13"/>
      <c r="AJ65" s="13"/>
      <c r="AK65" s="13"/>
      <c r="AL65" s="13"/>
      <c r="AM65" s="13"/>
      <c r="AN65" s="13"/>
    </row>
    <row r="66" spans="1:40" ht="20.25">
      <c r="A66" t="str">
        <f t="shared" si="19"/>
        <v>Véhicules neufsDivers</v>
      </c>
      <c r="B66" s="11" t="str">
        <f t="shared" si="0"/>
        <v>Véhicules neufs</v>
      </c>
      <c r="C66" s="29" t="s">
        <v>60</v>
      </c>
      <c r="D66" s="81"/>
      <c r="E66" s="13"/>
      <c r="F66" s="30">
        <v>836.1</v>
      </c>
      <c r="G66" s="83"/>
      <c r="H66" s="13"/>
      <c r="I66" s="30"/>
      <c r="J66" s="41"/>
      <c r="K66" s="13"/>
      <c r="L66" s="33">
        <v>832.95</v>
      </c>
      <c r="M66" s="41"/>
      <c r="N66" s="59">
        <f t="shared" si="21"/>
        <v>-3.1499999999999773</v>
      </c>
      <c r="O66" s="41"/>
      <c r="P66" s="13"/>
      <c r="Q66" s="33">
        <v>1037.93</v>
      </c>
      <c r="R66" s="41"/>
      <c r="S66" s="85">
        <f t="shared" si="22"/>
        <v>-204.98000000000002</v>
      </c>
      <c r="T66" s="13"/>
      <c r="U66" s="13"/>
      <c r="V66" s="13"/>
      <c r="W66" s="13"/>
      <c r="X66" s="13"/>
      <c r="Y66" s="13"/>
      <c r="Z66" s="13"/>
      <c r="AA66" s="13"/>
      <c r="AB66" s="13"/>
      <c r="AC66" s="13"/>
      <c r="AD66" s="13"/>
      <c r="AE66" s="13"/>
      <c r="AF66" s="13"/>
      <c r="AG66" s="13"/>
      <c r="AH66" s="13"/>
      <c r="AI66" s="13"/>
      <c r="AJ66" s="13"/>
      <c r="AK66" s="13"/>
      <c r="AL66" s="13"/>
      <c r="AM66" s="13"/>
      <c r="AN66" s="13"/>
    </row>
    <row r="67" spans="1:40" ht="20.25">
      <c r="A67" t="str">
        <f>+B67&amp;C67</f>
        <v>Véhicules neufsFormation</v>
      </c>
      <c r="B67" s="11" t="str">
        <f t="shared" si="0"/>
        <v>Véhicules neufs</v>
      </c>
      <c r="C67" s="29" t="s">
        <v>61</v>
      </c>
      <c r="D67" s="81"/>
      <c r="E67" s="13"/>
      <c r="F67" s="30">
        <v>482.16381333333317</v>
      </c>
      <c r="G67" s="83"/>
      <c r="H67" s="13"/>
      <c r="I67" s="30"/>
      <c r="J67" s="41"/>
      <c r="K67" s="13"/>
      <c r="L67" s="59">
        <v>974.97</v>
      </c>
      <c r="M67" s="41"/>
      <c r="N67" s="59">
        <f t="shared" si="21"/>
        <v>492.80618666666686</v>
      </c>
      <c r="O67" s="41"/>
      <c r="P67" s="13"/>
      <c r="Q67" s="33">
        <v>370.07</v>
      </c>
      <c r="R67" s="41"/>
      <c r="S67" s="85">
        <f>L67-Q67</f>
        <v>604.90000000000009</v>
      </c>
      <c r="T67" s="13"/>
      <c r="U67" s="13"/>
      <c r="V67" s="13"/>
      <c r="W67" s="13"/>
      <c r="X67" s="13"/>
      <c r="Y67" s="13"/>
      <c r="Z67" s="13"/>
      <c r="AA67" s="13"/>
      <c r="AB67" s="13"/>
      <c r="AC67" s="13"/>
      <c r="AD67" s="13"/>
      <c r="AE67" s="13"/>
      <c r="AF67" s="13"/>
      <c r="AG67" s="13"/>
      <c r="AH67" s="13"/>
      <c r="AI67" s="13"/>
      <c r="AJ67" s="13"/>
      <c r="AK67" s="13"/>
      <c r="AL67" s="13"/>
      <c r="AM67" s="13"/>
      <c r="AN67" s="13"/>
    </row>
    <row r="68" spans="1:40" ht="20.25">
      <c r="A68" t="str">
        <f>+B68&amp;C68</f>
        <v>Véhicules neufsFrais bancaires</v>
      </c>
      <c r="B68" s="11" t="str">
        <f t="shared" si="0"/>
        <v>Véhicules neufs</v>
      </c>
      <c r="C68" s="29" t="s">
        <v>62</v>
      </c>
      <c r="D68" s="81"/>
      <c r="E68" s="13"/>
      <c r="F68" s="30">
        <v>2783.4463893060597</v>
      </c>
      <c r="G68" s="83"/>
      <c r="H68" s="13"/>
      <c r="I68" s="30"/>
      <c r="J68" s="41"/>
      <c r="K68" s="13"/>
      <c r="L68" s="32">
        <v>1997.75</v>
      </c>
      <c r="M68" s="41"/>
      <c r="N68" s="59">
        <f t="shared" si="21"/>
        <v>-785.6963893060597</v>
      </c>
      <c r="O68" s="41"/>
      <c r="P68" s="13"/>
      <c r="Q68" s="33">
        <v>2629.8</v>
      </c>
      <c r="R68" s="41"/>
      <c r="S68" s="85">
        <f>L68-Q68</f>
        <v>-632.05000000000018</v>
      </c>
      <c r="T68" s="13"/>
      <c r="U68" s="13"/>
      <c r="V68" s="13"/>
      <c r="W68" s="13"/>
      <c r="X68" s="13"/>
      <c r="Y68" s="13"/>
      <c r="Z68" s="13"/>
      <c r="AA68" s="13"/>
      <c r="AB68" s="13"/>
      <c r="AC68" s="13"/>
      <c r="AD68" s="13"/>
      <c r="AE68" s="13"/>
      <c r="AF68" s="13"/>
      <c r="AG68" s="13"/>
      <c r="AH68" s="13"/>
      <c r="AI68" s="13"/>
      <c r="AJ68" s="13"/>
      <c r="AK68" s="13"/>
      <c r="AL68" s="13"/>
      <c r="AM68" s="13"/>
      <c r="AN68" s="13"/>
    </row>
    <row r="69" spans="1:40" ht="20.25" hidden="1">
      <c r="A69" t="str">
        <f>+B69&amp;C69</f>
        <v>Véhicules neufs[...]</v>
      </c>
      <c r="B69" s="11" t="str">
        <f t="shared" si="0"/>
        <v>Véhicules neufs</v>
      </c>
      <c r="C69" s="29" t="s">
        <v>19</v>
      </c>
      <c r="D69" s="81"/>
      <c r="E69" s="13"/>
      <c r="F69" s="30">
        <v>0</v>
      </c>
      <c r="G69" s="83"/>
      <c r="H69" s="13"/>
      <c r="I69" s="30"/>
      <c r="J69" s="41"/>
      <c r="K69" s="13"/>
      <c r="L69" s="33"/>
      <c r="M69" s="41"/>
      <c r="N69" s="59">
        <f t="shared" si="21"/>
        <v>0</v>
      </c>
      <c r="O69" s="41"/>
      <c r="P69" s="13"/>
      <c r="Q69" s="33">
        <v>0</v>
      </c>
      <c r="R69" s="41"/>
      <c r="S69" s="85">
        <f>L69-Q69</f>
        <v>0</v>
      </c>
      <c r="T69" s="13"/>
      <c r="U69" s="13"/>
      <c r="V69" s="13"/>
      <c r="W69" s="13"/>
      <c r="X69" s="13"/>
      <c r="Y69" s="13"/>
      <c r="Z69" s="13"/>
      <c r="AA69" s="13"/>
      <c r="AB69" s="13"/>
      <c r="AC69" s="13"/>
      <c r="AD69" s="13"/>
      <c r="AE69" s="13"/>
      <c r="AF69" s="13"/>
      <c r="AG69" s="13"/>
      <c r="AH69" s="13"/>
      <c r="AI69" s="13"/>
      <c r="AJ69" s="13"/>
      <c r="AK69" s="13"/>
      <c r="AL69" s="13"/>
      <c r="AM69" s="13"/>
      <c r="AN69" s="13"/>
    </row>
    <row r="70" spans="1:40" ht="20.25" hidden="1">
      <c r="A70" t="str">
        <f t="shared" ref="A70:A78" si="23">+B70&amp;C70</f>
        <v>Véhicules neufs[...]</v>
      </c>
      <c r="B70" s="11" t="str">
        <f t="shared" si="0"/>
        <v>Véhicules neufs</v>
      </c>
      <c r="C70" s="29" t="s">
        <v>19</v>
      </c>
      <c r="D70" s="81"/>
      <c r="E70" s="13"/>
      <c r="F70" s="30">
        <v>0</v>
      </c>
      <c r="G70" s="83"/>
      <c r="H70" s="13"/>
      <c r="I70" s="30"/>
      <c r="J70" s="41"/>
      <c r="K70" s="13"/>
      <c r="L70" s="33">
        <v>0</v>
      </c>
      <c r="M70" s="41"/>
      <c r="N70" s="59">
        <f t="shared" si="21"/>
        <v>0</v>
      </c>
      <c r="O70" s="41"/>
      <c r="P70" s="13"/>
      <c r="Q70" s="33">
        <v>0</v>
      </c>
      <c r="R70" s="41"/>
      <c r="S70" s="85">
        <f t="shared" ref="S70:S71" si="24">L70-Q70</f>
        <v>0</v>
      </c>
      <c r="T70" s="13"/>
      <c r="U70" s="13"/>
      <c r="V70" s="13"/>
      <c r="W70" s="13"/>
      <c r="X70" s="13"/>
      <c r="Y70" s="13"/>
      <c r="Z70" s="13"/>
      <c r="AA70" s="13"/>
      <c r="AB70" s="13"/>
      <c r="AC70" s="13"/>
      <c r="AD70" s="13"/>
      <c r="AE70" s="13"/>
      <c r="AF70" s="13"/>
      <c r="AG70" s="13"/>
      <c r="AH70" s="13"/>
      <c r="AI70" s="13"/>
      <c r="AJ70" s="13"/>
      <c r="AK70" s="13"/>
      <c r="AL70" s="13"/>
      <c r="AM70" s="13"/>
      <c r="AN70" s="13"/>
    </row>
    <row r="71" spans="1:40" ht="20.25" hidden="1">
      <c r="A71" t="str">
        <f t="shared" si="23"/>
        <v>Véhicules neufs[...]</v>
      </c>
      <c r="B71" s="11" t="str">
        <f t="shared" si="0"/>
        <v>Véhicules neufs</v>
      </c>
      <c r="C71" s="29" t="s">
        <v>19</v>
      </c>
      <c r="D71" s="81"/>
      <c r="E71" s="13"/>
      <c r="F71" s="30">
        <v>0</v>
      </c>
      <c r="G71" s="83"/>
      <c r="H71" s="13"/>
      <c r="I71" s="30"/>
      <c r="J71" s="41"/>
      <c r="K71" s="13"/>
      <c r="L71" s="33">
        <v>0</v>
      </c>
      <c r="M71" s="41"/>
      <c r="N71" s="59">
        <f t="shared" si="21"/>
        <v>0</v>
      </c>
      <c r="O71" s="41"/>
      <c r="P71" s="13"/>
      <c r="Q71" s="33">
        <v>0</v>
      </c>
      <c r="R71" s="41"/>
      <c r="S71" s="85">
        <f t="shared" si="24"/>
        <v>0</v>
      </c>
      <c r="T71" s="13"/>
      <c r="U71" s="13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11"/>
      <c r="AH71" s="11"/>
      <c r="AI71" s="11"/>
      <c r="AJ71" s="11"/>
      <c r="AK71" s="11"/>
      <c r="AL71" s="11"/>
      <c r="AM71" s="11"/>
      <c r="AN71" s="11"/>
    </row>
    <row r="72" spans="1:40" ht="20.25">
      <c r="A72" t="str">
        <f t="shared" si="23"/>
        <v>Véhicules neufsTOTAL SEMI-FIXES</v>
      </c>
      <c r="B72" s="11" t="str">
        <f t="shared" si="0"/>
        <v>Véhicules neufs</v>
      </c>
      <c r="C72" s="93" t="s">
        <v>63</v>
      </c>
      <c r="D72" s="94" t="s">
        <v>38</v>
      </c>
      <c r="E72" s="95">
        <f>F72/F$27</f>
        <v>0.12765672685385385</v>
      </c>
      <c r="F72" s="96">
        <f>+SUM(F55:F71)</f>
        <v>19058.543535972727</v>
      </c>
      <c r="G72" s="97"/>
      <c r="H72" s="95"/>
      <c r="I72" s="96"/>
      <c r="J72" s="97" t="s">
        <v>38</v>
      </c>
      <c r="K72" s="95">
        <f>L72/L$27</f>
        <v>0.28380509220348016</v>
      </c>
      <c r="L72" s="96">
        <f>+SUM(L55:L71)</f>
        <v>22400.980000000003</v>
      </c>
      <c r="M72" s="100"/>
      <c r="N72" s="96">
        <f>+SUM(N55:N71)</f>
        <v>3342.436464027272</v>
      </c>
      <c r="O72" s="97" t="s">
        <v>38</v>
      </c>
      <c r="P72" s="95">
        <f>Q72/Q$27</f>
        <v>8.9967686473104644E-2</v>
      </c>
      <c r="Q72" s="96">
        <f>+SUM(Q55:Q71)</f>
        <v>17219.79</v>
      </c>
      <c r="R72" s="100"/>
      <c r="S72" s="101">
        <f>+SUM(S55:S71)</f>
        <v>5181.1899999999996</v>
      </c>
      <c r="T72" s="13"/>
      <c r="U72" s="13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1"/>
      <c r="AI72" s="11"/>
      <c r="AJ72" s="11"/>
      <c r="AK72" s="11"/>
      <c r="AL72" s="11"/>
      <c r="AM72" s="11"/>
      <c r="AN72" s="11"/>
    </row>
    <row r="73" spans="1:40" ht="20.25">
      <c r="A73" t="str">
        <f t="shared" si="23"/>
        <v>Véhicules neufs</v>
      </c>
      <c r="B73" s="11" t="str">
        <f t="shared" si="0"/>
        <v>Véhicules neufs</v>
      </c>
      <c r="C73" s="86"/>
      <c r="D73" s="87"/>
      <c r="E73" s="111"/>
      <c r="F73" s="59"/>
      <c r="G73" s="89"/>
      <c r="H73" s="111"/>
      <c r="I73" s="59"/>
      <c r="J73" s="23"/>
      <c r="K73" s="111"/>
      <c r="L73" s="91"/>
      <c r="M73" s="23"/>
      <c r="N73" s="91"/>
      <c r="O73" s="23"/>
      <c r="P73" s="111"/>
      <c r="Q73" s="91"/>
      <c r="R73" s="23"/>
      <c r="S73" s="92"/>
      <c r="T73" s="13"/>
      <c r="U73" s="13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  <c r="AG73" s="11"/>
      <c r="AH73" s="11"/>
      <c r="AI73" s="11"/>
      <c r="AJ73" s="11"/>
      <c r="AK73" s="11"/>
      <c r="AL73" s="11"/>
      <c r="AM73" s="11"/>
      <c r="AN73" s="11"/>
    </row>
    <row r="74" spans="1:40" ht="20.25">
      <c r="A74" t="str">
        <f t="shared" si="23"/>
        <v>Véhicules neufsTOTAL DES DÉPENSES</v>
      </c>
      <c r="B74" s="11" t="str">
        <f t="shared" si="0"/>
        <v>Véhicules neufs</v>
      </c>
      <c r="C74" s="93" t="s">
        <v>64</v>
      </c>
      <c r="D74" s="94" t="s">
        <v>38</v>
      </c>
      <c r="E74" s="95">
        <f>F74/F$27</f>
        <v>0.98345801461360283</v>
      </c>
      <c r="F74" s="96">
        <f>F41+F54+F72</f>
        <v>146825.61467185861</v>
      </c>
      <c r="G74" s="97"/>
      <c r="H74" s="95"/>
      <c r="I74" s="96"/>
      <c r="J74" s="97" t="s">
        <v>38</v>
      </c>
      <c r="K74" s="95">
        <f>L74/L$27</f>
        <v>1.7120787737521153</v>
      </c>
      <c r="L74" s="96">
        <f>L41+L54+L72</f>
        <v>135135.85</v>
      </c>
      <c r="M74" s="100"/>
      <c r="N74" s="113">
        <f t="shared" ref="N74:N82" si="25">L74-F74</f>
        <v>-11689.764671858604</v>
      </c>
      <c r="O74" s="97" t="s">
        <v>38</v>
      </c>
      <c r="P74" s="95">
        <f>Q74/Q$27</f>
        <v>0.72523982793705311</v>
      </c>
      <c r="Q74" s="96">
        <f>Q41+Q54+Q72</f>
        <v>138810.70000000001</v>
      </c>
      <c r="R74" s="100"/>
      <c r="S74" s="114">
        <f>L74-Q74</f>
        <v>-3674.8500000000058</v>
      </c>
      <c r="T74" s="13"/>
      <c r="U74" s="13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1"/>
      <c r="AG74" s="11"/>
      <c r="AH74" s="11"/>
      <c r="AI74" s="11"/>
      <c r="AJ74" s="11"/>
      <c r="AK74" s="11"/>
      <c r="AL74" s="11"/>
      <c r="AM74" s="11"/>
      <c r="AN74" s="11"/>
    </row>
    <row r="75" spans="1:40" ht="20.25">
      <c r="A75" t="str">
        <f t="shared" si="23"/>
        <v>Véhicules neufsRBSC neuf</v>
      </c>
      <c r="B75" s="11" t="str">
        <f t="shared" si="0"/>
        <v>Véhicules neufs</v>
      </c>
      <c r="C75" s="29" t="s">
        <v>216</v>
      </c>
      <c r="D75" s="81"/>
      <c r="E75" s="13"/>
      <c r="F75" s="30">
        <v>32032.971384615397</v>
      </c>
      <c r="G75" s="83"/>
      <c r="H75" s="13"/>
      <c r="I75" s="30"/>
      <c r="J75" s="41"/>
      <c r="K75" s="13"/>
      <c r="L75" s="32">
        <v>19618.689999999999</v>
      </c>
      <c r="M75" s="41"/>
      <c r="N75" s="59">
        <f t="shared" si="25"/>
        <v>-12414.281384615399</v>
      </c>
      <c r="O75" s="41"/>
      <c r="P75" s="13"/>
      <c r="Q75" s="32">
        <v>44929.74</v>
      </c>
      <c r="R75" s="41"/>
      <c r="S75" s="85">
        <f>L75-Q75</f>
        <v>-25311.05</v>
      </c>
      <c r="T75" s="13"/>
      <c r="U75" s="13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11"/>
      <c r="AH75" s="11"/>
      <c r="AI75" s="11"/>
      <c r="AJ75" s="11"/>
      <c r="AK75" s="11"/>
      <c r="AL75" s="11"/>
      <c r="AM75" s="11"/>
      <c r="AN75" s="11"/>
    </row>
    <row r="76" spans="1:40" ht="20.25" hidden="1">
      <c r="A76" t="str">
        <f t="shared" si="23"/>
        <v>Véhicules neufsProgramme neuf 2</v>
      </c>
      <c r="B76" s="11" t="str">
        <f t="shared" si="0"/>
        <v>Véhicules neufs</v>
      </c>
      <c r="C76" s="29" t="s">
        <v>188</v>
      </c>
      <c r="D76" s="81"/>
      <c r="E76" s="13"/>
      <c r="F76" s="30">
        <v>0</v>
      </c>
      <c r="G76" s="83"/>
      <c r="H76" s="13"/>
      <c r="I76" s="30"/>
      <c r="J76" s="41"/>
      <c r="K76" s="13"/>
      <c r="L76" s="32">
        <v>0</v>
      </c>
      <c r="M76" s="41"/>
      <c r="N76" s="59">
        <f t="shared" si="25"/>
        <v>0</v>
      </c>
      <c r="O76" s="41"/>
      <c r="P76" s="13"/>
      <c r="Q76" s="32">
        <v>0</v>
      </c>
      <c r="R76" s="41"/>
      <c r="S76" s="85">
        <f>L76-Q76</f>
        <v>0</v>
      </c>
      <c r="T76" s="13"/>
      <c r="U76" s="13"/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11"/>
      <c r="AG76" s="11"/>
      <c r="AH76" s="11"/>
      <c r="AI76" s="11"/>
      <c r="AJ76" s="11"/>
      <c r="AK76" s="11"/>
      <c r="AL76" s="11"/>
      <c r="AM76" s="11"/>
      <c r="AN76" s="11"/>
    </row>
    <row r="77" spans="1:40" ht="20.25" hidden="1">
      <c r="A77" t="str">
        <f t="shared" si="23"/>
        <v>Véhicules neufsProgramme neuf 3</v>
      </c>
      <c r="B77" s="11" t="str">
        <f t="shared" si="0"/>
        <v>Véhicules neufs</v>
      </c>
      <c r="C77" s="29" t="s">
        <v>65</v>
      </c>
      <c r="D77" s="81"/>
      <c r="E77" s="13"/>
      <c r="F77" s="30">
        <v>0</v>
      </c>
      <c r="G77" s="83"/>
      <c r="H77" s="13"/>
      <c r="I77" s="30"/>
      <c r="J77" s="41"/>
      <c r="K77" s="13"/>
      <c r="L77" s="32">
        <v>0</v>
      </c>
      <c r="M77" s="41"/>
      <c r="N77" s="59">
        <f t="shared" si="25"/>
        <v>0</v>
      </c>
      <c r="O77" s="41"/>
      <c r="P77" s="13"/>
      <c r="Q77" s="32">
        <v>0</v>
      </c>
      <c r="R77" s="41"/>
      <c r="S77" s="85">
        <f t="shared" ref="S77:S78" si="26">L77-Q77</f>
        <v>0</v>
      </c>
      <c r="T77" s="13"/>
      <c r="U77" s="13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11"/>
      <c r="AH77" s="11"/>
      <c r="AI77" s="11"/>
      <c r="AJ77" s="11"/>
      <c r="AK77" s="11"/>
      <c r="AL77" s="11"/>
      <c r="AM77" s="11"/>
      <c r="AN77" s="11"/>
    </row>
    <row r="78" spans="1:40" ht="20.25">
      <c r="A78" t="str">
        <f t="shared" si="23"/>
        <v>Véhicules neufsHoldbacks</v>
      </c>
      <c r="B78" s="11" t="str">
        <f t="shared" si="0"/>
        <v>Véhicules neufs</v>
      </c>
      <c r="C78" s="29" t="s">
        <v>66</v>
      </c>
      <c r="D78" s="81"/>
      <c r="E78" s="13"/>
      <c r="F78" s="30">
        <v>36609.110153846166</v>
      </c>
      <c r="G78" s="83"/>
      <c r="H78" s="13"/>
      <c r="I78" s="30"/>
      <c r="J78" s="41"/>
      <c r="K78" s="13"/>
      <c r="L78" s="33">
        <v>31297.599999999999</v>
      </c>
      <c r="M78" s="41"/>
      <c r="N78" s="59">
        <f t="shared" si="25"/>
        <v>-5311.5101538461677</v>
      </c>
      <c r="O78" s="41"/>
      <c r="P78" s="13"/>
      <c r="Q78" s="32">
        <v>43027.7</v>
      </c>
      <c r="R78" s="41"/>
      <c r="S78" s="85">
        <f t="shared" si="26"/>
        <v>-11730.099999999999</v>
      </c>
      <c r="T78" s="13"/>
      <c r="U78" s="13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/>
      <c r="AI78" s="11"/>
      <c r="AJ78" s="11"/>
      <c r="AK78" s="11"/>
      <c r="AL78" s="11"/>
      <c r="AM78" s="11"/>
      <c r="AN78" s="11"/>
    </row>
    <row r="79" spans="1:40" ht="20.25" hidden="1">
      <c r="A79" t="str">
        <f>+B79&amp;C79</f>
        <v>Véhicules neufs[...]</v>
      </c>
      <c r="B79" s="11" t="str">
        <f t="shared" si="0"/>
        <v>Véhicules neufs</v>
      </c>
      <c r="C79" s="29" t="s">
        <v>19</v>
      </c>
      <c r="D79" s="81"/>
      <c r="E79" s="13"/>
      <c r="F79" s="30">
        <v>0</v>
      </c>
      <c r="G79" s="83"/>
      <c r="H79" s="13"/>
      <c r="I79" s="30"/>
      <c r="J79" s="41"/>
      <c r="K79" s="13"/>
      <c r="L79" s="33">
        <v>0</v>
      </c>
      <c r="M79" s="41"/>
      <c r="N79" s="59">
        <f t="shared" si="25"/>
        <v>0</v>
      </c>
      <c r="O79" s="41"/>
      <c r="P79" s="13"/>
      <c r="Q79" s="32">
        <v>0</v>
      </c>
      <c r="R79" s="41"/>
      <c r="S79" s="85">
        <f>L79-Q79</f>
        <v>0</v>
      </c>
      <c r="T79" s="13"/>
      <c r="U79" s="13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11"/>
      <c r="AJ79" s="11"/>
      <c r="AK79" s="11"/>
      <c r="AL79" s="11"/>
      <c r="AM79" s="11"/>
      <c r="AN79" s="11"/>
    </row>
    <row r="80" spans="1:40" ht="20.25" hidden="1">
      <c r="A80" t="str">
        <f>+B80&amp;C80</f>
        <v>Véhicules neufs[...]</v>
      </c>
      <c r="B80" s="11" t="str">
        <f t="shared" si="0"/>
        <v>Véhicules neufs</v>
      </c>
      <c r="C80" s="29" t="s">
        <v>19</v>
      </c>
      <c r="D80" s="81"/>
      <c r="E80" s="13"/>
      <c r="F80" s="30">
        <v>0</v>
      </c>
      <c r="G80" s="83"/>
      <c r="H80" s="13"/>
      <c r="I80" s="30"/>
      <c r="J80" s="41"/>
      <c r="K80" s="13"/>
      <c r="L80" s="33">
        <v>0</v>
      </c>
      <c r="M80" s="41"/>
      <c r="N80" s="59">
        <f t="shared" si="25"/>
        <v>0</v>
      </c>
      <c r="O80" s="41"/>
      <c r="P80" s="13"/>
      <c r="Q80" s="32">
        <v>0</v>
      </c>
      <c r="R80" s="41"/>
      <c r="S80" s="85">
        <f>L80-Q80</f>
        <v>0</v>
      </c>
      <c r="T80" s="13"/>
      <c r="U80" s="13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/>
      <c r="AH80" s="11"/>
      <c r="AI80" s="11"/>
      <c r="AJ80" s="11"/>
      <c r="AK80" s="11"/>
      <c r="AL80" s="11"/>
      <c r="AM80" s="11"/>
      <c r="AN80" s="11"/>
    </row>
    <row r="81" spans="1:40" ht="20.25" hidden="1">
      <c r="A81" t="str">
        <f>+B81&amp;C81</f>
        <v>Véhicules neufs[...]</v>
      </c>
      <c r="B81" s="11" t="str">
        <f t="shared" si="0"/>
        <v>Véhicules neufs</v>
      </c>
      <c r="C81" s="29" t="s">
        <v>19</v>
      </c>
      <c r="D81" s="81"/>
      <c r="E81" s="13"/>
      <c r="F81" s="30">
        <v>0</v>
      </c>
      <c r="G81" s="83"/>
      <c r="H81" s="13"/>
      <c r="I81" s="30"/>
      <c r="J81" s="41"/>
      <c r="K81" s="13"/>
      <c r="L81" s="33">
        <v>0</v>
      </c>
      <c r="M81" s="41"/>
      <c r="N81" s="59">
        <f t="shared" si="25"/>
        <v>0</v>
      </c>
      <c r="O81" s="41"/>
      <c r="P81" s="13"/>
      <c r="Q81" s="32">
        <v>0</v>
      </c>
      <c r="R81" s="41"/>
      <c r="S81" s="85">
        <f>L81-Q81</f>
        <v>0</v>
      </c>
      <c r="T81" s="13"/>
      <c r="U81" s="13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  <c r="AI81" s="11"/>
      <c r="AJ81" s="11"/>
      <c r="AK81" s="11"/>
      <c r="AL81" s="11"/>
      <c r="AM81" s="11"/>
      <c r="AN81" s="11"/>
    </row>
    <row r="82" spans="1:40" ht="20.25">
      <c r="A82" t="str">
        <f t="shared" ref="A82:A85" si="27">+B82&amp;C82</f>
        <v>Véhicules neufsFrais administration</v>
      </c>
      <c r="B82" s="11" t="str">
        <f t="shared" si="0"/>
        <v>Véhicules neufs</v>
      </c>
      <c r="C82" s="29" t="s">
        <v>67</v>
      </c>
      <c r="D82" s="81"/>
      <c r="E82" s="13"/>
      <c r="F82" s="30">
        <v>12959.1</v>
      </c>
      <c r="G82" s="83"/>
      <c r="H82" s="13"/>
      <c r="I82" s="30"/>
      <c r="J82" s="41"/>
      <c r="K82" s="13"/>
      <c r="L82" s="32">
        <v>8925</v>
      </c>
      <c r="M82" s="41"/>
      <c r="N82" s="59">
        <f t="shared" si="25"/>
        <v>-4034.1000000000004</v>
      </c>
      <c r="O82" s="41"/>
      <c r="P82" s="13"/>
      <c r="Q82" s="32">
        <v>15470</v>
      </c>
      <c r="R82" s="41"/>
      <c r="S82" s="85">
        <f t="shared" ref="S82" si="28">L82-Q82</f>
        <v>-6545</v>
      </c>
      <c r="T82" s="13"/>
      <c r="U82" s="13"/>
      <c r="V82" s="11">
        <f>L82/595</f>
        <v>15</v>
      </c>
      <c r="W82" s="489">
        <f>V82/J27</f>
        <v>1</v>
      </c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/>
      <c r="AI82" s="11"/>
      <c r="AJ82" s="11"/>
      <c r="AK82" s="11"/>
      <c r="AL82" s="11"/>
      <c r="AM82" s="11"/>
      <c r="AN82" s="11"/>
    </row>
    <row r="83" spans="1:40" ht="20.25">
      <c r="A83" t="str">
        <f t="shared" si="27"/>
        <v>Véhicules neufsAUTRES REVENUS</v>
      </c>
      <c r="B83" s="11" t="str">
        <f t="shared" si="0"/>
        <v>Véhicules neufs</v>
      </c>
      <c r="C83" s="93" t="s">
        <v>68</v>
      </c>
      <c r="D83" s="94"/>
      <c r="E83" s="95"/>
      <c r="F83" s="96">
        <f>+SUM(F75:F82)</f>
        <v>81601.181538461562</v>
      </c>
      <c r="G83" s="97"/>
      <c r="H83" s="95"/>
      <c r="I83" s="96"/>
      <c r="J83" s="97"/>
      <c r="K83" s="95"/>
      <c r="L83" s="96">
        <f>+SUM(L75:L82)</f>
        <v>59841.289999999994</v>
      </c>
      <c r="M83" s="100"/>
      <c r="N83" s="96">
        <f>+SUM(N75:N82)</f>
        <v>-21759.891538461568</v>
      </c>
      <c r="O83" s="97"/>
      <c r="P83" s="95"/>
      <c r="Q83" s="96">
        <f>+SUM(Q75:Q82)</f>
        <v>103427.44</v>
      </c>
      <c r="R83" s="100"/>
      <c r="S83" s="101">
        <f>+SUM(S75:S82)</f>
        <v>-43586.149999999994</v>
      </c>
      <c r="T83" s="13"/>
      <c r="U83" s="13"/>
      <c r="V83" s="11">
        <v>12</v>
      </c>
      <c r="W83" s="11" t="s">
        <v>242</v>
      </c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  <c r="AI83" s="11"/>
      <c r="AJ83" s="11"/>
      <c r="AK83" s="11"/>
      <c r="AL83" s="11"/>
      <c r="AM83" s="11"/>
      <c r="AN83" s="11"/>
    </row>
    <row r="84" spans="1:40" ht="20.25">
      <c r="A84" t="str">
        <f t="shared" si="27"/>
        <v>Véhicules neufs</v>
      </c>
      <c r="B84" s="11" t="str">
        <f t="shared" si="0"/>
        <v>Véhicules neufs</v>
      </c>
      <c r="C84" s="115"/>
      <c r="D84" s="116"/>
      <c r="E84" s="117"/>
      <c r="F84" s="118"/>
      <c r="G84" s="119"/>
      <c r="H84" s="117"/>
      <c r="I84" s="118"/>
      <c r="J84" s="120"/>
      <c r="K84" s="121"/>
      <c r="L84" s="118"/>
      <c r="M84" s="120"/>
      <c r="N84" s="122"/>
      <c r="O84" s="120"/>
      <c r="P84" s="121"/>
      <c r="Q84" s="118"/>
      <c r="R84" s="120"/>
      <c r="S84" s="123"/>
      <c r="T84" s="13"/>
      <c r="U84" s="13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/>
      <c r="AI84" s="11"/>
      <c r="AJ84" s="11"/>
      <c r="AK84" s="11"/>
      <c r="AL84" s="11"/>
      <c r="AM84" s="11"/>
      <c r="AN84" s="11"/>
    </row>
    <row r="85" spans="1:40" ht="21" thickBot="1">
      <c r="A85" t="str">
        <f t="shared" si="27"/>
        <v>Véhicules neufsPROFIT DÉPARTEMENTAL</v>
      </c>
      <c r="B85" s="11" t="str">
        <f t="shared" si="0"/>
        <v>Véhicules neufs</v>
      </c>
      <c r="C85" s="124" t="s">
        <v>69</v>
      </c>
      <c r="D85" s="125"/>
      <c r="E85" s="126"/>
      <c r="F85" s="127">
        <f>F27-F74+F83</f>
        <v>84070.82145817377</v>
      </c>
      <c r="G85" s="128"/>
      <c r="H85" s="126"/>
      <c r="I85" s="127"/>
      <c r="J85" s="128"/>
      <c r="K85" s="125"/>
      <c r="L85" s="127">
        <f>L27-L74+L83</f>
        <v>3636.3000000000611</v>
      </c>
      <c r="M85" s="128"/>
      <c r="N85" s="127">
        <f>N27-N41-N54-N72+N83</f>
        <v>-80434.521458173695</v>
      </c>
      <c r="O85" s="128"/>
      <c r="P85" s="125"/>
      <c r="Q85" s="127">
        <f>Q27-Q74+Q83</f>
        <v>156016.45999999982</v>
      </c>
      <c r="R85" s="128"/>
      <c r="S85" s="129">
        <f>S27-S41-S54-S72+S83</f>
        <v>-152380.15999999977</v>
      </c>
      <c r="T85" s="13"/>
      <c r="U85" s="13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11"/>
      <c r="AH85" s="11"/>
      <c r="AI85" s="11"/>
      <c r="AJ85" s="11"/>
      <c r="AK85" s="11"/>
      <c r="AL85" s="11"/>
      <c r="AM85" s="11"/>
      <c r="AN85" s="11"/>
    </row>
    <row r="86" spans="1:40" ht="24" thickTop="1">
      <c r="B86" s="130"/>
      <c r="C86" s="131"/>
      <c r="D86" s="131"/>
      <c r="E86" s="131"/>
      <c r="F86" s="131"/>
      <c r="G86" s="131"/>
      <c r="H86" s="131"/>
      <c r="I86" s="131"/>
      <c r="J86" s="131"/>
      <c r="K86" s="131"/>
      <c r="L86" s="132"/>
      <c r="M86" s="131"/>
      <c r="N86" s="131"/>
      <c r="O86" s="131"/>
      <c r="P86" s="131"/>
      <c r="Q86" s="131"/>
      <c r="R86" s="131"/>
      <c r="S86" s="131"/>
      <c r="T86" s="131"/>
      <c r="U86" s="131"/>
      <c r="V86" s="130"/>
      <c r="W86" s="130"/>
      <c r="X86" s="130"/>
      <c r="Y86" s="130"/>
      <c r="Z86" s="130"/>
      <c r="AA86" s="130"/>
      <c r="AB86" s="130"/>
      <c r="AC86" s="130"/>
      <c r="AD86" s="130"/>
      <c r="AE86" s="130"/>
      <c r="AF86" s="130"/>
      <c r="AG86" s="130"/>
      <c r="AH86" s="130"/>
      <c r="AI86" s="130"/>
      <c r="AJ86" s="130"/>
      <c r="AK86" s="130"/>
      <c r="AL86" s="130"/>
      <c r="AM86" s="130"/>
      <c r="AN86" s="130"/>
    </row>
    <row r="87" spans="1:40" ht="23.25">
      <c r="B87" s="130"/>
      <c r="C87" s="131"/>
      <c r="D87" s="131"/>
      <c r="E87" s="131"/>
      <c r="F87" s="131"/>
      <c r="G87" s="131"/>
      <c r="H87" s="131"/>
      <c r="I87" s="131"/>
      <c r="J87" s="131"/>
      <c r="K87" s="131"/>
      <c r="L87" s="131"/>
      <c r="M87" s="131"/>
      <c r="N87" s="131"/>
      <c r="O87" s="131"/>
      <c r="P87" s="131"/>
      <c r="Q87" s="131"/>
      <c r="R87" s="131"/>
      <c r="S87" s="131"/>
      <c r="T87" s="131"/>
      <c r="U87" s="131"/>
      <c r="V87" s="130"/>
      <c r="W87" s="130"/>
      <c r="X87" s="130"/>
      <c r="Y87" s="130"/>
      <c r="Z87" s="130"/>
      <c r="AA87" s="130"/>
      <c r="AB87" s="130"/>
      <c r="AC87" s="130"/>
      <c r="AD87" s="130"/>
      <c r="AE87" s="130"/>
      <c r="AF87" s="130"/>
      <c r="AG87" s="130"/>
      <c r="AH87" s="130"/>
      <c r="AI87" s="130"/>
      <c r="AJ87" s="130"/>
      <c r="AK87" s="130"/>
      <c r="AL87" s="130"/>
      <c r="AM87" s="130"/>
      <c r="AN87" s="130"/>
    </row>
    <row r="88" spans="1:40" ht="15.75">
      <c r="B88" s="7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</row>
    <row r="89" spans="1:40" ht="35.25">
      <c r="B89" s="1"/>
      <c r="C89" s="6" t="str">
        <f>C1</f>
        <v>BMW Sherbrooke</v>
      </c>
      <c r="D89" s="2"/>
      <c r="E89" s="2"/>
      <c r="F89" s="2"/>
      <c r="G89" s="2"/>
      <c r="H89" s="1"/>
      <c r="I89" s="1"/>
      <c r="J89" s="1"/>
      <c r="K89" s="3" t="s">
        <v>70</v>
      </c>
      <c r="L89" s="2"/>
      <c r="M89" s="2"/>
      <c r="N89" s="1"/>
      <c r="O89" s="1"/>
      <c r="P89" s="2"/>
      <c r="Q89" s="1"/>
      <c r="R89" s="2"/>
      <c r="S89" s="5" t="str">
        <f>$S$1</f>
        <v>Réalisé, Août 2024</v>
      </c>
      <c r="T89" s="6"/>
      <c r="U89" s="6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</row>
    <row r="90" spans="1:40" ht="16.5" thickBot="1">
      <c r="B90" s="7"/>
      <c r="C90" s="8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</row>
    <row r="91" spans="1:40" ht="21" thickTop="1">
      <c r="B91" s="11"/>
      <c r="C91" s="12"/>
      <c r="D91" s="496" t="s">
        <v>5</v>
      </c>
      <c r="E91" s="497"/>
      <c r="F91" s="498"/>
      <c r="G91" s="499"/>
      <c r="H91" s="497"/>
      <c r="I91" s="498"/>
      <c r="J91" s="499" t="s">
        <v>7</v>
      </c>
      <c r="K91" s="497"/>
      <c r="L91" s="498"/>
      <c r="M91" s="499" t="s">
        <v>213</v>
      </c>
      <c r="N91" s="498"/>
      <c r="O91" s="496" t="s">
        <v>8</v>
      </c>
      <c r="P91" s="497"/>
      <c r="Q91" s="498"/>
      <c r="R91" s="494" t="s">
        <v>214</v>
      </c>
      <c r="S91" s="495"/>
      <c r="T91" s="13"/>
      <c r="U91" s="13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11"/>
      <c r="AJ91" s="11"/>
      <c r="AK91" s="11"/>
      <c r="AL91" s="11"/>
      <c r="AM91" s="11"/>
      <c r="AN91" s="11"/>
    </row>
    <row r="92" spans="1:40" ht="20.25">
      <c r="B92" s="11"/>
      <c r="C92" s="29"/>
      <c r="D92" s="133" t="s">
        <v>10</v>
      </c>
      <c r="E92" s="80" t="s">
        <v>11</v>
      </c>
      <c r="F92" s="134" t="s">
        <v>12</v>
      </c>
      <c r="G92" s="135"/>
      <c r="H92" s="80"/>
      <c r="I92" s="134"/>
      <c r="J92" s="135" t="s">
        <v>10</v>
      </c>
      <c r="K92" s="80" t="s">
        <v>13</v>
      </c>
      <c r="L92" s="134" t="s">
        <v>12</v>
      </c>
      <c r="M92" s="135" t="s">
        <v>215</v>
      </c>
      <c r="N92" s="134" t="s">
        <v>217</v>
      </c>
      <c r="O92" s="80" t="s">
        <v>10</v>
      </c>
      <c r="P92" s="80" t="s">
        <v>11</v>
      </c>
      <c r="Q92" s="134" t="s">
        <v>12</v>
      </c>
      <c r="R92" s="135" t="s">
        <v>10</v>
      </c>
      <c r="S92" s="136" t="s">
        <v>12</v>
      </c>
      <c r="T92" s="13"/>
      <c r="U92" s="13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11"/>
      <c r="AJ92" s="11"/>
      <c r="AK92" s="11"/>
      <c r="AL92" s="11"/>
      <c r="AM92" s="11"/>
      <c r="AN92" s="11"/>
    </row>
    <row r="93" spans="1:40" ht="20.25">
      <c r="A93" t="str">
        <f t="shared" ref="A93:A117" si="29">+B93&amp;C93</f>
        <v>Véhicules usagésVentes nettes</v>
      </c>
      <c r="B93" s="11" t="s">
        <v>70</v>
      </c>
      <c r="C93" s="86" t="s">
        <v>14</v>
      </c>
      <c r="D93" s="25"/>
      <c r="E93" s="25"/>
      <c r="F93" s="22">
        <v>1661741.3793103448</v>
      </c>
      <c r="G93" s="46"/>
      <c r="H93" s="25"/>
      <c r="I93" s="22"/>
      <c r="J93" s="23"/>
      <c r="K93" s="25"/>
      <c r="L93" s="22">
        <v>1096552.67</v>
      </c>
      <c r="M93" s="137"/>
      <c r="N93" s="138"/>
      <c r="O93" s="23"/>
      <c r="P93" s="25"/>
      <c r="Q93" s="22">
        <v>2262127.0499999998</v>
      </c>
      <c r="R93" s="137"/>
      <c r="S93" s="139"/>
      <c r="T93" s="13"/>
      <c r="U93" s="13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11"/>
      <c r="AH93" s="11"/>
      <c r="AI93" s="11"/>
      <c r="AJ93" s="11"/>
      <c r="AK93" s="11"/>
      <c r="AL93" s="11"/>
      <c r="AM93" s="11"/>
      <c r="AN93" s="11"/>
    </row>
    <row r="94" spans="1:40" ht="20.25">
      <c r="A94" t="str">
        <f t="shared" si="29"/>
        <v>Véhicules usagésCertifié</v>
      </c>
      <c r="B94" s="11" t="s">
        <v>70</v>
      </c>
      <c r="C94" s="29" t="s">
        <v>72</v>
      </c>
      <c r="D94" s="30">
        <v>7</v>
      </c>
      <c r="E94" s="30">
        <f>IF(D94=0,0,F94/D94)</f>
        <v>3000</v>
      </c>
      <c r="F94" s="30">
        <v>21000</v>
      </c>
      <c r="G94" s="31"/>
      <c r="H94" s="30"/>
      <c r="I94" s="30"/>
      <c r="J94" s="31">
        <v>3</v>
      </c>
      <c r="K94" s="30">
        <f>IF(J94=0,0,L94/J94)</f>
        <v>1558.9766666666692</v>
      </c>
      <c r="L94" s="33">
        <v>4676.9300000000076</v>
      </c>
      <c r="M94" s="31">
        <f>J94-D94</f>
        <v>-4</v>
      </c>
      <c r="N94" s="33">
        <f>L94-F94</f>
        <v>-16323.069999999992</v>
      </c>
      <c r="O94" s="31">
        <v>10</v>
      </c>
      <c r="P94" s="30">
        <f t="shared" ref="P94:P96" si="30">IF(O94=0,0,Q94/O94)</f>
        <v>4122.3510000000006</v>
      </c>
      <c r="Q94" s="33">
        <v>41223.51</v>
      </c>
      <c r="R94" s="31">
        <f>J94-O94</f>
        <v>-7</v>
      </c>
      <c r="S94" s="34">
        <f>L94-Q94</f>
        <v>-36546.579999999994</v>
      </c>
      <c r="T94" s="13"/>
      <c r="U94" s="13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11"/>
      <c r="AJ94" s="11"/>
      <c r="AK94" s="11"/>
      <c r="AL94" s="11"/>
      <c r="AM94" s="11"/>
      <c r="AN94" s="11"/>
    </row>
    <row r="95" spans="1:40" ht="25.5">
      <c r="A95" t="str">
        <f t="shared" si="29"/>
        <v>Véhicules usagésNon Certifié</v>
      </c>
      <c r="B95" s="11" t="s">
        <v>70</v>
      </c>
      <c r="C95" s="29" t="s">
        <v>73</v>
      </c>
      <c r="D95" s="30">
        <v>5</v>
      </c>
      <c r="E95" s="30">
        <f t="shared" ref="E95:E100" si="31">IF(D95=0,0,F95/D95)</f>
        <v>2200</v>
      </c>
      <c r="F95" s="30">
        <v>11000</v>
      </c>
      <c r="G95" s="31"/>
      <c r="H95" s="30"/>
      <c r="I95" s="30"/>
      <c r="J95" s="31">
        <v>8</v>
      </c>
      <c r="K95" s="30">
        <f>IF(J95=0,0,L95/J95)</f>
        <v>1068.4225000000024</v>
      </c>
      <c r="L95" s="32">
        <v>8547.3800000000192</v>
      </c>
      <c r="M95" s="31">
        <f>J95-D95</f>
        <v>3</v>
      </c>
      <c r="N95" s="33">
        <f>L95-F95</f>
        <v>-2452.6199999999808</v>
      </c>
      <c r="O95" s="31">
        <v>9</v>
      </c>
      <c r="P95" s="30">
        <f t="shared" si="30"/>
        <v>3497.2777777777778</v>
      </c>
      <c r="Q95" s="32">
        <v>31475.5</v>
      </c>
      <c r="R95" s="31">
        <f>J95-O95</f>
        <v>-1</v>
      </c>
      <c r="S95" s="34">
        <f>L95-Q95</f>
        <v>-22928.119999999981</v>
      </c>
      <c r="T95" s="13"/>
      <c r="U95" s="13"/>
      <c r="V95" s="140"/>
      <c r="W95" s="13"/>
      <c r="X95" s="13"/>
      <c r="Y95" s="13"/>
      <c r="Z95" s="13"/>
      <c r="AA95" s="13"/>
      <c r="AB95" s="13"/>
      <c r="AC95" s="13"/>
      <c r="AD95" s="13"/>
      <c r="AE95" s="13"/>
      <c r="AF95" s="13"/>
      <c r="AG95" s="13"/>
      <c r="AH95" s="13"/>
      <c r="AI95" s="13"/>
      <c r="AJ95" s="13"/>
      <c r="AK95" s="13"/>
      <c r="AL95" s="13"/>
      <c r="AM95" s="13"/>
      <c r="AN95" s="13"/>
    </row>
    <row r="96" spans="1:40" ht="25.5">
      <c r="A96" t="str">
        <f t="shared" si="29"/>
        <v>Véhicules usagésAutres marques</v>
      </c>
      <c r="B96" s="11" t="s">
        <v>70</v>
      </c>
      <c r="C96" s="29" t="s">
        <v>207</v>
      </c>
      <c r="D96" s="30">
        <v>9</v>
      </c>
      <c r="E96" s="25">
        <f t="shared" si="31"/>
        <v>1850</v>
      </c>
      <c r="F96" s="30">
        <v>16650</v>
      </c>
      <c r="G96" s="31"/>
      <c r="H96" s="30"/>
      <c r="I96" s="30"/>
      <c r="J96" s="31">
        <v>8</v>
      </c>
      <c r="K96" s="30">
        <f>IF(J96=0,0,L96/J96)</f>
        <v>1447.5125000000007</v>
      </c>
      <c r="L96" s="32">
        <v>11580.100000000006</v>
      </c>
      <c r="M96" s="31">
        <f>J96-D96</f>
        <v>-1</v>
      </c>
      <c r="N96" s="33">
        <f>L96-F96</f>
        <v>-5069.8999999999942</v>
      </c>
      <c r="O96" s="31">
        <v>0</v>
      </c>
      <c r="P96" s="30">
        <f t="shared" si="30"/>
        <v>0</v>
      </c>
      <c r="Q96" s="32">
        <v>0</v>
      </c>
      <c r="R96" s="31">
        <f>J96-O96</f>
        <v>8</v>
      </c>
      <c r="S96" s="34">
        <f>L96-Q96</f>
        <v>11580.100000000006</v>
      </c>
      <c r="T96" s="13"/>
      <c r="U96" s="13"/>
      <c r="V96" s="140"/>
      <c r="W96" s="13"/>
      <c r="X96" s="13"/>
      <c r="Y96" s="13"/>
      <c r="Z96" s="13"/>
      <c r="AA96" s="13"/>
      <c r="AB96" s="13"/>
      <c r="AC96" s="13"/>
      <c r="AD96" s="13"/>
      <c r="AE96" s="13"/>
      <c r="AF96" s="13"/>
      <c r="AG96" s="13"/>
      <c r="AH96" s="13"/>
      <c r="AI96" s="13"/>
      <c r="AJ96" s="13"/>
      <c r="AK96" s="13"/>
      <c r="AL96" s="13"/>
      <c r="AM96" s="13"/>
      <c r="AN96" s="13"/>
    </row>
    <row r="97" spans="1:40" ht="20.25">
      <c r="A97" t="str">
        <f t="shared" si="29"/>
        <v>Véhicules usagésTotal Usagés</v>
      </c>
      <c r="B97" s="11" t="s">
        <v>70</v>
      </c>
      <c r="C97" s="35" t="s">
        <v>74</v>
      </c>
      <c r="D97" s="36">
        <f>+D95+D94+D96</f>
        <v>21</v>
      </c>
      <c r="E97" s="30">
        <f t="shared" si="31"/>
        <v>2316.6666666666665</v>
      </c>
      <c r="F97" s="37">
        <f>+F94+F95+F96</f>
        <v>48650</v>
      </c>
      <c r="G97" s="38"/>
      <c r="H97" s="36"/>
      <c r="I97" s="37"/>
      <c r="J97" s="38">
        <f>+J94+J95+J96</f>
        <v>19</v>
      </c>
      <c r="K97" s="36">
        <f>IF(J97&lt;=0,0,L97/J97)</f>
        <v>1305.4952631578965</v>
      </c>
      <c r="L97" s="37">
        <f>+L94+L95+L96</f>
        <v>24804.410000000033</v>
      </c>
      <c r="M97" s="38">
        <f>J97-D97</f>
        <v>-2</v>
      </c>
      <c r="N97" s="37">
        <f>L97-F97</f>
        <v>-23845.589999999967</v>
      </c>
      <c r="O97" s="38">
        <f>+O95+O94+O96</f>
        <v>19</v>
      </c>
      <c r="P97" s="36">
        <f>IF(O97=0,0,Q97/O97)</f>
        <v>3826.2636842105267</v>
      </c>
      <c r="Q97" s="37">
        <f>+Q94+Q95+Q96</f>
        <v>72699.010000000009</v>
      </c>
      <c r="R97" s="38">
        <f>R94+R95</f>
        <v>-8</v>
      </c>
      <c r="S97" s="39">
        <f>S94+S95</f>
        <v>-59474.699999999975</v>
      </c>
      <c r="T97" s="13"/>
      <c r="U97" s="13"/>
      <c r="V97" s="13"/>
      <c r="W97" s="462"/>
      <c r="X97" s="13"/>
      <c r="Y97" s="13"/>
      <c r="Z97" s="13"/>
      <c r="AA97" s="13"/>
      <c r="AB97" s="13"/>
      <c r="AC97" s="82"/>
      <c r="AD97" s="13"/>
      <c r="AE97" s="13"/>
      <c r="AF97" s="82"/>
      <c r="AG97" s="13"/>
      <c r="AH97" s="13"/>
      <c r="AI97" s="13"/>
      <c r="AJ97" s="13"/>
      <c r="AK97" s="13"/>
      <c r="AL97" s="13"/>
      <c r="AM97" s="13"/>
      <c r="AN97" s="13"/>
    </row>
    <row r="98" spans="1:40" ht="20.25">
      <c r="A98" t="str">
        <f t="shared" si="29"/>
        <v>Véhicules usagés</v>
      </c>
      <c r="B98" s="11" t="s">
        <v>70</v>
      </c>
      <c r="C98" s="29"/>
      <c r="D98" s="13"/>
      <c r="E98" s="30"/>
      <c r="F98" s="40"/>
      <c r="G98" s="41"/>
      <c r="H98" s="13"/>
      <c r="I98" s="40"/>
      <c r="J98" s="41"/>
      <c r="K98" s="13"/>
      <c r="L98" s="40"/>
      <c r="M98" s="42">
        <f>M97/D97</f>
        <v>-9.5238095238095233E-2</v>
      </c>
      <c r="N98" s="43">
        <f>N97/F97</f>
        <v>-0.49014573484069818</v>
      </c>
      <c r="O98" s="41"/>
      <c r="P98" s="13"/>
      <c r="Q98" s="40"/>
      <c r="R98" s="42">
        <f>R97/O97</f>
        <v>-0.42105263157894735</v>
      </c>
      <c r="S98" s="44">
        <f>IF(Q97=0,0,(S97/Q97))</f>
        <v>-0.81809504696143687</v>
      </c>
      <c r="T98" s="13"/>
      <c r="U98" s="13"/>
      <c r="V98" s="13"/>
      <c r="W98" s="13"/>
      <c r="X98" s="13"/>
      <c r="Y98" s="13"/>
      <c r="Z98" s="13"/>
      <c r="AA98" s="13"/>
      <c r="AB98" s="13"/>
      <c r="AC98" s="11"/>
      <c r="AD98" s="13"/>
      <c r="AE98" s="13"/>
      <c r="AF98" s="13"/>
      <c r="AG98" s="13"/>
      <c r="AH98" s="13"/>
      <c r="AI98" s="13"/>
      <c r="AJ98" s="13"/>
      <c r="AK98" s="13"/>
      <c r="AL98" s="13"/>
      <c r="AM98" s="13"/>
      <c r="AN98" s="13"/>
    </row>
    <row r="99" spans="1:40" ht="20.25">
      <c r="A99" t="str">
        <f t="shared" si="29"/>
        <v>Véhicules usagés</v>
      </c>
      <c r="B99" s="11" t="s">
        <v>70</v>
      </c>
      <c r="C99" s="29"/>
      <c r="D99" s="30"/>
      <c r="E99" s="30"/>
      <c r="F99" s="30"/>
      <c r="G99" s="41"/>
      <c r="H99" s="30"/>
      <c r="I99" s="30"/>
      <c r="J99" s="31"/>
      <c r="K99" s="30"/>
      <c r="L99" s="33"/>
      <c r="M99" s="31"/>
      <c r="N99" s="33"/>
      <c r="O99" s="31"/>
      <c r="P99" s="30"/>
      <c r="Q99" s="33"/>
      <c r="R99" s="31"/>
      <c r="S99" s="34"/>
      <c r="T99" s="13"/>
      <c r="U99" s="13"/>
      <c r="V99" s="13"/>
      <c r="W99" s="13"/>
      <c r="X99" s="13"/>
      <c r="Y99" s="13"/>
      <c r="Z99" s="13"/>
      <c r="AA99" s="13"/>
      <c r="AB99" s="13"/>
      <c r="AC99" s="11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</row>
    <row r="100" spans="1:40" ht="20.25">
      <c r="A100" t="str">
        <f t="shared" si="29"/>
        <v>Véhicules usagésVentes au Gros</v>
      </c>
      <c r="B100" s="11" t="s">
        <v>70</v>
      </c>
      <c r="C100" s="29" t="s">
        <v>75</v>
      </c>
      <c r="D100" s="30">
        <v>23</v>
      </c>
      <c r="E100" s="30">
        <f t="shared" si="31"/>
        <v>375</v>
      </c>
      <c r="F100" s="30">
        <v>8625</v>
      </c>
      <c r="G100" s="31"/>
      <c r="H100" s="30"/>
      <c r="I100" s="30"/>
      <c r="J100" s="31">
        <v>17</v>
      </c>
      <c r="K100" s="30">
        <f>IF(J100=0,0,L100/J100)</f>
        <v>419.75235294117522</v>
      </c>
      <c r="L100" s="33">
        <v>7135.789999999979</v>
      </c>
      <c r="M100" s="31">
        <f>J100-D100</f>
        <v>-6</v>
      </c>
      <c r="N100" s="33">
        <f>L100-F100</f>
        <v>-1489.210000000021</v>
      </c>
      <c r="O100" s="31">
        <v>31</v>
      </c>
      <c r="P100" s="30">
        <f>IF(O100=0,0,Q100/O100)</f>
        <v>511.53451612902904</v>
      </c>
      <c r="Q100" s="33">
        <v>15857.5699999999</v>
      </c>
      <c r="R100" s="31">
        <f>J100-O100</f>
        <v>-14</v>
      </c>
      <c r="S100" s="34">
        <f>L100-Q100</f>
        <v>-8721.7799999999206</v>
      </c>
      <c r="T100" s="13"/>
      <c r="U100" s="13"/>
      <c r="V100" s="13"/>
      <c r="W100" s="462"/>
      <c r="X100" s="13"/>
      <c r="Y100" s="13"/>
      <c r="Z100" s="13"/>
      <c r="AA100" s="13"/>
      <c r="AB100" s="13"/>
      <c r="AC100" s="82"/>
      <c r="AD100" s="13"/>
      <c r="AE100" s="13"/>
      <c r="AF100" s="141"/>
      <c r="AG100" s="13"/>
      <c r="AH100" s="13"/>
      <c r="AI100" s="13"/>
      <c r="AJ100" s="13"/>
      <c r="AK100" s="13"/>
      <c r="AL100" s="13"/>
      <c r="AM100" s="13"/>
      <c r="AN100" s="13"/>
    </row>
    <row r="101" spans="1:40" ht="20.25">
      <c r="A101" t="str">
        <f t="shared" si="29"/>
        <v>Véhicules usagés</v>
      </c>
      <c r="B101" s="11" t="s">
        <v>70</v>
      </c>
      <c r="C101" s="86"/>
      <c r="D101" s="25"/>
      <c r="E101" s="25"/>
      <c r="F101" s="48"/>
      <c r="G101" s="51"/>
      <c r="H101" s="47"/>
      <c r="I101" s="48"/>
      <c r="J101" s="51"/>
      <c r="K101" s="47"/>
      <c r="L101" s="48"/>
      <c r="M101" s="49"/>
      <c r="N101" s="142"/>
      <c r="O101" s="51"/>
      <c r="P101" s="47"/>
      <c r="Q101" s="48"/>
      <c r="R101" s="49"/>
      <c r="S101" s="14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41"/>
      <c r="AG101" s="13"/>
      <c r="AH101" s="13"/>
      <c r="AI101" s="13"/>
      <c r="AJ101" s="13"/>
      <c r="AK101" s="13"/>
      <c r="AL101" s="13"/>
      <c r="AM101" s="13"/>
      <c r="AN101" s="13"/>
    </row>
    <row r="102" spans="1:40" ht="20.25">
      <c r="A102" t="str">
        <f t="shared" si="29"/>
        <v>Véhicules usagésRev. Finances</v>
      </c>
      <c r="B102" s="11" t="s">
        <v>70</v>
      </c>
      <c r="C102" s="29" t="s">
        <v>24</v>
      </c>
      <c r="D102" s="30">
        <v>0</v>
      </c>
      <c r="E102" s="30">
        <f t="shared" ref="E102:E105" si="32">IF(D102=0,0,F102/D102)</f>
        <v>0</v>
      </c>
      <c r="F102" s="33">
        <v>12600</v>
      </c>
      <c r="G102" s="31"/>
      <c r="H102" s="30"/>
      <c r="I102" s="30"/>
      <c r="J102" s="31"/>
      <c r="K102" s="30">
        <f>IF(J97=0,0,L102/J97)</f>
        <v>17.800526315789472</v>
      </c>
      <c r="L102" s="33">
        <v>338.21</v>
      </c>
      <c r="M102" s="31"/>
      <c r="N102" s="33">
        <f>L102-F102</f>
        <v>-12261.79</v>
      </c>
      <c r="O102" s="31"/>
      <c r="P102" s="30"/>
      <c r="Q102" s="33">
        <v>15465.98</v>
      </c>
      <c r="R102" s="31">
        <f>O102-K102</f>
        <v>-17.800526315789472</v>
      </c>
      <c r="S102" s="34">
        <f>L102-Q102</f>
        <v>-15127.77</v>
      </c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</row>
    <row r="103" spans="1:40" ht="20.25">
      <c r="A103" t="str">
        <f t="shared" si="29"/>
        <v>Véhicules usagésRev. Protections</v>
      </c>
      <c r="B103" s="11" t="s">
        <v>70</v>
      </c>
      <c r="C103" s="29" t="s">
        <v>25</v>
      </c>
      <c r="D103" s="30">
        <v>0</v>
      </c>
      <c r="E103" s="30">
        <f t="shared" si="32"/>
        <v>0</v>
      </c>
      <c r="F103" s="33">
        <v>18480</v>
      </c>
      <c r="G103" s="31"/>
      <c r="H103" s="30"/>
      <c r="I103" s="30"/>
      <c r="J103" s="31"/>
      <c r="K103" s="30">
        <f>IF(J97=0,0,L103/J97)</f>
        <v>535.84210526315792</v>
      </c>
      <c r="L103" s="33">
        <v>10181</v>
      </c>
      <c r="M103" s="31"/>
      <c r="N103" s="33">
        <f>L103-F103</f>
        <v>-8299</v>
      </c>
      <c r="O103" s="31"/>
      <c r="P103" s="30"/>
      <c r="Q103" s="33">
        <v>18897</v>
      </c>
      <c r="R103" s="31">
        <f>O103-K103</f>
        <v>-535.84210526315792</v>
      </c>
      <c r="S103" s="34">
        <f>L103-Q103</f>
        <v>-8716</v>
      </c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</row>
    <row r="104" spans="1:40" ht="20.25">
      <c r="A104" t="str">
        <f t="shared" si="29"/>
        <v>Véhicules usagésRev. Autres</v>
      </c>
      <c r="B104" s="11" t="s">
        <v>70</v>
      </c>
      <c r="C104" s="29" t="s">
        <v>26</v>
      </c>
      <c r="D104" s="30">
        <v>0</v>
      </c>
      <c r="E104" s="25">
        <f t="shared" si="32"/>
        <v>0</v>
      </c>
      <c r="F104" s="33">
        <v>3570</v>
      </c>
      <c r="G104" s="31"/>
      <c r="H104" s="47"/>
      <c r="I104" s="30"/>
      <c r="J104" s="31"/>
      <c r="K104" s="47">
        <f>IF(J97=0,0,L104/J97)</f>
        <v>173.15789473684211</v>
      </c>
      <c r="L104" s="33">
        <v>3290</v>
      </c>
      <c r="M104" s="51"/>
      <c r="N104" s="33">
        <f>L104-F104</f>
        <v>-280</v>
      </c>
      <c r="O104" s="31"/>
      <c r="P104" s="47"/>
      <c r="Q104" s="33">
        <v>3290</v>
      </c>
      <c r="R104" s="31">
        <f>O104-K104</f>
        <v>-173.15789473684211</v>
      </c>
      <c r="S104" s="34">
        <f>L104-Q104</f>
        <v>0</v>
      </c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</row>
    <row r="105" spans="1:40" ht="20.25">
      <c r="A105" t="str">
        <f t="shared" si="29"/>
        <v>Véhicules usagésTotal F&amp;I</v>
      </c>
      <c r="B105" s="11" t="s">
        <v>70</v>
      </c>
      <c r="C105" s="35" t="s">
        <v>27</v>
      </c>
      <c r="D105" s="36">
        <f>D97</f>
        <v>21</v>
      </c>
      <c r="E105" s="30">
        <f t="shared" si="32"/>
        <v>1650</v>
      </c>
      <c r="F105" s="37">
        <f>F102+F103+F104</f>
        <v>34650</v>
      </c>
      <c r="G105" s="38"/>
      <c r="H105" s="36"/>
      <c r="I105" s="37"/>
      <c r="J105" s="38">
        <f>J97</f>
        <v>19</v>
      </c>
      <c r="K105" s="36">
        <f>IF(J105&lt;=0,0,L105/J105)</f>
        <v>726.8005263157894</v>
      </c>
      <c r="L105" s="37">
        <f>L102+L103+L104</f>
        <v>13809.21</v>
      </c>
      <c r="M105" s="31">
        <f>J105-D105</f>
        <v>-2</v>
      </c>
      <c r="N105" s="37">
        <f>L105-F105</f>
        <v>-20840.79</v>
      </c>
      <c r="O105" s="38">
        <f>O97</f>
        <v>19</v>
      </c>
      <c r="P105" s="36">
        <f t="shared" ref="P105" si="33">IF(O105=0,0,Q105/O105)</f>
        <v>1981.735789473684</v>
      </c>
      <c r="Q105" s="37">
        <f>Q102+Q103+Q104</f>
        <v>37652.979999999996</v>
      </c>
      <c r="R105" s="56"/>
      <c r="S105" s="39">
        <f>L105-Q105</f>
        <v>-23843.769999999997</v>
      </c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</row>
    <row r="106" spans="1:40" ht="20.25">
      <c r="A106" t="str">
        <f t="shared" si="29"/>
        <v>Véhicules usagés</v>
      </c>
      <c r="B106" s="11" t="s">
        <v>70</v>
      </c>
      <c r="C106" s="29"/>
      <c r="D106" s="13"/>
      <c r="E106" s="13"/>
      <c r="F106" s="59"/>
      <c r="G106" s="41"/>
      <c r="H106" s="144"/>
      <c r="I106" s="59"/>
      <c r="J106" s="41"/>
      <c r="K106" s="13"/>
      <c r="L106" s="59"/>
      <c r="M106" s="42"/>
      <c r="N106" s="43">
        <f>N105/F105</f>
        <v>-0.60146580086580093</v>
      </c>
      <c r="O106" s="41"/>
      <c r="P106" s="13"/>
      <c r="Q106" s="59"/>
      <c r="R106" s="60"/>
      <c r="S106" s="44">
        <f>IF(Q105=0,0,(S105/Q105))</f>
        <v>-0.63325054218816146</v>
      </c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</row>
    <row r="107" spans="1:40" ht="21" thickBot="1">
      <c r="A107" t="str">
        <f t="shared" si="29"/>
        <v>Véhicules usagés</v>
      </c>
      <c r="B107" s="11" t="s">
        <v>70</v>
      </c>
      <c r="C107" s="29"/>
      <c r="D107" s="13"/>
      <c r="E107" s="13"/>
      <c r="F107" s="59"/>
      <c r="G107" s="41"/>
      <c r="H107" s="144"/>
      <c r="I107" s="59"/>
      <c r="J107" s="41"/>
      <c r="K107" s="13"/>
      <c r="L107" s="59"/>
      <c r="M107" s="42"/>
      <c r="N107" s="43"/>
      <c r="O107" s="41"/>
      <c r="P107" s="13"/>
      <c r="Q107" s="59"/>
      <c r="R107" s="60"/>
      <c r="S107" s="44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</row>
    <row r="108" spans="1:40" ht="21" thickTop="1">
      <c r="A108" t="str">
        <f t="shared" si="29"/>
        <v>Véhicules usagésTotal Dépt. Usagés</v>
      </c>
      <c r="B108" s="11" t="s">
        <v>70</v>
      </c>
      <c r="C108" s="62" t="s">
        <v>76</v>
      </c>
      <c r="D108" s="63">
        <f>D97+D100</f>
        <v>44</v>
      </c>
      <c r="E108" s="67">
        <f>IF(D108&lt;=0,0,F108/D108)</f>
        <v>2089.2045454545455</v>
      </c>
      <c r="F108" s="65">
        <f>F97+F105+F100</f>
        <v>91925</v>
      </c>
      <c r="G108" s="66"/>
      <c r="H108" s="67"/>
      <c r="I108" s="65"/>
      <c r="J108" s="66">
        <f>J97+J100</f>
        <v>36</v>
      </c>
      <c r="K108" s="67">
        <f>IF(J108&lt;=0,0,L108/J108)</f>
        <v>1270.8169444444447</v>
      </c>
      <c r="L108" s="65">
        <f>L97+L105+L100</f>
        <v>45749.410000000011</v>
      </c>
      <c r="M108" s="66">
        <f>J108-D108</f>
        <v>-8</v>
      </c>
      <c r="N108" s="65">
        <f>L108-F108</f>
        <v>-46175.589999999989</v>
      </c>
      <c r="O108" s="66">
        <f>O97+O100</f>
        <v>50</v>
      </c>
      <c r="P108" s="67">
        <f>IF(O108&lt;=0,0,Q108/O108)</f>
        <v>2524.1911999999984</v>
      </c>
      <c r="Q108" s="65">
        <f>Q97+Q105+Q100</f>
        <v>126209.55999999991</v>
      </c>
      <c r="R108" s="66">
        <f>J108-O108</f>
        <v>-14</v>
      </c>
      <c r="S108" s="68">
        <f>L108-Q108</f>
        <v>-80460.149999999907</v>
      </c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</row>
    <row r="109" spans="1:40" ht="21" thickBot="1">
      <c r="A109" t="str">
        <f t="shared" si="29"/>
        <v>Véhicules usagés</v>
      </c>
      <c r="B109" s="11" t="s">
        <v>70</v>
      </c>
      <c r="C109" s="69"/>
      <c r="D109" s="70"/>
      <c r="E109" s="70"/>
      <c r="F109" s="71"/>
      <c r="G109" s="72"/>
      <c r="H109" s="70"/>
      <c r="I109" s="71"/>
      <c r="J109" s="72"/>
      <c r="K109" s="70"/>
      <c r="L109" s="71"/>
      <c r="M109" s="73">
        <f>M108/D108</f>
        <v>-0.18181818181818182</v>
      </c>
      <c r="N109" s="74">
        <f>N108/F108</f>
        <v>-0.50231808539570288</v>
      </c>
      <c r="O109" s="72"/>
      <c r="P109" s="70"/>
      <c r="Q109" s="71"/>
      <c r="R109" s="73">
        <f>O108/R108</f>
        <v>-3.5714285714285716</v>
      </c>
      <c r="S109" s="145">
        <f>IF(Q108=0,0,(S108/Q108))</f>
        <v>-0.6375123247399006</v>
      </c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</row>
    <row r="110" spans="1:40" ht="21" thickTop="1">
      <c r="A110" t="str">
        <f t="shared" si="29"/>
        <v>Véhicules usagés</v>
      </c>
      <c r="B110" s="11" t="s">
        <v>70</v>
      </c>
      <c r="C110" s="53"/>
      <c r="D110" s="76"/>
      <c r="E110" s="76"/>
      <c r="F110" s="77"/>
      <c r="G110" s="78"/>
      <c r="H110" s="76"/>
      <c r="I110" s="77"/>
      <c r="J110" s="78"/>
      <c r="K110" s="76"/>
      <c r="L110" s="77"/>
      <c r="M110" s="42"/>
      <c r="N110" s="43"/>
      <c r="O110" s="78"/>
      <c r="P110" s="76"/>
      <c r="Q110" s="77"/>
      <c r="R110" s="42"/>
      <c r="S110" s="44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</row>
    <row r="111" spans="1:40" ht="20.25">
      <c r="A111" t="str">
        <f t="shared" si="29"/>
        <v>Véhicules usagésDEPENSES</v>
      </c>
      <c r="B111" s="11" t="s">
        <v>70</v>
      </c>
      <c r="C111" s="79" t="s">
        <v>29</v>
      </c>
      <c r="D111" s="13"/>
      <c r="E111" s="80"/>
      <c r="F111" s="59"/>
      <c r="G111" s="41"/>
      <c r="H111" s="80"/>
      <c r="I111" s="59"/>
      <c r="J111" s="41"/>
      <c r="K111" s="80"/>
      <c r="L111" s="40"/>
      <c r="M111" s="41"/>
      <c r="N111" s="40"/>
      <c r="O111" s="41"/>
      <c r="P111" s="80"/>
      <c r="Q111" s="40"/>
      <c r="R111" s="41"/>
      <c r="S111" s="61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</row>
    <row r="112" spans="1:40" ht="20.25">
      <c r="A112" t="str">
        <f t="shared" si="29"/>
        <v>Véhicules usagésComm. vendeurs</v>
      </c>
      <c r="B112" s="11" t="s">
        <v>70</v>
      </c>
      <c r="C112" s="29" t="s">
        <v>30</v>
      </c>
      <c r="D112" s="148">
        <f>F112/(F97+F105)</f>
        <v>0.1935563538392456</v>
      </c>
      <c r="E112" s="82">
        <f t="shared" ref="E112:E121" si="34">F112/D$97</f>
        <v>767.77353689567428</v>
      </c>
      <c r="F112" s="30">
        <v>16123.24427480916</v>
      </c>
      <c r="G112" s="157"/>
      <c r="H112" s="82"/>
      <c r="I112" s="30"/>
      <c r="J112" s="157">
        <f>L112/L97</f>
        <v>0.36976166738092087</v>
      </c>
      <c r="K112" s="82">
        <f>IF($J$97=0,0,L112/(J$94+J$95+J96))</f>
        <v>482.72210526315786</v>
      </c>
      <c r="L112" s="33">
        <v>9171.7199999999993</v>
      </c>
      <c r="M112" s="41"/>
      <c r="N112" s="59">
        <f t="shared" ref="N112:N153" si="35">L112-F112</f>
        <v>-6951.5242748091605</v>
      </c>
      <c r="O112" s="157">
        <f>Q112/Q97</f>
        <v>0.32145430866252506</v>
      </c>
      <c r="P112" s="82">
        <f t="shared" ref="P112:P121" si="36">Q112/O$97</f>
        <v>1229.9689473684211</v>
      </c>
      <c r="Q112" s="33">
        <v>23369.41</v>
      </c>
      <c r="R112" s="41"/>
      <c r="S112" s="85">
        <f t="shared" ref="S112:S117" si="37">L112-Q112</f>
        <v>-14197.69</v>
      </c>
      <c r="T112" s="13"/>
      <c r="U112" s="13"/>
      <c r="V112" s="11" t="s">
        <v>256</v>
      </c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</row>
    <row r="113" spans="1:40" ht="20.25">
      <c r="A113" t="str">
        <f t="shared" si="29"/>
        <v>Véhicules usagésComm. F&amp;I</v>
      </c>
      <c r="B113" s="11" t="s">
        <v>70</v>
      </c>
      <c r="C113" s="86" t="s">
        <v>31</v>
      </c>
      <c r="D113" s="218">
        <f>F113/(F105+F19)</f>
        <v>0.22973080312868127</v>
      </c>
      <c r="E113" s="88">
        <f t="shared" si="34"/>
        <v>412.5</v>
      </c>
      <c r="F113" s="22">
        <v>8662.5</v>
      </c>
      <c r="G113" s="162"/>
      <c r="H113" s="88"/>
      <c r="I113" s="22"/>
      <c r="J113" s="162">
        <f>L113/L105</f>
        <v>0.26701092966216028</v>
      </c>
      <c r="K113" s="88">
        <f>IF($J$97=0,0,L113/(J$94+J$95+J96))</f>
        <v>194.0636842105263</v>
      </c>
      <c r="L113" s="33">
        <v>3687.21</v>
      </c>
      <c r="M113" s="23"/>
      <c r="N113" s="91">
        <f t="shared" si="35"/>
        <v>-4975.29</v>
      </c>
      <c r="O113" s="162">
        <f>Q113/(Q105+Q19)</f>
        <v>0.19218487172716739</v>
      </c>
      <c r="P113" s="88">
        <f t="shared" si="36"/>
        <v>481.90842105263158</v>
      </c>
      <c r="Q113" s="33">
        <v>9156.26</v>
      </c>
      <c r="R113" s="23"/>
      <c r="S113" s="92">
        <f t="shared" si="37"/>
        <v>-5469.05</v>
      </c>
      <c r="T113" s="13"/>
      <c r="U113" s="13"/>
      <c r="V113" s="11" t="s">
        <v>257</v>
      </c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</row>
    <row r="114" spans="1:40" ht="20.25">
      <c r="A114" t="str">
        <f t="shared" si="29"/>
        <v>Véhicules usagésFrais de livraison</v>
      </c>
      <c r="B114" s="11" t="s">
        <v>70</v>
      </c>
      <c r="C114" s="29" t="s">
        <v>32</v>
      </c>
      <c r="D114" s="81"/>
      <c r="E114" s="82">
        <f t="shared" si="34"/>
        <v>110</v>
      </c>
      <c r="F114" s="30">
        <v>2310</v>
      </c>
      <c r="G114" s="83"/>
      <c r="H114" s="82"/>
      <c r="I114" s="30"/>
      <c r="J114" s="41"/>
      <c r="K114" s="82">
        <f>IF($J$97=0,0,L114/(J$94+J$95+J96))</f>
        <v>100.79736842105264</v>
      </c>
      <c r="L114" s="108">
        <v>1915.15</v>
      </c>
      <c r="M114" s="41"/>
      <c r="N114" s="59">
        <f t="shared" si="35"/>
        <v>-394.84999999999991</v>
      </c>
      <c r="O114" s="41"/>
      <c r="P114" s="82">
        <f t="shared" si="36"/>
        <v>110.39157894736843</v>
      </c>
      <c r="Q114" s="108">
        <v>2097.44</v>
      </c>
      <c r="R114" s="41"/>
      <c r="S114" s="85">
        <f t="shared" si="37"/>
        <v>-182.28999999999996</v>
      </c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</row>
    <row r="115" spans="1:40" ht="20.25">
      <c r="A115" t="str">
        <f t="shared" si="29"/>
        <v>Véhicules usagésService gratuit 1</v>
      </c>
      <c r="B115" s="11" t="s">
        <v>70</v>
      </c>
      <c r="C115" s="29" t="s">
        <v>33</v>
      </c>
      <c r="D115" s="81"/>
      <c r="E115" s="82">
        <f t="shared" si="34"/>
        <v>90</v>
      </c>
      <c r="F115" s="30">
        <v>1890</v>
      </c>
      <c r="G115" s="83"/>
      <c r="H115" s="82"/>
      <c r="I115" s="30"/>
      <c r="J115" s="41"/>
      <c r="K115" s="82">
        <f>IF($J$97=0,0,L115/(J$94+J$95+J96))</f>
        <v>135.33894736842106</v>
      </c>
      <c r="L115" s="33">
        <v>2571.44</v>
      </c>
      <c r="M115" s="41"/>
      <c r="N115" s="59">
        <f t="shared" si="35"/>
        <v>681.44</v>
      </c>
      <c r="O115" s="41"/>
      <c r="P115" s="82">
        <f t="shared" si="36"/>
        <v>78.738947368421051</v>
      </c>
      <c r="Q115" s="33">
        <v>1496.04</v>
      </c>
      <c r="R115" s="41"/>
      <c r="S115" s="85">
        <f t="shared" si="37"/>
        <v>1075.4000000000001</v>
      </c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</row>
    <row r="116" spans="1:40" ht="20.25">
      <c r="A116" t="str">
        <f t="shared" si="29"/>
        <v>Véhicules usagésEntretien stock</v>
      </c>
      <c r="B116" s="11" t="s">
        <v>70</v>
      </c>
      <c r="C116" s="86" t="s">
        <v>34</v>
      </c>
      <c r="D116" s="87"/>
      <c r="E116" s="88">
        <f t="shared" si="34"/>
        <v>101.19047619047619</v>
      </c>
      <c r="F116" s="22">
        <v>2125</v>
      </c>
      <c r="G116" s="89"/>
      <c r="H116" s="88"/>
      <c r="I116" s="22"/>
      <c r="J116" s="23"/>
      <c r="K116" s="88">
        <f>IF($J$97=0,0,L116/(J$94+J$95+J96))</f>
        <v>97.658947368421053</v>
      </c>
      <c r="L116" s="48">
        <v>1855.52</v>
      </c>
      <c r="M116" s="23"/>
      <c r="N116" s="91">
        <f t="shared" si="35"/>
        <v>-269.48</v>
      </c>
      <c r="O116" s="23"/>
      <c r="P116" s="88">
        <f t="shared" si="36"/>
        <v>93.446842105263158</v>
      </c>
      <c r="Q116" s="48">
        <v>1775.49</v>
      </c>
      <c r="R116" s="23"/>
      <c r="S116" s="92">
        <f t="shared" si="37"/>
        <v>80.029999999999973</v>
      </c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</row>
    <row r="117" spans="1:40" ht="20.25">
      <c r="A117" t="str">
        <f t="shared" si="29"/>
        <v>Véhicules usagésPublicité 1</v>
      </c>
      <c r="B117" s="11" t="s">
        <v>70</v>
      </c>
      <c r="C117" s="29" t="s">
        <v>35</v>
      </c>
      <c r="D117" s="81"/>
      <c r="E117" s="82">
        <f t="shared" si="34"/>
        <v>301.71825396825398</v>
      </c>
      <c r="F117" s="30">
        <v>6336.0833333333339</v>
      </c>
      <c r="G117" s="83"/>
      <c r="H117" s="82"/>
      <c r="I117" s="30"/>
      <c r="J117" s="41"/>
      <c r="K117" s="82">
        <f>IF($J$97=0,0,L117/(J$94+J$95+J96))</f>
        <v>368.8094736842105</v>
      </c>
      <c r="L117" s="33">
        <v>7007.3799999999992</v>
      </c>
      <c r="M117" s="41"/>
      <c r="N117" s="59">
        <f t="shared" si="35"/>
        <v>671.29666666666526</v>
      </c>
      <c r="O117" s="41"/>
      <c r="P117" s="82">
        <f t="shared" si="36"/>
        <v>313.63421052631583</v>
      </c>
      <c r="Q117" s="33">
        <v>5959.05</v>
      </c>
      <c r="R117" s="41"/>
      <c r="S117" s="85">
        <f t="shared" si="37"/>
        <v>1048.329999999999</v>
      </c>
      <c r="T117" s="13"/>
      <c r="U117" s="13"/>
      <c r="V117" s="13">
        <f>9343-2336</f>
        <v>7007</v>
      </c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</row>
    <row r="118" spans="1:40" ht="20.25">
      <c r="A118" t="str">
        <f>+B118&amp;C118</f>
        <v>Véhicules usagésIntérêt de gros</v>
      </c>
      <c r="B118" s="11" t="s">
        <v>70</v>
      </c>
      <c r="C118" s="29" t="s">
        <v>36</v>
      </c>
      <c r="D118" s="81"/>
      <c r="E118" s="82">
        <f t="shared" si="34"/>
        <v>412.88965074645523</v>
      </c>
      <c r="F118" s="30">
        <v>8670.6826656755602</v>
      </c>
      <c r="G118" s="83"/>
      <c r="H118" s="82"/>
      <c r="I118" s="30"/>
      <c r="J118" s="41"/>
      <c r="K118" s="82">
        <f>IF($J$97=0,0,L118/(J$94+J$95+J96))</f>
        <v>275.2315789473684</v>
      </c>
      <c r="L118" s="33">
        <v>5229.3999999999996</v>
      </c>
      <c r="M118" s="41"/>
      <c r="N118" s="59">
        <f t="shared" si="35"/>
        <v>-3441.2826656755606</v>
      </c>
      <c r="O118" s="41"/>
      <c r="P118" s="82">
        <f t="shared" si="36"/>
        <v>308.24894736842106</v>
      </c>
      <c r="Q118" s="33">
        <v>5856.73</v>
      </c>
      <c r="R118" s="41"/>
      <c r="S118" s="85">
        <f>L118-Q118</f>
        <v>-627.32999999999993</v>
      </c>
      <c r="T118" s="13"/>
      <c r="U118" s="13"/>
      <c r="V118" s="13">
        <v>5229</v>
      </c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</row>
    <row r="119" spans="1:40" ht="20.25" hidden="1">
      <c r="A119" t="str">
        <f>+B119&amp;C119</f>
        <v>Véhicules usagés[...]</v>
      </c>
      <c r="B119" s="11" t="s">
        <v>70</v>
      </c>
      <c r="C119" s="29" t="s">
        <v>19</v>
      </c>
      <c r="D119" s="81"/>
      <c r="E119" s="82">
        <f t="shared" si="34"/>
        <v>0</v>
      </c>
      <c r="F119" s="30">
        <v>0</v>
      </c>
      <c r="G119" s="83"/>
      <c r="H119" s="82"/>
      <c r="I119" s="30"/>
      <c r="J119" s="41"/>
      <c r="K119" s="82">
        <f t="shared" ref="K119:K121" si="38">IF($J$97=0,0,L119/(J$94+J$95))</f>
        <v>0</v>
      </c>
      <c r="L119" s="33">
        <v>0</v>
      </c>
      <c r="M119" s="41"/>
      <c r="N119" s="59">
        <f t="shared" si="35"/>
        <v>0</v>
      </c>
      <c r="O119" s="41"/>
      <c r="P119" s="82">
        <f t="shared" si="36"/>
        <v>0</v>
      </c>
      <c r="Q119" s="33">
        <v>0</v>
      </c>
      <c r="R119" s="41"/>
      <c r="S119" s="85">
        <f>L119-Q119</f>
        <v>0</v>
      </c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</row>
    <row r="120" spans="1:40" ht="20.25" hidden="1">
      <c r="A120" t="str">
        <f>+B120&amp;C120</f>
        <v>Véhicules usagés[...]</v>
      </c>
      <c r="B120" s="11" t="s">
        <v>70</v>
      </c>
      <c r="C120" s="29" t="s">
        <v>19</v>
      </c>
      <c r="D120" s="81"/>
      <c r="E120" s="82">
        <f t="shared" si="34"/>
        <v>0</v>
      </c>
      <c r="F120" s="30">
        <v>0</v>
      </c>
      <c r="G120" s="83"/>
      <c r="H120" s="82"/>
      <c r="I120" s="30"/>
      <c r="J120" s="41"/>
      <c r="K120" s="82">
        <f t="shared" si="38"/>
        <v>0</v>
      </c>
      <c r="L120" s="33">
        <v>0</v>
      </c>
      <c r="M120" s="41"/>
      <c r="N120" s="59">
        <f t="shared" si="35"/>
        <v>0</v>
      </c>
      <c r="O120" s="41"/>
      <c r="P120" s="82">
        <f t="shared" si="36"/>
        <v>0</v>
      </c>
      <c r="Q120" s="33">
        <v>0</v>
      </c>
      <c r="R120" s="41"/>
      <c r="S120" s="85">
        <f>L120-Q120</f>
        <v>0</v>
      </c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</row>
    <row r="121" spans="1:40" ht="20.25" hidden="1">
      <c r="A121" t="str">
        <f>+B121&amp;C121</f>
        <v>Véhicules usagés[...]</v>
      </c>
      <c r="B121" s="11" t="s">
        <v>70</v>
      </c>
      <c r="C121" s="29" t="s">
        <v>19</v>
      </c>
      <c r="D121" s="81"/>
      <c r="E121" s="82">
        <f t="shared" si="34"/>
        <v>0</v>
      </c>
      <c r="F121" s="30">
        <v>0</v>
      </c>
      <c r="G121" s="83"/>
      <c r="H121" s="82"/>
      <c r="I121" s="30"/>
      <c r="J121" s="41"/>
      <c r="K121" s="82">
        <f t="shared" si="38"/>
        <v>0</v>
      </c>
      <c r="L121" s="33">
        <v>0</v>
      </c>
      <c r="M121" s="41"/>
      <c r="N121" s="59">
        <f t="shared" si="35"/>
        <v>0</v>
      </c>
      <c r="O121" s="41"/>
      <c r="P121" s="82">
        <f t="shared" si="36"/>
        <v>0</v>
      </c>
      <c r="Q121" s="33">
        <v>0</v>
      </c>
      <c r="R121" s="41"/>
      <c r="S121" s="85">
        <f t="shared" ref="S121:S126" si="39">L121-Q121</f>
        <v>0</v>
      </c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</row>
    <row r="122" spans="1:40" ht="20.25">
      <c r="A122" t="str">
        <f t="shared" ref="A122:A126" si="40">+B122&amp;C122</f>
        <v>Véhicules usagésTOTAL VARIABLES</v>
      </c>
      <c r="B122" s="11" t="s">
        <v>70</v>
      </c>
      <c r="C122" s="93" t="s">
        <v>37</v>
      </c>
      <c r="D122" s="94" t="s">
        <v>38</v>
      </c>
      <c r="E122" s="95">
        <f>F122/F$108</f>
        <v>0.50168626895641066</v>
      </c>
      <c r="F122" s="96">
        <f>SUM(F112:F121)</f>
        <v>46117.51027381805</v>
      </c>
      <c r="G122" s="97"/>
      <c r="H122" s="95"/>
      <c r="I122" s="96"/>
      <c r="J122" s="97" t="s">
        <v>38</v>
      </c>
      <c r="K122" s="95">
        <f>L122/L$108</f>
        <v>0.68717432640114906</v>
      </c>
      <c r="L122" s="96">
        <f>SUM(L112:L121)</f>
        <v>31437.82</v>
      </c>
      <c r="M122" s="100"/>
      <c r="N122" s="96">
        <f t="shared" si="35"/>
        <v>-14679.690273818051</v>
      </c>
      <c r="O122" s="97" t="s">
        <v>38</v>
      </c>
      <c r="P122" s="95">
        <f>Q122/Q$108</f>
        <v>0.39387206484199799</v>
      </c>
      <c r="Q122" s="96">
        <f>SUM(Q112:Q121)</f>
        <v>49710.42</v>
      </c>
      <c r="R122" s="100"/>
      <c r="S122" s="101">
        <f t="shared" si="39"/>
        <v>-18272.599999999999</v>
      </c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</row>
    <row r="123" spans="1:40" ht="20.25">
      <c r="A123" t="str">
        <f t="shared" si="40"/>
        <v>Véhicules usagésSalaires cadres</v>
      </c>
      <c r="B123" s="11" t="s">
        <v>70</v>
      </c>
      <c r="C123" s="102" t="s">
        <v>40</v>
      </c>
      <c r="D123" s="13"/>
      <c r="E123" s="13"/>
      <c r="F123" s="30">
        <v>5026.5783715012722</v>
      </c>
      <c r="G123" s="41"/>
      <c r="H123" s="13"/>
      <c r="I123" s="30"/>
      <c r="J123" s="41"/>
      <c r="K123" s="13"/>
      <c r="L123" s="33">
        <v>3707.48</v>
      </c>
      <c r="M123" s="41"/>
      <c r="N123" s="59">
        <f t="shared" si="35"/>
        <v>-1319.0983715012721</v>
      </c>
      <c r="O123" s="41"/>
      <c r="P123" s="13"/>
      <c r="Q123" s="33">
        <v>1917.1</v>
      </c>
      <c r="R123" s="41"/>
      <c r="S123" s="85">
        <f t="shared" si="39"/>
        <v>1790.38</v>
      </c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</row>
    <row r="124" spans="1:40" ht="20.25">
      <c r="A124" t="str">
        <f t="shared" si="40"/>
        <v>Véhicules usagésSalaires commis</v>
      </c>
      <c r="B124" s="11" t="s">
        <v>70</v>
      </c>
      <c r="C124" s="103" t="s">
        <v>41</v>
      </c>
      <c r="D124" s="81"/>
      <c r="E124" s="13"/>
      <c r="F124" s="22">
        <v>2725.1480916030532</v>
      </c>
      <c r="G124" s="83"/>
      <c r="H124" s="13"/>
      <c r="I124" s="22"/>
      <c r="J124" s="41"/>
      <c r="K124" s="13"/>
      <c r="L124" s="22">
        <v>2767.11</v>
      </c>
      <c r="M124" s="41"/>
      <c r="N124" s="59">
        <f t="shared" si="35"/>
        <v>41.96190839694691</v>
      </c>
      <c r="O124" s="41"/>
      <c r="P124" s="13"/>
      <c r="Q124" s="22">
        <v>4772.12</v>
      </c>
      <c r="R124" s="41"/>
      <c r="S124" s="85">
        <f t="shared" si="39"/>
        <v>-2005.0099999999998</v>
      </c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</row>
    <row r="125" spans="1:40" ht="20.25">
      <c r="A125" t="str">
        <f t="shared" si="40"/>
        <v>Véhicules usagésSalaires autres</v>
      </c>
      <c r="B125" s="11" t="s">
        <v>70</v>
      </c>
      <c r="C125" s="102" t="s">
        <v>42</v>
      </c>
      <c r="D125" s="104"/>
      <c r="E125" s="105"/>
      <c r="F125" s="30">
        <v>2809</v>
      </c>
      <c r="G125" s="106"/>
      <c r="H125" s="105"/>
      <c r="I125" s="30"/>
      <c r="J125" s="107"/>
      <c r="K125" s="105"/>
      <c r="L125" s="33">
        <v>2809</v>
      </c>
      <c r="M125" s="107"/>
      <c r="N125" s="109">
        <f t="shared" si="35"/>
        <v>0</v>
      </c>
      <c r="O125" s="107"/>
      <c r="P125" s="105"/>
      <c r="Q125" s="33">
        <v>2809</v>
      </c>
      <c r="R125" s="107"/>
      <c r="S125" s="110">
        <f t="shared" si="39"/>
        <v>0</v>
      </c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</row>
    <row r="126" spans="1:40" ht="20.25">
      <c r="A126" t="str">
        <f t="shared" si="40"/>
        <v>Véhicules usagésSalaires spécialistes</v>
      </c>
      <c r="B126" s="11" t="s">
        <v>70</v>
      </c>
      <c r="C126" s="102" t="s">
        <v>43</v>
      </c>
      <c r="D126" s="81"/>
      <c r="E126" s="13"/>
      <c r="F126" s="30">
        <v>0</v>
      </c>
      <c r="G126" s="83"/>
      <c r="H126" s="13"/>
      <c r="I126" s="30"/>
      <c r="J126" s="41"/>
      <c r="K126" s="13"/>
      <c r="L126" s="33">
        <v>0</v>
      </c>
      <c r="M126" s="41"/>
      <c r="N126" s="59">
        <f t="shared" si="35"/>
        <v>0</v>
      </c>
      <c r="O126" s="41"/>
      <c r="P126" s="13"/>
      <c r="Q126" s="33">
        <v>0</v>
      </c>
      <c r="R126" s="41"/>
      <c r="S126" s="85">
        <f t="shared" si="39"/>
        <v>0</v>
      </c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</row>
    <row r="127" spans="1:40" ht="20.25" hidden="1">
      <c r="A127" t="str">
        <f>+B127&amp;C127</f>
        <v>Véhicules usagés[...]</v>
      </c>
      <c r="B127" s="11" t="s">
        <v>70</v>
      </c>
      <c r="C127" s="102" t="s">
        <v>19</v>
      </c>
      <c r="D127" s="81"/>
      <c r="E127" s="13"/>
      <c r="F127" s="30">
        <v>0</v>
      </c>
      <c r="G127" s="83"/>
      <c r="H127" s="13"/>
      <c r="I127" s="30"/>
      <c r="J127" s="41"/>
      <c r="K127" s="13"/>
      <c r="L127" s="33">
        <v>0</v>
      </c>
      <c r="M127" s="41"/>
      <c r="N127" s="59">
        <f t="shared" si="35"/>
        <v>0</v>
      </c>
      <c r="O127" s="41"/>
      <c r="P127" s="13"/>
      <c r="Q127" s="33">
        <v>0</v>
      </c>
      <c r="R127" s="41"/>
      <c r="S127" s="85">
        <f>L127-Q127</f>
        <v>0</v>
      </c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</row>
    <row r="128" spans="1:40" ht="20.25" hidden="1">
      <c r="A128" t="str">
        <f>+B128&amp;C128</f>
        <v>Véhicules usagés[...]</v>
      </c>
      <c r="B128" s="11" t="s">
        <v>70</v>
      </c>
      <c r="C128" s="102" t="s">
        <v>19</v>
      </c>
      <c r="D128" s="81"/>
      <c r="E128" s="13"/>
      <c r="F128" s="30">
        <v>0</v>
      </c>
      <c r="G128" s="83"/>
      <c r="H128" s="13"/>
      <c r="I128" s="30"/>
      <c r="J128" s="41"/>
      <c r="K128" s="13"/>
      <c r="L128" s="33">
        <v>0</v>
      </c>
      <c r="M128" s="41"/>
      <c r="N128" s="59">
        <f t="shared" si="35"/>
        <v>0</v>
      </c>
      <c r="O128" s="41"/>
      <c r="P128" s="13"/>
      <c r="Q128" s="33">
        <v>0</v>
      </c>
      <c r="R128" s="41"/>
      <c r="S128" s="85">
        <f>L128-Q128</f>
        <v>0</v>
      </c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</row>
    <row r="129" spans="1:40" ht="20.25" hidden="1">
      <c r="A129" t="str">
        <f>+B129&amp;C129</f>
        <v>Véhicules usagés[...]</v>
      </c>
      <c r="B129" s="11" t="s">
        <v>70</v>
      </c>
      <c r="C129" s="102" t="s">
        <v>19</v>
      </c>
      <c r="D129" s="81"/>
      <c r="E129" s="13"/>
      <c r="F129" s="30">
        <v>0</v>
      </c>
      <c r="G129" s="83"/>
      <c r="H129" s="13"/>
      <c r="I129" s="30"/>
      <c r="J129" s="41"/>
      <c r="K129" s="13"/>
      <c r="L129" s="33">
        <v>0</v>
      </c>
      <c r="M129" s="41"/>
      <c r="N129" s="59">
        <f t="shared" si="35"/>
        <v>0</v>
      </c>
      <c r="O129" s="41"/>
      <c r="P129" s="13"/>
      <c r="Q129" s="33">
        <v>0</v>
      </c>
      <c r="R129" s="41"/>
      <c r="S129" s="85">
        <f>L129-Q129</f>
        <v>0</v>
      </c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</row>
    <row r="130" spans="1:40" ht="20.25">
      <c r="A130" t="str">
        <f t="shared" ref="A130:A148" si="41">+B130&amp;C130</f>
        <v>Véhicules usagésSalaires en absences</v>
      </c>
      <c r="B130" s="11" t="s">
        <v>70</v>
      </c>
      <c r="C130" s="103" t="s">
        <v>44</v>
      </c>
      <c r="D130" s="81"/>
      <c r="E130" s="13"/>
      <c r="F130" s="30">
        <v>3481.3294149824528</v>
      </c>
      <c r="G130" s="83"/>
      <c r="H130" s="13"/>
      <c r="I130" s="30"/>
      <c r="J130" s="41"/>
      <c r="K130" s="13"/>
      <c r="L130" s="33">
        <v>2408.23</v>
      </c>
      <c r="M130" s="41"/>
      <c r="N130" s="59">
        <f t="shared" si="35"/>
        <v>-1073.0994149824528</v>
      </c>
      <c r="O130" s="41"/>
      <c r="P130" s="13"/>
      <c r="Q130" s="33">
        <v>3977.24</v>
      </c>
      <c r="R130" s="41"/>
      <c r="S130" s="85">
        <f>L130-Q130</f>
        <v>-1569.0099999999998</v>
      </c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</row>
    <row r="131" spans="1:40" ht="20.25">
      <c r="A131" t="str">
        <f t="shared" si="41"/>
        <v>Véhicules usagésDéduction à la source</v>
      </c>
      <c r="B131" s="11" t="s">
        <v>70</v>
      </c>
      <c r="C131" s="102" t="s">
        <v>45</v>
      </c>
      <c r="D131" s="104"/>
      <c r="E131" s="105"/>
      <c r="F131" s="54">
        <v>4938.5870398218831</v>
      </c>
      <c r="G131" s="106"/>
      <c r="H131" s="105"/>
      <c r="I131" s="54"/>
      <c r="J131" s="107"/>
      <c r="K131" s="105"/>
      <c r="L131" s="55">
        <v>2082.88</v>
      </c>
      <c r="M131" s="107"/>
      <c r="N131" s="109">
        <f t="shared" si="35"/>
        <v>-2855.707039821883</v>
      </c>
      <c r="O131" s="107"/>
      <c r="P131" s="105"/>
      <c r="Q131" s="55">
        <v>3257.77</v>
      </c>
      <c r="R131" s="107"/>
      <c r="S131" s="110">
        <f t="shared" ref="S131:S148" si="42">L131-Q131</f>
        <v>-1174.8899999999999</v>
      </c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</row>
    <row r="132" spans="1:40" ht="20.25">
      <c r="A132" t="str">
        <f t="shared" si="41"/>
        <v>Véhicules usagésBénéfices marginaux</v>
      </c>
      <c r="B132" s="11" t="s">
        <v>70</v>
      </c>
      <c r="C132" s="102" t="s">
        <v>46</v>
      </c>
      <c r="D132" s="81"/>
      <c r="E132" s="13"/>
      <c r="F132" s="30">
        <v>2285.0178840966919</v>
      </c>
      <c r="G132" s="83"/>
      <c r="H132" s="13"/>
      <c r="I132" s="30"/>
      <c r="J132" s="41"/>
      <c r="K132" s="13"/>
      <c r="L132" s="33">
        <v>2343.4899999999998</v>
      </c>
      <c r="M132" s="41"/>
      <c r="N132" s="59">
        <f t="shared" si="35"/>
        <v>58.472115903307895</v>
      </c>
      <c r="O132" s="41"/>
      <c r="P132" s="13"/>
      <c r="Q132" s="33">
        <v>1985.56</v>
      </c>
      <c r="R132" s="41"/>
      <c r="S132" s="85">
        <f t="shared" si="42"/>
        <v>357.92999999999984</v>
      </c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</row>
    <row r="133" spans="1:40" ht="20.25">
      <c r="A133" t="str">
        <f t="shared" si="41"/>
        <v>Véhicules usagésCsst</v>
      </c>
      <c r="B133" s="11" t="s">
        <v>70</v>
      </c>
      <c r="C133" s="102" t="s">
        <v>47</v>
      </c>
      <c r="D133" s="81"/>
      <c r="E133" s="13"/>
      <c r="F133" s="30">
        <v>515.97178027989821</v>
      </c>
      <c r="G133" s="83"/>
      <c r="H133" s="13"/>
      <c r="I133" s="30"/>
      <c r="J133" s="41"/>
      <c r="K133" s="13"/>
      <c r="L133" s="33">
        <v>133.01</v>
      </c>
      <c r="M133" s="41"/>
      <c r="N133" s="59">
        <f t="shared" si="35"/>
        <v>-382.96178027989822</v>
      </c>
      <c r="O133" s="41"/>
      <c r="P133" s="13"/>
      <c r="Q133" s="33">
        <v>141.69</v>
      </c>
      <c r="R133" s="41"/>
      <c r="S133" s="85">
        <f t="shared" si="42"/>
        <v>-8.6800000000000068</v>
      </c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</row>
    <row r="134" spans="1:40" ht="20.25" hidden="1">
      <c r="A134" t="str">
        <f t="shared" si="41"/>
        <v>Véhicules usagés[...]</v>
      </c>
      <c r="B134" s="11" t="s">
        <v>70</v>
      </c>
      <c r="C134" s="29" t="s">
        <v>19</v>
      </c>
      <c r="D134" s="87"/>
      <c r="E134" s="111"/>
      <c r="F134" s="30">
        <v>0</v>
      </c>
      <c r="G134" s="89"/>
      <c r="H134" s="111"/>
      <c r="I134" s="30"/>
      <c r="J134" s="23"/>
      <c r="K134" s="111"/>
      <c r="L134" s="33">
        <v>0</v>
      </c>
      <c r="M134" s="41"/>
      <c r="N134" s="59">
        <f t="shared" si="35"/>
        <v>0</v>
      </c>
      <c r="O134" s="23"/>
      <c r="P134" s="111"/>
      <c r="Q134" s="33">
        <v>0</v>
      </c>
      <c r="R134" s="23"/>
      <c r="S134" s="92">
        <f t="shared" si="42"/>
        <v>0</v>
      </c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</row>
    <row r="135" spans="1:40" ht="20.25">
      <c r="A135" t="str">
        <f t="shared" si="41"/>
        <v>Véhicules usagésTOTAL PERSONNEL</v>
      </c>
      <c r="B135" s="11" t="s">
        <v>70</v>
      </c>
      <c r="C135" s="93" t="s">
        <v>48</v>
      </c>
      <c r="D135" s="94" t="s">
        <v>38</v>
      </c>
      <c r="E135" s="95">
        <f>F135/F$108</f>
        <v>0.23695004168926029</v>
      </c>
      <c r="F135" s="96">
        <f>+SUM(F123:F134)</f>
        <v>21781.632582285252</v>
      </c>
      <c r="G135" s="97"/>
      <c r="H135" s="95"/>
      <c r="I135" s="96"/>
      <c r="J135" s="97" t="s">
        <v>38</v>
      </c>
      <c r="K135" s="95">
        <f>L135/L$108</f>
        <v>0.35522206734469358</v>
      </c>
      <c r="L135" s="96">
        <f>SUM(L123:L134)</f>
        <v>16251.2</v>
      </c>
      <c r="M135" s="463"/>
      <c r="N135" s="464">
        <f t="shared" si="35"/>
        <v>-5530.4325822852516</v>
      </c>
      <c r="O135" s="97" t="s">
        <v>38</v>
      </c>
      <c r="P135" s="95">
        <f>Q135/Q$108</f>
        <v>0.14943780803926432</v>
      </c>
      <c r="Q135" s="96">
        <f>+SUM(Q123:Q134)</f>
        <v>18860.48</v>
      </c>
      <c r="R135" s="147"/>
      <c r="S135" s="114">
        <f t="shared" si="42"/>
        <v>-2609.2799999999988</v>
      </c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</row>
    <row r="136" spans="1:40" ht="20.25">
      <c r="A136" t="str">
        <f t="shared" si="41"/>
        <v>Véhicules usagésPublicité 2</v>
      </c>
      <c r="B136" s="11" t="s">
        <v>70</v>
      </c>
      <c r="C136" s="29" t="s">
        <v>49</v>
      </c>
      <c r="D136" s="81"/>
      <c r="E136" s="13"/>
      <c r="F136" s="30">
        <v>0</v>
      </c>
      <c r="G136" s="83"/>
      <c r="H136" s="13"/>
      <c r="I136" s="30"/>
      <c r="J136" s="41"/>
      <c r="K136" s="13"/>
      <c r="L136" s="33">
        <v>0</v>
      </c>
      <c r="M136" s="41"/>
      <c r="N136" s="59">
        <f t="shared" si="35"/>
        <v>0</v>
      </c>
      <c r="O136" s="41"/>
      <c r="P136" s="13"/>
      <c r="Q136" s="33">
        <v>0</v>
      </c>
      <c r="R136" s="41"/>
      <c r="S136" s="85">
        <f t="shared" si="42"/>
        <v>0</v>
      </c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</row>
    <row r="137" spans="1:40" ht="20.25">
      <c r="A137" t="str">
        <f t="shared" si="41"/>
        <v>Véhicules usagésService gratuit 2</v>
      </c>
      <c r="B137" s="11" t="s">
        <v>70</v>
      </c>
      <c r="C137" s="29" t="s">
        <v>50</v>
      </c>
      <c r="D137" s="81"/>
      <c r="E137" s="13"/>
      <c r="F137" s="30">
        <v>0</v>
      </c>
      <c r="G137" s="83"/>
      <c r="H137" s="13"/>
      <c r="I137" s="30"/>
      <c r="J137" s="41"/>
      <c r="K137" s="13"/>
      <c r="L137" s="33">
        <v>0</v>
      </c>
      <c r="M137" s="41"/>
      <c r="N137" s="59">
        <f t="shared" si="35"/>
        <v>0</v>
      </c>
      <c r="O137" s="41"/>
      <c r="P137" s="13"/>
      <c r="Q137" s="33">
        <v>0</v>
      </c>
      <c r="R137" s="41"/>
      <c r="S137" s="85">
        <f t="shared" si="42"/>
        <v>0</v>
      </c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</row>
    <row r="138" spans="1:40" ht="20.25">
      <c r="A138" t="str">
        <f t="shared" si="41"/>
        <v>Véhicules usagésFrais véhicules de cie</v>
      </c>
      <c r="B138" s="11" t="s">
        <v>70</v>
      </c>
      <c r="C138" s="86" t="s">
        <v>51</v>
      </c>
      <c r="D138" s="87"/>
      <c r="E138" s="111"/>
      <c r="F138" s="22">
        <v>857.83333333333326</v>
      </c>
      <c r="G138" s="89"/>
      <c r="H138" s="111"/>
      <c r="I138" s="22"/>
      <c r="J138" s="23"/>
      <c r="K138" s="111"/>
      <c r="L138" s="22">
        <v>1124.26</v>
      </c>
      <c r="M138" s="23"/>
      <c r="N138" s="91">
        <f t="shared" si="35"/>
        <v>266.42666666666673</v>
      </c>
      <c r="O138" s="23"/>
      <c r="P138" s="111"/>
      <c r="Q138" s="22">
        <v>777.94</v>
      </c>
      <c r="R138" s="23"/>
      <c r="S138" s="92">
        <f t="shared" si="42"/>
        <v>346.31999999999994</v>
      </c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</row>
    <row r="139" spans="1:40" ht="20.25">
      <c r="A139" t="str">
        <f t="shared" si="41"/>
        <v>Véhicules usagésInformatique</v>
      </c>
      <c r="B139" s="11" t="s">
        <v>70</v>
      </c>
      <c r="C139" s="29" t="s">
        <v>52</v>
      </c>
      <c r="D139" s="81"/>
      <c r="E139" s="13"/>
      <c r="F139" s="30">
        <v>1419.9</v>
      </c>
      <c r="G139" s="83"/>
      <c r="H139" s="13"/>
      <c r="I139" s="30"/>
      <c r="J139" s="41"/>
      <c r="K139" s="13"/>
      <c r="L139" s="33">
        <v>1627.09</v>
      </c>
      <c r="M139" s="41"/>
      <c r="N139" s="59">
        <f t="shared" si="35"/>
        <v>207.18999999999983</v>
      </c>
      <c r="O139" s="41"/>
      <c r="P139" s="13"/>
      <c r="Q139" s="33">
        <v>1347.69</v>
      </c>
      <c r="R139" s="41"/>
      <c r="S139" s="85">
        <f t="shared" si="42"/>
        <v>279.39999999999986</v>
      </c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</row>
    <row r="140" spans="1:40" ht="20.25">
      <c r="A140" t="str">
        <f t="shared" si="41"/>
        <v>Véhicules usagésFrais de déplacement</v>
      </c>
      <c r="B140" s="11" t="s">
        <v>70</v>
      </c>
      <c r="C140" s="29" t="s">
        <v>53</v>
      </c>
      <c r="D140" s="81"/>
      <c r="E140" s="13"/>
      <c r="F140" s="30">
        <v>182.8</v>
      </c>
      <c r="G140" s="83"/>
      <c r="H140" s="13"/>
      <c r="I140" s="30"/>
      <c r="J140" s="41"/>
      <c r="K140" s="13"/>
      <c r="L140" s="33">
        <v>275.66000000000003</v>
      </c>
      <c r="M140" s="41"/>
      <c r="N140" s="59">
        <f t="shared" si="35"/>
        <v>92.860000000000014</v>
      </c>
      <c r="O140" s="41"/>
      <c r="P140" s="13"/>
      <c r="Q140" s="33">
        <v>95.29</v>
      </c>
      <c r="R140" s="41"/>
      <c r="S140" s="85">
        <f t="shared" si="42"/>
        <v>180.37</v>
      </c>
      <c r="T140" s="148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</row>
    <row r="141" spans="1:40" ht="20.25">
      <c r="A141" t="str">
        <f t="shared" si="41"/>
        <v>Véhicules usagésServices extérieurs</v>
      </c>
      <c r="B141" s="11" t="s">
        <v>70</v>
      </c>
      <c r="C141" s="86" t="s">
        <v>54</v>
      </c>
      <c r="D141" s="87"/>
      <c r="E141" s="111"/>
      <c r="F141" s="22">
        <v>612.1</v>
      </c>
      <c r="G141" s="89"/>
      <c r="H141" s="111"/>
      <c r="I141" s="22"/>
      <c r="J141" s="23"/>
      <c r="K141" s="111"/>
      <c r="L141" s="22">
        <v>1043.6199999999999</v>
      </c>
      <c r="M141" s="23"/>
      <c r="N141" s="91">
        <f t="shared" si="35"/>
        <v>431.51999999999987</v>
      </c>
      <c r="O141" s="23"/>
      <c r="P141" s="111"/>
      <c r="Q141" s="22">
        <v>593.87</v>
      </c>
      <c r="R141" s="23"/>
      <c r="S141" s="92">
        <f t="shared" si="42"/>
        <v>449.74999999999989</v>
      </c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</row>
    <row r="142" spans="1:40" ht="20.25">
      <c r="A142" t="str">
        <f t="shared" si="41"/>
        <v>Véhicules usagésFournitures autres</v>
      </c>
      <c r="B142" s="11" t="s">
        <v>70</v>
      </c>
      <c r="C142" s="29" t="s">
        <v>55</v>
      </c>
      <c r="D142" s="81"/>
      <c r="E142" s="13"/>
      <c r="F142" s="30">
        <v>46.32352941176471</v>
      </c>
      <c r="G142" s="83"/>
      <c r="H142" s="13"/>
      <c r="I142" s="30"/>
      <c r="J142" s="41"/>
      <c r="K142" s="13"/>
      <c r="L142" s="33">
        <v>0</v>
      </c>
      <c r="M142" s="41"/>
      <c r="N142" s="59">
        <f t="shared" si="35"/>
        <v>-46.32352941176471</v>
      </c>
      <c r="O142" s="41"/>
      <c r="P142" s="13"/>
      <c r="Q142" s="33">
        <v>0</v>
      </c>
      <c r="R142" s="41"/>
      <c r="S142" s="85">
        <f t="shared" si="42"/>
        <v>0</v>
      </c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</row>
    <row r="143" spans="1:40" ht="20.25">
      <c r="A143" t="str">
        <f t="shared" si="41"/>
        <v>Véhicules usagésUniformes</v>
      </c>
      <c r="B143" s="11" t="s">
        <v>70</v>
      </c>
      <c r="C143" s="29" t="s">
        <v>56</v>
      </c>
      <c r="D143" s="81"/>
      <c r="E143" s="13"/>
      <c r="F143" s="30">
        <v>5</v>
      </c>
      <c r="G143" s="83"/>
      <c r="H143" s="13"/>
      <c r="I143" s="30"/>
      <c r="J143" s="41"/>
      <c r="K143" s="13"/>
      <c r="L143" s="33">
        <v>55</v>
      </c>
      <c r="M143" s="41"/>
      <c r="N143" s="59">
        <f t="shared" si="35"/>
        <v>50</v>
      </c>
      <c r="O143" s="41"/>
      <c r="P143" s="13"/>
      <c r="Q143" s="33">
        <v>0</v>
      </c>
      <c r="R143" s="41"/>
      <c r="S143" s="85">
        <f t="shared" si="42"/>
        <v>55</v>
      </c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</row>
    <row r="144" spans="1:40" ht="20.25">
      <c r="A144" t="str">
        <f t="shared" si="41"/>
        <v>Véhicules usagésPapeterie</v>
      </c>
      <c r="B144" s="11" t="s">
        <v>70</v>
      </c>
      <c r="C144" s="29" t="s">
        <v>57</v>
      </c>
      <c r="D144" s="81"/>
      <c r="E144" s="13"/>
      <c r="F144" s="30">
        <v>175</v>
      </c>
      <c r="G144" s="83"/>
      <c r="H144" s="13"/>
      <c r="I144" s="30"/>
      <c r="J144" s="41"/>
      <c r="K144" s="13"/>
      <c r="L144" s="32">
        <v>196.62</v>
      </c>
      <c r="M144" s="41"/>
      <c r="N144" s="59">
        <f t="shared" si="35"/>
        <v>21.620000000000005</v>
      </c>
      <c r="O144" s="41"/>
      <c r="P144" s="13"/>
      <c r="Q144" s="32">
        <v>163.65</v>
      </c>
      <c r="R144" s="41"/>
      <c r="S144" s="85">
        <f t="shared" si="42"/>
        <v>32.97</v>
      </c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</row>
    <row r="145" spans="1:40" ht="20.25">
      <c r="A145" t="str">
        <f t="shared" si="41"/>
        <v>Véhicules usagésTéléphone</v>
      </c>
      <c r="B145" s="11" t="s">
        <v>70</v>
      </c>
      <c r="C145" s="29" t="s">
        <v>58</v>
      </c>
      <c r="D145" s="81"/>
      <c r="E145" s="13"/>
      <c r="F145" s="30">
        <v>63.2</v>
      </c>
      <c r="G145" s="83"/>
      <c r="H145" s="13"/>
      <c r="I145" s="30"/>
      <c r="J145" s="41"/>
      <c r="K145" s="13"/>
      <c r="L145" s="33">
        <v>82.67</v>
      </c>
      <c r="M145" s="41"/>
      <c r="N145" s="59">
        <f t="shared" si="35"/>
        <v>19.47</v>
      </c>
      <c r="O145" s="41"/>
      <c r="P145" s="13"/>
      <c r="Q145" s="33">
        <v>91.33</v>
      </c>
      <c r="R145" s="41"/>
      <c r="S145" s="85">
        <f t="shared" si="42"/>
        <v>-8.6599999999999966</v>
      </c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</row>
    <row r="146" spans="1:40" ht="20.25">
      <c r="A146" t="str">
        <f t="shared" si="41"/>
        <v>Véhicules usagésFrais postaux</v>
      </c>
      <c r="B146" s="11" t="s">
        <v>70</v>
      </c>
      <c r="C146" s="29" t="s">
        <v>59</v>
      </c>
      <c r="D146" s="81"/>
      <c r="E146" s="13"/>
      <c r="F146" s="30">
        <v>50</v>
      </c>
      <c r="G146" s="83"/>
      <c r="H146" s="13"/>
      <c r="I146" s="30"/>
      <c r="J146" s="41"/>
      <c r="K146" s="13"/>
      <c r="L146" s="33">
        <v>44.24</v>
      </c>
      <c r="M146" s="41"/>
      <c r="N146" s="59">
        <f t="shared" si="35"/>
        <v>-5.759999999999998</v>
      </c>
      <c r="O146" s="41"/>
      <c r="P146" s="13"/>
      <c r="Q146" s="33">
        <v>91.1</v>
      </c>
      <c r="R146" s="41"/>
      <c r="S146" s="85">
        <f t="shared" si="42"/>
        <v>-46.859999999999992</v>
      </c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</row>
    <row r="147" spans="1:40" ht="20.25">
      <c r="A147" t="str">
        <f t="shared" si="41"/>
        <v>Véhicules usagésDivers</v>
      </c>
      <c r="B147" s="11" t="s">
        <v>70</v>
      </c>
      <c r="C147" s="29" t="s">
        <v>60</v>
      </c>
      <c r="D147" s="81"/>
      <c r="E147" s="13"/>
      <c r="F147" s="30">
        <v>185.8</v>
      </c>
      <c r="G147" s="83"/>
      <c r="H147" s="13"/>
      <c r="I147" s="30"/>
      <c r="J147" s="41"/>
      <c r="K147" s="13"/>
      <c r="L147" s="33">
        <v>185.1</v>
      </c>
      <c r="M147" s="41"/>
      <c r="N147" s="59">
        <f t="shared" si="35"/>
        <v>-0.70000000000001705</v>
      </c>
      <c r="O147" s="41"/>
      <c r="P147" s="13"/>
      <c r="Q147" s="33">
        <v>230.65</v>
      </c>
      <c r="R147" s="41"/>
      <c r="S147" s="85">
        <f t="shared" si="42"/>
        <v>-45.550000000000011</v>
      </c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</row>
    <row r="148" spans="1:40" ht="20.25">
      <c r="A148" t="str">
        <f t="shared" si="41"/>
        <v>Véhicules usagésFormation</v>
      </c>
      <c r="B148" s="11" t="s">
        <v>70</v>
      </c>
      <c r="C148" s="29" t="s">
        <v>61</v>
      </c>
      <c r="D148" s="81"/>
      <c r="E148" s="13"/>
      <c r="F148" s="30">
        <v>137.24010666666663</v>
      </c>
      <c r="G148" s="83"/>
      <c r="H148" s="13"/>
      <c r="I148" s="30"/>
      <c r="J148" s="41"/>
      <c r="K148" s="13"/>
      <c r="L148" s="59">
        <v>216.67</v>
      </c>
      <c r="M148" s="41"/>
      <c r="N148" s="59">
        <f t="shared" si="35"/>
        <v>79.429893333333354</v>
      </c>
      <c r="O148" s="41"/>
      <c r="P148" s="13"/>
      <c r="Q148" s="33">
        <v>82.24</v>
      </c>
      <c r="R148" s="41"/>
      <c r="S148" s="85">
        <f t="shared" si="42"/>
        <v>134.43</v>
      </c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</row>
    <row r="149" spans="1:40" ht="20.25">
      <c r="A149" t="str">
        <f>+B149&amp;C149</f>
        <v>Véhicules usagésFrais bancaires</v>
      </c>
      <c r="B149" s="11" t="s">
        <v>70</v>
      </c>
      <c r="C149" s="29" t="s">
        <v>62</v>
      </c>
      <c r="D149" s="81"/>
      <c r="E149" s="13"/>
      <c r="F149" s="30">
        <v>618.54364206801336</v>
      </c>
      <c r="G149" s="83"/>
      <c r="H149" s="13"/>
      <c r="I149" s="30"/>
      <c r="J149" s="41"/>
      <c r="K149" s="13"/>
      <c r="L149" s="33">
        <v>443.94</v>
      </c>
      <c r="M149" s="41"/>
      <c r="N149" s="59">
        <f t="shared" si="35"/>
        <v>-174.60364206801336</v>
      </c>
      <c r="O149" s="41"/>
      <c r="P149" s="13"/>
      <c r="Q149" s="33">
        <v>584.4</v>
      </c>
      <c r="R149" s="41"/>
      <c r="S149" s="85">
        <f>L149-Q149</f>
        <v>-140.45999999999998</v>
      </c>
      <c r="T149" s="82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</row>
    <row r="150" spans="1:40" ht="20.25" hidden="1">
      <c r="A150" t="str">
        <f>+B150&amp;C150</f>
        <v>Véhicules usagés[...]</v>
      </c>
      <c r="B150" s="11" t="s">
        <v>70</v>
      </c>
      <c r="C150" s="29" t="s">
        <v>19</v>
      </c>
      <c r="D150" s="81"/>
      <c r="E150" s="13"/>
      <c r="F150" s="30">
        <v>0</v>
      </c>
      <c r="G150" s="83"/>
      <c r="H150" s="13"/>
      <c r="I150" s="30"/>
      <c r="J150" s="41"/>
      <c r="K150" s="13"/>
      <c r="L150" s="33">
        <v>0</v>
      </c>
      <c r="M150" s="41"/>
      <c r="N150" s="59">
        <f t="shared" si="35"/>
        <v>0</v>
      </c>
      <c r="O150" s="41"/>
      <c r="P150" s="13"/>
      <c r="Q150" s="33">
        <v>0</v>
      </c>
      <c r="R150" s="41"/>
      <c r="S150" s="85">
        <f>L150-Q150</f>
        <v>0</v>
      </c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</row>
    <row r="151" spans="1:40" ht="20.25" hidden="1">
      <c r="A151" t="str">
        <f>+B151&amp;C151</f>
        <v>Véhicules usagés[...]</v>
      </c>
      <c r="B151" s="11" t="s">
        <v>70</v>
      </c>
      <c r="C151" s="29" t="s">
        <v>19</v>
      </c>
      <c r="D151" s="81"/>
      <c r="E151" s="13"/>
      <c r="F151" s="30">
        <v>0</v>
      </c>
      <c r="G151" s="83"/>
      <c r="H151" s="13"/>
      <c r="I151" s="30"/>
      <c r="J151" s="41"/>
      <c r="K151" s="13"/>
      <c r="L151" s="33">
        <v>0</v>
      </c>
      <c r="M151" s="41"/>
      <c r="N151" s="59">
        <f t="shared" si="35"/>
        <v>0</v>
      </c>
      <c r="O151" s="41"/>
      <c r="P151" s="13"/>
      <c r="Q151" s="33">
        <v>0</v>
      </c>
      <c r="R151" s="41"/>
      <c r="S151" s="85">
        <f>L151-Q151</f>
        <v>0</v>
      </c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</row>
    <row r="152" spans="1:40" ht="20.25" hidden="1">
      <c r="A152" t="str">
        <f>+B152&amp;C152</f>
        <v>Véhicules usagés[...]</v>
      </c>
      <c r="B152" s="11" t="s">
        <v>70</v>
      </c>
      <c r="C152" s="29" t="s">
        <v>19</v>
      </c>
      <c r="D152" s="81"/>
      <c r="E152" s="13"/>
      <c r="F152" s="30">
        <v>0</v>
      </c>
      <c r="G152" s="83"/>
      <c r="H152" s="13"/>
      <c r="I152" s="30"/>
      <c r="J152" s="41"/>
      <c r="K152" s="13"/>
      <c r="L152" s="33">
        <v>0</v>
      </c>
      <c r="M152" s="41"/>
      <c r="N152" s="59">
        <f t="shared" si="35"/>
        <v>0</v>
      </c>
      <c r="O152" s="41"/>
      <c r="P152" s="13"/>
      <c r="Q152" s="33">
        <v>0</v>
      </c>
      <c r="R152" s="41"/>
      <c r="S152" s="85">
        <f>L152-Q152</f>
        <v>0</v>
      </c>
      <c r="T152" s="82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</row>
    <row r="153" spans="1:40" ht="20.25">
      <c r="A153" t="str">
        <f t="shared" ref="A153:A158" si="43">+B153&amp;C153</f>
        <v>Véhicules usagésTOTAL SEMI-FIXES</v>
      </c>
      <c r="B153" s="11" t="s">
        <v>70</v>
      </c>
      <c r="C153" s="93" t="s">
        <v>63</v>
      </c>
      <c r="D153" s="94" t="s">
        <v>38</v>
      </c>
      <c r="E153" s="95">
        <f>F153/F$108</f>
        <v>4.7361877742505068E-2</v>
      </c>
      <c r="F153" s="96">
        <f>+SUM(F136:F152)</f>
        <v>4353.7406114797786</v>
      </c>
      <c r="G153" s="97"/>
      <c r="H153" s="95"/>
      <c r="I153" s="96"/>
      <c r="J153" s="97" t="s">
        <v>38</v>
      </c>
      <c r="K153" s="95">
        <f>L153/L$108</f>
        <v>0.1157363559442624</v>
      </c>
      <c r="L153" s="96">
        <f>+SUM(L136:L152)</f>
        <v>5294.869999999999</v>
      </c>
      <c r="M153" s="100"/>
      <c r="N153" s="96">
        <f t="shared" si="35"/>
        <v>941.12938852022035</v>
      </c>
      <c r="O153" s="97" t="s">
        <v>38</v>
      </c>
      <c r="P153" s="95">
        <f>Q153/Q$108</f>
        <v>3.2154141096760049E-2</v>
      </c>
      <c r="Q153" s="96">
        <f>+SUM(Q136:Q152)</f>
        <v>4058.16</v>
      </c>
      <c r="R153" s="100"/>
      <c r="S153" s="101">
        <f>L153-Q153</f>
        <v>1236.7099999999991</v>
      </c>
      <c r="T153" s="112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</row>
    <row r="154" spans="1:40" ht="20.25">
      <c r="A154" t="str">
        <f t="shared" si="43"/>
        <v>Véhicules usagés</v>
      </c>
      <c r="B154" s="11" t="s">
        <v>70</v>
      </c>
      <c r="C154" s="86"/>
      <c r="D154" s="87"/>
      <c r="E154" s="111"/>
      <c r="F154" s="59"/>
      <c r="G154" s="89"/>
      <c r="H154" s="111"/>
      <c r="I154" s="59"/>
      <c r="J154" s="23"/>
      <c r="K154" s="111"/>
      <c r="L154" s="91"/>
      <c r="M154" s="23"/>
      <c r="N154" s="91"/>
      <c r="O154" s="23"/>
      <c r="P154" s="111"/>
      <c r="Q154" s="91"/>
      <c r="R154" s="23"/>
      <c r="S154" s="92"/>
      <c r="T154" s="112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</row>
    <row r="155" spans="1:40" ht="20.25">
      <c r="A155" t="str">
        <f t="shared" si="43"/>
        <v>Véhicules usagésTOTAL DES DÉPENSES</v>
      </c>
      <c r="B155" s="11" t="s">
        <v>70</v>
      </c>
      <c r="C155" s="93" t="s">
        <v>64</v>
      </c>
      <c r="D155" s="94" t="s">
        <v>38</v>
      </c>
      <c r="E155" s="95">
        <f>F155/F$108</f>
        <v>0.78599818838817614</v>
      </c>
      <c r="F155" s="96">
        <f>F122+F135+F153</f>
        <v>72252.883467583088</v>
      </c>
      <c r="G155" s="97"/>
      <c r="H155" s="95"/>
      <c r="I155" s="96"/>
      <c r="J155" s="97" t="s">
        <v>38</v>
      </c>
      <c r="K155" s="95">
        <f>L155/L$108</f>
        <v>1.158132749690105</v>
      </c>
      <c r="L155" s="96">
        <f>L122+L135+L153</f>
        <v>52983.89</v>
      </c>
      <c r="M155" s="100"/>
      <c r="N155" s="113">
        <f t="shared" ref="N155:N162" si="44">L155-F155</f>
        <v>-19268.993467583088</v>
      </c>
      <c r="O155" s="97" t="s">
        <v>38</v>
      </c>
      <c r="P155" s="95">
        <f>Q155/Q$108</f>
        <v>0.57546401397802238</v>
      </c>
      <c r="Q155" s="96">
        <f>Q122+Q135+Q153</f>
        <v>72629.06</v>
      </c>
      <c r="R155" s="100"/>
      <c r="S155" s="114">
        <f t="shared" ref="S155:S162" si="45">L155-Q155</f>
        <v>-19645.169999999998</v>
      </c>
      <c r="T155" s="112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</row>
    <row r="156" spans="1:40" ht="20.25">
      <c r="A156" t="str">
        <f t="shared" si="43"/>
        <v>Véhicules usagésRBSC used</v>
      </c>
      <c r="B156" s="11" t="s">
        <v>70</v>
      </c>
      <c r="C156" s="29" t="s">
        <v>218</v>
      </c>
      <c r="D156" s="149"/>
      <c r="E156" s="150"/>
      <c r="F156" s="30">
        <v>2625</v>
      </c>
      <c r="G156" s="151"/>
      <c r="H156" s="150"/>
      <c r="I156" s="30"/>
      <c r="J156" s="151"/>
      <c r="K156" s="150"/>
      <c r="L156" s="32">
        <v>0</v>
      </c>
      <c r="M156" s="41"/>
      <c r="N156" s="59">
        <f t="shared" si="44"/>
        <v>-2625</v>
      </c>
      <c r="O156" s="151"/>
      <c r="P156" s="150"/>
      <c r="Q156" s="33">
        <v>6000</v>
      </c>
      <c r="R156" s="41"/>
      <c r="S156" s="85">
        <f t="shared" si="45"/>
        <v>-6000</v>
      </c>
      <c r="T156" s="112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</row>
    <row r="157" spans="1:40" ht="20.25">
      <c r="A157" t="str">
        <f t="shared" si="43"/>
        <v>Véhicules usagésProgramme 360</v>
      </c>
      <c r="B157" s="11" t="s">
        <v>70</v>
      </c>
      <c r="C157" s="29" t="s">
        <v>219</v>
      </c>
      <c r="D157" s="149"/>
      <c r="E157" s="150"/>
      <c r="F157" s="30">
        <v>1822.0588235294119</v>
      </c>
      <c r="G157" s="151"/>
      <c r="H157" s="150"/>
      <c r="I157" s="30"/>
      <c r="J157" s="151"/>
      <c r="K157" s="150"/>
      <c r="L157" s="33">
        <v>0</v>
      </c>
      <c r="M157" s="41"/>
      <c r="N157" s="59">
        <f t="shared" si="44"/>
        <v>-1822.0588235294119</v>
      </c>
      <c r="O157" s="151"/>
      <c r="P157" s="150"/>
      <c r="Q157" s="33">
        <v>0</v>
      </c>
      <c r="R157" s="41"/>
      <c r="S157" s="85">
        <f t="shared" si="45"/>
        <v>0</v>
      </c>
      <c r="T157" s="112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</row>
    <row r="158" spans="1:40" ht="20.25" hidden="1">
      <c r="A158" t="str">
        <f t="shared" si="43"/>
        <v>Véhicules usagésProgramme used 3</v>
      </c>
      <c r="B158" s="11" t="s">
        <v>70</v>
      </c>
      <c r="C158" s="29" t="s">
        <v>77</v>
      </c>
      <c r="D158" s="81"/>
      <c r="E158" s="13"/>
      <c r="F158" s="30">
        <v>0</v>
      </c>
      <c r="G158" s="83"/>
      <c r="H158" s="13"/>
      <c r="I158" s="30"/>
      <c r="J158" s="41"/>
      <c r="K158" s="13"/>
      <c r="L158" s="33">
        <v>0</v>
      </c>
      <c r="M158" s="41"/>
      <c r="N158" s="59">
        <f t="shared" si="44"/>
        <v>0</v>
      </c>
      <c r="O158" s="41"/>
      <c r="P158" s="13"/>
      <c r="Q158" s="33">
        <v>0</v>
      </c>
      <c r="R158" s="41"/>
      <c r="S158" s="85">
        <f t="shared" si="45"/>
        <v>0</v>
      </c>
      <c r="T158" s="112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</row>
    <row r="159" spans="1:40" ht="20.25">
      <c r="A159" t="str">
        <f>+B159&amp;C159</f>
        <v>Véhicules usagésFrais administration</v>
      </c>
      <c r="B159" s="11" t="s">
        <v>70</v>
      </c>
      <c r="C159" s="29" t="s">
        <v>67</v>
      </c>
      <c r="D159" s="81"/>
      <c r="E159" s="13"/>
      <c r="F159" s="30">
        <v>10620.75</v>
      </c>
      <c r="G159" s="83"/>
      <c r="H159" s="13"/>
      <c r="I159" s="30"/>
      <c r="J159" s="41"/>
      <c r="K159" s="13"/>
      <c r="L159" s="32">
        <v>10710</v>
      </c>
      <c r="M159" s="41"/>
      <c r="N159" s="59">
        <f t="shared" si="44"/>
        <v>89.25</v>
      </c>
      <c r="O159" s="41"/>
      <c r="P159" s="13"/>
      <c r="Q159" s="33">
        <v>10115</v>
      </c>
      <c r="R159" s="41"/>
      <c r="S159" s="85">
        <f t="shared" si="45"/>
        <v>595</v>
      </c>
      <c r="T159" s="112"/>
      <c r="U159" s="13"/>
      <c r="V159" s="13">
        <f>L159/595</f>
        <v>18</v>
      </c>
      <c r="W159" s="454">
        <f>V159/J97</f>
        <v>0.94736842105263153</v>
      </c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</row>
    <row r="160" spans="1:40" ht="20.25" hidden="1">
      <c r="A160" t="str">
        <f>+B160&amp;C160</f>
        <v>Véhicules usagés[...]</v>
      </c>
      <c r="B160" s="11" t="s">
        <v>70</v>
      </c>
      <c r="C160" s="29" t="s">
        <v>19</v>
      </c>
      <c r="D160" s="81"/>
      <c r="E160" s="13"/>
      <c r="F160" s="30">
        <v>0</v>
      </c>
      <c r="G160" s="83"/>
      <c r="H160" s="13"/>
      <c r="I160" s="30"/>
      <c r="J160" s="41"/>
      <c r="K160" s="13"/>
      <c r="L160" s="32">
        <v>0</v>
      </c>
      <c r="M160" s="41"/>
      <c r="N160" s="59">
        <f t="shared" si="44"/>
        <v>0</v>
      </c>
      <c r="O160" s="41"/>
      <c r="P160" s="13"/>
      <c r="Q160" s="33">
        <v>0</v>
      </c>
      <c r="R160" s="41"/>
      <c r="S160" s="85">
        <f t="shared" si="45"/>
        <v>0</v>
      </c>
      <c r="T160" s="112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</row>
    <row r="161" spans="1:40" ht="20.25" hidden="1">
      <c r="A161" t="str">
        <f>+B161&amp;C161</f>
        <v>Véhicules usagés[...]</v>
      </c>
      <c r="B161" s="11" t="s">
        <v>70</v>
      </c>
      <c r="C161" s="29" t="s">
        <v>19</v>
      </c>
      <c r="D161" s="81"/>
      <c r="E161" s="13"/>
      <c r="F161" s="30">
        <v>0</v>
      </c>
      <c r="G161" s="83"/>
      <c r="H161" s="13"/>
      <c r="I161" s="30"/>
      <c r="J161" s="41"/>
      <c r="K161" s="13"/>
      <c r="L161" s="32">
        <v>0</v>
      </c>
      <c r="M161" s="41"/>
      <c r="N161" s="59">
        <f t="shared" si="44"/>
        <v>0</v>
      </c>
      <c r="O161" s="41"/>
      <c r="P161" s="13"/>
      <c r="Q161" s="33">
        <v>0</v>
      </c>
      <c r="R161" s="41"/>
      <c r="S161" s="85">
        <f t="shared" si="45"/>
        <v>0</v>
      </c>
      <c r="T161" s="112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</row>
    <row r="162" spans="1:40" ht="20.25" hidden="1">
      <c r="A162" t="str">
        <f>+B162&amp;C162</f>
        <v>Véhicules usagés[...]</v>
      </c>
      <c r="B162" s="11" t="s">
        <v>70</v>
      </c>
      <c r="C162" s="86" t="s">
        <v>19</v>
      </c>
      <c r="D162" s="87"/>
      <c r="E162" s="111"/>
      <c r="F162" s="30">
        <v>0</v>
      </c>
      <c r="G162" s="83"/>
      <c r="H162" s="13"/>
      <c r="I162" s="30"/>
      <c r="J162" s="41"/>
      <c r="K162" s="13"/>
      <c r="L162" s="32">
        <v>0</v>
      </c>
      <c r="M162" s="41"/>
      <c r="N162" s="59">
        <f t="shared" si="44"/>
        <v>0</v>
      </c>
      <c r="O162" s="41"/>
      <c r="P162" s="13"/>
      <c r="Q162" s="33">
        <v>0</v>
      </c>
      <c r="R162" s="41"/>
      <c r="S162" s="85">
        <f t="shared" si="45"/>
        <v>0</v>
      </c>
      <c r="T162" s="112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</row>
    <row r="163" spans="1:40" ht="20.25">
      <c r="B163" s="11"/>
      <c r="C163" s="93" t="s">
        <v>68</v>
      </c>
      <c r="D163" s="94"/>
      <c r="E163" s="95"/>
      <c r="F163" s="96">
        <f>+SUM(F156:F162)</f>
        <v>15067.808823529413</v>
      </c>
      <c r="G163" s="97"/>
      <c r="H163" s="95"/>
      <c r="I163" s="96"/>
      <c r="J163" s="97"/>
      <c r="K163" s="95"/>
      <c r="L163" s="96">
        <f>+SUM(L156:L162)</f>
        <v>10710</v>
      </c>
      <c r="M163" s="100"/>
      <c r="N163" s="96">
        <f>SUM(N156:N159)</f>
        <v>-4357.8088235294117</v>
      </c>
      <c r="O163" s="97"/>
      <c r="P163" s="95"/>
      <c r="Q163" s="96">
        <f>+SUM(Q156:Q162)</f>
        <v>16115</v>
      </c>
      <c r="R163" s="100"/>
      <c r="S163" s="101">
        <f>+SUM(S156:S162)</f>
        <v>-5405</v>
      </c>
      <c r="T163" s="112"/>
      <c r="U163" s="13"/>
      <c r="V163" s="13">
        <f>20*85%</f>
        <v>17</v>
      </c>
      <c r="W163" s="13" t="s">
        <v>242</v>
      </c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</row>
    <row r="164" spans="1:40" ht="20.25">
      <c r="B164" s="11"/>
      <c r="C164" s="29"/>
      <c r="D164" s="81"/>
      <c r="E164" s="13"/>
      <c r="F164" s="59"/>
      <c r="G164" s="83"/>
      <c r="H164" s="13"/>
      <c r="I164" s="59"/>
      <c r="J164" s="41"/>
      <c r="K164" s="13"/>
      <c r="L164" s="59"/>
      <c r="M164" s="41"/>
      <c r="N164" s="59"/>
      <c r="O164" s="41"/>
      <c r="P164" s="13"/>
      <c r="Q164" s="59"/>
      <c r="R164" s="41"/>
      <c r="S164" s="85"/>
      <c r="T164" s="150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</row>
    <row r="165" spans="1:40" ht="21" thickBot="1">
      <c r="B165" s="11"/>
      <c r="C165" s="124" t="s">
        <v>69</v>
      </c>
      <c r="D165" s="152"/>
      <c r="E165" s="125"/>
      <c r="F165" s="127">
        <f>F108-F155+F163</f>
        <v>34739.925355946325</v>
      </c>
      <c r="G165" s="153"/>
      <c r="H165" s="125"/>
      <c r="I165" s="127"/>
      <c r="J165" s="154"/>
      <c r="K165" s="126"/>
      <c r="L165" s="127">
        <f>L108-L155+L163</f>
        <v>3475.5200000000114</v>
      </c>
      <c r="M165" s="154"/>
      <c r="N165" s="127">
        <f>L165-F165</f>
        <v>-31264.405355946314</v>
      </c>
      <c r="O165" s="154"/>
      <c r="P165" s="126"/>
      <c r="Q165" s="127">
        <f>Q108-Q155+Q163</f>
        <v>69695.499999999913</v>
      </c>
      <c r="R165" s="154"/>
      <c r="S165" s="129">
        <f>L165-Q165</f>
        <v>-66219.979999999894</v>
      </c>
      <c r="T165" s="82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</row>
    <row r="166" spans="1:40" ht="21" thickTop="1">
      <c r="B166" s="11"/>
      <c r="C166" s="10"/>
      <c r="D166" s="10"/>
      <c r="E166" s="10"/>
      <c r="F166" s="10"/>
      <c r="G166" s="10"/>
      <c r="H166" s="10"/>
      <c r="I166" s="10"/>
      <c r="J166" s="10"/>
      <c r="K166" s="10"/>
      <c r="L166" s="155"/>
      <c r="M166" s="10"/>
      <c r="N166" s="10"/>
      <c r="O166" s="10"/>
      <c r="P166" s="10"/>
      <c r="Q166" s="10"/>
      <c r="R166" s="10"/>
      <c r="S166" s="10"/>
      <c r="T166" s="155"/>
      <c r="U166" s="10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</row>
    <row r="167" spans="1:40" ht="20.25">
      <c r="B167" s="11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55"/>
      <c r="U167" s="10"/>
      <c r="V167" s="10"/>
      <c r="W167" s="10"/>
      <c r="X167" s="10"/>
      <c r="Y167" s="10"/>
      <c r="Z167" s="10"/>
      <c r="AA167" s="10"/>
      <c r="AB167" s="10"/>
      <c r="AC167" s="10"/>
      <c r="AD167" s="10"/>
      <c r="AE167" s="10"/>
      <c r="AF167" s="10"/>
      <c r="AG167" s="10"/>
      <c r="AH167" s="10"/>
      <c r="AI167" s="10"/>
      <c r="AJ167" s="10"/>
      <c r="AK167" s="10"/>
      <c r="AL167" s="10"/>
      <c r="AM167" s="10"/>
      <c r="AN167" s="10"/>
    </row>
    <row r="168" spans="1:40" ht="35.25">
      <c r="B168" s="11"/>
      <c r="C168" s="6" t="str">
        <f>C1</f>
        <v>BMW Sherbrooke</v>
      </c>
      <c r="D168" s="2"/>
      <c r="E168" s="2"/>
      <c r="F168" s="2"/>
      <c r="G168" s="2"/>
      <c r="H168" s="1"/>
      <c r="I168" s="1"/>
      <c r="J168" s="1"/>
      <c r="K168" s="3" t="s">
        <v>78</v>
      </c>
      <c r="L168" s="2"/>
      <c r="M168" s="2"/>
      <c r="N168" s="1"/>
      <c r="O168" s="1"/>
      <c r="P168" s="2"/>
      <c r="Q168" s="1"/>
      <c r="R168" s="2"/>
      <c r="S168" s="5" t="str">
        <f>$S$1</f>
        <v>Réalisé, Août 2024</v>
      </c>
      <c r="T168" s="2"/>
      <c r="U168" s="6"/>
      <c r="V168" s="10"/>
      <c r="W168" s="10"/>
      <c r="X168" s="10"/>
      <c r="Y168" s="10"/>
      <c r="Z168" s="10"/>
      <c r="AA168" s="10"/>
      <c r="AB168" s="10"/>
      <c r="AC168" s="10"/>
      <c r="AD168" s="10"/>
      <c r="AE168" s="10"/>
      <c r="AF168" s="10"/>
      <c r="AG168" s="10"/>
      <c r="AH168" s="10"/>
      <c r="AI168" s="10"/>
      <c r="AJ168" s="10"/>
      <c r="AK168" s="10"/>
      <c r="AL168" s="10"/>
      <c r="AM168" s="10"/>
      <c r="AN168" s="10"/>
    </row>
    <row r="169" spans="1:40" ht="36" thickBot="1">
      <c r="B169" s="11"/>
      <c r="C169" s="8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6"/>
      <c r="W169" s="6"/>
      <c r="X169" s="6"/>
      <c r="Y169" s="6"/>
      <c r="Z169" s="6"/>
      <c r="AA169" s="6"/>
      <c r="AB169" s="6"/>
      <c r="AC169" s="6"/>
      <c r="AD169" s="6"/>
      <c r="AE169" s="6"/>
      <c r="AF169" s="6"/>
      <c r="AG169" s="6"/>
      <c r="AH169" s="6"/>
      <c r="AI169" s="6"/>
      <c r="AJ169" s="6"/>
      <c r="AK169" s="6"/>
      <c r="AL169" s="6"/>
      <c r="AM169" s="6"/>
      <c r="AN169" s="6"/>
    </row>
    <row r="170" spans="1:40" ht="21" thickTop="1">
      <c r="B170" s="11"/>
      <c r="C170" s="12"/>
      <c r="D170" s="496" t="s">
        <v>5</v>
      </c>
      <c r="E170" s="497"/>
      <c r="F170" s="498"/>
      <c r="G170" s="499"/>
      <c r="H170" s="497"/>
      <c r="I170" s="498"/>
      <c r="J170" s="499" t="s">
        <v>7</v>
      </c>
      <c r="K170" s="497"/>
      <c r="L170" s="498"/>
      <c r="M170" s="499" t="s">
        <v>213</v>
      </c>
      <c r="N170" s="498"/>
      <c r="O170" s="496" t="s">
        <v>8</v>
      </c>
      <c r="P170" s="497"/>
      <c r="Q170" s="498"/>
      <c r="R170" s="494" t="s">
        <v>214</v>
      </c>
      <c r="S170" s="495"/>
      <c r="T170" s="149"/>
      <c r="U170" s="13"/>
      <c r="V170" s="10"/>
      <c r="W170" s="10"/>
      <c r="X170" s="10"/>
      <c r="Y170" s="10"/>
      <c r="Z170" s="10"/>
      <c r="AA170" s="10"/>
      <c r="AB170" s="10"/>
      <c r="AC170" s="10"/>
      <c r="AD170" s="10"/>
      <c r="AE170" s="10"/>
      <c r="AF170" s="10"/>
      <c r="AG170" s="10"/>
      <c r="AH170" s="10"/>
      <c r="AI170" s="10"/>
      <c r="AJ170" s="10"/>
      <c r="AK170" s="10"/>
      <c r="AL170" s="10"/>
      <c r="AM170" s="10"/>
      <c r="AN170" s="10"/>
    </row>
    <row r="171" spans="1:40" ht="20.25">
      <c r="A171" t="str">
        <f t="shared" ref="A171:A216" si="46">+B171&amp;C171</f>
        <v>Service</v>
      </c>
      <c r="B171" s="11" t="s">
        <v>78</v>
      </c>
      <c r="C171" s="29"/>
      <c r="D171" s="80" t="s">
        <v>39</v>
      </c>
      <c r="E171" s="80" t="s">
        <v>79</v>
      </c>
      <c r="F171" s="134" t="s">
        <v>12</v>
      </c>
      <c r="G171" s="135"/>
      <c r="H171" s="80"/>
      <c r="I171" s="134"/>
      <c r="J171" s="135" t="s">
        <v>39</v>
      </c>
      <c r="K171" s="80" t="s">
        <v>79</v>
      </c>
      <c r="L171" s="134" t="s">
        <v>12</v>
      </c>
      <c r="M171" s="135" t="s">
        <v>220</v>
      </c>
      <c r="N171" s="134" t="s">
        <v>217</v>
      </c>
      <c r="O171" s="80" t="s">
        <v>39</v>
      </c>
      <c r="P171" s="80" t="s">
        <v>79</v>
      </c>
      <c r="Q171" s="134" t="s">
        <v>12</v>
      </c>
      <c r="R171" s="135" t="s">
        <v>80</v>
      </c>
      <c r="S171" s="136" t="s">
        <v>12</v>
      </c>
      <c r="T171" s="80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</row>
    <row r="172" spans="1:40" ht="20.25">
      <c r="A172" t="str">
        <f t="shared" si="46"/>
        <v>ServiceM/O Client</v>
      </c>
      <c r="B172" s="11" t="s">
        <v>78</v>
      </c>
      <c r="C172" s="29" t="s">
        <v>81</v>
      </c>
      <c r="D172" s="13">
        <v>0</v>
      </c>
      <c r="E172" s="82">
        <v>53678.023273975508</v>
      </c>
      <c r="F172" s="82">
        <v>42727.706526084505</v>
      </c>
      <c r="G172" s="156"/>
      <c r="H172" s="82"/>
      <c r="I172" s="82"/>
      <c r="J172" s="60">
        <v>150</v>
      </c>
      <c r="K172" s="30">
        <v>48036.560000000005</v>
      </c>
      <c r="L172" s="33">
        <v>38402.360000000008</v>
      </c>
      <c r="M172" s="157">
        <f>(K172-E172)/E172</f>
        <v>-0.10509819344839083</v>
      </c>
      <c r="N172" s="59">
        <f>L172-F172</f>
        <v>-4325.3465260844969</v>
      </c>
      <c r="O172" s="60">
        <v>133</v>
      </c>
      <c r="P172" s="30">
        <v>54662.21</v>
      </c>
      <c r="Q172" s="33">
        <v>43111.839999999997</v>
      </c>
      <c r="R172" s="157">
        <f>IF(O172=0,0,J172/O172)</f>
        <v>1.1278195488721805</v>
      </c>
      <c r="S172" s="85">
        <f>L172-Q172</f>
        <v>-4709.4799999999886</v>
      </c>
      <c r="T172" s="82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</row>
    <row r="173" spans="1:40" ht="20.25">
      <c r="A173" t="str">
        <f t="shared" si="46"/>
        <v>Service% profit / ventes</v>
      </c>
      <c r="B173" s="11" t="s">
        <v>78</v>
      </c>
      <c r="C173" s="29" t="s">
        <v>82</v>
      </c>
      <c r="D173" s="13"/>
      <c r="E173" s="144"/>
      <c r="F173" s="158">
        <f>F172/E172</f>
        <v>0.79600000000000004</v>
      </c>
      <c r="G173" s="41"/>
      <c r="H173" s="144"/>
      <c r="I173" s="158"/>
      <c r="J173" s="60"/>
      <c r="K173" s="13"/>
      <c r="L173" s="158">
        <f>IF(L172=0,0,L172/K172)</f>
        <v>0.79944025966888566</v>
      </c>
      <c r="M173" s="157"/>
      <c r="N173" s="59"/>
      <c r="O173" s="60"/>
      <c r="P173" s="13"/>
      <c r="Q173" s="158">
        <f>Q172/P172</f>
        <v>0.78869551743334187</v>
      </c>
      <c r="R173" s="60"/>
      <c r="S173" s="85"/>
      <c r="T173" s="82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</row>
    <row r="174" spans="1:40" ht="20.25">
      <c r="A174" t="str">
        <f t="shared" si="46"/>
        <v>Service</v>
      </c>
      <c r="B174" s="11" t="s">
        <v>78</v>
      </c>
      <c r="C174" s="86"/>
      <c r="D174" s="111"/>
      <c r="E174" s="159">
        <f>IFERROR(E172/D172,0)</f>
        <v>0</v>
      </c>
      <c r="F174" s="160"/>
      <c r="G174" s="23"/>
      <c r="H174" s="159"/>
      <c r="I174" s="160"/>
      <c r="J174" s="161"/>
      <c r="K174" s="465">
        <f>IFERROR(K172/J172,0)</f>
        <v>320.24373333333335</v>
      </c>
      <c r="L174" s="160"/>
      <c r="M174" s="162"/>
      <c r="N174" s="91"/>
      <c r="O174" s="161"/>
      <c r="P174" s="465">
        <f>IFERROR(P172/O172,0)</f>
        <v>410.99406015037596</v>
      </c>
      <c r="Q174" s="160"/>
      <c r="R174" s="161"/>
      <c r="S174" s="92"/>
      <c r="T174" s="82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</row>
    <row r="175" spans="1:40" ht="20.25">
      <c r="A175" t="str">
        <f t="shared" si="46"/>
        <v>ServiceM/O Garantie</v>
      </c>
      <c r="B175" s="11" t="s">
        <v>78</v>
      </c>
      <c r="C175" s="14" t="s">
        <v>83</v>
      </c>
      <c r="D175" s="163">
        <v>0</v>
      </c>
      <c r="E175" s="82">
        <v>37779.627052116484</v>
      </c>
      <c r="F175" s="82">
        <v>27239.111104575983</v>
      </c>
      <c r="G175" s="164"/>
      <c r="H175" s="82"/>
      <c r="I175" s="82"/>
      <c r="J175" s="164">
        <v>160</v>
      </c>
      <c r="K175" s="165">
        <v>24088.77</v>
      </c>
      <c r="L175" s="33">
        <v>17403.34</v>
      </c>
      <c r="M175" s="157">
        <f>(K175-E175)/E175</f>
        <v>-0.36238730025656768</v>
      </c>
      <c r="N175" s="109">
        <f>L175-F175</f>
        <v>-9835.7711045759825</v>
      </c>
      <c r="O175" s="164">
        <v>222</v>
      </c>
      <c r="P175" s="165">
        <v>31684.0999999999</v>
      </c>
      <c r="Q175" s="33">
        <v>23905.569999999901</v>
      </c>
      <c r="R175" s="157">
        <f>IF(O175=0,0,J175/O175)</f>
        <v>0.72072072072072069</v>
      </c>
      <c r="S175" s="85">
        <f>L175-Q175</f>
        <v>-6502.2299999999013</v>
      </c>
      <c r="T175" s="82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</row>
    <row r="176" spans="1:40" ht="20.25">
      <c r="A176" t="str">
        <f t="shared" si="46"/>
        <v>Service% profit / ventes</v>
      </c>
      <c r="B176" s="11" t="s">
        <v>78</v>
      </c>
      <c r="C176" s="29" t="s">
        <v>82</v>
      </c>
      <c r="D176" s="13"/>
      <c r="E176" s="13"/>
      <c r="F176" s="158">
        <f>F175/E175</f>
        <v>0.72099999999999997</v>
      </c>
      <c r="G176" s="41"/>
      <c r="H176" s="13"/>
      <c r="I176" s="158"/>
      <c r="J176" s="41"/>
      <c r="K176" s="13"/>
      <c r="L176" s="158">
        <f>IF(L175=0,0,L175/K175)</f>
        <v>0.72246694206470485</v>
      </c>
      <c r="M176" s="42"/>
      <c r="N176" s="43"/>
      <c r="O176" s="41"/>
      <c r="P176" s="13"/>
      <c r="Q176" s="158">
        <f>Q175/P175</f>
        <v>0.75449736618682484</v>
      </c>
      <c r="R176" s="42"/>
      <c r="S176" s="44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</row>
    <row r="177" spans="1:40" ht="20.25">
      <c r="A177" t="str">
        <f t="shared" si="46"/>
        <v>Service</v>
      </c>
      <c r="B177" s="11" t="s">
        <v>78</v>
      </c>
      <c r="C177" s="86"/>
      <c r="D177" s="111"/>
      <c r="E177" s="111"/>
      <c r="F177" s="160"/>
      <c r="G177" s="23"/>
      <c r="H177" s="111"/>
      <c r="I177" s="160"/>
      <c r="J177" s="23"/>
      <c r="K177" s="166"/>
      <c r="L177" s="160"/>
      <c r="M177" s="167"/>
      <c r="N177" s="168"/>
      <c r="O177" s="23"/>
      <c r="P177" s="166">
        <f>IFERROR(P175/O175,0)</f>
        <v>142.72117117117071</v>
      </c>
      <c r="Q177" s="160"/>
      <c r="R177" s="167"/>
      <c r="S177" s="169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</row>
    <row r="178" spans="1:40" ht="20.25">
      <c r="A178" t="str">
        <f t="shared" si="46"/>
        <v>ServiceM/O Interne</v>
      </c>
      <c r="B178" s="11" t="s">
        <v>78</v>
      </c>
      <c r="C178" s="29" t="s">
        <v>84</v>
      </c>
      <c r="D178" s="13">
        <v>0</v>
      </c>
      <c r="E178" s="82">
        <v>43013.323438856823</v>
      </c>
      <c r="F178" s="82">
        <v>26582.233885213518</v>
      </c>
      <c r="G178" s="41"/>
      <c r="H178" s="82"/>
      <c r="I178" s="82"/>
      <c r="J178" s="60">
        <v>175</v>
      </c>
      <c r="K178" s="165">
        <v>41607.620000000003</v>
      </c>
      <c r="L178" s="33">
        <v>26145.65</v>
      </c>
      <c r="M178" s="157">
        <f>(K178-E178)/E178</f>
        <v>-3.2680651632395245E-2</v>
      </c>
      <c r="N178" s="59">
        <f>L178-F178</f>
        <v>-436.58388521351662</v>
      </c>
      <c r="O178" s="60">
        <v>225</v>
      </c>
      <c r="P178" s="165">
        <v>50774.77</v>
      </c>
      <c r="Q178" s="33">
        <v>34323.589999999997</v>
      </c>
      <c r="R178" s="157">
        <f>IF(O178=0,0,J178/O178)</f>
        <v>0.77777777777777779</v>
      </c>
      <c r="S178" s="85">
        <f>L178-Q178</f>
        <v>-8177.9399999999951</v>
      </c>
      <c r="T178" s="82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</row>
    <row r="179" spans="1:40" ht="20.25">
      <c r="A179" t="str">
        <f t="shared" si="46"/>
        <v>Service% profit / ventes</v>
      </c>
      <c r="B179" s="11" t="s">
        <v>78</v>
      </c>
      <c r="C179" s="29" t="s">
        <v>82</v>
      </c>
      <c r="D179" s="13"/>
      <c r="E179" s="144"/>
      <c r="F179" s="158">
        <f>F178/E178</f>
        <v>0.61799999999999999</v>
      </c>
      <c r="G179" s="41"/>
      <c r="H179" s="144"/>
      <c r="I179" s="158"/>
      <c r="J179" s="60"/>
      <c r="K179" s="144"/>
      <c r="L179" s="158">
        <f>IF(L178=0,0,L178/K178)</f>
        <v>0.62838609850791749</v>
      </c>
      <c r="M179" s="157"/>
      <c r="N179" s="59">
        <f>L179-F179</f>
        <v>1.0386098507917496E-2</v>
      </c>
      <c r="O179" s="60"/>
      <c r="P179" s="144"/>
      <c r="Q179" s="158">
        <f>Q178/P178</f>
        <v>0.67599695675627869</v>
      </c>
      <c r="R179" s="60">
        <f>O179-K179</f>
        <v>0</v>
      </c>
      <c r="S179" s="85"/>
      <c r="T179" s="82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</row>
    <row r="180" spans="1:40" ht="20.25">
      <c r="A180" t="str">
        <f t="shared" si="46"/>
        <v>Service</v>
      </c>
      <c r="B180" s="11" t="s">
        <v>78</v>
      </c>
      <c r="C180" s="29"/>
      <c r="D180" s="13"/>
      <c r="E180" s="170"/>
      <c r="F180" s="171"/>
      <c r="G180" s="41"/>
      <c r="H180" s="170"/>
      <c r="I180" s="160"/>
      <c r="J180" s="60"/>
      <c r="K180" s="455"/>
      <c r="L180" s="158"/>
      <c r="M180" s="157"/>
      <c r="N180" s="59"/>
      <c r="O180" s="60"/>
      <c r="P180" s="455">
        <f>IFERROR(P178/O178,0)</f>
        <v>225.66564444444444</v>
      </c>
      <c r="Q180" s="158"/>
      <c r="R180" s="172"/>
      <c r="S180" s="85"/>
      <c r="T180" s="82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</row>
    <row r="181" spans="1:40" ht="20.25">
      <c r="A181" t="str">
        <f t="shared" si="46"/>
        <v>ServiceM/O Esthétique</v>
      </c>
      <c r="B181" s="11" t="s">
        <v>78</v>
      </c>
      <c r="C181" s="14" t="s">
        <v>85</v>
      </c>
      <c r="D181" s="105">
        <v>0</v>
      </c>
      <c r="E181" s="82">
        <v>7003.4178410123104</v>
      </c>
      <c r="F181" s="82">
        <v>2801.3671364049242</v>
      </c>
      <c r="G181" s="107"/>
      <c r="H181" s="82"/>
      <c r="I181" s="82"/>
      <c r="J181" s="164">
        <v>37</v>
      </c>
      <c r="K181" s="165">
        <v>6482.7</v>
      </c>
      <c r="L181" s="108">
        <v>2179.9499999999998</v>
      </c>
      <c r="M181" s="173">
        <f>IF(E181=0,0,(K181-E181)/E181)</f>
        <v>-7.4351959690733424E-2</v>
      </c>
      <c r="N181" s="109">
        <f>L181-F181</f>
        <v>-621.41713640492435</v>
      </c>
      <c r="O181" s="164">
        <v>49</v>
      </c>
      <c r="P181" s="165">
        <v>7144.84</v>
      </c>
      <c r="Q181" s="108">
        <v>2509.27</v>
      </c>
      <c r="R181" s="157">
        <f>IF(O181=0,0,J181/O181)</f>
        <v>0.75510204081632648</v>
      </c>
      <c r="S181" s="110">
        <f>L181-Q181</f>
        <v>-329.32000000000016</v>
      </c>
      <c r="T181" s="82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</row>
    <row r="182" spans="1:40" ht="20.25">
      <c r="A182" t="str">
        <f t="shared" si="46"/>
        <v>Service% profit / ventes</v>
      </c>
      <c r="B182" s="11" t="s">
        <v>78</v>
      </c>
      <c r="C182" s="29" t="s">
        <v>82</v>
      </c>
      <c r="D182" s="76"/>
      <c r="E182" s="174"/>
      <c r="F182" s="158">
        <f>IFERROR(F181/E181,0)</f>
        <v>0.4</v>
      </c>
      <c r="G182" s="78"/>
      <c r="H182" s="174"/>
      <c r="I182" s="158"/>
      <c r="J182" s="175"/>
      <c r="K182" s="174"/>
      <c r="L182" s="158">
        <f>IF(L181=0,0,L181/K181)</f>
        <v>0.33627192373548059</v>
      </c>
      <c r="M182" s="60">
        <f>J182-D182</f>
        <v>0</v>
      </c>
      <c r="N182" s="176"/>
      <c r="O182" s="175"/>
      <c r="P182" s="174"/>
      <c r="Q182" s="158">
        <f>IFERROR(Q181/P181,0)</f>
        <v>0.35120030679483377</v>
      </c>
      <c r="R182" s="41"/>
      <c r="S182" s="177"/>
      <c r="T182" s="112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</row>
    <row r="183" spans="1:40" ht="20.25">
      <c r="A183" t="str">
        <f t="shared" si="46"/>
        <v>Service</v>
      </c>
      <c r="B183" s="11" t="s">
        <v>78</v>
      </c>
      <c r="C183" s="86"/>
      <c r="D183" s="178"/>
      <c r="E183" s="179"/>
      <c r="F183" s="160"/>
      <c r="G183" s="180"/>
      <c r="H183" s="179"/>
      <c r="I183" s="160"/>
      <c r="J183" s="181"/>
      <c r="K183" s="25"/>
      <c r="L183" s="160"/>
      <c r="M183" s="161"/>
      <c r="N183" s="182"/>
      <c r="O183" s="181"/>
      <c r="P183" s="25">
        <f>IFERROR(P181/O181,0)</f>
        <v>145.81306122448979</v>
      </c>
      <c r="Q183" s="160"/>
      <c r="R183" s="23"/>
      <c r="S183" s="183"/>
      <c r="T183" s="112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</row>
    <row r="184" spans="1:40" ht="21" thickBot="1">
      <c r="A184" t="str">
        <f t="shared" si="46"/>
        <v>ServiceAjustement M/O</v>
      </c>
      <c r="B184" s="11" t="s">
        <v>78</v>
      </c>
      <c r="C184" s="29" t="s">
        <v>86</v>
      </c>
      <c r="D184" s="13"/>
      <c r="E184" s="13"/>
      <c r="F184" s="59">
        <v>-2106.1986476841098</v>
      </c>
      <c r="G184" s="41"/>
      <c r="H184" s="82"/>
      <c r="I184" s="82"/>
      <c r="J184" s="60"/>
      <c r="K184" s="82"/>
      <c r="L184" s="82">
        <v>-2537.21</v>
      </c>
      <c r="M184" s="175"/>
      <c r="N184" s="59">
        <f>L184-F184</f>
        <v>-431.01135231589024</v>
      </c>
      <c r="O184" s="60"/>
      <c r="P184" s="82"/>
      <c r="Q184" s="82">
        <v>-3684.12</v>
      </c>
      <c r="R184" s="184"/>
      <c r="S184" s="85">
        <f>L184-Q184</f>
        <v>1146.9099999999999</v>
      </c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</row>
    <row r="185" spans="1:40" ht="21" thickTop="1">
      <c r="A185" t="str">
        <f t="shared" si="46"/>
        <v>ServiceSous-total M/O</v>
      </c>
      <c r="B185" s="11" t="s">
        <v>78</v>
      </c>
      <c r="C185" s="185" t="s">
        <v>87</v>
      </c>
      <c r="D185" s="186">
        <f>D172+D175+D178+D181+D184</f>
        <v>0</v>
      </c>
      <c r="E185" s="186">
        <f>E172+E175+E178+E181+E184</f>
        <v>141474.39160596114</v>
      </c>
      <c r="F185" s="187">
        <f>F172+F175+F178+F181+F184</f>
        <v>97244.220004594812</v>
      </c>
      <c r="G185" s="188"/>
      <c r="H185" s="186"/>
      <c r="I185" s="187"/>
      <c r="J185" s="188">
        <f>J172+J175+J178+J181+J184</f>
        <v>522</v>
      </c>
      <c r="K185" s="186">
        <f>K172+K175+K178+K181+K184</f>
        <v>120215.65000000001</v>
      </c>
      <c r="L185" s="187">
        <f>L172+L175+L178+L181+L184</f>
        <v>81594.09</v>
      </c>
      <c r="M185" s="189">
        <f>(K185-E185)/E185</f>
        <v>-0.150265651363758</v>
      </c>
      <c r="N185" s="187">
        <f>L185-F185</f>
        <v>-15650.130004594816</v>
      </c>
      <c r="O185" s="188">
        <f t="shared" ref="O185:Q185" si="47">O172+O175+O178+O181+O184</f>
        <v>629</v>
      </c>
      <c r="P185" s="186">
        <f t="shared" si="47"/>
        <v>144265.9199999999</v>
      </c>
      <c r="Q185" s="187">
        <f t="shared" si="47"/>
        <v>100166.14999999991</v>
      </c>
      <c r="R185" s="42">
        <f>IF(O185=0,0,J185/O185)</f>
        <v>0.82988871224165339</v>
      </c>
      <c r="S185" s="190">
        <f>L185-Q185</f>
        <v>-18572.05999999991</v>
      </c>
      <c r="T185" s="112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</row>
    <row r="186" spans="1:40" ht="20.25">
      <c r="A186" t="str">
        <f t="shared" si="46"/>
        <v>Service% protit / ventes</v>
      </c>
      <c r="B186" s="11" t="s">
        <v>78</v>
      </c>
      <c r="C186" s="191" t="s">
        <v>88</v>
      </c>
      <c r="D186" s="192"/>
      <c r="E186" s="192"/>
      <c r="F186" s="193">
        <f>F185/E185</f>
        <v>0.6873627014805791</v>
      </c>
      <c r="G186" s="194"/>
      <c r="H186" s="192"/>
      <c r="I186" s="43"/>
      <c r="J186" s="194"/>
      <c r="K186" s="443">
        <f>IF(J185=0,0,K185/J185)</f>
        <v>230.29818007662837</v>
      </c>
      <c r="L186" s="43">
        <f>IF(L185=0,0,L185/K185)</f>
        <v>0.67873101380727041</v>
      </c>
      <c r="M186" s="194"/>
      <c r="N186" s="193">
        <f>N185/F185</f>
        <v>-0.16093635183515631</v>
      </c>
      <c r="O186" s="194"/>
      <c r="P186" s="443">
        <f>IF(O185=0,0,P185/O185)</f>
        <v>229.35758346581861</v>
      </c>
      <c r="Q186" s="43">
        <f>Q185/P185</f>
        <v>0.6943160935028867</v>
      </c>
      <c r="R186" s="194"/>
      <c r="S186" s="44">
        <f>IF(R185=0,0,S185/R185)</f>
        <v>-22378.976513409856</v>
      </c>
      <c r="T186" s="112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</row>
    <row r="187" spans="1:40" ht="20.25">
      <c r="A187" t="str">
        <f t="shared" si="46"/>
        <v>Service</v>
      </c>
      <c r="B187" s="11" t="s">
        <v>78</v>
      </c>
      <c r="C187" s="35"/>
      <c r="D187" s="195"/>
      <c r="E187" s="196"/>
      <c r="F187" s="197"/>
      <c r="G187" s="198"/>
      <c r="H187" s="196"/>
      <c r="I187" s="197"/>
      <c r="J187" s="198"/>
      <c r="K187" s="196"/>
      <c r="L187" s="197"/>
      <c r="M187" s="198"/>
      <c r="N187" s="197"/>
      <c r="O187" s="198"/>
      <c r="P187" s="196"/>
      <c r="Q187" s="197"/>
      <c r="R187" s="198"/>
      <c r="S187" s="199"/>
      <c r="T187" s="112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</row>
    <row r="188" spans="1:40" ht="20.25">
      <c r="A188" t="str">
        <f t="shared" si="46"/>
        <v>ServiceSous-traitement</v>
      </c>
      <c r="B188" s="11" t="s">
        <v>78</v>
      </c>
      <c r="C188" s="29" t="s">
        <v>89</v>
      </c>
      <c r="D188" s="82"/>
      <c r="E188" s="82">
        <v>3535.0863292151193</v>
      </c>
      <c r="F188" s="82">
        <v>604.49976229578544</v>
      </c>
      <c r="G188" s="60"/>
      <c r="H188" s="82"/>
      <c r="I188" s="82"/>
      <c r="J188" s="60"/>
      <c r="K188" s="30">
        <v>406</v>
      </c>
      <c r="L188" s="33">
        <v>48.5</v>
      </c>
      <c r="M188" s="84">
        <f>IF(E188=0,0,(K188-E188)/E188)</f>
        <v>-0.88515131960295224</v>
      </c>
      <c r="N188" s="59">
        <f>L188-F188</f>
        <v>-555.99976229578544</v>
      </c>
      <c r="O188" s="60"/>
      <c r="P188" s="30">
        <v>4429.55</v>
      </c>
      <c r="Q188" s="33">
        <v>411.68</v>
      </c>
      <c r="R188" s="157">
        <f>IF(O188=0,0,J188/O188)</f>
        <v>0</v>
      </c>
      <c r="S188" s="85">
        <f>L188-Q188</f>
        <v>-363.18</v>
      </c>
      <c r="T188" s="112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</row>
    <row r="189" spans="1:40" ht="20.25">
      <c r="A189" t="str">
        <f t="shared" si="46"/>
        <v>Service% profit / ventes</v>
      </c>
      <c r="B189" s="11" t="s">
        <v>78</v>
      </c>
      <c r="C189" s="29" t="s">
        <v>82</v>
      </c>
      <c r="D189" s="13"/>
      <c r="E189" s="144"/>
      <c r="F189" s="158">
        <f>IFERROR(F188/E188,0)</f>
        <v>0.17100000000000001</v>
      </c>
      <c r="G189" s="41"/>
      <c r="H189" s="144"/>
      <c r="I189" s="158"/>
      <c r="J189" s="175"/>
      <c r="K189" s="174"/>
      <c r="L189" s="158">
        <f>IF(L188=0,0,L188/K188)</f>
        <v>0.11945812807881774</v>
      </c>
      <c r="M189" s="175"/>
      <c r="N189" s="176"/>
      <c r="O189" s="175"/>
      <c r="P189" s="174"/>
      <c r="Q189" s="158">
        <f>IFERROR(Q188/P188,0)</f>
        <v>9.2939463376640968E-2</v>
      </c>
      <c r="R189" s="175"/>
      <c r="S189" s="177"/>
      <c r="T189" s="112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</row>
    <row r="190" spans="1:40" ht="20.25" hidden="1">
      <c r="A190" t="str">
        <f t="shared" si="46"/>
        <v>Service</v>
      </c>
      <c r="B190" s="11" t="s">
        <v>78</v>
      </c>
      <c r="C190" s="29"/>
      <c r="D190" s="13"/>
      <c r="E190" s="144"/>
      <c r="F190" s="158"/>
      <c r="G190" s="41"/>
      <c r="H190" s="144"/>
      <c r="I190" s="158"/>
      <c r="J190" s="175"/>
      <c r="K190" s="174"/>
      <c r="L190" s="158"/>
      <c r="M190" s="175"/>
      <c r="N190" s="176"/>
      <c r="O190" s="175"/>
      <c r="P190" s="174"/>
      <c r="Q190" s="158"/>
      <c r="R190" s="175"/>
      <c r="S190" s="177"/>
      <c r="T190" s="112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</row>
    <row r="191" spans="1:40" ht="20.25" hidden="1">
      <c r="A191" t="str">
        <f t="shared" si="46"/>
        <v>ServiceM.O. Recond. MCPA</v>
      </c>
      <c r="B191" s="11" t="s">
        <v>78</v>
      </c>
      <c r="C191" s="29" t="s">
        <v>90</v>
      </c>
      <c r="D191" s="13"/>
      <c r="E191" s="82">
        <v>0</v>
      </c>
      <c r="F191" s="82">
        <v>0</v>
      </c>
      <c r="G191" s="41"/>
      <c r="H191" s="82"/>
      <c r="I191" s="82"/>
      <c r="J191" s="175"/>
      <c r="K191" s="30">
        <v>0</v>
      </c>
      <c r="L191" s="158"/>
      <c r="M191" s="175"/>
      <c r="N191" s="176"/>
      <c r="O191" s="175"/>
      <c r="P191" s="30">
        <v>0</v>
      </c>
      <c r="Q191" s="158">
        <v>0</v>
      </c>
      <c r="R191" s="175"/>
      <c r="S191" s="177"/>
      <c r="T191" s="112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</row>
    <row r="192" spans="1:40" ht="20.25" hidden="1">
      <c r="A192" t="str">
        <f t="shared" si="46"/>
        <v>Service% profit / ventes</v>
      </c>
      <c r="B192" s="11" t="s">
        <v>78</v>
      </c>
      <c r="C192" s="29" t="s">
        <v>82</v>
      </c>
      <c r="D192" s="13"/>
      <c r="E192" s="144"/>
      <c r="F192" s="158">
        <f>IF(F191=0,0,F191/E191)</f>
        <v>0</v>
      </c>
      <c r="G192" s="41"/>
      <c r="H192" s="144"/>
      <c r="I192" s="158"/>
      <c r="J192" s="175"/>
      <c r="K192" s="174"/>
      <c r="L192" s="158">
        <f>IF(L191=0,0,L191/K191)</f>
        <v>0</v>
      </c>
      <c r="M192" s="175"/>
      <c r="N192" s="176"/>
      <c r="O192" s="175"/>
      <c r="P192" s="174"/>
      <c r="Q192" s="158">
        <f>IF(Q191=0,0,Q191/P191)</f>
        <v>0</v>
      </c>
      <c r="R192" s="175"/>
      <c r="S192" s="177"/>
      <c r="T192" s="112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</row>
    <row r="193" spans="1:40" ht="21" thickBot="1">
      <c r="A193" t="str">
        <f t="shared" si="46"/>
        <v>Service</v>
      </c>
      <c r="B193" s="11" t="s">
        <v>78</v>
      </c>
      <c r="C193" s="200"/>
      <c r="D193" s="201"/>
      <c r="E193" s="202"/>
      <c r="F193" s="203"/>
      <c r="G193" s="204"/>
      <c r="H193" s="202"/>
      <c r="I193" s="203"/>
      <c r="J193" s="204"/>
      <c r="K193" s="202"/>
      <c r="L193" s="203"/>
      <c r="M193" s="204"/>
      <c r="N193" s="203"/>
      <c r="O193" s="204"/>
      <c r="P193" s="202"/>
      <c r="Q193" s="203"/>
      <c r="R193" s="204"/>
      <c r="S193" s="205"/>
      <c r="T193" s="112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</row>
    <row r="194" spans="1:40" ht="21" thickTop="1">
      <c r="A194" t="str">
        <f t="shared" si="46"/>
        <v>ServiceTotal Mécanique</v>
      </c>
      <c r="B194" s="11" t="s">
        <v>78</v>
      </c>
      <c r="C194" s="62" t="s">
        <v>91</v>
      </c>
      <c r="D194" s="63"/>
      <c r="E194" s="63">
        <f>E185+E188+E191</f>
        <v>145009.47793517626</v>
      </c>
      <c r="F194" s="65">
        <f>F185+F188+F191</f>
        <v>97848.719766890601</v>
      </c>
      <c r="G194" s="66"/>
      <c r="H194" s="63"/>
      <c r="I194" s="65"/>
      <c r="J194" s="66"/>
      <c r="K194" s="63">
        <f>K185+K188+K191</f>
        <v>120621.65000000001</v>
      </c>
      <c r="L194" s="65">
        <f>L185+L188+L191</f>
        <v>81642.59</v>
      </c>
      <c r="M194" s="206">
        <f>L195-F195</f>
        <v>2.0739087895785824E-3</v>
      </c>
      <c r="N194" s="65">
        <f>L194-F194</f>
        <v>-16206.129766890605</v>
      </c>
      <c r="O194" s="66"/>
      <c r="P194" s="63">
        <f t="shared" ref="P194:Q194" si="48">P185+P188+P191</f>
        <v>148695.46999999988</v>
      </c>
      <c r="Q194" s="65">
        <f t="shared" si="48"/>
        <v>100577.8299999999</v>
      </c>
      <c r="R194" s="206">
        <f>L195-Q195</f>
        <v>4.4711930847873838E-4</v>
      </c>
      <c r="S194" s="68">
        <f>L194-Q194</f>
        <v>-18935.239999999903</v>
      </c>
      <c r="T194" s="112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</row>
    <row r="195" spans="1:40" ht="21" thickBot="1">
      <c r="A195" t="str">
        <f t="shared" si="46"/>
        <v>Service</v>
      </c>
      <c r="B195" s="11" t="s">
        <v>78</v>
      </c>
      <c r="C195" s="69"/>
      <c r="D195" s="70"/>
      <c r="E195" s="70"/>
      <c r="F195" s="74">
        <f>F194/E194</f>
        <v>0.67477465032066397</v>
      </c>
      <c r="G195" s="72"/>
      <c r="H195" s="70"/>
      <c r="I195" s="74"/>
      <c r="J195" s="72"/>
      <c r="K195" s="70"/>
      <c r="L195" s="74">
        <f>L194/K194</f>
        <v>0.67684855911024255</v>
      </c>
      <c r="M195" s="73"/>
      <c r="N195" s="74">
        <f>N194/F194</f>
        <v>-0.16562434138636861</v>
      </c>
      <c r="O195" s="72"/>
      <c r="P195" s="70"/>
      <c r="Q195" s="74">
        <f>Q194/P194</f>
        <v>0.67640143980176382</v>
      </c>
      <c r="R195" s="73"/>
      <c r="S195" s="75">
        <f>L194/S194</f>
        <v>-4.3116744229278536</v>
      </c>
      <c r="T195" s="76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</row>
    <row r="196" spans="1:40" ht="21" thickTop="1">
      <c r="A196" t="str">
        <f t="shared" si="46"/>
        <v>Service</v>
      </c>
      <c r="B196" s="11" t="s">
        <v>78</v>
      </c>
      <c r="C196" s="53"/>
      <c r="D196" s="76"/>
      <c r="E196" s="76"/>
      <c r="F196" s="43"/>
      <c r="G196" s="78"/>
      <c r="H196" s="76"/>
      <c r="I196" s="43"/>
      <c r="J196" s="78"/>
      <c r="K196" s="76"/>
      <c r="L196" s="466"/>
      <c r="M196" s="42"/>
      <c r="N196" s="43"/>
      <c r="O196" s="78"/>
      <c r="P196" s="76"/>
      <c r="Q196" s="43"/>
      <c r="R196" s="42"/>
      <c r="S196" s="44"/>
      <c r="T196" s="76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</row>
    <row r="197" spans="1:40" ht="20.25">
      <c r="A197" t="str">
        <f t="shared" si="46"/>
        <v>ServiceDEPENSES</v>
      </c>
      <c r="B197" s="11" t="s">
        <v>78</v>
      </c>
      <c r="C197" s="79" t="s">
        <v>29</v>
      </c>
      <c r="D197" s="13"/>
      <c r="E197" s="13"/>
      <c r="F197" s="59"/>
      <c r="G197" s="41"/>
      <c r="H197" s="13"/>
      <c r="I197" s="59"/>
      <c r="J197" s="41"/>
      <c r="K197" s="13"/>
      <c r="L197" s="40"/>
      <c r="M197" s="41"/>
      <c r="N197" s="40"/>
      <c r="O197" s="41"/>
      <c r="P197" s="13"/>
      <c r="Q197" s="40"/>
      <c r="R197" s="41"/>
      <c r="S197" s="61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</row>
    <row r="198" spans="1:40" ht="20.25">
      <c r="A198" t="str">
        <f t="shared" si="46"/>
        <v>ServiceSalaires cadres</v>
      </c>
      <c r="B198" s="11" t="s">
        <v>78</v>
      </c>
      <c r="C198" s="102" t="s">
        <v>40</v>
      </c>
      <c r="D198" s="13"/>
      <c r="E198" s="13"/>
      <c r="F198" s="30">
        <v>9703.5640585241727</v>
      </c>
      <c r="G198" s="41"/>
      <c r="H198" s="13"/>
      <c r="I198" s="30"/>
      <c r="J198" s="41"/>
      <c r="K198" s="13"/>
      <c r="L198" s="33">
        <v>5178.4799999999996</v>
      </c>
      <c r="M198" s="41"/>
      <c r="N198" s="59">
        <f t="shared" ref="N198:N229" si="49">L198-F198</f>
        <v>-4525.0840585241731</v>
      </c>
      <c r="O198" s="41"/>
      <c r="P198" s="13"/>
      <c r="Q198" s="33">
        <v>10425.11</v>
      </c>
      <c r="R198" s="41"/>
      <c r="S198" s="85">
        <f t="shared" ref="S198:S203" si="50">L198-Q198</f>
        <v>-5246.630000000001</v>
      </c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</row>
    <row r="199" spans="1:40" ht="20.25">
      <c r="A199" t="str">
        <f t="shared" si="46"/>
        <v>ServiceSalaires commis</v>
      </c>
      <c r="B199" s="11" t="s">
        <v>78</v>
      </c>
      <c r="C199" s="103" t="s">
        <v>41</v>
      </c>
      <c r="D199" s="81"/>
      <c r="E199" s="13"/>
      <c r="F199" s="22">
        <v>5070.0260814249359</v>
      </c>
      <c r="G199" s="83"/>
      <c r="H199" s="13"/>
      <c r="I199" s="22"/>
      <c r="J199" s="41"/>
      <c r="K199" s="13"/>
      <c r="L199" s="33">
        <v>4973.54</v>
      </c>
      <c r="M199" s="41"/>
      <c r="N199" s="59">
        <f t="shared" si="49"/>
        <v>-96.486081424935946</v>
      </c>
      <c r="O199" s="41"/>
      <c r="P199" s="13"/>
      <c r="Q199" s="33">
        <v>4899.6099999999997</v>
      </c>
      <c r="R199" s="41"/>
      <c r="S199" s="85">
        <f t="shared" si="50"/>
        <v>73.930000000000291</v>
      </c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</row>
    <row r="200" spans="1:40" ht="20.25">
      <c r="A200" t="str">
        <f t="shared" si="46"/>
        <v>ServiceSalaires autres</v>
      </c>
      <c r="B200" s="11" t="s">
        <v>78</v>
      </c>
      <c r="C200" s="102" t="s">
        <v>42</v>
      </c>
      <c r="D200" s="104"/>
      <c r="E200" s="105"/>
      <c r="F200" s="30">
        <v>4472.1755725190842</v>
      </c>
      <c r="G200" s="106"/>
      <c r="H200" s="105"/>
      <c r="I200" s="30"/>
      <c r="J200" s="107"/>
      <c r="K200" s="105"/>
      <c r="L200" s="108">
        <v>1451.93</v>
      </c>
      <c r="M200" s="107"/>
      <c r="N200" s="109">
        <f t="shared" si="49"/>
        <v>-3020.2455725190839</v>
      </c>
      <c r="O200" s="107"/>
      <c r="P200" s="105"/>
      <c r="Q200" s="108">
        <v>2687.23</v>
      </c>
      <c r="R200" s="107"/>
      <c r="S200" s="110">
        <f t="shared" si="50"/>
        <v>-1235.3</v>
      </c>
      <c r="T200" s="13"/>
      <c r="U200" s="13"/>
      <c r="V200" s="13" t="s">
        <v>258</v>
      </c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</row>
    <row r="201" spans="1:40" ht="20.25">
      <c r="A201" t="str">
        <f t="shared" si="46"/>
        <v>ServiceSalaires spécialistes</v>
      </c>
      <c r="B201" s="11" t="s">
        <v>78</v>
      </c>
      <c r="C201" s="102" t="s">
        <v>43</v>
      </c>
      <c r="D201" s="81"/>
      <c r="E201" s="13"/>
      <c r="F201" s="30">
        <v>13563.745330702255</v>
      </c>
      <c r="G201" s="83"/>
      <c r="H201" s="13"/>
      <c r="I201" s="30"/>
      <c r="J201" s="41"/>
      <c r="K201" s="13"/>
      <c r="L201" s="33">
        <v>8653.68</v>
      </c>
      <c r="M201" s="41"/>
      <c r="N201" s="59">
        <f t="shared" si="49"/>
        <v>-4910.0653307022549</v>
      </c>
      <c r="O201" s="41"/>
      <c r="P201" s="13"/>
      <c r="Q201" s="33">
        <v>9697.6200000000008</v>
      </c>
      <c r="R201" s="41"/>
      <c r="S201" s="85">
        <f t="shared" si="50"/>
        <v>-1043.9400000000005</v>
      </c>
      <c r="T201" s="13"/>
      <c r="U201" s="13"/>
      <c r="V201" s="13" t="s">
        <v>259</v>
      </c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</row>
    <row r="202" spans="1:40" ht="20.25" hidden="1">
      <c r="A202" t="str">
        <f t="shared" si="46"/>
        <v>Service[...]</v>
      </c>
      <c r="B202" s="11" t="s">
        <v>78</v>
      </c>
      <c r="C202" s="29" t="s">
        <v>19</v>
      </c>
      <c r="D202" s="81"/>
      <c r="E202" s="13"/>
      <c r="F202" s="30">
        <v>0</v>
      </c>
      <c r="G202" s="83"/>
      <c r="H202" s="13"/>
      <c r="I202" s="30"/>
      <c r="J202" s="41"/>
      <c r="K202" s="13"/>
      <c r="L202" s="33">
        <v>0</v>
      </c>
      <c r="M202" s="41"/>
      <c r="N202" s="59">
        <f t="shared" si="49"/>
        <v>0</v>
      </c>
      <c r="O202" s="41"/>
      <c r="P202" s="13"/>
      <c r="Q202" s="33">
        <v>0</v>
      </c>
      <c r="R202" s="41"/>
      <c r="S202" s="85">
        <f t="shared" si="50"/>
        <v>0</v>
      </c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</row>
    <row r="203" spans="1:40" ht="20.25" hidden="1">
      <c r="A203" t="str">
        <f t="shared" si="46"/>
        <v>Service[...]</v>
      </c>
      <c r="B203" s="11" t="s">
        <v>78</v>
      </c>
      <c r="C203" s="29" t="s">
        <v>19</v>
      </c>
      <c r="D203" s="81"/>
      <c r="E203" s="13"/>
      <c r="F203" s="30">
        <v>0</v>
      </c>
      <c r="G203" s="83"/>
      <c r="H203" s="13"/>
      <c r="I203" s="30"/>
      <c r="J203" s="41"/>
      <c r="K203" s="13"/>
      <c r="L203" s="33">
        <v>0</v>
      </c>
      <c r="M203" s="41"/>
      <c r="N203" s="59">
        <f t="shared" si="49"/>
        <v>0</v>
      </c>
      <c r="O203" s="41"/>
      <c r="P203" s="13"/>
      <c r="Q203" s="33">
        <v>0</v>
      </c>
      <c r="R203" s="41"/>
      <c r="S203" s="85">
        <f t="shared" si="50"/>
        <v>0</v>
      </c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</row>
    <row r="204" spans="1:40" ht="20.25" hidden="1">
      <c r="A204" t="str">
        <f t="shared" si="46"/>
        <v>Service[...]</v>
      </c>
      <c r="B204" s="11" t="s">
        <v>78</v>
      </c>
      <c r="C204" s="29" t="s">
        <v>19</v>
      </c>
      <c r="D204" s="81"/>
      <c r="E204" s="13"/>
      <c r="F204" s="30">
        <v>0</v>
      </c>
      <c r="G204" s="83"/>
      <c r="H204" s="13"/>
      <c r="I204" s="30"/>
      <c r="J204" s="41"/>
      <c r="K204" s="13"/>
      <c r="L204" s="33">
        <v>0</v>
      </c>
      <c r="M204" s="41"/>
      <c r="N204" s="59">
        <f t="shared" si="49"/>
        <v>0</v>
      </c>
      <c r="O204" s="41"/>
      <c r="P204" s="13"/>
      <c r="Q204" s="33">
        <v>0</v>
      </c>
      <c r="R204" s="41"/>
      <c r="S204" s="85">
        <f>L204-Q204</f>
        <v>0</v>
      </c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</row>
    <row r="205" spans="1:40" ht="20.25">
      <c r="A205" t="str">
        <f t="shared" si="46"/>
        <v>ServiceSalaires en absences</v>
      </c>
      <c r="B205" s="11" t="s">
        <v>78</v>
      </c>
      <c r="C205" s="103" t="s">
        <v>44</v>
      </c>
      <c r="D205" s="81"/>
      <c r="E205" s="13"/>
      <c r="F205" s="30">
        <v>7296.570819625048</v>
      </c>
      <c r="G205" s="83"/>
      <c r="H205" s="13"/>
      <c r="I205" s="30"/>
      <c r="J205" s="41"/>
      <c r="K205" s="13"/>
      <c r="L205" s="33">
        <v>5424.09</v>
      </c>
      <c r="M205" s="41"/>
      <c r="N205" s="59">
        <f t="shared" si="49"/>
        <v>-1872.4808196250478</v>
      </c>
      <c r="O205" s="41"/>
      <c r="P205" s="13"/>
      <c r="Q205" s="33">
        <v>5422.8</v>
      </c>
      <c r="R205" s="41"/>
      <c r="S205" s="85">
        <f>L205-Q205</f>
        <v>1.2899999999999636</v>
      </c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</row>
    <row r="206" spans="1:40" ht="20.25">
      <c r="A206" t="str">
        <f t="shared" si="46"/>
        <v>ServiceDéduction à la source</v>
      </c>
      <c r="B206" s="11" t="s">
        <v>78</v>
      </c>
      <c r="C206" s="102" t="s">
        <v>45</v>
      </c>
      <c r="D206" s="104"/>
      <c r="E206" s="105"/>
      <c r="F206" s="55">
        <v>10350.859051103162</v>
      </c>
      <c r="G206" s="106"/>
      <c r="H206" s="105"/>
      <c r="I206" s="55"/>
      <c r="J206" s="107"/>
      <c r="K206" s="105"/>
      <c r="L206" s="108">
        <v>9537.57</v>
      </c>
      <c r="M206" s="107"/>
      <c r="N206" s="109">
        <f t="shared" si="49"/>
        <v>-813.28905110316191</v>
      </c>
      <c r="O206" s="107"/>
      <c r="P206" s="105"/>
      <c r="Q206" s="108">
        <v>10855.2</v>
      </c>
      <c r="R206" s="107"/>
      <c r="S206" s="110">
        <f t="shared" ref="S206:S216" si="51">L206-Q206</f>
        <v>-1317.630000000001</v>
      </c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</row>
    <row r="207" spans="1:40" ht="20.25">
      <c r="A207" t="str">
        <f t="shared" si="46"/>
        <v>ServiceBénéfices marginaux</v>
      </c>
      <c r="B207" s="11" t="s">
        <v>78</v>
      </c>
      <c r="C207" s="102" t="s">
        <v>46</v>
      </c>
      <c r="D207" s="81"/>
      <c r="E207" s="13"/>
      <c r="F207" s="30">
        <v>4789.2034415551934</v>
      </c>
      <c r="G207" s="83"/>
      <c r="H207" s="13"/>
      <c r="I207" s="30"/>
      <c r="J207" s="41"/>
      <c r="K207" s="13"/>
      <c r="L207" s="33">
        <v>4254.6899999999996</v>
      </c>
      <c r="M207" s="41"/>
      <c r="N207" s="59">
        <f t="shared" si="49"/>
        <v>-534.51344155519382</v>
      </c>
      <c r="O207" s="41"/>
      <c r="P207" s="13"/>
      <c r="Q207" s="33">
        <v>5117.4399999999996</v>
      </c>
      <c r="R207" s="41"/>
      <c r="S207" s="85">
        <f t="shared" si="51"/>
        <v>-862.75</v>
      </c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</row>
    <row r="208" spans="1:40" ht="20.25">
      <c r="A208" t="str">
        <f t="shared" si="46"/>
        <v>ServiceCsst</v>
      </c>
      <c r="B208" s="11" t="s">
        <v>78</v>
      </c>
      <c r="C208" s="102" t="s">
        <v>47</v>
      </c>
      <c r="D208" s="81"/>
      <c r="E208" s="13"/>
      <c r="F208" s="30">
        <v>1081.4330351898825</v>
      </c>
      <c r="G208" s="83"/>
      <c r="H208" s="13"/>
      <c r="I208" s="30"/>
      <c r="J208" s="41"/>
      <c r="K208" s="13"/>
      <c r="L208" s="33">
        <v>1117.82</v>
      </c>
      <c r="M208" s="467"/>
      <c r="N208" s="146">
        <f t="shared" si="49"/>
        <v>36.386964810117433</v>
      </c>
      <c r="O208" s="467"/>
      <c r="P208" s="468"/>
      <c r="Q208" s="22">
        <v>1173.95</v>
      </c>
      <c r="R208" s="467"/>
      <c r="S208" s="469">
        <f t="shared" si="51"/>
        <v>-56.130000000000109</v>
      </c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</row>
    <row r="209" spans="1:40" ht="20.25" hidden="1">
      <c r="A209" t="str">
        <f t="shared" si="46"/>
        <v>Service[...]</v>
      </c>
      <c r="B209" s="11" t="s">
        <v>78</v>
      </c>
      <c r="C209" s="29" t="s">
        <v>19</v>
      </c>
      <c r="D209" s="87"/>
      <c r="E209" s="111"/>
      <c r="F209" s="30">
        <v>0</v>
      </c>
      <c r="G209" s="89"/>
      <c r="H209" s="111"/>
      <c r="I209" s="30"/>
      <c r="J209" s="23"/>
      <c r="K209" s="111"/>
      <c r="L209" s="33">
        <v>0</v>
      </c>
      <c r="M209" s="23"/>
      <c r="N209" s="91">
        <f t="shared" si="49"/>
        <v>0</v>
      </c>
      <c r="O209" s="23"/>
      <c r="P209" s="111"/>
      <c r="Q209" s="33">
        <v>0</v>
      </c>
      <c r="R209" s="23"/>
      <c r="S209" s="92">
        <f t="shared" si="51"/>
        <v>0</v>
      </c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</row>
    <row r="210" spans="1:40" ht="20.25">
      <c r="A210" t="str">
        <f t="shared" si="46"/>
        <v>ServiceTOTAL PERSONNEL</v>
      </c>
      <c r="B210" s="11" t="s">
        <v>78</v>
      </c>
      <c r="C210" s="93" t="s">
        <v>48</v>
      </c>
      <c r="D210" s="94" t="s">
        <v>92</v>
      </c>
      <c r="E210" s="95">
        <f>F210/F$194</f>
        <v>0.57565983004003995</v>
      </c>
      <c r="F210" s="96">
        <f>+SUM(F198:F209)</f>
        <v>56327.577390643739</v>
      </c>
      <c r="G210" s="97"/>
      <c r="H210" s="95"/>
      <c r="I210" s="96"/>
      <c r="J210" s="97" t="s">
        <v>92</v>
      </c>
      <c r="K210" s="95">
        <f>L210/L$194</f>
        <v>0.49718902842254276</v>
      </c>
      <c r="L210" s="96">
        <f>+SUM(L198:L209)</f>
        <v>40591.800000000003</v>
      </c>
      <c r="M210" s="147"/>
      <c r="N210" s="113">
        <f t="shared" si="49"/>
        <v>-15735.777390643736</v>
      </c>
      <c r="O210" s="97" t="s">
        <v>92</v>
      </c>
      <c r="P210" s="95">
        <f>Q210/Q$194</f>
        <v>0.49990102192501129</v>
      </c>
      <c r="Q210" s="96">
        <f>+SUM(Q198:Q209)</f>
        <v>50278.960000000006</v>
      </c>
      <c r="R210" s="147"/>
      <c r="S210" s="114">
        <f t="shared" si="51"/>
        <v>-9687.1600000000035</v>
      </c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</row>
    <row r="211" spans="1:40" ht="20.25">
      <c r="A211" t="str">
        <f t="shared" si="46"/>
        <v>ServicePublicité 2</v>
      </c>
      <c r="B211" s="11" t="s">
        <v>78</v>
      </c>
      <c r="C211" s="29" t="s">
        <v>49</v>
      </c>
      <c r="D211" s="81"/>
      <c r="E211" s="13"/>
      <c r="F211" s="30">
        <v>4203.5611792212958</v>
      </c>
      <c r="G211" s="83"/>
      <c r="H211" s="13"/>
      <c r="I211" s="30"/>
      <c r="J211" s="41"/>
      <c r="K211" s="13"/>
      <c r="L211" s="33">
        <v>4115.96</v>
      </c>
      <c r="M211" s="41"/>
      <c r="N211" s="59">
        <f t="shared" si="49"/>
        <v>-87.601179221295752</v>
      </c>
      <c r="O211" s="41"/>
      <c r="P211" s="13"/>
      <c r="Q211" s="33">
        <v>5588.75</v>
      </c>
      <c r="R211" s="41"/>
      <c r="S211" s="85">
        <f t="shared" si="51"/>
        <v>-1472.79</v>
      </c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</row>
    <row r="212" spans="1:40" ht="20.25">
      <c r="A212" t="str">
        <f t="shared" si="46"/>
        <v>ServiceService gratuit 2</v>
      </c>
      <c r="B212" s="11" t="s">
        <v>78</v>
      </c>
      <c r="C212" s="29" t="s">
        <v>50</v>
      </c>
      <c r="D212" s="81"/>
      <c r="E212" s="13"/>
      <c r="F212" s="30">
        <v>3700</v>
      </c>
      <c r="G212" s="83"/>
      <c r="H212" s="13"/>
      <c r="I212" s="30"/>
      <c r="J212" s="41"/>
      <c r="K212" s="13"/>
      <c r="L212" s="33">
        <v>1800.15</v>
      </c>
      <c r="M212" s="41"/>
      <c r="N212" s="59">
        <f t="shared" si="49"/>
        <v>-1899.85</v>
      </c>
      <c r="O212" s="41"/>
      <c r="P212" s="13"/>
      <c r="Q212" s="33">
        <v>6332.44</v>
      </c>
      <c r="R212" s="41"/>
      <c r="S212" s="85">
        <f t="shared" si="51"/>
        <v>-4532.2899999999991</v>
      </c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</row>
    <row r="213" spans="1:40" ht="20.25">
      <c r="A213" t="str">
        <f t="shared" si="46"/>
        <v>ServiceFrais véhicules de cie</v>
      </c>
      <c r="B213" s="11" t="s">
        <v>78</v>
      </c>
      <c r="C213" s="86" t="s">
        <v>51</v>
      </c>
      <c r="D213" s="87"/>
      <c r="E213" s="111"/>
      <c r="F213" s="22">
        <v>4822.7083333333339</v>
      </c>
      <c r="G213" s="89"/>
      <c r="H213" s="111"/>
      <c r="I213" s="22"/>
      <c r="J213" s="23"/>
      <c r="K213" s="111"/>
      <c r="L213" s="33">
        <v>5294.89</v>
      </c>
      <c r="M213" s="23"/>
      <c r="N213" s="91">
        <f t="shared" si="49"/>
        <v>472.18166666666639</v>
      </c>
      <c r="O213" s="23"/>
      <c r="P213" s="111"/>
      <c r="Q213" s="33">
        <v>4520.8499999999904</v>
      </c>
      <c r="R213" s="23"/>
      <c r="S213" s="92">
        <f t="shared" si="51"/>
        <v>774.04000000000997</v>
      </c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</row>
    <row r="214" spans="1:40" ht="20.25">
      <c r="A214" t="str">
        <f t="shared" si="46"/>
        <v>ServiceInformatique</v>
      </c>
      <c r="B214" s="11" t="s">
        <v>78</v>
      </c>
      <c r="C214" s="29" t="s">
        <v>52</v>
      </c>
      <c r="D214" s="81"/>
      <c r="E214" s="13"/>
      <c r="F214" s="30">
        <v>5527.0249999999996</v>
      </c>
      <c r="G214" s="83"/>
      <c r="H214" s="13"/>
      <c r="I214" s="30"/>
      <c r="J214" s="41"/>
      <c r="K214" s="13"/>
      <c r="L214" s="108">
        <v>6311.06</v>
      </c>
      <c r="M214" s="41"/>
      <c r="N214" s="59">
        <f t="shared" si="49"/>
        <v>784.03500000000076</v>
      </c>
      <c r="O214" s="41"/>
      <c r="P214" s="13"/>
      <c r="Q214" s="108">
        <v>7405.76</v>
      </c>
      <c r="R214" s="41"/>
      <c r="S214" s="85">
        <f t="shared" si="51"/>
        <v>-1094.6999999999998</v>
      </c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</row>
    <row r="215" spans="1:40" ht="20.25">
      <c r="A215" t="str">
        <f t="shared" si="46"/>
        <v>ServiceFrais de déplacement</v>
      </c>
      <c r="B215" s="11" t="s">
        <v>78</v>
      </c>
      <c r="C215" s="29" t="s">
        <v>53</v>
      </c>
      <c r="D215" s="81"/>
      <c r="E215" s="13"/>
      <c r="F215" s="30">
        <v>411.3</v>
      </c>
      <c r="G215" s="83"/>
      <c r="H215" s="13"/>
      <c r="I215" s="30"/>
      <c r="J215" s="41"/>
      <c r="K215" s="13"/>
      <c r="L215" s="33">
        <v>362.84</v>
      </c>
      <c r="M215" s="41"/>
      <c r="N215" s="59">
        <f t="shared" si="49"/>
        <v>-48.460000000000036</v>
      </c>
      <c r="O215" s="41"/>
      <c r="P215" s="13"/>
      <c r="Q215" s="33">
        <v>1176.1099999999999</v>
      </c>
      <c r="R215" s="41"/>
      <c r="S215" s="85">
        <f t="shared" si="51"/>
        <v>-813.27</v>
      </c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</row>
    <row r="216" spans="1:40" ht="20.25">
      <c r="A216" t="str">
        <f t="shared" si="46"/>
        <v>ServiceServices extérieurs</v>
      </c>
      <c r="B216" s="11" t="s">
        <v>78</v>
      </c>
      <c r="C216" s="86" t="s">
        <v>54</v>
      </c>
      <c r="D216" s="87"/>
      <c r="E216" s="111"/>
      <c r="F216" s="22">
        <v>5452.2250000000004</v>
      </c>
      <c r="G216" s="89"/>
      <c r="H216" s="111"/>
      <c r="I216" s="22"/>
      <c r="J216" s="23"/>
      <c r="K216" s="111"/>
      <c r="L216" s="33">
        <v>4969.43</v>
      </c>
      <c r="M216" s="23"/>
      <c r="N216" s="91">
        <f t="shared" si="49"/>
        <v>-482.79500000000007</v>
      </c>
      <c r="O216" s="23"/>
      <c r="P216" s="111"/>
      <c r="Q216" s="33">
        <v>5169.2700000000004</v>
      </c>
      <c r="R216" s="23"/>
      <c r="S216" s="92">
        <f t="shared" si="51"/>
        <v>-199.84000000000015</v>
      </c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</row>
    <row r="217" spans="1:40" ht="20.25">
      <c r="A217" t="str">
        <f>+B217&amp;C217</f>
        <v>ServiceFournitures d'atelier</v>
      </c>
      <c r="B217" s="11" t="s">
        <v>78</v>
      </c>
      <c r="C217" s="29" t="s">
        <v>93</v>
      </c>
      <c r="D217" s="81"/>
      <c r="E217" s="13"/>
      <c r="F217" s="30"/>
      <c r="G217" s="83"/>
      <c r="H217" s="13"/>
      <c r="I217" s="30"/>
      <c r="J217" s="41"/>
      <c r="K217" s="13"/>
      <c r="L217" s="108">
        <v>0</v>
      </c>
      <c r="M217" s="41"/>
      <c r="N217" s="59">
        <f t="shared" si="49"/>
        <v>0</v>
      </c>
      <c r="O217" s="41"/>
      <c r="P217" s="13"/>
      <c r="Q217" s="108">
        <v>0</v>
      </c>
      <c r="R217" s="41"/>
      <c r="S217" s="85">
        <f>L217-Q217</f>
        <v>0</v>
      </c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</row>
    <row r="218" spans="1:40" ht="20.25">
      <c r="A218" t="str">
        <f t="shared" ref="A218:A226" si="52">+B218&amp;C218</f>
        <v>ServiceFournitures autres</v>
      </c>
      <c r="B218" s="11" t="s">
        <v>78</v>
      </c>
      <c r="C218" s="29" t="s">
        <v>55</v>
      </c>
      <c r="D218" s="81"/>
      <c r="E218" s="13"/>
      <c r="F218" s="30">
        <v>1231.3253012048192</v>
      </c>
      <c r="G218" s="83"/>
      <c r="H218" s="13"/>
      <c r="I218" s="30"/>
      <c r="J218" s="41"/>
      <c r="K218" s="13"/>
      <c r="L218" s="33">
        <v>1503.46</v>
      </c>
      <c r="M218" s="41"/>
      <c r="N218" s="59">
        <f t="shared" si="49"/>
        <v>272.13469879518084</v>
      </c>
      <c r="O218" s="41"/>
      <c r="P218" s="13"/>
      <c r="Q218" s="33">
        <v>1901.94</v>
      </c>
      <c r="R218" s="41"/>
      <c r="S218" s="85">
        <f t="shared" ref="S218:S226" si="53">L218-Q218</f>
        <v>-398.48</v>
      </c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</row>
    <row r="219" spans="1:40" ht="20.25">
      <c r="A219" t="str">
        <f t="shared" si="52"/>
        <v>ServiceUniformes</v>
      </c>
      <c r="B219" s="11" t="s">
        <v>78</v>
      </c>
      <c r="C219" s="29" t="s">
        <v>56</v>
      </c>
      <c r="D219" s="81"/>
      <c r="E219" s="13"/>
      <c r="F219" s="30">
        <v>950</v>
      </c>
      <c r="G219" s="83"/>
      <c r="H219" s="13"/>
      <c r="I219" s="30"/>
      <c r="J219" s="41"/>
      <c r="K219" s="13"/>
      <c r="L219" s="33">
        <v>1583.58</v>
      </c>
      <c r="M219" s="41"/>
      <c r="N219" s="59">
        <f t="shared" si="49"/>
        <v>633.57999999999993</v>
      </c>
      <c r="O219" s="41"/>
      <c r="P219" s="13"/>
      <c r="Q219" s="33">
        <v>900.09</v>
      </c>
      <c r="R219" s="41"/>
      <c r="S219" s="85">
        <f t="shared" si="53"/>
        <v>683.4899999999999</v>
      </c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</row>
    <row r="220" spans="1:40" ht="20.25">
      <c r="A220" t="str">
        <f t="shared" si="52"/>
        <v>ServicePapeterie</v>
      </c>
      <c r="B220" s="11" t="s">
        <v>78</v>
      </c>
      <c r="C220" s="29" t="s">
        <v>57</v>
      </c>
      <c r="D220" s="81"/>
      <c r="E220" s="13"/>
      <c r="F220" s="30">
        <v>393.75</v>
      </c>
      <c r="G220" s="83"/>
      <c r="H220" s="13"/>
      <c r="I220" s="30"/>
      <c r="J220" s="41"/>
      <c r="K220" s="13"/>
      <c r="L220" s="32">
        <v>442.41</v>
      </c>
      <c r="M220" s="41"/>
      <c r="N220" s="59">
        <f t="shared" si="49"/>
        <v>48.660000000000025</v>
      </c>
      <c r="O220" s="41"/>
      <c r="P220" s="13"/>
      <c r="Q220" s="32">
        <v>368.22</v>
      </c>
      <c r="R220" s="41"/>
      <c r="S220" s="85">
        <f t="shared" si="53"/>
        <v>74.19</v>
      </c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</row>
    <row r="221" spans="1:40" ht="20.25">
      <c r="A221" t="str">
        <f t="shared" si="52"/>
        <v>ServiceTéléphone</v>
      </c>
      <c r="B221" s="11" t="s">
        <v>78</v>
      </c>
      <c r="C221" s="29" t="s">
        <v>58</v>
      </c>
      <c r="D221" s="81"/>
      <c r="E221" s="13"/>
      <c r="F221" s="30">
        <v>111.2</v>
      </c>
      <c r="G221" s="83"/>
      <c r="H221" s="13"/>
      <c r="I221" s="30"/>
      <c r="J221" s="41"/>
      <c r="K221" s="13"/>
      <c r="L221" s="33">
        <v>61.37</v>
      </c>
      <c r="M221" s="41"/>
      <c r="N221" s="59">
        <f t="shared" si="49"/>
        <v>-49.830000000000005</v>
      </c>
      <c r="O221" s="41"/>
      <c r="P221" s="13"/>
      <c r="Q221" s="33">
        <v>133.1</v>
      </c>
      <c r="R221" s="41"/>
      <c r="S221" s="85">
        <f t="shared" si="53"/>
        <v>-71.72999999999999</v>
      </c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</row>
    <row r="222" spans="1:40" ht="20.25">
      <c r="A222" t="str">
        <f t="shared" si="52"/>
        <v>ServiceFrais postaux</v>
      </c>
      <c r="B222" s="11" t="s">
        <v>78</v>
      </c>
      <c r="C222" s="29" t="s">
        <v>59</v>
      </c>
      <c r="D222" s="81"/>
      <c r="E222" s="13"/>
      <c r="F222" s="30">
        <v>112.5</v>
      </c>
      <c r="G222" s="83"/>
      <c r="H222" s="13"/>
      <c r="I222" s="30"/>
      <c r="J222" s="41"/>
      <c r="K222" s="13"/>
      <c r="L222" s="33">
        <v>51.17</v>
      </c>
      <c r="M222" s="41"/>
      <c r="N222" s="59">
        <f t="shared" si="49"/>
        <v>-61.33</v>
      </c>
      <c r="O222" s="41"/>
      <c r="P222" s="13"/>
      <c r="Q222" s="33">
        <v>183.97</v>
      </c>
      <c r="R222" s="41"/>
      <c r="S222" s="85">
        <f t="shared" si="53"/>
        <v>-132.80000000000001</v>
      </c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</row>
    <row r="223" spans="1:40" ht="20.25">
      <c r="A223" t="str">
        <f t="shared" si="52"/>
        <v>ServiceDivers</v>
      </c>
      <c r="B223" s="11" t="s">
        <v>78</v>
      </c>
      <c r="C223" s="29" t="s">
        <v>60</v>
      </c>
      <c r="D223" s="81"/>
      <c r="E223" s="13"/>
      <c r="F223" s="30">
        <v>418.05</v>
      </c>
      <c r="G223" s="83"/>
      <c r="H223" s="13"/>
      <c r="I223" s="30"/>
      <c r="J223" s="41"/>
      <c r="K223" s="13"/>
      <c r="L223" s="33">
        <v>416.49</v>
      </c>
      <c r="M223" s="41"/>
      <c r="N223" s="59">
        <f t="shared" si="49"/>
        <v>-1.5600000000000023</v>
      </c>
      <c r="O223" s="41"/>
      <c r="P223" s="13"/>
      <c r="Q223" s="33">
        <v>518.98</v>
      </c>
      <c r="R223" s="41"/>
      <c r="S223" s="85">
        <f t="shared" si="53"/>
        <v>-102.49000000000001</v>
      </c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</row>
    <row r="224" spans="1:40" ht="20.25">
      <c r="A224" t="str">
        <f t="shared" si="52"/>
        <v>ServiceFormation</v>
      </c>
      <c r="B224" s="11" t="s">
        <v>78</v>
      </c>
      <c r="C224" s="29" t="s">
        <v>61</v>
      </c>
      <c r="D224" s="81"/>
      <c r="E224" s="13"/>
      <c r="F224" s="30">
        <v>1728.5819066666668</v>
      </c>
      <c r="G224" s="83"/>
      <c r="H224" s="13"/>
      <c r="I224" s="30"/>
      <c r="J224" s="41"/>
      <c r="K224" s="13"/>
      <c r="L224" s="33">
        <v>487.49</v>
      </c>
      <c r="M224" s="41"/>
      <c r="N224" s="59">
        <f t="shared" si="49"/>
        <v>-1241.0919066666668</v>
      </c>
      <c r="O224" s="41"/>
      <c r="P224" s="13"/>
      <c r="Q224" s="33">
        <v>1882.4</v>
      </c>
      <c r="R224" s="41"/>
      <c r="S224" s="85">
        <f t="shared" si="53"/>
        <v>-1394.91</v>
      </c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</row>
    <row r="225" spans="1:40" ht="20.25">
      <c r="A225" t="str">
        <f t="shared" si="52"/>
        <v>ServiceFrais bancaires</v>
      </c>
      <c r="B225" s="11" t="s">
        <v>78</v>
      </c>
      <c r="C225" s="29" t="s">
        <v>62</v>
      </c>
      <c r="D225" s="81"/>
      <c r="E225" s="13"/>
      <c r="F225" s="30">
        <v>1391.7231946530299</v>
      </c>
      <c r="G225" s="83"/>
      <c r="H225" s="13"/>
      <c r="I225" s="30"/>
      <c r="J225" s="41"/>
      <c r="K225" s="13"/>
      <c r="L225" s="33">
        <v>998.88</v>
      </c>
      <c r="M225" s="41"/>
      <c r="N225" s="59">
        <f t="shared" si="49"/>
        <v>-392.84319465302985</v>
      </c>
      <c r="O225" s="41"/>
      <c r="P225" s="13"/>
      <c r="Q225" s="33">
        <v>1314.9</v>
      </c>
      <c r="R225" s="41"/>
      <c r="S225" s="85">
        <f t="shared" si="53"/>
        <v>-316.0200000000001</v>
      </c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</row>
    <row r="226" spans="1:40" ht="20.25" hidden="1">
      <c r="A226" t="str">
        <f t="shared" si="52"/>
        <v>Service[...]</v>
      </c>
      <c r="B226" s="11" t="s">
        <v>78</v>
      </c>
      <c r="C226" s="29" t="s">
        <v>19</v>
      </c>
      <c r="D226" s="81"/>
      <c r="E226" s="13"/>
      <c r="F226" s="30">
        <v>0</v>
      </c>
      <c r="G226" s="83"/>
      <c r="H226" s="13"/>
      <c r="I226" s="30"/>
      <c r="J226" s="41"/>
      <c r="K226" s="13"/>
      <c r="L226" s="33">
        <v>0</v>
      </c>
      <c r="M226" s="41"/>
      <c r="N226" s="59">
        <f t="shared" si="49"/>
        <v>0</v>
      </c>
      <c r="O226" s="41"/>
      <c r="P226" s="13"/>
      <c r="Q226" s="33">
        <v>0</v>
      </c>
      <c r="R226" s="41"/>
      <c r="S226" s="85">
        <f t="shared" si="53"/>
        <v>0</v>
      </c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</row>
    <row r="227" spans="1:40" ht="20.25" hidden="1">
      <c r="A227" t="str">
        <f>+B227&amp;C227</f>
        <v>Service[...]</v>
      </c>
      <c r="B227" s="11" t="s">
        <v>78</v>
      </c>
      <c r="C227" s="29" t="s">
        <v>19</v>
      </c>
      <c r="D227" s="81"/>
      <c r="E227" s="13"/>
      <c r="F227" s="30">
        <v>0</v>
      </c>
      <c r="G227" s="83"/>
      <c r="H227" s="13"/>
      <c r="I227" s="30"/>
      <c r="J227" s="41"/>
      <c r="K227" s="13"/>
      <c r="L227" s="33">
        <v>0</v>
      </c>
      <c r="M227" s="41"/>
      <c r="N227" s="59">
        <f t="shared" si="49"/>
        <v>0</v>
      </c>
      <c r="O227" s="41"/>
      <c r="P227" s="13"/>
      <c r="Q227" s="33">
        <v>0</v>
      </c>
      <c r="R227" s="41"/>
      <c r="S227" s="85">
        <f>L227-Q227</f>
        <v>0</v>
      </c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</row>
    <row r="228" spans="1:40" ht="20.25" hidden="1">
      <c r="A228" t="str">
        <f t="shared" ref="A228" si="54">+B228&amp;C228</f>
        <v>Service[...]</v>
      </c>
      <c r="B228" s="11" t="s">
        <v>78</v>
      </c>
      <c r="C228" s="29" t="s">
        <v>19</v>
      </c>
      <c r="D228" s="81"/>
      <c r="E228" s="13"/>
      <c r="F228" s="30">
        <v>0</v>
      </c>
      <c r="G228" s="83"/>
      <c r="H228" s="13"/>
      <c r="I228" s="30"/>
      <c r="J228" s="41"/>
      <c r="K228" s="13"/>
      <c r="L228" s="33">
        <v>0</v>
      </c>
      <c r="M228" s="41"/>
      <c r="N228" s="59">
        <f t="shared" si="49"/>
        <v>0</v>
      </c>
      <c r="O228" s="41"/>
      <c r="P228" s="13"/>
      <c r="Q228" s="33">
        <v>0</v>
      </c>
      <c r="R228" s="41"/>
      <c r="S228" s="85">
        <f t="shared" ref="S228" si="55">L228-Q228</f>
        <v>0</v>
      </c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</row>
    <row r="229" spans="1:40" ht="20.25">
      <c r="B229" s="11"/>
      <c r="C229" s="93" t="s">
        <v>63</v>
      </c>
      <c r="D229" s="94" t="s">
        <v>92</v>
      </c>
      <c r="E229" s="95">
        <f>F229/F$194</f>
        <v>0.31123503697984972</v>
      </c>
      <c r="F229" s="96">
        <f>+SUM(F211:F228)</f>
        <v>30453.949915079149</v>
      </c>
      <c r="G229" s="97"/>
      <c r="H229" s="95"/>
      <c r="I229" s="96"/>
      <c r="J229" s="97" t="s">
        <v>92</v>
      </c>
      <c r="K229" s="95">
        <f>L229/L$194</f>
        <v>0.34784761237976408</v>
      </c>
      <c r="L229" s="96">
        <f>+SUM(L211:L228)</f>
        <v>28399.180000000004</v>
      </c>
      <c r="M229" s="100"/>
      <c r="N229" s="96">
        <f t="shared" si="49"/>
        <v>-2054.769915079145</v>
      </c>
      <c r="O229" s="97" t="s">
        <v>92</v>
      </c>
      <c r="P229" s="95">
        <f>Q229/Q$194</f>
        <v>0.37181931644379312</v>
      </c>
      <c r="Q229" s="96">
        <f>+SUM(Q211:Q228)</f>
        <v>37396.779999999992</v>
      </c>
      <c r="R229" s="100"/>
      <c r="S229" s="101">
        <f>L229-Q229</f>
        <v>-8997.5999999999876</v>
      </c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</row>
    <row r="230" spans="1:40" ht="20.25">
      <c r="B230" s="11"/>
      <c r="C230" s="86"/>
      <c r="D230" s="87"/>
      <c r="E230" s="111"/>
      <c r="F230" s="59"/>
      <c r="G230" s="89"/>
      <c r="H230" s="111"/>
      <c r="I230" s="59"/>
      <c r="J230" s="23"/>
      <c r="K230" s="111"/>
      <c r="L230" s="91"/>
      <c r="M230" s="23"/>
      <c r="N230" s="91"/>
      <c r="O230" s="23"/>
      <c r="P230" s="111"/>
      <c r="Q230" s="91"/>
      <c r="R230" s="23"/>
      <c r="S230" s="92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</row>
    <row r="231" spans="1:40" ht="20.25">
      <c r="B231" s="11"/>
      <c r="C231" s="93" t="s">
        <v>64</v>
      </c>
      <c r="D231" s="94" t="s">
        <v>38</v>
      </c>
      <c r="E231" s="95">
        <f>F231/F$194</f>
        <v>0.88689486701988973</v>
      </c>
      <c r="F231" s="96">
        <f>F210+F229</f>
        <v>86781.527305722891</v>
      </c>
      <c r="G231" s="97"/>
      <c r="H231" s="95"/>
      <c r="I231" s="96"/>
      <c r="J231" s="97" t="s">
        <v>38</v>
      </c>
      <c r="K231" s="95">
        <f>L231/L$194</f>
        <v>0.84503664080230689</v>
      </c>
      <c r="L231" s="96">
        <f>L210+L229</f>
        <v>68990.98000000001</v>
      </c>
      <c r="M231" s="100"/>
      <c r="N231" s="113">
        <f>L231-F231</f>
        <v>-17790.547305722881</v>
      </c>
      <c r="O231" s="97" t="s">
        <v>38</v>
      </c>
      <c r="P231" s="95">
        <f>Q231/Q$194</f>
        <v>0.87172033836880436</v>
      </c>
      <c r="Q231" s="96">
        <f>Q210+Q229</f>
        <v>87675.739999999991</v>
      </c>
      <c r="R231" s="100"/>
      <c r="S231" s="114">
        <f>L231-Q231</f>
        <v>-18684.75999999998</v>
      </c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</row>
    <row r="232" spans="1:40" ht="20.25">
      <c r="B232" s="11"/>
      <c r="C232" s="29"/>
      <c r="D232" s="81"/>
      <c r="E232" s="13"/>
      <c r="F232" s="59"/>
      <c r="G232" s="83"/>
      <c r="H232" s="13"/>
      <c r="I232" s="59"/>
      <c r="J232" s="41"/>
      <c r="K232" s="13"/>
      <c r="L232" s="59"/>
      <c r="M232" s="41"/>
      <c r="N232" s="59">
        <f>L232-F232</f>
        <v>0</v>
      </c>
      <c r="O232" s="41"/>
      <c r="P232" s="13"/>
      <c r="Q232" s="59"/>
      <c r="R232" s="41"/>
      <c r="S232" s="85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</row>
    <row r="233" spans="1:40" ht="21" thickBot="1">
      <c r="B233" s="11"/>
      <c r="C233" s="124" t="s">
        <v>69</v>
      </c>
      <c r="D233" s="152"/>
      <c r="E233" s="125"/>
      <c r="F233" s="127">
        <f>F194-F231</f>
        <v>11067.19246116771</v>
      </c>
      <c r="G233" s="153"/>
      <c r="H233" s="125"/>
      <c r="I233" s="127"/>
      <c r="J233" s="154"/>
      <c r="K233" s="126"/>
      <c r="L233" s="127">
        <f>L194-L231</f>
        <v>12651.609999999986</v>
      </c>
      <c r="M233" s="154"/>
      <c r="N233" s="127">
        <f>L233-F233</f>
        <v>1584.4175388322765</v>
      </c>
      <c r="O233" s="154"/>
      <c r="P233" s="126"/>
      <c r="Q233" s="127">
        <f>Q194-Q231</f>
        <v>12902.089999999909</v>
      </c>
      <c r="R233" s="154"/>
      <c r="S233" s="129">
        <f>L233-Q233</f>
        <v>-250.47999999992317</v>
      </c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  <c r="AM233" s="13"/>
      <c r="AN233" s="13"/>
    </row>
    <row r="234" spans="1:40" ht="21" thickTop="1">
      <c r="B234" s="11"/>
      <c r="C234" s="13"/>
      <c r="D234" s="13"/>
      <c r="E234" s="13"/>
      <c r="F234" s="13"/>
      <c r="G234" s="13"/>
      <c r="H234" s="13"/>
      <c r="I234" s="13"/>
      <c r="J234" s="13"/>
      <c r="K234" s="13"/>
      <c r="L234" s="82"/>
      <c r="M234" s="82"/>
      <c r="N234" s="13"/>
      <c r="O234" s="82"/>
      <c r="P234" s="13"/>
      <c r="Q234" s="82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  <c r="AL234" s="13"/>
      <c r="AM234" s="13"/>
      <c r="AN234" s="13"/>
    </row>
    <row r="235" spans="1:40" ht="20.25">
      <c r="B235" s="11"/>
      <c r="C235" s="10"/>
      <c r="D235" s="10"/>
      <c r="E235" s="10"/>
      <c r="F235" s="10"/>
      <c r="G235" s="10"/>
      <c r="H235" s="10"/>
      <c r="I235" s="10"/>
      <c r="J235" s="10"/>
      <c r="K235" s="10"/>
      <c r="L235" s="155"/>
      <c r="M235" s="155"/>
      <c r="N235" s="10"/>
      <c r="O235" s="155"/>
      <c r="P235" s="10"/>
      <c r="Q235" s="155"/>
      <c r="R235" s="10"/>
      <c r="S235" s="10"/>
      <c r="T235" s="10"/>
      <c r="U235" s="10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  <c r="AL235" s="13"/>
      <c r="AM235" s="13"/>
      <c r="AN235" s="13"/>
    </row>
    <row r="236" spans="1:40" ht="35.25">
      <c r="B236" s="11"/>
      <c r="C236" s="6" t="str">
        <f>C1</f>
        <v>BMW Sherbrooke</v>
      </c>
      <c r="D236" s="2"/>
      <c r="E236" s="2"/>
      <c r="F236" s="2"/>
      <c r="G236" s="2"/>
      <c r="H236" s="1"/>
      <c r="I236" s="1"/>
      <c r="J236" s="1"/>
      <c r="K236" s="3" t="s">
        <v>94</v>
      </c>
      <c r="L236" s="2"/>
      <c r="M236" s="2"/>
      <c r="N236" s="1"/>
      <c r="O236" s="1"/>
      <c r="P236" s="2"/>
      <c r="Q236" s="1"/>
      <c r="R236" s="2"/>
      <c r="S236" s="5" t="str">
        <f>$S$1</f>
        <v>Réalisé, Août 2024</v>
      </c>
      <c r="T236" s="2"/>
      <c r="U236" s="6"/>
      <c r="V236" s="10"/>
      <c r="W236" s="10"/>
      <c r="X236" s="10"/>
      <c r="Y236" s="10"/>
      <c r="Z236" s="10"/>
      <c r="AA236" s="10"/>
      <c r="AB236" s="10"/>
      <c r="AC236" s="10"/>
      <c r="AD236" s="10"/>
      <c r="AE236" s="10"/>
      <c r="AF236" s="10"/>
      <c r="AG236" s="10"/>
      <c r="AH236" s="10"/>
      <c r="AI236" s="10"/>
      <c r="AJ236" s="10"/>
      <c r="AK236" s="10"/>
      <c r="AL236" s="10"/>
      <c r="AM236" s="10"/>
      <c r="AN236" s="10"/>
    </row>
    <row r="237" spans="1:40" ht="36" thickBot="1">
      <c r="B237" s="11"/>
      <c r="C237" s="8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6"/>
      <c r="W237" s="6"/>
      <c r="X237" s="6"/>
      <c r="Y237" s="6"/>
      <c r="Z237" s="6"/>
      <c r="AA237" s="6"/>
      <c r="AB237" s="6"/>
      <c r="AC237" s="6"/>
      <c r="AD237" s="6"/>
      <c r="AE237" s="6"/>
      <c r="AF237" s="6"/>
      <c r="AG237" s="6"/>
      <c r="AH237" s="6"/>
      <c r="AI237" s="6"/>
      <c r="AJ237" s="6"/>
      <c r="AK237" s="6"/>
      <c r="AL237" s="6"/>
      <c r="AM237" s="6"/>
      <c r="AN237" s="6"/>
    </row>
    <row r="238" spans="1:40" ht="21" thickTop="1">
      <c r="B238" s="11"/>
      <c r="C238" s="12"/>
      <c r="D238" s="496" t="s">
        <v>5</v>
      </c>
      <c r="E238" s="497"/>
      <c r="F238" s="498"/>
      <c r="G238" s="499"/>
      <c r="H238" s="497"/>
      <c r="I238" s="498"/>
      <c r="J238" s="499" t="s">
        <v>7</v>
      </c>
      <c r="K238" s="497"/>
      <c r="L238" s="498"/>
      <c r="M238" s="499" t="s">
        <v>213</v>
      </c>
      <c r="N238" s="498"/>
      <c r="O238" s="496" t="s">
        <v>8</v>
      </c>
      <c r="P238" s="497"/>
      <c r="Q238" s="498"/>
      <c r="R238" s="494" t="s">
        <v>214</v>
      </c>
      <c r="S238" s="495"/>
      <c r="T238" s="149"/>
      <c r="U238" s="13"/>
      <c r="V238" s="10"/>
      <c r="W238" s="10"/>
      <c r="X238" s="10"/>
      <c r="Y238" s="10"/>
      <c r="Z238" s="10"/>
      <c r="AA238" s="10"/>
      <c r="AB238" s="10"/>
      <c r="AC238" s="10"/>
      <c r="AD238" s="10"/>
      <c r="AE238" s="10"/>
      <c r="AF238" s="10"/>
      <c r="AG238" s="10"/>
      <c r="AH238" s="10"/>
      <c r="AI238" s="10"/>
      <c r="AJ238" s="10"/>
      <c r="AK238" s="10"/>
      <c r="AL238" s="10"/>
      <c r="AM238" s="10"/>
      <c r="AN238" s="10"/>
    </row>
    <row r="239" spans="1:40" ht="20.25">
      <c r="A239" t="str">
        <f t="shared" ref="A239:A272" si="56">+B239&amp;C239</f>
        <v>Carrosserie</v>
      </c>
      <c r="B239" s="11" t="s">
        <v>94</v>
      </c>
      <c r="C239" s="29"/>
      <c r="D239" s="80" t="s">
        <v>39</v>
      </c>
      <c r="E239" s="80" t="s">
        <v>79</v>
      </c>
      <c r="F239" s="134" t="s">
        <v>12</v>
      </c>
      <c r="G239" s="135"/>
      <c r="H239" s="80"/>
      <c r="I239" s="134"/>
      <c r="J239" s="135" t="s">
        <v>39</v>
      </c>
      <c r="K239" s="80" t="s">
        <v>79</v>
      </c>
      <c r="L239" s="134" t="s">
        <v>12</v>
      </c>
      <c r="M239" s="135" t="s">
        <v>39</v>
      </c>
      <c r="N239" s="134" t="s">
        <v>217</v>
      </c>
      <c r="O239" s="80" t="s">
        <v>39</v>
      </c>
      <c r="P239" s="80" t="s">
        <v>79</v>
      </c>
      <c r="Q239" s="134" t="s">
        <v>12</v>
      </c>
      <c r="R239" s="135" t="s">
        <v>80</v>
      </c>
      <c r="S239" s="136" t="s">
        <v>12</v>
      </c>
      <c r="T239" s="80"/>
      <c r="U239" s="13"/>
      <c r="V239" s="13"/>
      <c r="W239" s="13"/>
      <c r="X239" s="13"/>
      <c r="Y239" s="13"/>
      <c r="Z239" s="13"/>
      <c r="AA239" s="13"/>
      <c r="AB239" s="13"/>
      <c r="AC239" s="13"/>
      <c r="AD239" s="13"/>
      <c r="AE239" s="13"/>
      <c r="AF239" s="13"/>
      <c r="AG239" s="13"/>
      <c r="AH239" s="13"/>
      <c r="AI239" s="13"/>
      <c r="AJ239" s="13"/>
      <c r="AK239" s="13"/>
      <c r="AL239" s="13"/>
      <c r="AM239" s="13"/>
      <c r="AN239" s="13"/>
    </row>
    <row r="240" spans="1:40" ht="20.25">
      <c r="A240" t="str">
        <f t="shared" si="56"/>
        <v>Carrosserie</v>
      </c>
      <c r="B240" s="11" t="s">
        <v>94</v>
      </c>
      <c r="C240" s="29"/>
      <c r="D240" s="80"/>
      <c r="E240" s="80"/>
      <c r="F240" s="134"/>
      <c r="G240" s="135"/>
      <c r="H240" s="80"/>
      <c r="I240" s="134"/>
      <c r="J240" s="135"/>
      <c r="K240" s="30"/>
      <c r="L240" s="33"/>
      <c r="M240" s="135"/>
      <c r="N240" s="134"/>
      <c r="O240" s="80"/>
      <c r="P240" s="80"/>
      <c r="Q240" s="134"/>
      <c r="R240" s="135"/>
      <c r="S240" s="136"/>
      <c r="T240" s="80"/>
      <c r="U240" s="13"/>
      <c r="V240" s="13"/>
      <c r="W240" s="13"/>
      <c r="X240" s="13"/>
      <c r="Y240" s="13"/>
      <c r="Z240" s="13"/>
      <c r="AA240" s="13"/>
      <c r="AB240" s="13"/>
      <c r="AC240" s="13"/>
      <c r="AD240" s="13"/>
      <c r="AE240" s="13"/>
      <c r="AF240" s="13"/>
      <c r="AG240" s="13"/>
      <c r="AH240" s="13"/>
      <c r="AI240" s="13"/>
      <c r="AJ240" s="13"/>
      <c r="AK240" s="13"/>
      <c r="AL240" s="13"/>
      <c r="AM240" s="13"/>
      <c r="AN240" s="13"/>
    </row>
    <row r="241" spans="1:40" ht="20.25">
      <c r="A241" t="str">
        <f t="shared" si="56"/>
        <v>CarrosserieM/O Sous-traitement</v>
      </c>
      <c r="B241" s="11" t="s">
        <v>94</v>
      </c>
      <c r="C241" s="29" t="s">
        <v>95</v>
      </c>
      <c r="D241" s="80">
        <v>0</v>
      </c>
      <c r="E241" s="82">
        <v>1796.5080460213487</v>
      </c>
      <c r="F241" s="82">
        <v>323.37144828384277</v>
      </c>
      <c r="G241" s="156"/>
      <c r="H241" s="82"/>
      <c r="I241" s="82"/>
      <c r="J241" s="60">
        <v>13</v>
      </c>
      <c r="K241" s="30">
        <v>2563.25</v>
      </c>
      <c r="L241" s="33">
        <v>356.73999999999978</v>
      </c>
      <c r="M241" s="157">
        <f>IFERROR((K241-E241)/E241,0)</f>
        <v>0.42679572500480734</v>
      </c>
      <c r="N241" s="59">
        <f>L241-F241</f>
        <v>33.368551716157015</v>
      </c>
      <c r="O241" s="60">
        <v>6</v>
      </c>
      <c r="P241" s="30">
        <v>3204.09</v>
      </c>
      <c r="Q241" s="33">
        <v>149.16999999999999</v>
      </c>
      <c r="R241" s="157">
        <f>IF(O241=0,0,J241/O241)</f>
        <v>2.1666666666666665</v>
      </c>
      <c r="S241" s="85">
        <f>L241-Q241</f>
        <v>207.56999999999979</v>
      </c>
      <c r="T241" s="80"/>
      <c r="U241" s="13"/>
      <c r="V241" s="13"/>
      <c r="W241" s="13"/>
      <c r="X241" s="13"/>
      <c r="Y241" s="13"/>
      <c r="Z241" s="13"/>
      <c r="AA241" s="13"/>
      <c r="AB241" s="13"/>
      <c r="AC241" s="13"/>
      <c r="AD241" s="13"/>
      <c r="AE241" s="13"/>
      <c r="AF241" s="13"/>
      <c r="AG241" s="13"/>
      <c r="AH241" s="13"/>
      <c r="AI241" s="13"/>
      <c r="AJ241" s="13"/>
      <c r="AK241" s="13"/>
      <c r="AL241" s="13"/>
      <c r="AM241" s="13"/>
      <c r="AN241" s="13"/>
    </row>
    <row r="242" spans="1:40" ht="20.25">
      <c r="A242" t="str">
        <f t="shared" si="56"/>
        <v>Carrosserie% profit / ventes</v>
      </c>
      <c r="B242" s="11" t="s">
        <v>94</v>
      </c>
      <c r="C242" s="29" t="s">
        <v>82</v>
      </c>
      <c r="D242" s="80"/>
      <c r="E242" s="144"/>
      <c r="F242" s="158">
        <f>IFERROR(F241/E241,0)</f>
        <v>0.18</v>
      </c>
      <c r="G242" s="41"/>
      <c r="H242" s="144"/>
      <c r="I242" s="158"/>
      <c r="J242" s="60"/>
      <c r="K242" s="13"/>
      <c r="L242" s="158">
        <f>IFERROR(L241/K241,0)</f>
        <v>0.13917487564615227</v>
      </c>
      <c r="M242" s="157"/>
      <c r="N242" s="470">
        <f>IFERROR(N241/M241,0)</f>
        <v>78.183893982961422</v>
      </c>
      <c r="O242" s="60"/>
      <c r="P242" s="13"/>
      <c r="Q242" s="158">
        <f>IFERROR(Q241/P241,0)</f>
        <v>4.6556120458538922E-2</v>
      </c>
      <c r="R242" s="60"/>
      <c r="S242" s="85">
        <f>IFERROR(S241/R241,0)</f>
        <v>95.801538461538371</v>
      </c>
      <c r="T242" s="80"/>
      <c r="U242" s="13"/>
      <c r="V242" s="13"/>
      <c r="W242" s="13"/>
      <c r="X242" s="13"/>
      <c r="Y242" s="13"/>
      <c r="Z242" s="13"/>
      <c r="AA242" s="13"/>
      <c r="AB242" s="13"/>
      <c r="AC242" s="13"/>
      <c r="AD242" s="13"/>
      <c r="AE242" s="13"/>
      <c r="AF242" s="13"/>
      <c r="AG242" s="13"/>
      <c r="AH242" s="13"/>
      <c r="AI242" s="13"/>
      <c r="AJ242" s="13"/>
      <c r="AK242" s="13"/>
      <c r="AL242" s="13"/>
      <c r="AM242" s="13"/>
      <c r="AN242" s="13"/>
    </row>
    <row r="243" spans="1:40" ht="20.25">
      <c r="A243" t="str">
        <f t="shared" si="56"/>
        <v>Carrosserie</v>
      </c>
      <c r="B243" s="11" t="s">
        <v>94</v>
      </c>
      <c r="C243" s="29"/>
      <c r="D243" s="80"/>
      <c r="E243" s="207"/>
      <c r="F243" s="471"/>
      <c r="G243" s="135"/>
      <c r="H243" s="207"/>
      <c r="I243" s="471"/>
      <c r="J243" s="135"/>
      <c r="K243" s="80"/>
      <c r="L243" s="134"/>
      <c r="M243" s="135"/>
      <c r="N243" s="134"/>
      <c r="O243" s="135"/>
      <c r="P243" s="80"/>
      <c r="Q243" s="134"/>
      <c r="R243" s="208"/>
      <c r="S243" s="136"/>
      <c r="T243" s="80"/>
      <c r="U243" s="13"/>
      <c r="V243" s="13"/>
      <c r="W243" s="13"/>
      <c r="X243" s="13"/>
      <c r="Y243" s="13"/>
      <c r="Z243" s="13"/>
      <c r="AA243" s="13"/>
      <c r="AB243" s="13"/>
      <c r="AC243" s="13"/>
      <c r="AD243" s="13"/>
      <c r="AE243" s="13"/>
      <c r="AF243" s="13"/>
      <c r="AG243" s="13"/>
      <c r="AH243" s="13"/>
      <c r="AI243" s="13"/>
      <c r="AJ243" s="13"/>
      <c r="AK243" s="13"/>
      <c r="AL243" s="13"/>
      <c r="AM243" s="13"/>
      <c r="AN243" s="13"/>
    </row>
    <row r="244" spans="1:40" ht="20.25">
      <c r="A244" t="str">
        <f t="shared" si="56"/>
        <v>CarrosserieM/O Carrosserie</v>
      </c>
      <c r="B244" s="11" t="s">
        <v>94</v>
      </c>
      <c r="C244" s="14" t="s">
        <v>96</v>
      </c>
      <c r="D244" s="105">
        <v>0</v>
      </c>
      <c r="E244" s="82">
        <v>0</v>
      </c>
      <c r="F244" s="82">
        <v>0</v>
      </c>
      <c r="G244" s="209"/>
      <c r="H244" s="82"/>
      <c r="I244" s="82"/>
      <c r="J244" s="164">
        <v>0</v>
      </c>
      <c r="K244" s="165">
        <v>0</v>
      </c>
      <c r="L244" s="108">
        <v>0</v>
      </c>
      <c r="M244" s="173">
        <f>IFERROR((K244-E244)/E244,0)</f>
        <v>0</v>
      </c>
      <c r="N244" s="109">
        <f>L244-F244</f>
        <v>0</v>
      </c>
      <c r="O244" s="164">
        <v>0</v>
      </c>
      <c r="P244" s="165">
        <v>0</v>
      </c>
      <c r="Q244" s="108">
        <v>0</v>
      </c>
      <c r="R244" s="157">
        <f>IF(O244=0,0,J244/O244)</f>
        <v>0</v>
      </c>
      <c r="S244" s="110">
        <f>L244-Q244</f>
        <v>0</v>
      </c>
      <c r="T244" s="148"/>
      <c r="U244" s="13"/>
      <c r="V244" s="13"/>
      <c r="W244" s="13"/>
      <c r="X244" s="13"/>
      <c r="Y244" s="13"/>
      <c r="Z244" s="13"/>
      <c r="AA244" s="13"/>
      <c r="AB244" s="13"/>
      <c r="AC244" s="13"/>
      <c r="AD244" s="13"/>
      <c r="AE244" s="13"/>
      <c r="AF244" s="13"/>
      <c r="AG244" s="13"/>
      <c r="AH244" s="13"/>
      <c r="AI244" s="13"/>
      <c r="AJ244" s="13"/>
      <c r="AK244" s="13"/>
      <c r="AL244" s="13"/>
      <c r="AM244" s="13"/>
      <c r="AN244" s="13"/>
    </row>
    <row r="245" spans="1:40" ht="20.25">
      <c r="A245" t="str">
        <f t="shared" si="56"/>
        <v>Carrosserie% profit / ventes</v>
      </c>
      <c r="B245" s="11" t="s">
        <v>94</v>
      </c>
      <c r="C245" s="29" t="s">
        <v>82</v>
      </c>
      <c r="D245" s="13"/>
      <c r="E245" s="144"/>
      <c r="F245" s="158" t="e">
        <f>F244/E244</f>
        <v>#DIV/0!</v>
      </c>
      <c r="G245" s="41"/>
      <c r="H245" s="144"/>
      <c r="I245" s="158"/>
      <c r="J245" s="60"/>
      <c r="K245" s="13"/>
      <c r="L245" s="158">
        <f>IFERROR(L244/K244,0)</f>
        <v>0</v>
      </c>
      <c r="M245" s="157"/>
      <c r="N245" s="59">
        <f>IFERROR(N244/F244,0)</f>
        <v>0</v>
      </c>
      <c r="O245" s="60"/>
      <c r="P245" s="13"/>
      <c r="Q245" s="158">
        <f>IFERROR(Q244/P244,0)</f>
        <v>0</v>
      </c>
      <c r="R245" s="60"/>
      <c r="S245" s="85">
        <f>IF(Q244=0,0,S244/Q244)</f>
        <v>0</v>
      </c>
      <c r="T245" s="148"/>
      <c r="U245" s="13"/>
      <c r="V245" s="13"/>
      <c r="W245" s="13"/>
      <c r="X245" s="13"/>
      <c r="Y245" s="13"/>
      <c r="Z245" s="13"/>
      <c r="AA245" s="13"/>
      <c r="AB245" s="13"/>
      <c r="AC245" s="13"/>
      <c r="AD245" s="13"/>
      <c r="AE245" s="13"/>
      <c r="AF245" s="13"/>
      <c r="AG245" s="13"/>
      <c r="AH245" s="13"/>
      <c r="AI245" s="13"/>
      <c r="AJ245" s="13"/>
      <c r="AK245" s="13"/>
      <c r="AL245" s="13"/>
      <c r="AM245" s="13"/>
      <c r="AN245" s="13"/>
    </row>
    <row r="246" spans="1:40" ht="20.25">
      <c r="A246" t="str">
        <f t="shared" si="56"/>
        <v>Carrosserie</v>
      </c>
      <c r="B246" s="11" t="s">
        <v>94</v>
      </c>
      <c r="C246" s="86"/>
      <c r="D246" s="111"/>
      <c r="E246" s="159"/>
      <c r="F246" s="160"/>
      <c r="G246" s="23"/>
      <c r="H246" s="170"/>
      <c r="I246" s="160"/>
      <c r="J246" s="161"/>
      <c r="K246" s="210"/>
      <c r="L246" s="160"/>
      <c r="M246" s="162"/>
      <c r="N246" s="91"/>
      <c r="O246" s="161"/>
      <c r="P246" s="210"/>
      <c r="Q246" s="160"/>
      <c r="R246" s="161"/>
      <c r="S246" s="92"/>
      <c r="T246" s="148"/>
      <c r="U246" s="13"/>
      <c r="V246" s="13"/>
      <c r="W246" s="13"/>
      <c r="X246" s="13"/>
      <c r="Y246" s="13"/>
      <c r="Z246" s="13"/>
      <c r="AA246" s="13"/>
      <c r="AB246" s="13"/>
      <c r="AC246" s="13"/>
      <c r="AD246" s="13"/>
      <c r="AE246" s="13"/>
      <c r="AF246" s="13"/>
      <c r="AG246" s="13"/>
      <c r="AH246" s="13"/>
      <c r="AI246" s="13"/>
      <c r="AJ246" s="13"/>
      <c r="AK246" s="13"/>
      <c r="AL246" s="13"/>
      <c r="AM246" s="13"/>
      <c r="AN246" s="13"/>
    </row>
    <row r="247" spans="1:40" ht="20.25">
      <c r="A247" t="str">
        <f t="shared" si="56"/>
        <v>CarrosserieM/O Esthétique Carr.</v>
      </c>
      <c r="B247" s="11" t="s">
        <v>94</v>
      </c>
      <c r="C247" s="14" t="s">
        <v>97</v>
      </c>
      <c r="D247" s="163">
        <v>0</v>
      </c>
      <c r="E247" s="82">
        <v>0</v>
      </c>
      <c r="F247" s="82">
        <v>0</v>
      </c>
      <c r="G247" s="164"/>
      <c r="H247" s="82"/>
      <c r="I247" s="82"/>
      <c r="J247" s="164">
        <v>0</v>
      </c>
      <c r="K247" s="30">
        <v>0</v>
      </c>
      <c r="L247" s="33">
        <v>0</v>
      </c>
      <c r="M247" s="157">
        <f>IFERROR((K247-E247)/E247,0)</f>
        <v>0</v>
      </c>
      <c r="N247" s="109">
        <f>L247-F247</f>
        <v>0</v>
      </c>
      <c r="O247" s="164">
        <v>0</v>
      </c>
      <c r="P247" s="30">
        <v>0</v>
      </c>
      <c r="Q247" s="33">
        <v>0</v>
      </c>
      <c r="R247" s="157">
        <f>IF(O247=0,0,J247/O247)</f>
        <v>0</v>
      </c>
      <c r="S247" s="85">
        <f>L247-Q247</f>
        <v>0</v>
      </c>
      <c r="T247" s="148"/>
      <c r="U247" s="13"/>
      <c r="V247" s="13"/>
      <c r="W247" s="13"/>
      <c r="X247" s="13"/>
      <c r="Y247" s="13"/>
      <c r="Z247" s="13"/>
      <c r="AA247" s="13"/>
      <c r="AB247" s="13"/>
      <c r="AC247" s="13"/>
      <c r="AD247" s="13"/>
      <c r="AE247" s="13"/>
      <c r="AF247" s="13"/>
      <c r="AG247" s="13"/>
      <c r="AH247" s="13"/>
      <c r="AI247" s="13"/>
      <c r="AJ247" s="13"/>
      <c r="AK247" s="13"/>
      <c r="AL247" s="13"/>
      <c r="AM247" s="13"/>
      <c r="AN247" s="13"/>
    </row>
    <row r="248" spans="1:40" ht="20.25">
      <c r="A248" t="str">
        <f t="shared" si="56"/>
        <v>Carrosserie% profit / ventes</v>
      </c>
      <c r="B248" s="11" t="s">
        <v>94</v>
      </c>
      <c r="C248" s="29" t="s">
        <v>82</v>
      </c>
      <c r="D248" s="13"/>
      <c r="E248" s="13"/>
      <c r="F248" s="158" t="e">
        <f>F247/E247</f>
        <v>#DIV/0!</v>
      </c>
      <c r="G248" s="41"/>
      <c r="H248" s="13"/>
      <c r="I248" s="158"/>
      <c r="J248" s="41"/>
      <c r="K248" s="13"/>
      <c r="L248" s="158">
        <f>IFERROR(L247/K247,0)</f>
        <v>0</v>
      </c>
      <c r="M248" s="42"/>
      <c r="N248" s="43">
        <f>IF(L247=0,0,N247/L247)</f>
        <v>0</v>
      </c>
      <c r="O248" s="41"/>
      <c r="P248" s="13"/>
      <c r="Q248" s="158">
        <f>IFERROR(Q247/P247,0)</f>
        <v>0</v>
      </c>
      <c r="R248" s="42"/>
      <c r="S248" s="44">
        <f>IF(Q247=0,0,S247/Q247)</f>
        <v>0</v>
      </c>
      <c r="T248" s="148"/>
      <c r="U248" s="13"/>
      <c r="V248" s="13"/>
      <c r="W248" s="13"/>
      <c r="X248" s="13"/>
      <c r="Y248" s="13"/>
      <c r="Z248" s="13"/>
      <c r="AA248" s="13"/>
      <c r="AB248" s="13"/>
      <c r="AC248" s="13"/>
      <c r="AD248" s="13"/>
      <c r="AE248" s="13"/>
      <c r="AF248" s="13"/>
      <c r="AG248" s="13"/>
      <c r="AH248" s="13"/>
      <c r="AI248" s="13"/>
      <c r="AJ248" s="13"/>
      <c r="AK248" s="13"/>
      <c r="AL248" s="13"/>
      <c r="AM248" s="13"/>
      <c r="AN248" s="13"/>
    </row>
    <row r="249" spans="1:40" ht="21" thickBot="1">
      <c r="A249" t="str">
        <f t="shared" si="56"/>
        <v>Carrosserie</v>
      </c>
      <c r="B249" s="11" t="s">
        <v>94</v>
      </c>
      <c r="C249" s="29"/>
      <c r="D249" s="13"/>
      <c r="E249" s="13"/>
      <c r="F249" s="158"/>
      <c r="G249" s="41"/>
      <c r="H249" s="13"/>
      <c r="I249" s="158"/>
      <c r="J249" s="41"/>
      <c r="K249" s="13"/>
      <c r="L249" s="158"/>
      <c r="M249" s="42"/>
      <c r="N249" s="43"/>
      <c r="O249" s="41"/>
      <c r="P249" s="13"/>
      <c r="Q249" s="158"/>
      <c r="R249" s="42"/>
      <c r="S249" s="44"/>
      <c r="T249" s="148"/>
      <c r="U249" s="13"/>
      <c r="V249" s="13"/>
      <c r="W249" s="13"/>
      <c r="X249" s="13"/>
      <c r="Y249" s="13"/>
      <c r="Z249" s="13"/>
      <c r="AA249" s="13"/>
      <c r="AB249" s="13"/>
      <c r="AC249" s="13"/>
      <c r="AD249" s="13"/>
      <c r="AE249" s="13"/>
      <c r="AF249" s="13"/>
      <c r="AG249" s="13"/>
      <c r="AH249" s="13"/>
      <c r="AI249" s="13"/>
      <c r="AJ249" s="13"/>
      <c r="AK249" s="13"/>
      <c r="AL249" s="13"/>
      <c r="AM249" s="13"/>
      <c r="AN249" s="13"/>
    </row>
    <row r="250" spans="1:40" ht="21" thickTop="1">
      <c r="A250" t="str">
        <f t="shared" si="56"/>
        <v>CarrosserieTotal Mécanique</v>
      </c>
      <c r="B250" s="11" t="s">
        <v>94</v>
      </c>
      <c r="C250" s="62" t="s">
        <v>91</v>
      </c>
      <c r="D250" s="63"/>
      <c r="E250" s="63">
        <f>E244+E247+E241</f>
        <v>1796.5080460213487</v>
      </c>
      <c r="F250" s="65">
        <f>F244+F247+F241</f>
        <v>323.37144828384277</v>
      </c>
      <c r="G250" s="66"/>
      <c r="H250" s="63"/>
      <c r="I250" s="65"/>
      <c r="J250" s="66"/>
      <c r="K250" s="63">
        <f>K244+K247+K241</f>
        <v>2563.25</v>
      </c>
      <c r="L250" s="65">
        <f>L244+L247+L241</f>
        <v>356.73999999999978</v>
      </c>
      <c r="M250" s="206">
        <f>L251-F251</f>
        <v>-4.0825124353847719E-2</v>
      </c>
      <c r="N250" s="65">
        <f>L250-F250</f>
        <v>33.368551716157015</v>
      </c>
      <c r="O250" s="66"/>
      <c r="P250" s="63">
        <f t="shared" ref="P250:Q250" si="57">P244+P247+P241</f>
        <v>3204.09</v>
      </c>
      <c r="Q250" s="65">
        <f t="shared" si="57"/>
        <v>149.16999999999999</v>
      </c>
      <c r="R250" s="206">
        <f>L251-Q251</f>
        <v>9.2618755187613352E-2</v>
      </c>
      <c r="S250" s="68">
        <f>L250-Q250</f>
        <v>207.56999999999979</v>
      </c>
      <c r="T250" s="148"/>
      <c r="U250" s="13"/>
      <c r="V250" s="13"/>
      <c r="W250" s="13"/>
      <c r="X250" s="13"/>
      <c r="Y250" s="13"/>
      <c r="Z250" s="13"/>
      <c r="AA250" s="13"/>
      <c r="AB250" s="13"/>
      <c r="AC250" s="13"/>
      <c r="AD250" s="13"/>
      <c r="AE250" s="13"/>
      <c r="AF250" s="13"/>
      <c r="AG250" s="13"/>
      <c r="AH250" s="13"/>
      <c r="AI250" s="13"/>
      <c r="AJ250" s="13"/>
      <c r="AK250" s="13"/>
      <c r="AL250" s="13"/>
      <c r="AM250" s="13"/>
      <c r="AN250" s="13"/>
    </row>
    <row r="251" spans="1:40" ht="21" thickBot="1">
      <c r="A251" t="str">
        <f t="shared" si="56"/>
        <v>Carrosserie</v>
      </c>
      <c r="B251" s="11" t="s">
        <v>94</v>
      </c>
      <c r="C251" s="69"/>
      <c r="D251" s="70"/>
      <c r="E251" s="70"/>
      <c r="F251" s="74">
        <f>F250/E250</f>
        <v>0.18</v>
      </c>
      <c r="G251" s="72"/>
      <c r="H251" s="70"/>
      <c r="I251" s="74"/>
      <c r="J251" s="72"/>
      <c r="K251" s="70"/>
      <c r="L251" s="74">
        <f>IF(K250=0,0,L250/K250)</f>
        <v>0.13917487564615227</v>
      </c>
      <c r="M251" s="73"/>
      <c r="N251" s="74">
        <f>N250/F250</f>
        <v>0.10318954222225399</v>
      </c>
      <c r="O251" s="72"/>
      <c r="P251" s="70"/>
      <c r="Q251" s="74">
        <f>Q250/P250</f>
        <v>4.6556120458538922E-2</v>
      </c>
      <c r="R251" s="73"/>
      <c r="S251" s="75">
        <f>IF(R250=0,0,S250/R250)</f>
        <v>2241.1227572594257</v>
      </c>
      <c r="T251" s="148"/>
      <c r="U251" s="13"/>
      <c r="V251" s="13"/>
      <c r="W251" s="13"/>
      <c r="X251" s="13"/>
      <c r="Y251" s="13"/>
      <c r="Z251" s="13"/>
      <c r="AA251" s="13"/>
      <c r="AB251" s="13"/>
      <c r="AC251" s="13"/>
      <c r="AD251" s="13"/>
      <c r="AE251" s="13"/>
      <c r="AF251" s="13"/>
      <c r="AG251" s="13"/>
      <c r="AH251" s="13"/>
      <c r="AI251" s="13"/>
      <c r="AJ251" s="13"/>
      <c r="AK251" s="13"/>
      <c r="AL251" s="13"/>
      <c r="AM251" s="13"/>
      <c r="AN251" s="13"/>
    </row>
    <row r="252" spans="1:40" ht="21" thickTop="1">
      <c r="A252" t="str">
        <f t="shared" si="56"/>
        <v>Carrosserie</v>
      </c>
      <c r="B252" s="11" t="s">
        <v>94</v>
      </c>
      <c r="C252" s="29"/>
      <c r="D252" s="13"/>
      <c r="E252" s="13"/>
      <c r="F252" s="59"/>
      <c r="G252" s="41"/>
      <c r="H252" s="13"/>
      <c r="I252" s="59"/>
      <c r="J252" s="41"/>
      <c r="K252" s="13"/>
      <c r="L252" s="40"/>
      <c r="M252" s="41"/>
      <c r="N252" s="40"/>
      <c r="O252" s="41"/>
      <c r="P252" s="13"/>
      <c r="Q252" s="40"/>
      <c r="R252" s="41"/>
      <c r="S252" s="61"/>
      <c r="T252" s="13"/>
      <c r="U252" s="13"/>
      <c r="V252" s="13"/>
      <c r="W252" s="13"/>
      <c r="X252" s="13"/>
      <c r="Y252" s="13"/>
      <c r="Z252" s="13"/>
      <c r="AA252" s="13"/>
      <c r="AB252" s="13"/>
      <c r="AC252" s="13"/>
      <c r="AD252" s="13"/>
      <c r="AE252" s="13"/>
      <c r="AF252" s="13"/>
      <c r="AG252" s="13"/>
      <c r="AH252" s="13"/>
      <c r="AI252" s="13"/>
      <c r="AJ252" s="13"/>
      <c r="AK252" s="13"/>
      <c r="AL252" s="13"/>
      <c r="AM252" s="13"/>
      <c r="AN252" s="13"/>
    </row>
    <row r="253" spans="1:40" ht="20.25">
      <c r="A253" t="str">
        <f t="shared" si="56"/>
        <v>CarrosserieDEPENSES</v>
      </c>
      <c r="B253" s="11" t="s">
        <v>94</v>
      </c>
      <c r="C253" s="79" t="s">
        <v>29</v>
      </c>
      <c r="D253" s="13"/>
      <c r="E253" s="13"/>
      <c r="F253" s="59"/>
      <c r="G253" s="41"/>
      <c r="H253" s="13"/>
      <c r="I253" s="59"/>
      <c r="J253" s="41"/>
      <c r="K253" s="13"/>
      <c r="L253" s="40"/>
      <c r="M253" s="41"/>
      <c r="N253" s="40"/>
      <c r="O253" s="41"/>
      <c r="P253" s="13"/>
      <c r="Q253" s="40"/>
      <c r="R253" s="41"/>
      <c r="S253" s="61"/>
      <c r="T253" s="13"/>
      <c r="U253" s="13"/>
      <c r="V253" s="13"/>
      <c r="W253" s="13"/>
      <c r="X253" s="13"/>
      <c r="Y253" s="13"/>
      <c r="Z253" s="13"/>
      <c r="AA253" s="13"/>
      <c r="AB253" s="13"/>
      <c r="AC253" s="13"/>
      <c r="AD253" s="13"/>
      <c r="AE253" s="13"/>
      <c r="AF253" s="13"/>
      <c r="AG253" s="13"/>
      <c r="AH253" s="13"/>
      <c r="AI253" s="13"/>
      <c r="AJ253" s="13"/>
      <c r="AK253" s="13"/>
      <c r="AL253" s="13"/>
      <c r="AM253" s="13"/>
      <c r="AN253" s="13"/>
    </row>
    <row r="254" spans="1:40" ht="20.25">
      <c r="A254" t="str">
        <f t="shared" si="56"/>
        <v>CarrosserieSalaires cadres</v>
      </c>
      <c r="B254" s="11" t="s">
        <v>94</v>
      </c>
      <c r="C254" s="102" t="s">
        <v>40</v>
      </c>
      <c r="D254" s="13"/>
      <c r="E254" s="13"/>
      <c r="F254" s="30">
        <v>304.27500000000003</v>
      </c>
      <c r="G254" s="41"/>
      <c r="H254" s="13"/>
      <c r="I254" s="30"/>
      <c r="J254" s="41"/>
      <c r="K254" s="13"/>
      <c r="L254" s="33">
        <v>304.27</v>
      </c>
      <c r="M254" s="41"/>
      <c r="N254" s="59">
        <f t="shared" ref="N254:N284" si="58">L254-F254</f>
        <v>-5.0000000000522959E-3</v>
      </c>
      <c r="O254" s="41"/>
      <c r="P254" s="13"/>
      <c r="Q254" s="33">
        <v>304.27</v>
      </c>
      <c r="R254" s="41"/>
      <c r="S254" s="85">
        <f t="shared" ref="S254" si="59">L254-Q254</f>
        <v>0</v>
      </c>
      <c r="T254" s="13"/>
      <c r="U254" s="13"/>
      <c r="V254" s="13"/>
      <c r="W254" s="13"/>
      <c r="X254" s="13"/>
      <c r="Y254" s="13"/>
      <c r="Z254" s="13"/>
      <c r="AA254" s="13"/>
      <c r="AB254" s="13"/>
      <c r="AC254" s="13"/>
      <c r="AD254" s="13"/>
      <c r="AE254" s="13"/>
      <c r="AF254" s="13"/>
      <c r="AG254" s="13"/>
      <c r="AH254" s="13"/>
      <c r="AI254" s="13"/>
      <c r="AJ254" s="13"/>
      <c r="AK254" s="13"/>
      <c r="AL254" s="13"/>
      <c r="AM254" s="13"/>
      <c r="AN254" s="13"/>
    </row>
    <row r="255" spans="1:40" ht="20.25">
      <c r="A255" t="str">
        <f t="shared" si="56"/>
        <v>CarrosserieSalaires commis</v>
      </c>
      <c r="B255" s="11" t="s">
        <v>94</v>
      </c>
      <c r="C255" s="103" t="s">
        <v>41</v>
      </c>
      <c r="D255" s="81"/>
      <c r="E255" s="13"/>
      <c r="F255" s="22">
        <v>346.66030534351142</v>
      </c>
      <c r="G255" s="83"/>
      <c r="H255" s="13"/>
      <c r="I255" s="22"/>
      <c r="J255" s="41"/>
      <c r="K255" s="13"/>
      <c r="L255" s="33">
        <v>323.39999999999998</v>
      </c>
      <c r="M255" s="41"/>
      <c r="N255" s="59">
        <f t="shared" si="58"/>
        <v>-23.260305343511448</v>
      </c>
      <c r="O255" s="41"/>
      <c r="P255" s="13"/>
      <c r="Q255" s="33">
        <v>346.6</v>
      </c>
      <c r="R255" s="41"/>
      <c r="S255" s="85">
        <f>L255-Q255</f>
        <v>-23.200000000000045</v>
      </c>
      <c r="T255" s="13"/>
      <c r="U255" s="13"/>
      <c r="V255" s="13"/>
      <c r="W255" s="13"/>
      <c r="X255" s="13"/>
      <c r="Y255" s="13"/>
      <c r="Z255" s="13"/>
      <c r="AA255" s="13"/>
      <c r="AB255" s="13"/>
      <c r="AC255" s="13"/>
      <c r="AD255" s="13"/>
      <c r="AE255" s="13"/>
      <c r="AF255" s="13"/>
      <c r="AG255" s="13"/>
      <c r="AH255" s="13"/>
      <c r="AI255" s="13"/>
      <c r="AJ255" s="13"/>
      <c r="AK255" s="13"/>
      <c r="AL255" s="13"/>
      <c r="AM255" s="13"/>
      <c r="AN255" s="13"/>
    </row>
    <row r="256" spans="1:40" ht="20.25">
      <c r="A256" t="str">
        <f t="shared" si="56"/>
        <v>CarrosserieSalaires autres</v>
      </c>
      <c r="B256" s="11" t="s">
        <v>94</v>
      </c>
      <c r="C256" s="102" t="s">
        <v>42</v>
      </c>
      <c r="D256" s="104"/>
      <c r="E256" s="105"/>
      <c r="F256" s="30">
        <v>19</v>
      </c>
      <c r="G256" s="106"/>
      <c r="H256" s="105"/>
      <c r="I256" s="30"/>
      <c r="J256" s="107"/>
      <c r="K256" s="105"/>
      <c r="L256" s="108">
        <v>19</v>
      </c>
      <c r="M256" s="107"/>
      <c r="N256" s="109">
        <f t="shared" si="58"/>
        <v>0</v>
      </c>
      <c r="O256" s="107"/>
      <c r="P256" s="105"/>
      <c r="Q256" s="108">
        <v>19</v>
      </c>
      <c r="R256" s="107"/>
      <c r="S256" s="110">
        <f t="shared" ref="S256:S272" si="60">L256-Q256</f>
        <v>0</v>
      </c>
      <c r="T256" s="13"/>
      <c r="U256" s="13"/>
      <c r="V256" s="13"/>
      <c r="W256" s="13"/>
      <c r="X256" s="13"/>
      <c r="Y256" s="13"/>
      <c r="Z256" s="13"/>
      <c r="AA256" s="13"/>
      <c r="AB256" s="13"/>
      <c r="AC256" s="13"/>
      <c r="AD256" s="13"/>
      <c r="AE256" s="13"/>
      <c r="AF256" s="13"/>
      <c r="AG256" s="13"/>
      <c r="AH256" s="13"/>
      <c r="AI256" s="13"/>
      <c r="AJ256" s="13"/>
      <c r="AK256" s="13"/>
      <c r="AL256" s="13"/>
      <c r="AM256" s="13"/>
      <c r="AN256" s="13"/>
    </row>
    <row r="257" spans="1:40" ht="20.25">
      <c r="A257" t="str">
        <f t="shared" si="56"/>
        <v>CarrosserieSalaires spécialistes</v>
      </c>
      <c r="B257" s="11" t="s">
        <v>94</v>
      </c>
      <c r="C257" s="102" t="s">
        <v>43</v>
      </c>
      <c r="D257" s="81"/>
      <c r="E257" s="13"/>
      <c r="F257" s="30">
        <v>0</v>
      </c>
      <c r="G257" s="83"/>
      <c r="H257" s="13"/>
      <c r="I257" s="30"/>
      <c r="J257" s="41"/>
      <c r="K257" s="13"/>
      <c r="L257" s="33">
        <v>0</v>
      </c>
      <c r="M257" s="41"/>
      <c r="N257" s="59">
        <f t="shared" si="58"/>
        <v>0</v>
      </c>
      <c r="O257" s="41"/>
      <c r="P257" s="13"/>
      <c r="Q257" s="33">
        <v>0</v>
      </c>
      <c r="R257" s="41"/>
      <c r="S257" s="85">
        <f t="shared" si="60"/>
        <v>0</v>
      </c>
      <c r="T257" s="13"/>
      <c r="U257" s="13"/>
      <c r="V257" s="13"/>
      <c r="W257" s="13"/>
      <c r="X257" s="13"/>
      <c r="Y257" s="13"/>
      <c r="Z257" s="13"/>
      <c r="AA257" s="13"/>
      <c r="AB257" s="13"/>
      <c r="AC257" s="13"/>
      <c r="AD257" s="13"/>
      <c r="AE257" s="13"/>
      <c r="AF257" s="13"/>
      <c r="AG257" s="13"/>
      <c r="AH257" s="13"/>
      <c r="AI257" s="13"/>
      <c r="AJ257" s="13"/>
      <c r="AK257" s="13"/>
      <c r="AL257" s="13"/>
      <c r="AM257" s="13"/>
      <c r="AN257" s="13"/>
    </row>
    <row r="258" spans="1:40" ht="20.25" hidden="1">
      <c r="A258" t="str">
        <f t="shared" si="56"/>
        <v>Carrosserie[...]</v>
      </c>
      <c r="B258" s="11" t="s">
        <v>94</v>
      </c>
      <c r="C258" s="29" t="s">
        <v>19</v>
      </c>
      <c r="D258" s="81"/>
      <c r="E258" s="13"/>
      <c r="F258" s="30">
        <v>0</v>
      </c>
      <c r="G258" s="83"/>
      <c r="H258" s="13"/>
      <c r="I258" s="30"/>
      <c r="J258" s="41"/>
      <c r="K258" s="13"/>
      <c r="L258" s="33">
        <v>0</v>
      </c>
      <c r="M258" s="41"/>
      <c r="N258" s="59">
        <f t="shared" si="58"/>
        <v>0</v>
      </c>
      <c r="O258" s="41"/>
      <c r="P258" s="13"/>
      <c r="Q258" s="33">
        <v>0</v>
      </c>
      <c r="R258" s="41"/>
      <c r="S258" s="85">
        <f t="shared" si="60"/>
        <v>0</v>
      </c>
      <c r="T258" s="13"/>
      <c r="U258" s="13"/>
      <c r="V258" s="13"/>
      <c r="W258" s="13"/>
      <c r="X258" s="13"/>
      <c r="Y258" s="13"/>
      <c r="Z258" s="13"/>
      <c r="AA258" s="13"/>
      <c r="AB258" s="13"/>
      <c r="AC258" s="13"/>
      <c r="AD258" s="13"/>
      <c r="AE258" s="13"/>
      <c r="AF258" s="13"/>
      <c r="AG258" s="13"/>
      <c r="AH258" s="13"/>
      <c r="AI258" s="13"/>
      <c r="AJ258" s="13"/>
      <c r="AK258" s="13"/>
      <c r="AL258" s="13"/>
      <c r="AM258" s="13"/>
      <c r="AN258" s="13"/>
    </row>
    <row r="259" spans="1:40" ht="20.25" hidden="1">
      <c r="A259" t="str">
        <f t="shared" si="56"/>
        <v>Carrosserie[...]</v>
      </c>
      <c r="B259" s="11" t="s">
        <v>94</v>
      </c>
      <c r="C259" s="29" t="s">
        <v>19</v>
      </c>
      <c r="D259" s="81"/>
      <c r="E259" s="13"/>
      <c r="F259" s="30">
        <v>0</v>
      </c>
      <c r="G259" s="83"/>
      <c r="H259" s="13"/>
      <c r="I259" s="30"/>
      <c r="J259" s="41"/>
      <c r="K259" s="13"/>
      <c r="L259" s="33">
        <v>0</v>
      </c>
      <c r="M259" s="41"/>
      <c r="N259" s="59">
        <f t="shared" si="58"/>
        <v>0</v>
      </c>
      <c r="O259" s="41"/>
      <c r="P259" s="13"/>
      <c r="Q259" s="33">
        <v>0</v>
      </c>
      <c r="R259" s="41"/>
      <c r="S259" s="85">
        <f t="shared" si="60"/>
        <v>0</v>
      </c>
      <c r="T259" s="13"/>
      <c r="U259" s="13"/>
      <c r="V259" s="13"/>
      <c r="W259" s="13"/>
      <c r="X259" s="13"/>
      <c r="Y259" s="13"/>
      <c r="Z259" s="13"/>
      <c r="AA259" s="13"/>
      <c r="AB259" s="13"/>
      <c r="AC259" s="13"/>
      <c r="AD259" s="13"/>
      <c r="AE259" s="13"/>
      <c r="AF259" s="13"/>
      <c r="AG259" s="13"/>
      <c r="AH259" s="13"/>
      <c r="AI259" s="13"/>
      <c r="AJ259" s="13"/>
      <c r="AK259" s="13"/>
      <c r="AL259" s="13"/>
      <c r="AM259" s="13"/>
      <c r="AN259" s="13"/>
    </row>
    <row r="260" spans="1:40" ht="20.25" hidden="1">
      <c r="A260" t="str">
        <f t="shared" si="56"/>
        <v>Carrosserie[...]</v>
      </c>
      <c r="B260" s="11" t="s">
        <v>94</v>
      </c>
      <c r="C260" s="29" t="s">
        <v>19</v>
      </c>
      <c r="D260" s="81"/>
      <c r="E260" s="13"/>
      <c r="F260" s="30">
        <v>0</v>
      </c>
      <c r="G260" s="83"/>
      <c r="H260" s="13"/>
      <c r="I260" s="30"/>
      <c r="J260" s="41"/>
      <c r="K260" s="13"/>
      <c r="L260" s="33">
        <v>0</v>
      </c>
      <c r="M260" s="41"/>
      <c r="N260" s="59">
        <f t="shared" si="58"/>
        <v>0</v>
      </c>
      <c r="O260" s="41"/>
      <c r="P260" s="13"/>
      <c r="Q260" s="33">
        <v>0</v>
      </c>
      <c r="R260" s="41"/>
      <c r="S260" s="85">
        <f t="shared" si="60"/>
        <v>0</v>
      </c>
      <c r="T260" s="13"/>
      <c r="U260" s="13"/>
      <c r="V260" s="13"/>
      <c r="W260" s="13"/>
      <c r="X260" s="13"/>
      <c r="Y260" s="13"/>
      <c r="Z260" s="13"/>
      <c r="AA260" s="13"/>
      <c r="AB260" s="13"/>
      <c r="AC260" s="13"/>
      <c r="AD260" s="13"/>
      <c r="AE260" s="13"/>
      <c r="AF260" s="13"/>
      <c r="AG260" s="13"/>
      <c r="AH260" s="13"/>
      <c r="AI260" s="13"/>
      <c r="AJ260" s="13"/>
      <c r="AK260" s="13"/>
      <c r="AL260" s="13"/>
      <c r="AM260" s="13"/>
      <c r="AN260" s="13"/>
    </row>
    <row r="261" spans="1:40" ht="20.25">
      <c r="A261" t="str">
        <f t="shared" si="56"/>
        <v>CarrosserieSalaires en absences</v>
      </c>
      <c r="B261" s="11" t="s">
        <v>94</v>
      </c>
      <c r="C261" s="103" t="s">
        <v>44</v>
      </c>
      <c r="D261" s="81"/>
      <c r="E261" s="13"/>
      <c r="F261" s="22">
        <v>98.908842881715017</v>
      </c>
      <c r="G261" s="83"/>
      <c r="H261" s="13"/>
      <c r="I261" s="22"/>
      <c r="J261" s="41"/>
      <c r="K261" s="13"/>
      <c r="L261" s="33">
        <v>137.97</v>
      </c>
      <c r="M261" s="41"/>
      <c r="N261" s="59">
        <f t="shared" si="58"/>
        <v>39.061157118284981</v>
      </c>
      <c r="O261" s="41"/>
      <c r="P261" s="13"/>
      <c r="Q261" s="33">
        <v>60.2</v>
      </c>
      <c r="R261" s="41"/>
      <c r="S261" s="85">
        <f t="shared" si="60"/>
        <v>77.77</v>
      </c>
      <c r="T261" s="13"/>
      <c r="U261" s="13"/>
      <c r="V261" s="13"/>
      <c r="W261" s="13"/>
      <c r="X261" s="13"/>
      <c r="Y261" s="13"/>
      <c r="Z261" s="13"/>
      <c r="AA261" s="13"/>
      <c r="AB261" s="13"/>
      <c r="AC261" s="13"/>
      <c r="AD261" s="13"/>
      <c r="AE261" s="13"/>
      <c r="AF261" s="13"/>
      <c r="AG261" s="13"/>
      <c r="AH261" s="13"/>
      <c r="AI261" s="13"/>
      <c r="AJ261" s="13"/>
      <c r="AK261" s="13"/>
      <c r="AL261" s="13"/>
      <c r="AM261" s="13"/>
      <c r="AN261" s="13"/>
    </row>
    <row r="262" spans="1:40" ht="20.25">
      <c r="A262" t="str">
        <f t="shared" si="56"/>
        <v>CarrosserieDéduction à la source</v>
      </c>
      <c r="B262" s="11" t="s">
        <v>94</v>
      </c>
      <c r="C262" s="102" t="s">
        <v>45</v>
      </c>
      <c r="D262" s="104"/>
      <c r="E262" s="105"/>
      <c r="F262" s="30">
        <v>140.31132115139951</v>
      </c>
      <c r="G262" s="106"/>
      <c r="H262" s="105"/>
      <c r="I262" s="30"/>
      <c r="J262" s="107"/>
      <c r="K262" s="105"/>
      <c r="L262" s="108">
        <v>221.21</v>
      </c>
      <c r="M262" s="107"/>
      <c r="N262" s="109">
        <f t="shared" si="58"/>
        <v>80.898678848600497</v>
      </c>
      <c r="O262" s="107"/>
      <c r="P262" s="105"/>
      <c r="Q262" s="108">
        <v>215.87</v>
      </c>
      <c r="R262" s="107"/>
      <c r="S262" s="110">
        <f t="shared" si="60"/>
        <v>5.3400000000000034</v>
      </c>
      <c r="T262" s="13"/>
      <c r="U262" s="13"/>
      <c r="V262" s="13"/>
      <c r="W262" s="13"/>
      <c r="X262" s="13"/>
      <c r="Y262" s="13"/>
      <c r="Z262" s="13"/>
      <c r="AA262" s="13"/>
      <c r="AB262" s="13"/>
      <c r="AC262" s="13"/>
      <c r="AD262" s="13"/>
      <c r="AE262" s="13"/>
      <c r="AF262" s="13"/>
      <c r="AG262" s="13"/>
      <c r="AH262" s="13"/>
      <c r="AI262" s="13"/>
      <c r="AJ262" s="13"/>
      <c r="AK262" s="13"/>
      <c r="AL262" s="13"/>
      <c r="AM262" s="13"/>
      <c r="AN262" s="13"/>
    </row>
    <row r="263" spans="1:40" ht="20.25">
      <c r="A263" t="str">
        <f t="shared" si="56"/>
        <v>CarrosserieBénéfices marginaux</v>
      </c>
      <c r="B263" s="11" t="s">
        <v>94</v>
      </c>
      <c r="C263" s="102" t="s">
        <v>46</v>
      </c>
      <c r="D263" s="81"/>
      <c r="E263" s="13"/>
      <c r="F263" s="30">
        <v>64.920163517811702</v>
      </c>
      <c r="G263" s="83"/>
      <c r="H263" s="13"/>
      <c r="I263" s="30"/>
      <c r="J263" s="41"/>
      <c r="K263" s="13"/>
      <c r="L263" s="33">
        <v>49.42</v>
      </c>
      <c r="M263" s="41"/>
      <c r="N263" s="59">
        <f t="shared" si="58"/>
        <v>-15.5001635178117</v>
      </c>
      <c r="O263" s="41"/>
      <c r="P263" s="13"/>
      <c r="Q263" s="33">
        <v>37.19</v>
      </c>
      <c r="R263" s="41"/>
      <c r="S263" s="85">
        <f t="shared" si="60"/>
        <v>12.230000000000004</v>
      </c>
      <c r="T263" s="13"/>
      <c r="U263" s="13"/>
      <c r="V263" s="13"/>
      <c r="W263" s="13"/>
      <c r="X263" s="13"/>
      <c r="Y263" s="13"/>
      <c r="Z263" s="13"/>
      <c r="AA263" s="13"/>
      <c r="AB263" s="13"/>
      <c r="AC263" s="13"/>
      <c r="AD263" s="13"/>
      <c r="AE263" s="13"/>
      <c r="AF263" s="13"/>
      <c r="AG263" s="13"/>
      <c r="AH263" s="13"/>
      <c r="AI263" s="13"/>
      <c r="AJ263" s="13"/>
      <c r="AK263" s="13"/>
      <c r="AL263" s="13"/>
      <c r="AM263" s="13"/>
      <c r="AN263" s="13"/>
    </row>
    <row r="264" spans="1:40" ht="20.25">
      <c r="A264" t="str">
        <f t="shared" si="56"/>
        <v>CarrosserieCsst</v>
      </c>
      <c r="B264" s="11" t="s">
        <v>94</v>
      </c>
      <c r="C264" s="102" t="s">
        <v>47</v>
      </c>
      <c r="D264" s="81"/>
      <c r="E264" s="13"/>
      <c r="F264" s="30">
        <v>14.659391762086514</v>
      </c>
      <c r="G264" s="83"/>
      <c r="H264" s="13"/>
      <c r="I264" s="30"/>
      <c r="J264" s="41"/>
      <c r="K264" s="13"/>
      <c r="L264" s="33">
        <v>4.9800000000000004</v>
      </c>
      <c r="M264" s="467"/>
      <c r="N264" s="146">
        <f t="shared" si="58"/>
        <v>-9.6793917620865138</v>
      </c>
      <c r="O264" s="41"/>
      <c r="P264" s="13"/>
      <c r="Q264" s="33">
        <v>3.98</v>
      </c>
      <c r="R264" s="41"/>
      <c r="S264" s="85">
        <f t="shared" si="60"/>
        <v>1.0000000000000004</v>
      </c>
      <c r="T264" s="13"/>
      <c r="U264" s="13"/>
      <c r="V264" s="13"/>
      <c r="W264" s="13"/>
      <c r="X264" s="13"/>
      <c r="Y264" s="13"/>
      <c r="Z264" s="13"/>
      <c r="AA264" s="13"/>
      <c r="AB264" s="13"/>
      <c r="AC264" s="13"/>
      <c r="AD264" s="13"/>
      <c r="AE264" s="13"/>
      <c r="AF264" s="13"/>
      <c r="AG264" s="13"/>
      <c r="AH264" s="13"/>
      <c r="AI264" s="13"/>
      <c r="AJ264" s="13"/>
      <c r="AK264" s="13"/>
      <c r="AL264" s="13"/>
      <c r="AM264" s="13"/>
      <c r="AN264" s="13"/>
    </row>
    <row r="265" spans="1:40" ht="20.25" hidden="1">
      <c r="A265" t="str">
        <f t="shared" si="56"/>
        <v>Carrosserie[...]</v>
      </c>
      <c r="B265" s="11" t="s">
        <v>94</v>
      </c>
      <c r="C265" s="29" t="s">
        <v>19</v>
      </c>
      <c r="D265" s="87"/>
      <c r="E265" s="111"/>
      <c r="F265" s="30">
        <v>0</v>
      </c>
      <c r="G265" s="89"/>
      <c r="H265" s="111"/>
      <c r="I265" s="30"/>
      <c r="J265" s="23"/>
      <c r="K265" s="111"/>
      <c r="L265" s="33">
        <v>0</v>
      </c>
      <c r="M265" s="23"/>
      <c r="N265" s="91">
        <f t="shared" si="58"/>
        <v>0</v>
      </c>
      <c r="O265" s="23"/>
      <c r="P265" s="111"/>
      <c r="Q265" s="33">
        <v>0</v>
      </c>
      <c r="R265" s="23"/>
      <c r="S265" s="92">
        <f t="shared" si="60"/>
        <v>0</v>
      </c>
      <c r="T265" s="13"/>
      <c r="U265" s="13"/>
      <c r="V265" s="13"/>
      <c r="W265" s="13"/>
      <c r="X265" s="13"/>
      <c r="Y265" s="13"/>
      <c r="Z265" s="13"/>
      <c r="AA265" s="13"/>
      <c r="AB265" s="13"/>
      <c r="AC265" s="13"/>
      <c r="AD265" s="13"/>
      <c r="AE265" s="13"/>
      <c r="AF265" s="13"/>
      <c r="AG265" s="13"/>
      <c r="AH265" s="13"/>
      <c r="AI265" s="13"/>
      <c r="AJ265" s="13"/>
      <c r="AK265" s="13"/>
      <c r="AL265" s="13"/>
      <c r="AM265" s="13"/>
      <c r="AN265" s="13"/>
    </row>
    <row r="266" spans="1:40" ht="20.25">
      <c r="A266" t="str">
        <f t="shared" si="56"/>
        <v>CarrosserieTOTAL PERSONNEL</v>
      </c>
      <c r="B266" s="11" t="s">
        <v>94</v>
      </c>
      <c r="C266" s="93" t="s">
        <v>48</v>
      </c>
      <c r="D266" s="94" t="s">
        <v>38</v>
      </c>
      <c r="E266" s="95" t="e">
        <f>F266/F$244</f>
        <v>#DIV/0!</v>
      </c>
      <c r="F266" s="96">
        <f>+SUM(F254:F265)</f>
        <v>988.73502465652427</v>
      </c>
      <c r="G266" s="97"/>
      <c r="H266" s="95"/>
      <c r="I266" s="96"/>
      <c r="J266" s="97" t="s">
        <v>38</v>
      </c>
      <c r="K266" s="95">
        <f>IF(L244=0,0,L266/L$244)</f>
        <v>0</v>
      </c>
      <c r="L266" s="96">
        <f>+SUM(L254:L265)</f>
        <v>1060.25</v>
      </c>
      <c r="M266" s="147"/>
      <c r="N266" s="113">
        <f t="shared" si="58"/>
        <v>71.514975343475726</v>
      </c>
      <c r="O266" s="97" t="s">
        <v>38</v>
      </c>
      <c r="P266" s="95">
        <f>IF(Q244=0,0,Q266/Q$244)</f>
        <v>0</v>
      </c>
      <c r="Q266" s="96">
        <f>+SUM(Q254:Q265)</f>
        <v>987.11000000000013</v>
      </c>
      <c r="R266" s="147"/>
      <c r="S266" s="114">
        <f t="shared" si="60"/>
        <v>73.139999999999873</v>
      </c>
      <c r="T266" s="13"/>
      <c r="U266" s="13"/>
      <c r="V266" s="13"/>
      <c r="W266" s="13"/>
      <c r="X266" s="13"/>
      <c r="Y266" s="13"/>
      <c r="Z266" s="13"/>
      <c r="AA266" s="13"/>
      <c r="AB266" s="13"/>
      <c r="AC266" s="13"/>
      <c r="AD266" s="13"/>
      <c r="AE266" s="13"/>
      <c r="AF266" s="13"/>
      <c r="AG266" s="13"/>
      <c r="AH266" s="13"/>
      <c r="AI266" s="13"/>
      <c r="AJ266" s="13"/>
      <c r="AK266" s="13"/>
      <c r="AL266" s="13"/>
      <c r="AM266" s="13"/>
      <c r="AN266" s="13"/>
    </row>
    <row r="267" spans="1:40" ht="20.25">
      <c r="A267" t="str">
        <f t="shared" si="56"/>
        <v>CarrosseriePublicité 2</v>
      </c>
      <c r="B267" s="11" t="s">
        <v>94</v>
      </c>
      <c r="C267" s="211" t="s">
        <v>49</v>
      </c>
      <c r="D267" s="81"/>
      <c r="E267" s="13"/>
      <c r="F267" s="30">
        <v>0</v>
      </c>
      <c r="G267" s="83"/>
      <c r="H267" s="13"/>
      <c r="I267" s="30"/>
      <c r="J267" s="41"/>
      <c r="K267" s="13"/>
      <c r="L267" s="33">
        <v>0</v>
      </c>
      <c r="M267" s="41"/>
      <c r="N267" s="59">
        <f t="shared" si="58"/>
        <v>0</v>
      </c>
      <c r="O267" s="41"/>
      <c r="P267" s="13"/>
      <c r="Q267" s="33">
        <v>0</v>
      </c>
      <c r="R267" s="41"/>
      <c r="S267" s="85">
        <f t="shared" si="60"/>
        <v>0</v>
      </c>
      <c r="T267" s="13"/>
      <c r="U267" s="13"/>
      <c r="V267" s="13"/>
      <c r="W267" s="13"/>
      <c r="X267" s="13"/>
      <c r="Y267" s="13"/>
      <c r="Z267" s="13"/>
      <c r="AA267" s="13"/>
      <c r="AB267" s="13"/>
      <c r="AC267" s="13"/>
      <c r="AD267" s="13"/>
      <c r="AE267" s="13"/>
      <c r="AF267" s="13"/>
      <c r="AG267" s="13"/>
      <c r="AH267" s="13"/>
      <c r="AI267" s="13"/>
      <c r="AJ267" s="13"/>
      <c r="AK267" s="13"/>
      <c r="AL267" s="13"/>
      <c r="AM267" s="13"/>
      <c r="AN267" s="13"/>
    </row>
    <row r="268" spans="1:40" ht="20.25">
      <c r="A268" t="str">
        <f t="shared" si="56"/>
        <v>CarrosserieService gratuit 2</v>
      </c>
      <c r="B268" s="11" t="s">
        <v>94</v>
      </c>
      <c r="C268" s="102" t="s">
        <v>50</v>
      </c>
      <c r="D268" s="81"/>
      <c r="E268" s="13"/>
      <c r="F268" s="30">
        <v>0</v>
      </c>
      <c r="G268" s="83"/>
      <c r="H268" s="13"/>
      <c r="I268" s="30"/>
      <c r="J268" s="41"/>
      <c r="K268" s="13"/>
      <c r="L268" s="33">
        <v>0</v>
      </c>
      <c r="M268" s="41"/>
      <c r="N268" s="59">
        <f t="shared" si="58"/>
        <v>0</v>
      </c>
      <c r="O268" s="41"/>
      <c r="P268" s="13"/>
      <c r="Q268" s="33">
        <v>18.54</v>
      </c>
      <c r="R268" s="41"/>
      <c r="S268" s="85">
        <f t="shared" si="60"/>
        <v>-18.54</v>
      </c>
      <c r="T268" s="13"/>
      <c r="U268" s="13"/>
      <c r="V268" s="13"/>
      <c r="W268" s="13"/>
      <c r="X268" s="13"/>
      <c r="Y268" s="13"/>
      <c r="Z268" s="13"/>
      <c r="AA268" s="13"/>
      <c r="AB268" s="13"/>
      <c r="AC268" s="13"/>
      <c r="AD268" s="13"/>
      <c r="AE268" s="13"/>
      <c r="AF268" s="13"/>
      <c r="AG268" s="13"/>
      <c r="AH268" s="13"/>
      <c r="AI268" s="13"/>
      <c r="AJ268" s="13"/>
      <c r="AK268" s="13"/>
      <c r="AL268" s="13"/>
      <c r="AM268" s="13"/>
      <c r="AN268" s="13"/>
    </row>
    <row r="269" spans="1:40" ht="20.25">
      <c r="A269" t="str">
        <f t="shared" si="56"/>
        <v>CarrosserieFrais véhicules de cie</v>
      </c>
      <c r="B269" s="11" t="s">
        <v>94</v>
      </c>
      <c r="C269" s="103" t="s">
        <v>51</v>
      </c>
      <c r="D269" s="87"/>
      <c r="E269" s="111"/>
      <c r="F269" s="22">
        <v>119.375</v>
      </c>
      <c r="G269" s="89"/>
      <c r="H269" s="111"/>
      <c r="I269" s="22"/>
      <c r="J269" s="23"/>
      <c r="K269" s="111"/>
      <c r="L269" s="33">
        <v>168.11</v>
      </c>
      <c r="M269" s="23"/>
      <c r="N269" s="91">
        <f t="shared" si="58"/>
        <v>48.735000000000014</v>
      </c>
      <c r="O269" s="23"/>
      <c r="P269" s="111"/>
      <c r="Q269" s="33">
        <v>125.25</v>
      </c>
      <c r="R269" s="23"/>
      <c r="S269" s="92">
        <f t="shared" si="60"/>
        <v>42.860000000000014</v>
      </c>
      <c r="T269" s="13"/>
      <c r="U269" s="13"/>
      <c r="V269" s="13"/>
      <c r="W269" s="13"/>
      <c r="X269" s="13"/>
      <c r="Y269" s="13"/>
      <c r="Z269" s="13"/>
      <c r="AA269" s="13"/>
      <c r="AB269" s="13"/>
      <c r="AC269" s="13"/>
      <c r="AD269" s="13"/>
      <c r="AE269" s="13"/>
      <c r="AF269" s="13"/>
      <c r="AG269" s="13"/>
      <c r="AH269" s="13"/>
      <c r="AI269" s="13"/>
      <c r="AJ269" s="13"/>
      <c r="AK269" s="13"/>
      <c r="AL269" s="13"/>
      <c r="AM269" s="13"/>
      <c r="AN269" s="13"/>
    </row>
    <row r="270" spans="1:40" ht="20.25">
      <c r="A270" t="str">
        <f t="shared" si="56"/>
        <v>CarrosserieInformatique</v>
      </c>
      <c r="B270" s="11" t="s">
        <v>94</v>
      </c>
      <c r="C270" s="102" t="s">
        <v>52</v>
      </c>
      <c r="D270" s="81"/>
      <c r="E270" s="13"/>
      <c r="F270" s="30">
        <v>239.22500000000002</v>
      </c>
      <c r="G270" s="83"/>
      <c r="H270" s="13"/>
      <c r="I270" s="30"/>
      <c r="J270" s="41"/>
      <c r="K270" s="13"/>
      <c r="L270" s="108">
        <v>215.26</v>
      </c>
      <c r="M270" s="41"/>
      <c r="N270" s="59">
        <f t="shared" si="58"/>
        <v>-23.965000000000032</v>
      </c>
      <c r="O270" s="41"/>
      <c r="P270" s="13"/>
      <c r="Q270" s="108">
        <v>233.17</v>
      </c>
      <c r="R270" s="41"/>
      <c r="S270" s="85">
        <f t="shared" si="60"/>
        <v>-17.909999999999997</v>
      </c>
      <c r="T270" s="13"/>
      <c r="U270" s="13"/>
      <c r="V270" s="13"/>
      <c r="W270" s="13"/>
      <c r="X270" s="13"/>
      <c r="Y270" s="13"/>
      <c r="Z270" s="13"/>
      <c r="AA270" s="13"/>
      <c r="AB270" s="13"/>
      <c r="AC270" s="13"/>
      <c r="AD270" s="13"/>
      <c r="AE270" s="13"/>
      <c r="AF270" s="13"/>
      <c r="AG270" s="13"/>
      <c r="AH270" s="13"/>
      <c r="AI270" s="13"/>
      <c r="AJ270" s="13"/>
      <c r="AK270" s="13"/>
      <c r="AL270" s="13"/>
      <c r="AM270" s="13"/>
      <c r="AN270" s="13"/>
    </row>
    <row r="271" spans="1:40" ht="20.25">
      <c r="A271" t="str">
        <f t="shared" si="56"/>
        <v>CarrosserieFrais de déplacement</v>
      </c>
      <c r="B271" s="11" t="s">
        <v>94</v>
      </c>
      <c r="C271" s="102" t="s">
        <v>53</v>
      </c>
      <c r="D271" s="81"/>
      <c r="E271" s="13"/>
      <c r="F271" s="30">
        <v>45.7</v>
      </c>
      <c r="G271" s="83"/>
      <c r="H271" s="13"/>
      <c r="I271" s="30"/>
      <c r="J271" s="41"/>
      <c r="K271" s="13"/>
      <c r="L271" s="33">
        <v>40.299999999999997</v>
      </c>
      <c r="M271" s="41"/>
      <c r="N271" s="59">
        <f t="shared" si="58"/>
        <v>-5.4000000000000057</v>
      </c>
      <c r="O271" s="41"/>
      <c r="P271" s="13"/>
      <c r="Q271" s="33">
        <v>23.81</v>
      </c>
      <c r="R271" s="41"/>
      <c r="S271" s="85">
        <f t="shared" si="60"/>
        <v>16.489999999999998</v>
      </c>
      <c r="T271" s="13"/>
      <c r="U271" s="13"/>
      <c r="V271" s="13"/>
      <c r="W271" s="13"/>
      <c r="X271" s="13"/>
      <c r="Y271" s="13"/>
      <c r="Z271" s="13"/>
      <c r="AA271" s="13"/>
      <c r="AB271" s="13"/>
      <c r="AC271" s="13"/>
      <c r="AD271" s="13"/>
      <c r="AE271" s="13"/>
      <c r="AF271" s="13"/>
      <c r="AG271" s="13"/>
      <c r="AH271" s="13"/>
      <c r="AI271" s="13"/>
      <c r="AJ271" s="13"/>
      <c r="AK271" s="13"/>
      <c r="AL271" s="13"/>
      <c r="AM271" s="13"/>
      <c r="AN271" s="13"/>
    </row>
    <row r="272" spans="1:40" ht="20.25">
      <c r="A272" t="str">
        <f t="shared" si="56"/>
        <v>CarrosserieServices extérieurs</v>
      </c>
      <c r="B272" s="11" t="s">
        <v>94</v>
      </c>
      <c r="C272" s="102" t="s">
        <v>54</v>
      </c>
      <c r="D272" s="87"/>
      <c r="E272" s="111"/>
      <c r="F272" s="22">
        <v>153.02500000000001</v>
      </c>
      <c r="G272" s="89"/>
      <c r="H272" s="111"/>
      <c r="I272" s="22"/>
      <c r="J272" s="23"/>
      <c r="K272" s="111"/>
      <c r="L272" s="33">
        <v>159.81</v>
      </c>
      <c r="M272" s="23"/>
      <c r="N272" s="91">
        <f t="shared" si="58"/>
        <v>6.7849999999999966</v>
      </c>
      <c r="O272" s="23"/>
      <c r="P272" s="111"/>
      <c r="Q272" s="22">
        <v>122.39</v>
      </c>
      <c r="R272" s="23"/>
      <c r="S272" s="92">
        <f t="shared" si="60"/>
        <v>37.42</v>
      </c>
      <c r="T272" s="13"/>
      <c r="U272" s="13"/>
      <c r="V272" s="13"/>
      <c r="W272" s="13"/>
      <c r="X272" s="13"/>
      <c r="Y272" s="13"/>
      <c r="Z272" s="13"/>
      <c r="AA272" s="13"/>
      <c r="AB272" s="13"/>
      <c r="AC272" s="13"/>
      <c r="AD272" s="13"/>
      <c r="AE272" s="13"/>
      <c r="AF272" s="13"/>
      <c r="AG272" s="13"/>
      <c r="AH272" s="13"/>
      <c r="AI272" s="13"/>
      <c r="AJ272" s="13"/>
      <c r="AK272" s="13"/>
      <c r="AL272" s="13"/>
      <c r="AM272" s="13"/>
      <c r="AN272" s="13"/>
    </row>
    <row r="273" spans="1:40" ht="20.25">
      <c r="A273" t="str">
        <f>+B273&amp;C273</f>
        <v>CarrosserieFournitures d'atelier</v>
      </c>
      <c r="B273" s="11" t="s">
        <v>94</v>
      </c>
      <c r="C273" s="212" t="s">
        <v>93</v>
      </c>
      <c r="D273" s="81"/>
      <c r="E273" s="13"/>
      <c r="F273" s="30"/>
      <c r="G273" s="83"/>
      <c r="H273" s="13"/>
      <c r="I273" s="30"/>
      <c r="J273" s="41"/>
      <c r="K273" s="13"/>
      <c r="L273" s="55">
        <v>0</v>
      </c>
      <c r="M273" s="41"/>
      <c r="N273" s="59">
        <f t="shared" si="58"/>
        <v>0</v>
      </c>
      <c r="O273" s="41"/>
      <c r="P273" s="13"/>
      <c r="Q273" s="33">
        <v>0</v>
      </c>
      <c r="R273" s="41"/>
      <c r="S273" s="85">
        <f>L273-Q273</f>
        <v>0</v>
      </c>
      <c r="T273" s="13"/>
      <c r="U273" s="13"/>
      <c r="V273" s="13"/>
      <c r="W273" s="13"/>
      <c r="X273" s="13"/>
      <c r="Y273" s="13"/>
      <c r="Z273" s="13"/>
      <c r="AA273" s="13"/>
      <c r="AB273" s="13"/>
      <c r="AC273" s="13"/>
      <c r="AD273" s="13"/>
      <c r="AE273" s="13"/>
      <c r="AF273" s="13"/>
      <c r="AG273" s="13"/>
      <c r="AH273" s="13"/>
      <c r="AI273" s="13"/>
      <c r="AJ273" s="13"/>
      <c r="AK273" s="13"/>
      <c r="AL273" s="13"/>
      <c r="AM273" s="13"/>
      <c r="AN273" s="13"/>
    </row>
    <row r="274" spans="1:40" ht="20.25">
      <c r="A274" t="str">
        <f t="shared" ref="A274:A282" si="61">+B274&amp;C274</f>
        <v>CarrosserieFournitures autres</v>
      </c>
      <c r="B274" s="11" t="s">
        <v>94</v>
      </c>
      <c r="C274" s="102" t="s">
        <v>55</v>
      </c>
      <c r="D274" s="81"/>
      <c r="E274" s="13"/>
      <c r="F274" s="30">
        <v>2.5301204819277108</v>
      </c>
      <c r="G274" s="83"/>
      <c r="H274" s="13"/>
      <c r="I274" s="30"/>
      <c r="J274" s="41"/>
      <c r="K274" s="13"/>
      <c r="L274" s="33">
        <v>0</v>
      </c>
      <c r="M274" s="41"/>
      <c r="N274" s="59">
        <f t="shared" si="58"/>
        <v>-2.5301204819277108</v>
      </c>
      <c r="O274" s="41"/>
      <c r="P274" s="13"/>
      <c r="Q274" s="33">
        <v>0</v>
      </c>
      <c r="R274" s="41"/>
      <c r="S274" s="85">
        <f t="shared" ref="S274:S282" si="62">L274-Q274</f>
        <v>0</v>
      </c>
      <c r="T274" s="13"/>
      <c r="U274" s="13"/>
      <c r="V274" s="13"/>
      <c r="W274" s="13"/>
      <c r="X274" s="13"/>
      <c r="Y274" s="13"/>
      <c r="Z274" s="13"/>
      <c r="AA274" s="13"/>
      <c r="AB274" s="13"/>
      <c r="AC274" s="13"/>
      <c r="AD274" s="13"/>
      <c r="AE274" s="13"/>
      <c r="AF274" s="13"/>
      <c r="AG274" s="13"/>
      <c r="AH274" s="13"/>
      <c r="AI274" s="13"/>
      <c r="AJ274" s="13"/>
      <c r="AK274" s="13"/>
      <c r="AL274" s="13"/>
      <c r="AM274" s="13"/>
      <c r="AN274" s="13"/>
    </row>
    <row r="275" spans="1:40" ht="20.25">
      <c r="A275" t="str">
        <f t="shared" si="61"/>
        <v>CarrosserieUniformes</v>
      </c>
      <c r="B275" s="11" t="s">
        <v>94</v>
      </c>
      <c r="C275" s="102" t="s">
        <v>56</v>
      </c>
      <c r="D275" s="81"/>
      <c r="E275" s="13"/>
      <c r="F275" s="30">
        <v>0</v>
      </c>
      <c r="G275" s="83"/>
      <c r="H275" s="13"/>
      <c r="I275" s="30"/>
      <c r="J275" s="41"/>
      <c r="K275" s="13"/>
      <c r="L275" s="33">
        <v>13.75</v>
      </c>
      <c r="M275" s="41"/>
      <c r="N275" s="59">
        <f t="shared" si="58"/>
        <v>13.75</v>
      </c>
      <c r="O275" s="41"/>
      <c r="P275" s="13"/>
      <c r="Q275" s="33">
        <v>0</v>
      </c>
      <c r="R275" s="41"/>
      <c r="S275" s="85">
        <f t="shared" si="62"/>
        <v>13.75</v>
      </c>
      <c r="T275" s="13"/>
      <c r="U275" s="13"/>
      <c r="V275" s="13"/>
      <c r="W275" s="13"/>
      <c r="X275" s="13"/>
      <c r="Y275" s="13"/>
      <c r="Z275" s="13"/>
      <c r="AA275" s="13"/>
      <c r="AB275" s="13"/>
      <c r="AC275" s="13"/>
      <c r="AD275" s="13"/>
      <c r="AE275" s="13"/>
      <c r="AF275" s="13"/>
      <c r="AG275" s="13"/>
      <c r="AH275" s="13"/>
      <c r="AI275" s="13"/>
      <c r="AJ275" s="13"/>
      <c r="AK275" s="13"/>
      <c r="AL275" s="13"/>
      <c r="AM275" s="13"/>
      <c r="AN275" s="13"/>
    </row>
    <row r="276" spans="1:40" ht="20.25">
      <c r="A276" t="str">
        <f t="shared" si="61"/>
        <v>CarrosseriePapeterie</v>
      </c>
      <c r="B276" s="11" t="s">
        <v>94</v>
      </c>
      <c r="C276" s="102" t="s">
        <v>57</v>
      </c>
      <c r="D276" s="81"/>
      <c r="E276" s="13"/>
      <c r="F276" s="30">
        <v>43.75</v>
      </c>
      <c r="G276" s="83"/>
      <c r="H276" s="13"/>
      <c r="I276" s="30"/>
      <c r="J276" s="41"/>
      <c r="K276" s="13"/>
      <c r="L276" s="32">
        <v>49.15</v>
      </c>
      <c r="M276" s="41"/>
      <c r="N276" s="59">
        <f t="shared" si="58"/>
        <v>5.3999999999999986</v>
      </c>
      <c r="O276" s="41"/>
      <c r="P276" s="13"/>
      <c r="Q276" s="32">
        <v>40.909999999999997</v>
      </c>
      <c r="R276" s="41"/>
      <c r="S276" s="85">
        <f t="shared" si="62"/>
        <v>8.240000000000002</v>
      </c>
      <c r="T276" s="13"/>
      <c r="U276" s="13"/>
      <c r="V276" s="13"/>
      <c r="W276" s="13"/>
      <c r="X276" s="13"/>
      <c r="Y276" s="13"/>
      <c r="Z276" s="13"/>
      <c r="AA276" s="13"/>
      <c r="AB276" s="13"/>
      <c r="AC276" s="13"/>
      <c r="AD276" s="13"/>
      <c r="AE276" s="13"/>
      <c r="AF276" s="13"/>
      <c r="AG276" s="13"/>
      <c r="AH276" s="13"/>
      <c r="AI276" s="13"/>
      <c r="AJ276" s="13"/>
      <c r="AK276" s="13"/>
      <c r="AL276" s="13"/>
      <c r="AM276" s="13"/>
      <c r="AN276" s="13"/>
    </row>
    <row r="277" spans="1:40" ht="20.25">
      <c r="A277" t="str">
        <f t="shared" si="61"/>
        <v>CarrosserieTéléphone</v>
      </c>
      <c r="B277" s="11" t="s">
        <v>94</v>
      </c>
      <c r="C277" s="102" t="s">
        <v>58</v>
      </c>
      <c r="D277" s="81"/>
      <c r="E277" s="13"/>
      <c r="F277" s="30">
        <v>8.8000000000000007</v>
      </c>
      <c r="G277" s="83"/>
      <c r="H277" s="13"/>
      <c r="I277" s="30"/>
      <c r="J277" s="41"/>
      <c r="K277" s="13"/>
      <c r="L277" s="33">
        <v>6.79</v>
      </c>
      <c r="M277" s="41"/>
      <c r="N277" s="59">
        <f t="shared" si="58"/>
        <v>-2.0100000000000007</v>
      </c>
      <c r="O277" s="41"/>
      <c r="P277" s="13"/>
      <c r="Q277" s="33">
        <v>11.39</v>
      </c>
      <c r="R277" s="41"/>
      <c r="S277" s="85">
        <f t="shared" si="62"/>
        <v>-4.6000000000000005</v>
      </c>
      <c r="T277" s="13"/>
      <c r="U277" s="13"/>
      <c r="V277" s="13"/>
      <c r="W277" s="13"/>
      <c r="X277" s="13"/>
      <c r="Y277" s="13"/>
      <c r="Z277" s="13"/>
      <c r="AA277" s="13"/>
      <c r="AB277" s="13"/>
      <c r="AC277" s="13"/>
      <c r="AD277" s="13"/>
      <c r="AE277" s="13"/>
      <c r="AF277" s="13"/>
      <c r="AG277" s="13"/>
      <c r="AH277" s="13"/>
      <c r="AI277" s="13"/>
      <c r="AJ277" s="13"/>
      <c r="AK277" s="13"/>
      <c r="AL277" s="13"/>
      <c r="AM277" s="13"/>
      <c r="AN277" s="13"/>
    </row>
    <row r="278" spans="1:40" ht="20.25">
      <c r="A278" t="str">
        <f t="shared" si="61"/>
        <v>CarrosserieFrais postaux</v>
      </c>
      <c r="B278" s="11" t="s">
        <v>94</v>
      </c>
      <c r="C278" s="102" t="s">
        <v>59</v>
      </c>
      <c r="D278" s="81"/>
      <c r="E278" s="13"/>
      <c r="F278" s="30">
        <v>12.5</v>
      </c>
      <c r="G278" s="83"/>
      <c r="H278" s="13"/>
      <c r="I278" s="30"/>
      <c r="J278" s="41"/>
      <c r="K278" s="13"/>
      <c r="L278" s="33">
        <v>6.45</v>
      </c>
      <c r="M278" s="41"/>
      <c r="N278" s="59">
        <f t="shared" si="58"/>
        <v>-6.05</v>
      </c>
      <c r="O278" s="41"/>
      <c r="P278" s="13"/>
      <c r="Q278" s="33">
        <v>16.52</v>
      </c>
      <c r="R278" s="41"/>
      <c r="S278" s="85">
        <f t="shared" si="62"/>
        <v>-10.07</v>
      </c>
      <c r="T278" s="13"/>
      <c r="U278" s="13"/>
      <c r="V278" s="13"/>
      <c r="W278" s="13"/>
      <c r="X278" s="13"/>
      <c r="Y278" s="13"/>
      <c r="Z278" s="13"/>
      <c r="AA278" s="13"/>
      <c r="AB278" s="13"/>
      <c r="AC278" s="13"/>
      <c r="AD278" s="13"/>
      <c r="AE278" s="13"/>
      <c r="AF278" s="13"/>
      <c r="AG278" s="13"/>
      <c r="AH278" s="13"/>
      <c r="AI278" s="13"/>
      <c r="AJ278" s="13"/>
      <c r="AK278" s="13"/>
      <c r="AL278" s="13"/>
      <c r="AM278" s="13"/>
      <c r="AN278" s="13"/>
    </row>
    <row r="279" spans="1:40" ht="20.25">
      <c r="A279" t="str">
        <f t="shared" si="61"/>
        <v>CarrosserieDivers</v>
      </c>
      <c r="B279" s="11" t="s">
        <v>94</v>
      </c>
      <c r="C279" s="102" t="s">
        <v>60</v>
      </c>
      <c r="D279" s="81"/>
      <c r="E279" s="13"/>
      <c r="F279" s="30">
        <v>46.45</v>
      </c>
      <c r="G279" s="83"/>
      <c r="H279" s="13"/>
      <c r="I279" s="30"/>
      <c r="J279" s="41"/>
      <c r="K279" s="13"/>
      <c r="L279" s="33">
        <v>46.260000000000005</v>
      </c>
      <c r="M279" s="41"/>
      <c r="N279" s="59">
        <f t="shared" si="58"/>
        <v>-0.18999999999999773</v>
      </c>
      <c r="O279" s="41"/>
      <c r="P279" s="13"/>
      <c r="Q279" s="33">
        <v>57.64</v>
      </c>
      <c r="R279" s="41"/>
      <c r="S279" s="85">
        <f t="shared" si="62"/>
        <v>-11.379999999999995</v>
      </c>
      <c r="T279" s="13"/>
      <c r="U279" s="13"/>
      <c r="V279" s="13"/>
      <c r="W279" s="13"/>
      <c r="X279" s="13"/>
      <c r="Y279" s="13"/>
      <c r="Z279" s="13"/>
      <c r="AA279" s="13"/>
      <c r="AB279" s="13"/>
      <c r="AC279" s="13"/>
      <c r="AD279" s="13"/>
      <c r="AE279" s="13"/>
      <c r="AF279" s="13"/>
      <c r="AG279" s="13"/>
      <c r="AH279" s="13"/>
      <c r="AI279" s="13"/>
      <c r="AJ279" s="13"/>
      <c r="AK279" s="13"/>
      <c r="AL279" s="13"/>
      <c r="AM279" s="13"/>
      <c r="AN279" s="13"/>
    </row>
    <row r="280" spans="1:40" ht="20.25">
      <c r="A280" t="str">
        <f t="shared" si="61"/>
        <v>CarrosserieFormation</v>
      </c>
      <c r="B280" s="11" t="s">
        <v>94</v>
      </c>
      <c r="C280" s="102" t="s">
        <v>61</v>
      </c>
      <c r="D280" s="81"/>
      <c r="E280" s="13"/>
      <c r="F280" s="30">
        <v>20.768359999999994</v>
      </c>
      <c r="G280" s="83"/>
      <c r="H280" s="13"/>
      <c r="I280" s="30"/>
      <c r="J280" s="41"/>
      <c r="K280" s="13"/>
      <c r="L280" s="33">
        <v>54.16</v>
      </c>
      <c r="M280" s="41"/>
      <c r="N280" s="59">
        <f t="shared" si="58"/>
        <v>33.391640000000002</v>
      </c>
      <c r="O280" s="41"/>
      <c r="P280" s="13"/>
      <c r="Q280" s="33">
        <v>20.55</v>
      </c>
      <c r="R280" s="41"/>
      <c r="S280" s="85">
        <f t="shared" si="62"/>
        <v>33.61</v>
      </c>
      <c r="T280" s="13"/>
      <c r="U280" s="13"/>
      <c r="V280" s="13"/>
      <c r="W280" s="13"/>
      <c r="X280" s="13"/>
      <c r="Y280" s="13"/>
      <c r="Z280" s="13"/>
      <c r="AA280" s="13"/>
      <c r="AB280" s="13"/>
      <c r="AC280" s="13"/>
      <c r="AD280" s="13"/>
      <c r="AE280" s="13"/>
      <c r="AF280" s="13"/>
      <c r="AG280" s="13"/>
      <c r="AH280" s="13"/>
      <c r="AI280" s="13"/>
      <c r="AJ280" s="13"/>
      <c r="AK280" s="13"/>
      <c r="AL280" s="13"/>
      <c r="AM280" s="13"/>
      <c r="AN280" s="13"/>
    </row>
    <row r="281" spans="1:40" ht="20.25">
      <c r="A281" t="str">
        <f t="shared" si="61"/>
        <v>CarrosserieFrais bancaires</v>
      </c>
      <c r="B281" s="11" t="s">
        <v>94</v>
      </c>
      <c r="C281" s="102" t="s">
        <v>62</v>
      </c>
      <c r="D281" s="81"/>
      <c r="E281" s="13"/>
      <c r="F281" s="30">
        <v>154.63591051700334</v>
      </c>
      <c r="G281" s="83"/>
      <c r="H281" s="13"/>
      <c r="I281" s="30"/>
      <c r="J281" s="41"/>
      <c r="K281" s="13"/>
      <c r="L281" s="33">
        <v>111</v>
      </c>
      <c r="M281" s="41"/>
      <c r="N281" s="59">
        <f t="shared" si="58"/>
        <v>-43.635910517003339</v>
      </c>
      <c r="O281" s="41"/>
      <c r="P281" s="13"/>
      <c r="Q281" s="33">
        <v>146.1</v>
      </c>
      <c r="R281" s="41"/>
      <c r="S281" s="85">
        <f t="shared" si="62"/>
        <v>-35.099999999999994</v>
      </c>
      <c r="T281" s="13"/>
      <c r="U281" s="13"/>
      <c r="V281" s="13"/>
      <c r="W281" s="13"/>
      <c r="X281" s="13"/>
      <c r="Y281" s="13"/>
      <c r="Z281" s="13"/>
      <c r="AA281" s="13"/>
      <c r="AB281" s="13"/>
      <c r="AC281" s="13"/>
      <c r="AD281" s="13"/>
      <c r="AE281" s="13"/>
      <c r="AF281" s="13"/>
      <c r="AG281" s="13"/>
      <c r="AH281" s="13"/>
      <c r="AI281" s="13"/>
      <c r="AJ281" s="13"/>
      <c r="AK281" s="13"/>
      <c r="AL281" s="13"/>
      <c r="AM281" s="13"/>
      <c r="AN281" s="13"/>
    </row>
    <row r="282" spans="1:40" ht="20.25" hidden="1">
      <c r="A282" t="str">
        <f t="shared" si="61"/>
        <v>Carrosserie[...]</v>
      </c>
      <c r="B282" s="11" t="s">
        <v>94</v>
      </c>
      <c r="C282" s="102" t="s">
        <v>19</v>
      </c>
      <c r="D282" s="81"/>
      <c r="E282" s="13"/>
      <c r="F282" s="30">
        <v>0</v>
      </c>
      <c r="G282" s="83"/>
      <c r="H282" s="13"/>
      <c r="I282" s="30"/>
      <c r="J282" s="41"/>
      <c r="K282" s="13"/>
      <c r="L282" s="33">
        <v>0</v>
      </c>
      <c r="M282" s="41"/>
      <c r="N282" s="59">
        <f t="shared" si="58"/>
        <v>0</v>
      </c>
      <c r="O282" s="41"/>
      <c r="P282" s="13"/>
      <c r="Q282" s="33">
        <v>0</v>
      </c>
      <c r="R282" s="41"/>
      <c r="S282" s="85">
        <f t="shared" si="62"/>
        <v>0</v>
      </c>
      <c r="T282" s="13"/>
      <c r="U282" s="13"/>
      <c r="V282" s="13"/>
      <c r="W282" s="13"/>
      <c r="X282" s="13"/>
      <c r="Y282" s="13"/>
      <c r="Z282" s="13"/>
      <c r="AA282" s="13"/>
      <c r="AB282" s="13"/>
      <c r="AC282" s="13"/>
      <c r="AD282" s="13"/>
      <c r="AE282" s="13"/>
      <c r="AF282" s="13"/>
      <c r="AG282" s="13"/>
      <c r="AH282" s="13"/>
      <c r="AI282" s="13"/>
      <c r="AJ282" s="13"/>
      <c r="AK282" s="13"/>
      <c r="AL282" s="13"/>
      <c r="AM282" s="13"/>
      <c r="AN282" s="13"/>
    </row>
    <row r="283" spans="1:40" ht="20.25" hidden="1">
      <c r="A283" t="str">
        <f>+B283&amp;C283</f>
        <v>Carrosserie[...]</v>
      </c>
      <c r="B283" s="11" t="s">
        <v>94</v>
      </c>
      <c r="C283" s="102" t="s">
        <v>19</v>
      </c>
      <c r="D283" s="81"/>
      <c r="E283" s="13"/>
      <c r="F283" s="30">
        <v>0</v>
      </c>
      <c r="G283" s="83"/>
      <c r="H283" s="13"/>
      <c r="I283" s="30"/>
      <c r="J283" s="41"/>
      <c r="K283" s="13"/>
      <c r="L283" s="33">
        <v>0</v>
      </c>
      <c r="M283" s="41"/>
      <c r="N283" s="59">
        <f t="shared" si="58"/>
        <v>0</v>
      </c>
      <c r="O283" s="41"/>
      <c r="P283" s="13"/>
      <c r="Q283" s="33">
        <v>0</v>
      </c>
      <c r="R283" s="41"/>
      <c r="S283" s="85">
        <f>L283-Q283</f>
        <v>0</v>
      </c>
      <c r="T283" s="13"/>
      <c r="U283" s="13"/>
      <c r="V283" s="13"/>
      <c r="W283" s="13"/>
      <c r="X283" s="13"/>
      <c r="Y283" s="13"/>
      <c r="Z283" s="13"/>
      <c r="AA283" s="13"/>
      <c r="AB283" s="13"/>
      <c r="AC283" s="13"/>
      <c r="AD283" s="13"/>
      <c r="AE283" s="13"/>
      <c r="AF283" s="13"/>
      <c r="AG283" s="13"/>
      <c r="AH283" s="13"/>
      <c r="AI283" s="13"/>
      <c r="AJ283" s="13"/>
      <c r="AK283" s="13"/>
      <c r="AL283" s="13"/>
      <c r="AM283" s="13"/>
      <c r="AN283" s="13"/>
    </row>
    <row r="284" spans="1:40" ht="20.25" hidden="1">
      <c r="A284" t="str">
        <f t="shared" ref="A284" si="63">+B284&amp;C284</f>
        <v>Carrosserie[...]</v>
      </c>
      <c r="B284" s="11" t="s">
        <v>94</v>
      </c>
      <c r="C284" s="102" t="s">
        <v>19</v>
      </c>
      <c r="D284" s="81"/>
      <c r="E284" s="13"/>
      <c r="F284" s="30">
        <v>0</v>
      </c>
      <c r="G284" s="83"/>
      <c r="H284" s="13"/>
      <c r="I284" s="30"/>
      <c r="J284" s="41"/>
      <c r="K284" s="13"/>
      <c r="L284" s="33">
        <v>0</v>
      </c>
      <c r="M284" s="41"/>
      <c r="N284" s="59">
        <f t="shared" si="58"/>
        <v>0</v>
      </c>
      <c r="O284" s="41"/>
      <c r="P284" s="13"/>
      <c r="Q284" s="33">
        <v>0</v>
      </c>
      <c r="R284" s="41"/>
      <c r="S284" s="85">
        <f t="shared" ref="S284" si="64">L284-Q284</f>
        <v>0</v>
      </c>
      <c r="T284" s="13"/>
      <c r="U284" s="13"/>
      <c r="V284" s="13"/>
      <c r="W284" s="13"/>
      <c r="X284" s="13"/>
      <c r="Y284" s="13"/>
      <c r="Z284" s="13"/>
      <c r="AA284" s="13"/>
      <c r="AB284" s="13"/>
      <c r="AC284" s="13"/>
      <c r="AD284" s="13"/>
      <c r="AE284" s="13"/>
      <c r="AF284" s="13"/>
      <c r="AG284" s="13"/>
      <c r="AH284" s="13"/>
      <c r="AI284" s="13"/>
      <c r="AJ284" s="13"/>
      <c r="AK284" s="13"/>
      <c r="AL284" s="13"/>
      <c r="AM284" s="13"/>
      <c r="AN284" s="13"/>
    </row>
    <row r="285" spans="1:40" ht="20.25">
      <c r="B285" s="11"/>
      <c r="C285" s="93" t="s">
        <v>63</v>
      </c>
      <c r="D285" s="94" t="s">
        <v>38</v>
      </c>
      <c r="E285" s="95" t="e">
        <f>F285/F$244</f>
        <v>#DIV/0!</v>
      </c>
      <c r="F285" s="96">
        <f>+SUM(F267:F284)</f>
        <v>846.75939099893117</v>
      </c>
      <c r="G285" s="97"/>
      <c r="H285" s="95"/>
      <c r="I285" s="96"/>
      <c r="J285" s="97" t="s">
        <v>38</v>
      </c>
      <c r="K285" s="95" t="e">
        <f>IF(L262=0,0,L285/L$244)</f>
        <v>#DIV/0!</v>
      </c>
      <c r="L285" s="96">
        <f>+SUM(L267:L284)</f>
        <v>871.04</v>
      </c>
      <c r="M285" s="100"/>
      <c r="N285" s="96">
        <f>+SUM(N267:N284)</f>
        <v>24.280609001068939</v>
      </c>
      <c r="O285" s="97" t="s">
        <v>38</v>
      </c>
      <c r="P285" s="95">
        <f>IF(Q$244=0,0,Q285/Q$244)</f>
        <v>0</v>
      </c>
      <c r="Q285" s="96">
        <f>+SUM(Q267:Q284)</f>
        <v>816.26999999999987</v>
      </c>
      <c r="R285" s="100"/>
      <c r="S285" s="101">
        <f>L285-Q285</f>
        <v>54.770000000000095</v>
      </c>
      <c r="T285" s="76"/>
      <c r="U285" s="13"/>
      <c r="V285" s="13"/>
      <c r="W285" s="13"/>
      <c r="X285" s="13"/>
      <c r="Y285" s="13"/>
      <c r="Z285" s="13"/>
      <c r="AA285" s="13"/>
      <c r="AB285" s="13"/>
      <c r="AC285" s="13"/>
      <c r="AD285" s="13"/>
      <c r="AE285" s="13"/>
      <c r="AF285" s="13"/>
      <c r="AG285" s="13"/>
      <c r="AH285" s="13"/>
      <c r="AI285" s="13"/>
      <c r="AJ285" s="13"/>
      <c r="AK285" s="13"/>
      <c r="AL285" s="13"/>
      <c r="AM285" s="13"/>
      <c r="AN285" s="13"/>
    </row>
    <row r="286" spans="1:40" ht="20.25">
      <c r="B286" s="11"/>
      <c r="C286" s="86"/>
      <c r="D286" s="87"/>
      <c r="E286" s="111"/>
      <c r="F286" s="59"/>
      <c r="G286" s="89"/>
      <c r="H286" s="111"/>
      <c r="I286" s="59"/>
      <c r="J286" s="23"/>
      <c r="K286" s="111"/>
      <c r="L286" s="91"/>
      <c r="M286" s="23"/>
      <c r="N286" s="91"/>
      <c r="O286" s="23"/>
      <c r="P286" s="111"/>
      <c r="Q286" s="91"/>
      <c r="R286" s="23"/>
      <c r="S286" s="92"/>
      <c r="T286" s="76"/>
      <c r="U286" s="13"/>
      <c r="V286" s="13"/>
      <c r="W286" s="13"/>
      <c r="X286" s="13"/>
      <c r="Y286" s="13"/>
      <c r="Z286" s="13"/>
      <c r="AA286" s="13"/>
      <c r="AB286" s="13"/>
      <c r="AC286" s="13"/>
      <c r="AD286" s="13"/>
      <c r="AE286" s="13"/>
      <c r="AF286" s="13"/>
      <c r="AG286" s="13"/>
      <c r="AH286" s="13"/>
      <c r="AI286" s="13"/>
      <c r="AJ286" s="13"/>
      <c r="AK286" s="13"/>
      <c r="AL286" s="13"/>
      <c r="AM286" s="13"/>
      <c r="AN286" s="13"/>
    </row>
    <row r="287" spans="1:40" ht="20.25">
      <c r="B287" s="11"/>
      <c r="C287" s="93" t="s">
        <v>64</v>
      </c>
      <c r="D287" s="94" t="s">
        <v>38</v>
      </c>
      <c r="E287" s="95" t="e">
        <f>F287/F$244</f>
        <v>#DIV/0!</v>
      </c>
      <c r="F287" s="96">
        <f>F266+F285</f>
        <v>1835.4944156554554</v>
      </c>
      <c r="G287" s="97"/>
      <c r="H287" s="95"/>
      <c r="I287" s="96"/>
      <c r="J287" s="97" t="s">
        <v>38</v>
      </c>
      <c r="K287" s="95" t="e">
        <f>IF(L264=0,0,L287/L$244)</f>
        <v>#DIV/0!</v>
      </c>
      <c r="L287" s="96">
        <f>L266+L285</f>
        <v>1931.29</v>
      </c>
      <c r="M287" s="100"/>
      <c r="N287" s="113">
        <f>L287-F287</f>
        <v>95.795584344544523</v>
      </c>
      <c r="O287" s="97" t="s">
        <v>38</v>
      </c>
      <c r="P287" s="95">
        <f>IF(Q$244=0,0,Q287/Q$244)</f>
        <v>0</v>
      </c>
      <c r="Q287" s="96">
        <f>Q266+Q285</f>
        <v>1803.38</v>
      </c>
      <c r="R287" s="100"/>
      <c r="S287" s="114">
        <f>L287-Q287</f>
        <v>127.90999999999985</v>
      </c>
      <c r="T287" s="76"/>
      <c r="U287" s="13"/>
      <c r="V287" s="13"/>
      <c r="W287" s="13"/>
      <c r="X287" s="13"/>
      <c r="Y287" s="13"/>
      <c r="Z287" s="13"/>
      <c r="AA287" s="13"/>
      <c r="AB287" s="13"/>
      <c r="AC287" s="13"/>
      <c r="AD287" s="13"/>
      <c r="AE287" s="13"/>
      <c r="AF287" s="13"/>
      <c r="AG287" s="13"/>
      <c r="AH287" s="13"/>
      <c r="AI287" s="13"/>
      <c r="AJ287" s="13"/>
      <c r="AK287" s="13"/>
      <c r="AL287" s="13"/>
      <c r="AM287" s="13"/>
      <c r="AN287" s="13"/>
    </row>
    <row r="288" spans="1:40" ht="20.25">
      <c r="B288" s="11"/>
      <c r="C288" s="29"/>
      <c r="D288" s="81"/>
      <c r="E288" s="13"/>
      <c r="F288" s="59"/>
      <c r="G288" s="83"/>
      <c r="H288" s="13"/>
      <c r="I288" s="59"/>
      <c r="J288" s="41"/>
      <c r="K288" s="13"/>
      <c r="L288" s="59"/>
      <c r="M288" s="41"/>
      <c r="N288" s="59">
        <f>L288-F288</f>
        <v>0</v>
      </c>
      <c r="O288" s="41"/>
      <c r="P288" s="13"/>
      <c r="Q288" s="59"/>
      <c r="R288" s="41"/>
      <c r="S288" s="85"/>
      <c r="T288" s="13"/>
      <c r="U288" s="13"/>
      <c r="V288" s="13"/>
      <c r="W288" s="13"/>
      <c r="X288" s="13"/>
      <c r="Y288" s="13"/>
      <c r="Z288" s="13"/>
      <c r="AA288" s="13"/>
      <c r="AB288" s="13"/>
      <c r="AC288" s="13"/>
      <c r="AD288" s="13"/>
      <c r="AE288" s="13"/>
      <c r="AF288" s="13"/>
      <c r="AG288" s="13"/>
      <c r="AH288" s="13"/>
      <c r="AI288" s="13"/>
      <c r="AJ288" s="13"/>
      <c r="AK288" s="13"/>
      <c r="AL288" s="13"/>
      <c r="AM288" s="13"/>
      <c r="AN288" s="13"/>
    </row>
    <row r="289" spans="1:40" ht="21" thickBot="1">
      <c r="B289" s="11"/>
      <c r="C289" s="124" t="s">
        <v>69</v>
      </c>
      <c r="D289" s="152"/>
      <c r="E289" s="125"/>
      <c r="F289" s="127">
        <f>F250-F287</f>
        <v>-1512.1229673716127</v>
      </c>
      <c r="G289" s="153"/>
      <c r="H289" s="125"/>
      <c r="I289" s="127"/>
      <c r="J289" s="154"/>
      <c r="K289" s="126"/>
      <c r="L289" s="127">
        <f>L250-L287</f>
        <v>-1574.5500000000002</v>
      </c>
      <c r="M289" s="154"/>
      <c r="N289" s="127">
        <f>L289-F289</f>
        <v>-62.427032628387451</v>
      </c>
      <c r="O289" s="154"/>
      <c r="P289" s="126"/>
      <c r="Q289" s="127">
        <f>Q250-Q287</f>
        <v>-1654.21</v>
      </c>
      <c r="R289" s="154"/>
      <c r="S289" s="129">
        <f>L289-Q289</f>
        <v>79.659999999999854</v>
      </c>
      <c r="T289" s="76"/>
      <c r="U289" s="13"/>
      <c r="V289" s="13"/>
      <c r="W289" s="13"/>
      <c r="X289" s="13"/>
      <c r="Y289" s="13"/>
      <c r="Z289" s="13"/>
      <c r="AA289" s="13"/>
      <c r="AB289" s="13"/>
      <c r="AC289" s="13"/>
      <c r="AD289" s="13"/>
      <c r="AE289" s="13"/>
      <c r="AF289" s="13"/>
      <c r="AG289" s="13"/>
      <c r="AH289" s="13"/>
      <c r="AI289" s="13"/>
      <c r="AJ289" s="13"/>
      <c r="AK289" s="13"/>
      <c r="AL289" s="13"/>
      <c r="AM289" s="13"/>
      <c r="AN289" s="13"/>
    </row>
    <row r="290" spans="1:40" ht="21" thickTop="1">
      <c r="B290" s="11"/>
      <c r="C290" s="13"/>
      <c r="D290" s="13"/>
      <c r="E290" s="13"/>
      <c r="F290" s="13"/>
      <c r="G290" s="13"/>
      <c r="H290" s="13"/>
      <c r="I290" s="13"/>
      <c r="J290" s="13"/>
      <c r="K290" s="13"/>
      <c r="L290" s="82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  <c r="AA290" s="13"/>
      <c r="AB290" s="13"/>
      <c r="AC290" s="13"/>
      <c r="AD290" s="13"/>
      <c r="AE290" s="13"/>
      <c r="AF290" s="13"/>
      <c r="AG290" s="13"/>
      <c r="AH290" s="13"/>
      <c r="AI290" s="13"/>
      <c r="AJ290" s="13"/>
      <c r="AK290" s="13"/>
      <c r="AL290" s="13"/>
      <c r="AM290" s="13"/>
      <c r="AN290" s="13"/>
    </row>
    <row r="291" spans="1:40" ht="35.25">
      <c r="B291" s="11"/>
      <c r="C291" s="6" t="str">
        <f>C1</f>
        <v>BMW Sherbrooke</v>
      </c>
      <c r="D291" s="2"/>
      <c r="E291" s="2"/>
      <c r="F291" s="2"/>
      <c r="G291" s="2"/>
      <c r="H291" s="1"/>
      <c r="I291" s="1"/>
      <c r="J291" s="1"/>
      <c r="K291" s="3" t="s">
        <v>98</v>
      </c>
      <c r="L291" s="2"/>
      <c r="M291" s="2"/>
      <c r="N291" s="1"/>
      <c r="O291" s="1"/>
      <c r="P291" s="2"/>
      <c r="Q291" s="1"/>
      <c r="R291" s="2"/>
      <c r="S291" s="5" t="str">
        <f>$S$1</f>
        <v>Réalisé, Août 2024</v>
      </c>
      <c r="T291" s="13"/>
      <c r="U291" s="13"/>
      <c r="V291" s="13"/>
      <c r="W291" s="13"/>
      <c r="X291" s="13"/>
      <c r="Y291" s="13"/>
      <c r="Z291" s="13"/>
      <c r="AA291" s="13"/>
      <c r="AB291" s="13"/>
      <c r="AC291" s="13"/>
      <c r="AD291" s="13"/>
      <c r="AE291" s="13"/>
      <c r="AF291" s="13"/>
      <c r="AG291" s="13"/>
      <c r="AH291" s="13"/>
      <c r="AI291" s="13"/>
      <c r="AJ291" s="13"/>
      <c r="AK291" s="13"/>
      <c r="AL291" s="13"/>
      <c r="AM291" s="13"/>
      <c r="AN291" s="13"/>
    </row>
    <row r="292" spans="1:40" ht="21" thickBot="1">
      <c r="B292" s="11"/>
      <c r="C292" s="8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3"/>
      <c r="U292" s="13"/>
      <c r="V292" s="13"/>
      <c r="W292" s="13"/>
      <c r="X292" s="13"/>
      <c r="Y292" s="13"/>
      <c r="Z292" s="13"/>
      <c r="AA292" s="13"/>
      <c r="AB292" s="13"/>
      <c r="AC292" s="13"/>
      <c r="AD292" s="13"/>
      <c r="AE292" s="13"/>
      <c r="AF292" s="13"/>
      <c r="AG292" s="13"/>
      <c r="AH292" s="13"/>
      <c r="AI292" s="13"/>
      <c r="AJ292" s="13"/>
      <c r="AK292" s="13"/>
      <c r="AL292" s="13"/>
      <c r="AM292" s="13"/>
      <c r="AN292" s="13"/>
    </row>
    <row r="293" spans="1:40" ht="21" thickTop="1">
      <c r="B293" s="11"/>
      <c r="C293" s="12"/>
      <c r="D293" s="496" t="s">
        <v>5</v>
      </c>
      <c r="E293" s="497"/>
      <c r="F293" s="498"/>
      <c r="G293" s="499"/>
      <c r="H293" s="497"/>
      <c r="I293" s="498"/>
      <c r="J293" s="499" t="s">
        <v>7</v>
      </c>
      <c r="K293" s="497"/>
      <c r="L293" s="498"/>
      <c r="M293" s="499" t="s">
        <v>213</v>
      </c>
      <c r="N293" s="498"/>
      <c r="O293" s="496" t="s">
        <v>8</v>
      </c>
      <c r="P293" s="497"/>
      <c r="Q293" s="498"/>
      <c r="R293" s="494" t="s">
        <v>214</v>
      </c>
      <c r="S293" s="495"/>
      <c r="T293" s="13"/>
      <c r="U293" s="13"/>
      <c r="V293" s="13"/>
      <c r="W293" s="13"/>
      <c r="X293" s="13"/>
      <c r="Y293" s="13"/>
      <c r="Z293" s="13"/>
      <c r="AA293" s="13"/>
      <c r="AB293" s="13"/>
      <c r="AC293" s="13"/>
      <c r="AD293" s="13"/>
      <c r="AE293" s="13"/>
      <c r="AF293" s="13"/>
      <c r="AG293" s="13"/>
      <c r="AH293" s="13"/>
      <c r="AI293" s="13"/>
      <c r="AJ293" s="13"/>
      <c r="AK293" s="13"/>
      <c r="AL293" s="13"/>
      <c r="AM293" s="13"/>
      <c r="AN293" s="13"/>
    </row>
    <row r="294" spans="1:40" ht="20.25">
      <c r="A294" t="str">
        <f t="shared" ref="A294:A299" si="65">+B294&amp;C294</f>
        <v>Pièces</v>
      </c>
      <c r="B294" s="11" t="s">
        <v>98</v>
      </c>
      <c r="C294" s="29"/>
      <c r="D294" s="80" t="s">
        <v>79</v>
      </c>
      <c r="E294" s="80" t="s">
        <v>99</v>
      </c>
      <c r="F294" s="134" t="s">
        <v>12</v>
      </c>
      <c r="G294" s="135"/>
      <c r="H294" s="80"/>
      <c r="I294" s="134"/>
      <c r="J294" s="135" t="s">
        <v>79</v>
      </c>
      <c r="K294" s="80" t="s">
        <v>99</v>
      </c>
      <c r="L294" s="134" t="s">
        <v>12</v>
      </c>
      <c r="M294" s="135" t="s">
        <v>39</v>
      </c>
      <c r="N294" s="134" t="s">
        <v>217</v>
      </c>
      <c r="O294" s="80" t="s">
        <v>79</v>
      </c>
      <c r="P294" s="80" t="s">
        <v>99</v>
      </c>
      <c r="Q294" s="134" t="s">
        <v>12</v>
      </c>
      <c r="R294" s="135" t="s">
        <v>80</v>
      </c>
      <c r="S294" s="136" t="s">
        <v>12</v>
      </c>
      <c r="T294" s="13"/>
      <c r="U294" s="13"/>
      <c r="V294" s="13"/>
      <c r="W294" s="13"/>
      <c r="X294" s="13"/>
      <c r="Y294" s="13"/>
      <c r="Z294" s="13"/>
      <c r="AA294" s="13"/>
      <c r="AB294" s="13"/>
      <c r="AC294" s="13"/>
      <c r="AD294" s="13"/>
      <c r="AE294" s="13"/>
      <c r="AF294" s="13"/>
      <c r="AG294" s="13"/>
      <c r="AH294" s="13"/>
      <c r="AI294" s="13"/>
      <c r="AJ294" s="13"/>
      <c r="AK294" s="13"/>
      <c r="AL294" s="13"/>
      <c r="AM294" s="13"/>
      <c r="AN294" s="13"/>
    </row>
    <row r="295" spans="1:40" ht="20.25">
      <c r="A295" t="str">
        <f t="shared" si="65"/>
        <v>PiècesPièces Ro Clients</v>
      </c>
      <c r="B295" s="11" t="s">
        <v>98</v>
      </c>
      <c r="C295" s="29" t="s">
        <v>100</v>
      </c>
      <c r="D295" s="82">
        <v>59700.698236231758</v>
      </c>
      <c r="E295" s="148">
        <f>IF(D295=0,0,F295/D295)</f>
        <v>0.41799999999999998</v>
      </c>
      <c r="F295" s="85">
        <v>24954.891862744873</v>
      </c>
      <c r="G295" s="82"/>
      <c r="H295" s="148"/>
      <c r="I295" s="85"/>
      <c r="J295" s="30">
        <v>49580.33</v>
      </c>
      <c r="K295" s="148">
        <f t="shared" ref="K295:K300" si="66">IF(J295&lt;=0,0,L295/J295)</f>
        <v>0.4085928835084397</v>
      </c>
      <c r="L295" s="33">
        <v>20258.169999999998</v>
      </c>
      <c r="M295" s="157">
        <f t="shared" ref="M295:M301" si="67">(+J295-D295)/D295</f>
        <v>-0.1695184233220543</v>
      </c>
      <c r="N295" s="59">
        <f t="shared" ref="N295:N304" si="68">L295-F295</f>
        <v>-4696.7218627448747</v>
      </c>
      <c r="O295" s="30">
        <v>55468.07</v>
      </c>
      <c r="P295" s="148">
        <f t="shared" ref="P295:P303" si="69">IF(O295=0,0,Q295/O295)</f>
        <v>0.42350400870266264</v>
      </c>
      <c r="Q295" s="33">
        <v>23490.949999999899</v>
      </c>
      <c r="R295" s="157">
        <f>IF(O295=0,0,(J295-O295)/O295)</f>
        <v>-0.10614647309704481</v>
      </c>
      <c r="S295" s="85">
        <f t="shared" ref="S295:S300" si="70">L295-Q295</f>
        <v>-3232.7799999999006</v>
      </c>
      <c r="T295" s="13"/>
      <c r="U295" s="13"/>
      <c r="V295" s="13"/>
      <c r="W295" s="13"/>
      <c r="X295" s="13"/>
      <c r="Y295" s="13"/>
      <c r="Z295" s="13"/>
      <c r="AA295" s="13"/>
      <c r="AB295" s="13"/>
      <c r="AC295" s="13"/>
      <c r="AD295" s="13"/>
      <c r="AE295" s="13"/>
      <c r="AF295" s="13"/>
      <c r="AG295" s="13"/>
      <c r="AH295" s="13"/>
      <c r="AI295" s="13"/>
      <c r="AJ295" s="13"/>
      <c r="AK295" s="13"/>
      <c r="AL295" s="13"/>
      <c r="AM295" s="13"/>
      <c r="AN295" s="13"/>
    </row>
    <row r="296" spans="1:40" ht="20.25">
      <c r="A296" t="str">
        <f t="shared" si="65"/>
        <v>PiècesPièces Ro Carrosserie</v>
      </c>
      <c r="B296" s="11" t="s">
        <v>98</v>
      </c>
      <c r="C296" s="29" t="s">
        <v>101</v>
      </c>
      <c r="D296" s="82">
        <v>834</v>
      </c>
      <c r="E296" s="148">
        <f t="shared" ref="E296:E300" si="71">IF(D296=0,0,F296/D296)</f>
        <v>0.34</v>
      </c>
      <c r="F296" s="85">
        <v>283.56</v>
      </c>
      <c r="G296" s="82"/>
      <c r="H296" s="148"/>
      <c r="I296" s="85"/>
      <c r="J296" s="30">
        <v>0</v>
      </c>
      <c r="K296" s="148">
        <f t="shared" si="66"/>
        <v>0</v>
      </c>
      <c r="L296" s="33">
        <v>0</v>
      </c>
      <c r="M296" s="157">
        <f t="shared" si="67"/>
        <v>-1</v>
      </c>
      <c r="N296" s="59">
        <f t="shared" si="68"/>
        <v>-283.56</v>
      </c>
      <c r="O296" s="30">
        <v>0</v>
      </c>
      <c r="P296" s="148">
        <f t="shared" si="69"/>
        <v>0</v>
      </c>
      <c r="Q296" s="33">
        <v>0</v>
      </c>
      <c r="R296" s="157">
        <f t="shared" ref="R296:R300" si="72">IF(O296=0,0,(J296-O296)/O296)</f>
        <v>0</v>
      </c>
      <c r="S296" s="85">
        <f t="shared" si="70"/>
        <v>0</v>
      </c>
      <c r="T296" s="13"/>
      <c r="U296" s="13"/>
      <c r="V296" s="13"/>
      <c r="W296" s="13"/>
      <c r="X296" s="13"/>
      <c r="Y296" s="13"/>
      <c r="Z296" s="13"/>
      <c r="AA296" s="13"/>
      <c r="AB296" s="13"/>
      <c r="AC296" s="13"/>
      <c r="AD296" s="13"/>
      <c r="AE296" s="13"/>
      <c r="AF296" s="13"/>
      <c r="AG296" s="13"/>
      <c r="AH296" s="13"/>
      <c r="AI296" s="13"/>
      <c r="AJ296" s="13"/>
      <c r="AK296" s="13"/>
      <c r="AL296" s="13"/>
      <c r="AM296" s="13"/>
      <c r="AN296" s="13"/>
    </row>
    <row r="297" spans="1:40" ht="20.25">
      <c r="A297" t="str">
        <f t="shared" si="65"/>
        <v>PiècesP/A Garantie</v>
      </c>
      <c r="B297" s="11" t="s">
        <v>98</v>
      </c>
      <c r="C297" s="29" t="s">
        <v>102</v>
      </c>
      <c r="D297" s="82">
        <v>70281.976189741894</v>
      </c>
      <c r="E297" s="148">
        <f t="shared" si="71"/>
        <v>0.28799999999999998</v>
      </c>
      <c r="F297" s="85">
        <v>20241.209142645665</v>
      </c>
      <c r="G297" s="82"/>
      <c r="H297" s="148"/>
      <c r="I297" s="85"/>
      <c r="J297" s="30">
        <v>54623.009999999995</v>
      </c>
      <c r="K297" s="148">
        <f t="shared" si="66"/>
        <v>0.2873572877071402</v>
      </c>
      <c r="L297" s="33">
        <v>15696.319999999994</v>
      </c>
      <c r="M297" s="157">
        <f t="shared" si="67"/>
        <v>-0.22280201893394436</v>
      </c>
      <c r="N297" s="59">
        <f t="shared" si="68"/>
        <v>-4544.8891426456703</v>
      </c>
      <c r="O297" s="30">
        <v>57968.029999999897</v>
      </c>
      <c r="P297" s="148">
        <f t="shared" si="69"/>
        <v>0.28389924584292286</v>
      </c>
      <c r="Q297" s="33">
        <v>16457.0799999999</v>
      </c>
      <c r="R297" s="157">
        <f t="shared" si="72"/>
        <v>-5.7704565775305944E-2</v>
      </c>
      <c r="S297" s="85">
        <f t="shared" si="70"/>
        <v>-760.75999999990563</v>
      </c>
      <c r="T297" s="13"/>
      <c r="U297" s="13"/>
      <c r="V297" s="13"/>
      <c r="W297" s="13"/>
      <c r="X297" s="13"/>
      <c r="Y297" s="13"/>
      <c r="Z297" s="13"/>
      <c r="AA297" s="13"/>
      <c r="AB297" s="13"/>
      <c r="AC297" s="13"/>
      <c r="AD297" s="13"/>
      <c r="AE297" s="13"/>
      <c r="AF297" s="13"/>
      <c r="AG297" s="13"/>
      <c r="AH297" s="13"/>
      <c r="AI297" s="13"/>
      <c r="AJ297" s="13"/>
      <c r="AK297" s="13"/>
      <c r="AL297" s="13"/>
      <c r="AM297" s="13"/>
      <c r="AN297" s="13"/>
    </row>
    <row r="298" spans="1:40" ht="20.25">
      <c r="A298" t="str">
        <f t="shared" si="65"/>
        <v>PiècesVentes Internes</v>
      </c>
      <c r="B298" s="11" t="s">
        <v>98</v>
      </c>
      <c r="C298" s="29" t="s">
        <v>103</v>
      </c>
      <c r="D298" s="82">
        <v>16428.944487446824</v>
      </c>
      <c r="E298" s="148">
        <f t="shared" si="71"/>
        <v>0.38500000000000001</v>
      </c>
      <c r="F298" s="85">
        <v>6325.1436276670274</v>
      </c>
      <c r="G298" s="82"/>
      <c r="H298" s="148"/>
      <c r="I298" s="85"/>
      <c r="J298" s="30">
        <v>18137.98</v>
      </c>
      <c r="K298" s="148">
        <f t="shared" si="66"/>
        <v>0.36122765600138496</v>
      </c>
      <c r="L298" s="33">
        <v>6551.9400000000005</v>
      </c>
      <c r="M298" s="157">
        <f t="shared" si="67"/>
        <v>0.10402588637748642</v>
      </c>
      <c r="N298" s="59">
        <f t="shared" si="68"/>
        <v>226.79637233297308</v>
      </c>
      <c r="O298" s="30">
        <v>17670.98</v>
      </c>
      <c r="P298" s="148">
        <f t="shared" si="69"/>
        <v>0.36935642505395799</v>
      </c>
      <c r="Q298" s="33">
        <v>6526.8899999999903</v>
      </c>
      <c r="R298" s="157">
        <f t="shared" si="72"/>
        <v>2.6427509962661948E-2</v>
      </c>
      <c r="S298" s="85">
        <f t="shared" si="70"/>
        <v>25.050000000010186</v>
      </c>
      <c r="T298" s="13"/>
      <c r="U298" s="13"/>
      <c r="V298" s="13"/>
      <c r="W298" s="13"/>
      <c r="X298" s="13"/>
      <c r="Y298" s="13"/>
      <c r="Z298" s="13"/>
      <c r="AA298" s="13"/>
      <c r="AB298" s="13"/>
      <c r="AC298" s="13"/>
      <c r="AD298" s="13"/>
      <c r="AE298" s="13"/>
      <c r="AF298" s="13"/>
      <c r="AG298" s="13"/>
      <c r="AH298" s="13"/>
      <c r="AI298" s="13"/>
      <c r="AJ298" s="13"/>
      <c r="AK298" s="13"/>
      <c r="AL298" s="13"/>
      <c r="AM298" s="13"/>
      <c r="AN298" s="13"/>
    </row>
    <row r="299" spans="1:40" ht="20.25">
      <c r="A299" t="str">
        <f t="shared" si="65"/>
        <v>PiècesVentes Détails</v>
      </c>
      <c r="B299" s="11" t="s">
        <v>98</v>
      </c>
      <c r="C299" s="29" t="s">
        <v>104</v>
      </c>
      <c r="D299" s="82">
        <v>27823.141100513811</v>
      </c>
      <c r="E299" s="148">
        <f t="shared" si="71"/>
        <v>0.31000000000000005</v>
      </c>
      <c r="F299" s="85">
        <v>8625.1737411592821</v>
      </c>
      <c r="G299" s="82"/>
      <c r="H299" s="148"/>
      <c r="I299" s="85"/>
      <c r="J299" s="30">
        <v>23616.34</v>
      </c>
      <c r="K299" s="148">
        <f t="shared" si="66"/>
        <v>0.25715754431042237</v>
      </c>
      <c r="L299" s="33">
        <v>6073.1200000000008</v>
      </c>
      <c r="M299" s="157">
        <f t="shared" si="67"/>
        <v>-0.15119792137474095</v>
      </c>
      <c r="N299" s="59">
        <f t="shared" si="68"/>
        <v>-2552.0537411592813</v>
      </c>
      <c r="O299" s="30">
        <v>24601.81</v>
      </c>
      <c r="P299" s="148">
        <f t="shared" si="69"/>
        <v>0.35174119302604151</v>
      </c>
      <c r="Q299" s="33">
        <v>8653.4699999999993</v>
      </c>
      <c r="R299" s="157">
        <f t="shared" si="72"/>
        <v>-4.0056808828293572E-2</v>
      </c>
      <c r="S299" s="85">
        <f t="shared" si="70"/>
        <v>-2580.3499999999985</v>
      </c>
      <c r="T299" s="13"/>
      <c r="U299" s="13"/>
      <c r="V299" s="13"/>
      <c r="W299" s="13"/>
      <c r="X299" s="13"/>
      <c r="Y299" s="13"/>
      <c r="Z299" s="13"/>
      <c r="AA299" s="13"/>
      <c r="AB299" s="13"/>
      <c r="AC299" s="13"/>
      <c r="AD299" s="13"/>
      <c r="AE299" s="13"/>
      <c r="AF299" s="13"/>
      <c r="AG299" s="13"/>
      <c r="AH299" s="13"/>
      <c r="AI299" s="13"/>
      <c r="AJ299" s="13"/>
      <c r="AK299" s="13"/>
      <c r="AL299" s="13"/>
      <c r="AM299" s="13"/>
      <c r="AN299" s="13"/>
    </row>
    <row r="300" spans="1:40" ht="20.25">
      <c r="A300" t="str">
        <f>+B300&amp;C300</f>
        <v>PiècesVentes de Gros</v>
      </c>
      <c r="B300" s="11" t="s">
        <v>98</v>
      </c>
      <c r="C300" s="29" t="s">
        <v>105</v>
      </c>
      <c r="D300" s="82">
        <v>63558.350938444746</v>
      </c>
      <c r="E300" s="148">
        <f t="shared" si="71"/>
        <v>0.21299999999999999</v>
      </c>
      <c r="F300" s="85">
        <v>13537.92874988873</v>
      </c>
      <c r="G300" s="82"/>
      <c r="H300" s="148"/>
      <c r="I300" s="85"/>
      <c r="J300" s="30">
        <v>21210.63</v>
      </c>
      <c r="K300" s="148">
        <f t="shared" si="66"/>
        <v>0.17641908797617056</v>
      </c>
      <c r="L300" s="33">
        <v>3741.9600000000028</v>
      </c>
      <c r="M300" s="157">
        <f t="shared" si="67"/>
        <v>-0.66628098925124479</v>
      </c>
      <c r="N300" s="59">
        <f t="shared" si="68"/>
        <v>-9795.968749888727</v>
      </c>
      <c r="O300" s="30">
        <v>41522.28</v>
      </c>
      <c r="P300" s="148">
        <f t="shared" si="69"/>
        <v>0.25325752824748304</v>
      </c>
      <c r="Q300" s="33">
        <v>10515.8299999999</v>
      </c>
      <c r="R300" s="157">
        <f t="shared" si="72"/>
        <v>-0.48917472739936241</v>
      </c>
      <c r="S300" s="85">
        <f t="shared" si="70"/>
        <v>-6773.8699999998971</v>
      </c>
      <c r="T300" s="13"/>
      <c r="U300" s="13"/>
      <c r="V300" s="13"/>
      <c r="W300" s="13"/>
      <c r="X300" s="13"/>
      <c r="Y300" s="13"/>
      <c r="Z300" s="13"/>
      <c r="AA300" s="13"/>
      <c r="AB300" s="13"/>
      <c r="AC300" s="13"/>
      <c r="AD300" s="13"/>
      <c r="AE300" s="13"/>
      <c r="AF300" s="13"/>
      <c r="AG300" s="13"/>
      <c r="AH300" s="13"/>
      <c r="AI300" s="13"/>
      <c r="AJ300" s="13"/>
      <c r="AK300" s="13"/>
      <c r="AL300" s="13"/>
      <c r="AM300" s="13"/>
      <c r="AN300" s="13"/>
    </row>
    <row r="301" spans="1:40" ht="20.25" hidden="1">
      <c r="A301" t="str">
        <f>+B301&amp;C301</f>
        <v>Pièces[...]</v>
      </c>
      <c r="B301" s="11" t="s">
        <v>98</v>
      </c>
      <c r="C301" s="29" t="s">
        <v>19</v>
      </c>
      <c r="D301" s="82">
        <v>0</v>
      </c>
      <c r="E301" s="148">
        <f>IF(D301=0,0,F301/D301)</f>
        <v>0</v>
      </c>
      <c r="F301" s="85">
        <v>0</v>
      </c>
      <c r="G301" s="82"/>
      <c r="H301" s="148"/>
      <c r="I301" s="85"/>
      <c r="J301" s="30">
        <v>0</v>
      </c>
      <c r="K301" s="148">
        <f>IF(J301&lt;=0,0,L301/J301)</f>
        <v>0</v>
      </c>
      <c r="L301" s="33">
        <v>0</v>
      </c>
      <c r="M301" s="157" t="e">
        <f t="shared" si="67"/>
        <v>#DIV/0!</v>
      </c>
      <c r="N301" s="59">
        <f t="shared" si="68"/>
        <v>0</v>
      </c>
      <c r="O301" s="30">
        <v>0</v>
      </c>
      <c r="P301" s="148">
        <f t="shared" si="69"/>
        <v>0</v>
      </c>
      <c r="Q301" s="33">
        <v>0</v>
      </c>
      <c r="R301" s="157">
        <f>IF(O301=0,0,(J301-O301)/O301)</f>
        <v>0</v>
      </c>
      <c r="S301" s="85">
        <f>L301-Q301</f>
        <v>0</v>
      </c>
      <c r="T301" s="13"/>
      <c r="U301" s="13"/>
      <c r="V301" s="13"/>
      <c r="W301" s="13"/>
      <c r="X301" s="13"/>
      <c r="Y301" s="13"/>
      <c r="Z301" s="13"/>
      <c r="AA301" s="13"/>
      <c r="AB301" s="13"/>
      <c r="AC301" s="13"/>
      <c r="AD301" s="13"/>
      <c r="AE301" s="13"/>
      <c r="AF301" s="13"/>
      <c r="AG301" s="13"/>
      <c r="AH301" s="13"/>
      <c r="AI301" s="13"/>
      <c r="AJ301" s="13"/>
      <c r="AK301" s="13"/>
      <c r="AL301" s="13"/>
      <c r="AM301" s="13"/>
      <c r="AN301" s="13"/>
    </row>
    <row r="302" spans="1:40" ht="20.25">
      <c r="A302" t="str">
        <f t="shared" ref="A302:A321" si="73">+B302&amp;C302</f>
        <v>PiècesEscomptes</v>
      </c>
      <c r="B302" s="11" t="s">
        <v>98</v>
      </c>
      <c r="C302" s="29" t="s">
        <v>106</v>
      </c>
      <c r="D302" s="82">
        <v>0</v>
      </c>
      <c r="E302" s="148">
        <f t="shared" ref="E302:E303" si="74">IF(D302=0,0,F302/D302)</f>
        <v>0</v>
      </c>
      <c r="F302" s="85">
        <v>5932.9592485417816</v>
      </c>
      <c r="G302" s="82"/>
      <c r="H302" s="148"/>
      <c r="I302" s="85"/>
      <c r="J302" s="30">
        <v>0</v>
      </c>
      <c r="K302" s="148">
        <f>IF(J302&lt;=0,0,L302/J302)</f>
        <v>0</v>
      </c>
      <c r="L302" s="33">
        <v>6306.81</v>
      </c>
      <c r="M302" s="157"/>
      <c r="N302" s="59">
        <f t="shared" si="68"/>
        <v>373.85075145821884</v>
      </c>
      <c r="O302" s="30">
        <v>0</v>
      </c>
      <c r="P302" s="148">
        <f t="shared" si="69"/>
        <v>0</v>
      </c>
      <c r="Q302" s="33">
        <v>1115.68</v>
      </c>
      <c r="R302" s="157">
        <f t="shared" ref="R302:R303" si="75">IF(O302=0,0,(J302-O302)/O302)</f>
        <v>0</v>
      </c>
      <c r="S302" s="85">
        <f>L302-Q302</f>
        <v>5191.13</v>
      </c>
      <c r="T302" s="13"/>
      <c r="U302" s="13"/>
      <c r="V302" s="13"/>
      <c r="W302" s="13"/>
      <c r="X302" s="13"/>
      <c r="Y302" s="13"/>
      <c r="Z302" s="13"/>
      <c r="AA302" s="13"/>
      <c r="AB302" s="13"/>
      <c r="AC302" s="13"/>
      <c r="AD302" s="13"/>
      <c r="AE302" s="13"/>
      <c r="AF302" s="13"/>
      <c r="AG302" s="13"/>
      <c r="AH302" s="13"/>
      <c r="AI302" s="13"/>
      <c r="AJ302" s="13"/>
      <c r="AK302" s="13"/>
      <c r="AL302" s="13"/>
      <c r="AM302" s="13"/>
      <c r="AN302" s="13"/>
    </row>
    <row r="303" spans="1:40" ht="20.25">
      <c r="A303" t="str">
        <f t="shared" si="73"/>
        <v>PiècesRectif. Inventaire</v>
      </c>
      <c r="B303" s="11" t="s">
        <v>98</v>
      </c>
      <c r="C303" s="86" t="s">
        <v>107</v>
      </c>
      <c r="D303" s="82">
        <v>0</v>
      </c>
      <c r="E303" s="148">
        <f t="shared" si="74"/>
        <v>0</v>
      </c>
      <c r="F303" s="85">
        <v>0</v>
      </c>
      <c r="G303" s="82"/>
      <c r="H303" s="148"/>
      <c r="I303" s="85"/>
      <c r="J303" s="30">
        <v>0</v>
      </c>
      <c r="K303" s="148">
        <f>IF(J303&lt;=0,0,L303/J303)</f>
        <v>0</v>
      </c>
      <c r="L303" s="33">
        <v>0</v>
      </c>
      <c r="M303" s="157"/>
      <c r="N303" s="59">
        <f t="shared" si="68"/>
        <v>0</v>
      </c>
      <c r="O303" s="30">
        <v>0</v>
      </c>
      <c r="P303" s="148">
        <f t="shared" si="69"/>
        <v>0</v>
      </c>
      <c r="Q303" s="33">
        <v>0</v>
      </c>
      <c r="R303" s="157">
        <f t="shared" si="75"/>
        <v>0</v>
      </c>
      <c r="S303" s="85">
        <f>L303-Q303</f>
        <v>0</v>
      </c>
      <c r="T303" s="13"/>
      <c r="U303" s="13"/>
      <c r="V303" s="13"/>
      <c r="W303" s="13"/>
      <c r="X303" s="13"/>
      <c r="Y303" s="13"/>
      <c r="Z303" s="13"/>
      <c r="AA303" s="13"/>
      <c r="AB303" s="13"/>
      <c r="AC303" s="13"/>
      <c r="AD303" s="13"/>
      <c r="AE303" s="13"/>
      <c r="AF303" s="13"/>
      <c r="AG303" s="13"/>
      <c r="AH303" s="13"/>
      <c r="AI303" s="13"/>
      <c r="AJ303" s="13"/>
      <c r="AK303" s="13"/>
      <c r="AL303" s="13"/>
      <c r="AM303" s="13"/>
      <c r="AN303" s="13"/>
    </row>
    <row r="304" spans="1:40" ht="20.25">
      <c r="A304" t="str">
        <f t="shared" si="73"/>
        <v>PiècesSous-total Pièces</v>
      </c>
      <c r="B304" s="11" t="s">
        <v>98</v>
      </c>
      <c r="C304" s="53" t="s">
        <v>108</v>
      </c>
      <c r="D304" s="195">
        <f>SUM(D295:D303)</f>
        <v>238627.11095237904</v>
      </c>
      <c r="E304" s="213">
        <f>IF(D304&lt;=0,0,F304/D304)</f>
        <v>0.33483566076694682</v>
      </c>
      <c r="F304" s="199">
        <f>SUM(F295:F303)</f>
        <v>79900.866372647361</v>
      </c>
      <c r="G304" s="195"/>
      <c r="H304" s="213"/>
      <c r="I304" s="199"/>
      <c r="J304" s="195">
        <f>SUM(J295:J303)</f>
        <v>167168.29</v>
      </c>
      <c r="K304" s="213">
        <f>IF(J304&lt;=0,0,L304/J304)</f>
        <v>0.35071436095924646</v>
      </c>
      <c r="L304" s="197">
        <f>SUM(L295:L303)</f>
        <v>58628.319999999992</v>
      </c>
      <c r="M304" s="214">
        <f>(+J304-D304)/D304</f>
        <v>-0.299458098734806</v>
      </c>
      <c r="N304" s="197">
        <f t="shared" si="68"/>
        <v>-21272.546372647368</v>
      </c>
      <c r="O304" s="195">
        <f>SUM(O295:O303)</f>
        <v>197231.1699999999</v>
      </c>
      <c r="P304" s="213">
        <f>IF(O304&lt;=0,0,Q304/O304)</f>
        <v>0.33848554465300645</v>
      </c>
      <c r="Q304" s="197">
        <f t="shared" ref="Q304" si="76">SUM(Q295:Q303)</f>
        <v>66759.899999999674</v>
      </c>
      <c r="R304" s="214">
        <f>IF(O304=0,0,(J304-O304)/O304)</f>
        <v>-0.15242458887203228</v>
      </c>
      <c r="S304" s="199">
        <f>L304-Q304</f>
        <v>-8131.5799999996816</v>
      </c>
      <c r="T304" s="13"/>
      <c r="U304" s="13"/>
      <c r="V304" s="13"/>
      <c r="W304" s="13"/>
      <c r="X304" s="13"/>
      <c r="Y304" s="13"/>
      <c r="Z304" s="13"/>
      <c r="AA304" s="13"/>
      <c r="AB304" s="13"/>
      <c r="AC304" s="13"/>
      <c r="AD304" s="13"/>
      <c r="AE304" s="13"/>
      <c r="AF304" s="13"/>
      <c r="AG304" s="13"/>
      <c r="AH304" s="13"/>
      <c r="AI304" s="13"/>
      <c r="AJ304" s="13"/>
      <c r="AK304" s="13"/>
      <c r="AL304" s="13"/>
      <c r="AM304" s="13"/>
      <c r="AN304" s="13"/>
    </row>
    <row r="305" spans="1:40" ht="20.25">
      <c r="A305" t="str">
        <f t="shared" si="73"/>
        <v>Pièces</v>
      </c>
      <c r="B305" s="11" t="s">
        <v>98</v>
      </c>
      <c r="C305" s="29"/>
      <c r="D305" s="13"/>
      <c r="E305" s="13"/>
      <c r="F305" s="40"/>
      <c r="G305" s="41"/>
      <c r="H305" s="13"/>
      <c r="I305" s="40"/>
      <c r="J305" s="41"/>
      <c r="K305" s="13"/>
      <c r="L305" s="40"/>
      <c r="M305" s="41"/>
      <c r="N305" s="43">
        <f>N304/F304</f>
        <v>-0.2662367423331175</v>
      </c>
      <c r="O305" s="41"/>
      <c r="P305" s="13"/>
      <c r="Q305" s="40"/>
      <c r="R305" s="41"/>
      <c r="S305" s="44">
        <f>IF(Q304=0,0,S304/Q304)</f>
        <v>-0.12180335800382747</v>
      </c>
      <c r="T305" s="13"/>
      <c r="U305" s="13"/>
      <c r="V305" s="13"/>
      <c r="W305" s="13"/>
      <c r="X305" s="13"/>
      <c r="Y305" s="13"/>
      <c r="Z305" s="13"/>
      <c r="AA305" s="13"/>
      <c r="AB305" s="13"/>
      <c r="AC305" s="13"/>
      <c r="AD305" s="13"/>
      <c r="AE305" s="13"/>
      <c r="AF305" s="13"/>
      <c r="AG305" s="13"/>
      <c r="AH305" s="13"/>
      <c r="AI305" s="13"/>
      <c r="AJ305" s="13"/>
      <c r="AK305" s="13"/>
      <c r="AL305" s="13"/>
      <c r="AM305" s="13"/>
      <c r="AN305" s="13"/>
    </row>
    <row r="306" spans="1:40" ht="20.25">
      <c r="A306" t="str">
        <f t="shared" si="73"/>
        <v>Pièces</v>
      </c>
      <c r="B306" s="11" t="s">
        <v>98</v>
      </c>
      <c r="C306" s="86"/>
      <c r="D306" s="111"/>
      <c r="E306" s="111"/>
      <c r="F306" s="215"/>
      <c r="G306" s="23"/>
      <c r="H306" s="216"/>
      <c r="I306" s="215"/>
      <c r="J306" s="23"/>
      <c r="K306" s="111"/>
      <c r="L306" s="215"/>
      <c r="M306" s="23"/>
      <c r="N306" s="168"/>
      <c r="O306" s="23"/>
      <c r="P306" s="111"/>
      <c r="Q306" s="215"/>
      <c r="R306" s="23"/>
      <c r="S306" s="169"/>
      <c r="T306" s="13"/>
      <c r="U306" s="13"/>
      <c r="V306" s="13"/>
      <c r="W306" s="13"/>
      <c r="X306" s="13"/>
      <c r="Y306" s="13"/>
      <c r="Z306" s="13"/>
      <c r="AA306" s="13"/>
      <c r="AB306" s="13"/>
      <c r="AC306" s="13"/>
      <c r="AD306" s="13"/>
      <c r="AE306" s="13"/>
      <c r="AF306" s="13"/>
      <c r="AG306" s="13"/>
      <c r="AH306" s="13"/>
      <c r="AI306" s="13"/>
      <c r="AJ306" s="13"/>
      <c r="AK306" s="13"/>
      <c r="AL306" s="13"/>
      <c r="AM306" s="13"/>
      <c r="AN306" s="13"/>
    </row>
    <row r="307" spans="1:40" ht="20.25">
      <c r="A307" t="str">
        <f t="shared" si="73"/>
        <v>PiècesVentes Pneus</v>
      </c>
      <c r="B307" s="11" t="s">
        <v>98</v>
      </c>
      <c r="C307" s="29" t="s">
        <v>109</v>
      </c>
      <c r="D307" s="82">
        <v>34567.699705862899</v>
      </c>
      <c r="E307" s="148">
        <f>IF(D307=0,0,F307/D307)</f>
        <v>0.25</v>
      </c>
      <c r="F307" s="110">
        <v>8641.9249264657246</v>
      </c>
      <c r="G307" s="82"/>
      <c r="H307" s="148"/>
      <c r="I307" s="110"/>
      <c r="J307" s="30">
        <v>44840.24</v>
      </c>
      <c r="K307" s="148">
        <f>IF(J307&lt;=0,0,L307/J307)</f>
        <v>0.24863002517381705</v>
      </c>
      <c r="L307" s="33">
        <v>11148.629999999997</v>
      </c>
      <c r="M307" s="157">
        <f>(+J307-D307)/D307</f>
        <v>0.29717164814396985</v>
      </c>
      <c r="N307" s="59">
        <f>L307-F307</f>
        <v>2506.7050735342727</v>
      </c>
      <c r="O307" s="30">
        <v>35587.9</v>
      </c>
      <c r="P307" s="148">
        <f t="shared" ref="P307:P308" si="77">IF(O307=0,0,Q307/O307)</f>
        <v>0.2597635713262092</v>
      </c>
      <c r="Q307" s="33">
        <v>9244.44</v>
      </c>
      <c r="R307" s="157">
        <f>IF(O307=0,0,(J307-O307)/O307)</f>
        <v>0.25998555688871766</v>
      </c>
      <c r="S307" s="85">
        <f>L307-Q307</f>
        <v>1904.1899999999969</v>
      </c>
      <c r="T307" s="13"/>
      <c r="U307" s="13"/>
      <c r="V307" s="13"/>
      <c r="W307" s="13"/>
      <c r="X307" s="13"/>
      <c r="Y307" s="13"/>
      <c r="Z307" s="13"/>
      <c r="AA307" s="13"/>
      <c r="AB307" s="13"/>
      <c r="AC307" s="13"/>
      <c r="AD307" s="13"/>
      <c r="AE307" s="13"/>
      <c r="AF307" s="13"/>
      <c r="AG307" s="13"/>
      <c r="AH307" s="13"/>
      <c r="AI307" s="13"/>
      <c r="AJ307" s="13"/>
      <c r="AK307" s="13"/>
      <c r="AL307" s="13"/>
      <c r="AM307" s="13"/>
      <c r="AN307" s="13"/>
    </row>
    <row r="308" spans="1:40" ht="20.25">
      <c r="A308" t="str">
        <f t="shared" si="73"/>
        <v>PiècesHuiles et Graisse</v>
      </c>
      <c r="B308" s="11" t="s">
        <v>98</v>
      </c>
      <c r="C308" s="86" t="s">
        <v>110</v>
      </c>
      <c r="D308" s="82">
        <v>12121.218658950484</v>
      </c>
      <c r="E308" s="148">
        <f>IF(D308=0,0,F308/D308)</f>
        <v>0.35</v>
      </c>
      <c r="F308" s="92">
        <v>4242.4265306326688</v>
      </c>
      <c r="G308" s="82"/>
      <c r="H308" s="148"/>
      <c r="I308" s="92"/>
      <c r="J308" s="30">
        <v>10292.290000000001</v>
      </c>
      <c r="K308" s="148">
        <f>IF(J308&lt;=0,0,L308/J308)</f>
        <v>0.34626016173271457</v>
      </c>
      <c r="L308" s="33">
        <v>3563.8100000000009</v>
      </c>
      <c r="M308" s="157">
        <f>(+J308-D308)/D308</f>
        <v>-0.15088653298073915</v>
      </c>
      <c r="N308" s="59">
        <f>L308-F308</f>
        <v>-678.61653063266795</v>
      </c>
      <c r="O308" s="30">
        <v>11767.43</v>
      </c>
      <c r="P308" s="148">
        <f t="shared" si="77"/>
        <v>0.32692185124534329</v>
      </c>
      <c r="Q308" s="33">
        <v>3847.0299999999902</v>
      </c>
      <c r="R308" s="157">
        <f>IF(O308=0,0,(J308-O308)/O308)</f>
        <v>-0.12535787338441778</v>
      </c>
      <c r="S308" s="85">
        <f>L308-Q308</f>
        <v>-283.21999999998934</v>
      </c>
      <c r="T308" s="13"/>
      <c r="U308" s="13"/>
      <c r="V308" s="13"/>
      <c r="W308" s="13"/>
      <c r="X308" s="13"/>
      <c r="Y308" s="13"/>
      <c r="Z308" s="13"/>
      <c r="AA308" s="13"/>
      <c r="AB308" s="13"/>
      <c r="AC308" s="13"/>
      <c r="AD308" s="13"/>
      <c r="AE308" s="13"/>
      <c r="AF308" s="13"/>
      <c r="AG308" s="13"/>
      <c r="AH308" s="13"/>
      <c r="AI308" s="13"/>
      <c r="AJ308" s="13"/>
      <c r="AK308" s="13"/>
      <c r="AL308" s="13"/>
      <c r="AM308" s="13"/>
      <c r="AN308" s="13"/>
    </row>
    <row r="309" spans="1:40" ht="20.25">
      <c r="A309" t="str">
        <f t="shared" si="73"/>
        <v>PiècesSous-total Pièces et Acc.</v>
      </c>
      <c r="B309" s="11" t="s">
        <v>98</v>
      </c>
      <c r="C309" s="53" t="s">
        <v>111</v>
      </c>
      <c r="D309" s="195">
        <f>D304+D307+D308</f>
        <v>285316.02931719238</v>
      </c>
      <c r="E309" s="213">
        <f>IF(D309&lt;=0,0,F309/D309)</f>
        <v>0.32520156000977535</v>
      </c>
      <c r="F309" s="197">
        <f>F304+F307+F308</f>
        <v>92785.217829745758</v>
      </c>
      <c r="G309" s="198"/>
      <c r="H309" s="213"/>
      <c r="I309" s="197"/>
      <c r="J309" s="198">
        <f>J304+J307+J308</f>
        <v>222300.82</v>
      </c>
      <c r="K309" s="213">
        <f>IF(J309&lt;=0,0,L309/J309)</f>
        <v>0.32991673175114683</v>
      </c>
      <c r="L309" s="197">
        <f>L304+L307+L308</f>
        <v>73340.75999999998</v>
      </c>
      <c r="M309" s="214">
        <f>(+J309-D309)/D309</f>
        <v>-0.22086109030746717</v>
      </c>
      <c r="N309" s="197">
        <f>L309-F309</f>
        <v>-19444.457829745777</v>
      </c>
      <c r="O309" s="198">
        <f>O304+O307+O308</f>
        <v>244586.49999999988</v>
      </c>
      <c r="P309" s="213">
        <f>IF(O309&lt;=0,0,Q309/O309)</f>
        <v>0.3264749689782539</v>
      </c>
      <c r="Q309" s="197">
        <f t="shared" ref="Q309" si="78">Q304+Q307+Q308</f>
        <v>79851.369999999661</v>
      </c>
      <c r="R309" s="214">
        <f>IF(O309=0,0,(J309-O309)/O309)</f>
        <v>-9.1115740239137835E-2</v>
      </c>
      <c r="S309" s="199">
        <f>L309-Q309</f>
        <v>-6510.6099999996804</v>
      </c>
      <c r="T309" s="13"/>
      <c r="U309" s="13"/>
      <c r="V309" s="13"/>
      <c r="W309" s="13"/>
      <c r="X309" s="13"/>
      <c r="Y309" s="13"/>
      <c r="Z309" s="13"/>
      <c r="AA309" s="13"/>
      <c r="AB309" s="13"/>
      <c r="AC309" s="13"/>
      <c r="AD309" s="13"/>
      <c r="AE309" s="13"/>
      <c r="AF309" s="13"/>
      <c r="AG309" s="13"/>
      <c r="AH309" s="13"/>
      <c r="AI309" s="13"/>
      <c r="AJ309" s="13"/>
      <c r="AK309" s="13"/>
      <c r="AL309" s="13"/>
      <c r="AM309" s="13"/>
      <c r="AN309" s="13"/>
    </row>
    <row r="310" spans="1:40" ht="20.25">
      <c r="A310" t="str">
        <f t="shared" si="73"/>
        <v>Pièces</v>
      </c>
      <c r="B310" s="11" t="s">
        <v>98</v>
      </c>
      <c r="C310" s="29"/>
      <c r="D310" s="13"/>
      <c r="E310" s="13"/>
      <c r="F310" s="40"/>
      <c r="G310" s="41"/>
      <c r="H310" s="13"/>
      <c r="I310" s="40"/>
      <c r="J310" s="41"/>
      <c r="K310" s="13"/>
      <c r="L310" s="40"/>
      <c r="M310" s="41"/>
      <c r="N310" s="43">
        <f>N309/F309</f>
        <v>-0.20956417718849318</v>
      </c>
      <c r="O310" s="41"/>
      <c r="P310" s="13"/>
      <c r="Q310" s="40"/>
      <c r="R310" s="41"/>
      <c r="S310" s="44">
        <f>IF(Q309=0,0,S309/Q309)</f>
        <v>-8.153410517564956E-2</v>
      </c>
      <c r="T310" s="13"/>
      <c r="U310" s="13"/>
      <c r="V310" s="13"/>
      <c r="W310" s="13"/>
      <c r="X310" s="13"/>
      <c r="Y310" s="13"/>
      <c r="Z310" s="13"/>
      <c r="AA310" s="13"/>
      <c r="AB310" s="13"/>
      <c r="AC310" s="13"/>
      <c r="AD310" s="13"/>
      <c r="AE310" s="13"/>
      <c r="AF310" s="13"/>
      <c r="AG310" s="13"/>
      <c r="AH310" s="13"/>
      <c r="AI310" s="13"/>
      <c r="AJ310" s="13"/>
      <c r="AK310" s="13"/>
      <c r="AL310" s="13"/>
      <c r="AM310" s="13"/>
      <c r="AN310" s="13"/>
    </row>
    <row r="311" spans="1:40" ht="20.25">
      <c r="A311" t="str">
        <f t="shared" si="73"/>
        <v>Pièces</v>
      </c>
      <c r="B311" s="11" t="s">
        <v>98</v>
      </c>
      <c r="C311" s="29"/>
      <c r="D311" s="13"/>
      <c r="E311" s="13"/>
      <c r="F311" s="40"/>
      <c r="G311" s="41"/>
      <c r="H311" s="13"/>
      <c r="I311" s="40"/>
      <c r="J311" s="41"/>
      <c r="K311" s="13"/>
      <c r="L311" s="40"/>
      <c r="M311" s="41"/>
      <c r="N311" s="43"/>
      <c r="O311" s="41"/>
      <c r="P311" s="13"/>
      <c r="Q311" s="40"/>
      <c r="R311" s="41"/>
      <c r="S311" s="44"/>
      <c r="T311" s="13"/>
      <c r="U311" s="13"/>
      <c r="V311" s="13"/>
      <c r="W311" s="13"/>
      <c r="X311" s="13"/>
      <c r="Y311" s="13"/>
      <c r="Z311" s="13"/>
      <c r="AA311" s="13"/>
      <c r="AB311" s="13"/>
      <c r="AC311" s="13"/>
      <c r="AD311" s="13"/>
      <c r="AE311" s="13"/>
      <c r="AF311" s="13"/>
      <c r="AG311" s="13"/>
      <c r="AH311" s="13"/>
      <c r="AI311" s="13"/>
      <c r="AJ311" s="13"/>
      <c r="AK311" s="13"/>
      <c r="AL311" s="13"/>
      <c r="AM311" s="13"/>
      <c r="AN311" s="13"/>
    </row>
    <row r="312" spans="1:40" ht="20.25">
      <c r="A312" t="str">
        <f t="shared" si="73"/>
        <v>PiècesAutostock</v>
      </c>
      <c r="B312" s="11" t="s">
        <v>98</v>
      </c>
      <c r="C312" s="86" t="s">
        <v>112</v>
      </c>
      <c r="D312" s="90">
        <v>0</v>
      </c>
      <c r="E312" s="217">
        <f>IF(D312=0,0,F312/D312)</f>
        <v>0</v>
      </c>
      <c r="F312" s="146">
        <v>0</v>
      </c>
      <c r="G312" s="172"/>
      <c r="H312" s="217"/>
      <c r="I312" s="146"/>
      <c r="J312" s="46">
        <v>0</v>
      </c>
      <c r="K312" s="218">
        <f>IF(J312&lt;=0,0,L312/J312)</f>
        <v>0</v>
      </c>
      <c r="L312" s="22">
        <v>0</v>
      </c>
      <c r="M312" s="218">
        <f>IF(F312=0,0,(+L312-F312)/F312)</f>
        <v>0</v>
      </c>
      <c r="N312" s="91">
        <f>L312-F312</f>
        <v>0</v>
      </c>
      <c r="O312" s="46">
        <v>0</v>
      </c>
      <c r="P312" s="218">
        <f>IF(O312=0,0,Q312/O312)</f>
        <v>0</v>
      </c>
      <c r="Q312" s="22">
        <v>0</v>
      </c>
      <c r="R312" s="218">
        <f>IF(S312=0,0,(+O312-K312)/K312)</f>
        <v>0</v>
      </c>
      <c r="S312" s="92">
        <f>L312-Q312</f>
        <v>0</v>
      </c>
      <c r="T312" s="13"/>
      <c r="U312" s="13"/>
      <c r="V312" s="13"/>
      <c r="W312" s="13"/>
      <c r="X312" s="13"/>
      <c r="Y312" s="13"/>
      <c r="Z312" s="13"/>
      <c r="AA312" s="13"/>
      <c r="AB312" s="13"/>
      <c r="AC312" s="13"/>
      <c r="AD312" s="13"/>
      <c r="AE312" s="13"/>
      <c r="AF312" s="13"/>
      <c r="AG312" s="13"/>
      <c r="AH312" s="13"/>
      <c r="AI312" s="13"/>
      <c r="AJ312" s="13"/>
      <c r="AK312" s="13"/>
      <c r="AL312" s="13"/>
      <c r="AM312" s="13"/>
      <c r="AN312" s="13"/>
    </row>
    <row r="313" spans="1:40" ht="21" thickBot="1">
      <c r="A313" t="str">
        <f t="shared" si="73"/>
        <v>Pièces</v>
      </c>
      <c r="B313" s="11" t="s">
        <v>98</v>
      </c>
      <c r="C313" s="29"/>
      <c r="D313" s="82"/>
      <c r="E313" s="148"/>
      <c r="F313" s="59"/>
      <c r="G313" s="60"/>
      <c r="H313" s="148"/>
      <c r="I313" s="59"/>
      <c r="J313" s="60"/>
      <c r="K313" s="148"/>
      <c r="L313" s="59"/>
      <c r="M313" s="157"/>
      <c r="N313" s="59"/>
      <c r="O313" s="60"/>
      <c r="P313" s="148"/>
      <c r="Q313" s="59"/>
      <c r="R313" s="157"/>
      <c r="S313" s="85"/>
      <c r="T313" s="13"/>
      <c r="U313" s="13"/>
      <c r="V313" s="13"/>
      <c r="W313" s="13"/>
      <c r="X313" s="13"/>
      <c r="Y313" s="13"/>
      <c r="Z313" s="13"/>
      <c r="AA313" s="13"/>
      <c r="AB313" s="13"/>
      <c r="AC313" s="13"/>
      <c r="AD313" s="13"/>
      <c r="AE313" s="13"/>
      <c r="AF313" s="13"/>
      <c r="AG313" s="13"/>
      <c r="AH313" s="13"/>
      <c r="AI313" s="13"/>
      <c r="AJ313" s="13"/>
      <c r="AK313" s="13"/>
      <c r="AL313" s="13"/>
      <c r="AM313" s="13"/>
      <c r="AN313" s="13"/>
    </row>
    <row r="314" spans="1:40" ht="21" thickTop="1">
      <c r="A314" t="str">
        <f t="shared" si="73"/>
        <v>PiècesTotal Dépt. Pièces</v>
      </c>
      <c r="B314" s="11" t="s">
        <v>98</v>
      </c>
      <c r="C314" s="62" t="s">
        <v>113</v>
      </c>
      <c r="D314" s="63">
        <f>D309+D312</f>
        <v>285316.02931719238</v>
      </c>
      <c r="E314" s="219">
        <f>IF(D314&lt;=0,0,F314/D314)</f>
        <v>0.32520156000977535</v>
      </c>
      <c r="F314" s="65">
        <f>F309+F312</f>
        <v>92785.217829745758</v>
      </c>
      <c r="G314" s="66"/>
      <c r="H314" s="219"/>
      <c r="I314" s="65"/>
      <c r="J314" s="66">
        <f>J309+J312</f>
        <v>222300.82</v>
      </c>
      <c r="K314" s="219">
        <f>IF(J314&lt;=0,0,L314/J314)</f>
        <v>0.32991673175114683</v>
      </c>
      <c r="L314" s="65">
        <f>L309+L312</f>
        <v>73340.75999999998</v>
      </c>
      <c r="M314" s="220">
        <f>(+J314-D314)/D314</f>
        <v>-0.22086109030746717</v>
      </c>
      <c r="N314" s="221">
        <f>L314-F314</f>
        <v>-19444.457829745777</v>
      </c>
      <c r="O314" s="66">
        <f>O309+O312</f>
        <v>244586.49999999988</v>
      </c>
      <c r="P314" s="219">
        <f>IF(O314&lt;=0,0,Q314/O314)</f>
        <v>0.3264749689782539</v>
      </c>
      <c r="Q314" s="65">
        <f t="shared" ref="Q314" si="79">Q309+Q312</f>
        <v>79851.369999999661</v>
      </c>
      <c r="R314" s="220">
        <f>IF(O314=0,0,(J314-O314)/O314)</f>
        <v>-9.1115740239137835E-2</v>
      </c>
      <c r="S314" s="222">
        <f>L314-Q314</f>
        <v>-6510.6099999996804</v>
      </c>
      <c r="T314" s="13"/>
      <c r="U314" s="13"/>
      <c r="V314" s="13"/>
      <c r="W314" s="13"/>
      <c r="X314" s="13"/>
      <c r="Y314" s="13"/>
      <c r="Z314" s="13"/>
      <c r="AA314" s="13"/>
      <c r="AB314" s="13"/>
      <c r="AC314" s="13"/>
      <c r="AD314" s="13"/>
      <c r="AE314" s="13"/>
      <c r="AF314" s="13"/>
      <c r="AG314" s="13"/>
      <c r="AH314" s="13"/>
      <c r="AI314" s="13"/>
      <c r="AJ314" s="13"/>
      <c r="AK314" s="13"/>
      <c r="AL314" s="13"/>
      <c r="AM314" s="13"/>
      <c r="AN314" s="13"/>
    </row>
    <row r="315" spans="1:40" ht="21" thickBot="1">
      <c r="A315" t="str">
        <f t="shared" si="73"/>
        <v>Pièces</v>
      </c>
      <c r="B315" s="11" t="s">
        <v>98</v>
      </c>
      <c r="C315" s="223"/>
      <c r="D315" s="224"/>
      <c r="E315" s="225"/>
      <c r="F315" s="226"/>
      <c r="G315" s="227"/>
      <c r="H315" s="225"/>
      <c r="I315" s="226"/>
      <c r="J315" s="227"/>
      <c r="K315" s="225"/>
      <c r="L315" s="226"/>
      <c r="M315" s="228"/>
      <c r="N315" s="74">
        <f>N314/F314</f>
        <v>-0.20956417718849318</v>
      </c>
      <c r="O315" s="227"/>
      <c r="P315" s="225"/>
      <c r="Q315" s="226"/>
      <c r="R315" s="228"/>
      <c r="S315" s="75">
        <f>IF(Q314=0,0,S314/Q314)</f>
        <v>-8.153410517564956E-2</v>
      </c>
      <c r="T315" s="13"/>
      <c r="U315" s="13"/>
      <c r="V315" s="13"/>
      <c r="W315" s="13"/>
      <c r="X315" s="13"/>
      <c r="Y315" s="13"/>
      <c r="Z315" s="13"/>
      <c r="AA315" s="13"/>
      <c r="AB315" s="13"/>
      <c r="AC315" s="13"/>
      <c r="AD315" s="13"/>
      <c r="AE315" s="13"/>
      <c r="AF315" s="13"/>
      <c r="AG315" s="13"/>
      <c r="AH315" s="13"/>
      <c r="AI315" s="13"/>
      <c r="AJ315" s="13"/>
      <c r="AK315" s="13"/>
      <c r="AL315" s="13"/>
      <c r="AM315" s="13"/>
      <c r="AN315" s="13"/>
    </row>
    <row r="316" spans="1:40" ht="21" thickTop="1">
      <c r="A316" t="str">
        <f t="shared" si="73"/>
        <v>Pièces</v>
      </c>
      <c r="B316" s="11" t="s">
        <v>98</v>
      </c>
      <c r="C316" s="53"/>
      <c r="D316" s="112"/>
      <c r="E316" s="174"/>
      <c r="F316" s="176"/>
      <c r="G316" s="175"/>
      <c r="H316" s="174"/>
      <c r="I316" s="176"/>
      <c r="J316" s="175"/>
      <c r="K316" s="174"/>
      <c r="L316" s="176"/>
      <c r="M316" s="41"/>
      <c r="N316" s="43"/>
      <c r="O316" s="175"/>
      <c r="P316" s="174"/>
      <c r="Q316" s="176"/>
      <c r="R316" s="41"/>
      <c r="S316" s="44"/>
      <c r="T316" s="13"/>
      <c r="U316" s="13"/>
      <c r="V316" s="13"/>
      <c r="W316" s="13"/>
      <c r="X316" s="13"/>
      <c r="Y316" s="13"/>
      <c r="Z316" s="13"/>
      <c r="AA316" s="13"/>
      <c r="AB316" s="13"/>
      <c r="AC316" s="13"/>
      <c r="AD316" s="13"/>
      <c r="AE316" s="13"/>
      <c r="AF316" s="13"/>
      <c r="AG316" s="13"/>
      <c r="AH316" s="13"/>
      <c r="AI316" s="13"/>
      <c r="AJ316" s="13"/>
      <c r="AK316" s="13"/>
      <c r="AL316" s="13"/>
      <c r="AM316" s="13"/>
      <c r="AN316" s="13"/>
    </row>
    <row r="317" spans="1:40" ht="20.25">
      <c r="A317" t="str">
        <f t="shared" si="73"/>
        <v>PiècesDEPENSES</v>
      </c>
      <c r="B317" s="11" t="s">
        <v>98</v>
      </c>
      <c r="C317" s="79" t="s">
        <v>29</v>
      </c>
      <c r="D317" s="13"/>
      <c r="E317" s="13"/>
      <c r="F317" s="59"/>
      <c r="G317" s="41"/>
      <c r="H317" s="13"/>
      <c r="I317" s="59"/>
      <c r="J317" s="41"/>
      <c r="K317" s="13"/>
      <c r="L317" s="40"/>
      <c r="M317" s="41"/>
      <c r="N317" s="40"/>
      <c r="O317" s="41"/>
      <c r="P317" s="13"/>
      <c r="Q317" s="40"/>
      <c r="R317" s="41"/>
      <c r="S317" s="61"/>
      <c r="T317" s="13"/>
      <c r="U317" s="13"/>
      <c r="V317" s="13"/>
      <c r="W317" s="13"/>
      <c r="X317" s="13"/>
      <c r="Y317" s="13"/>
      <c r="Z317" s="13"/>
      <c r="AA317" s="13"/>
      <c r="AB317" s="13"/>
      <c r="AC317" s="13"/>
      <c r="AD317" s="13"/>
      <c r="AE317" s="13"/>
      <c r="AF317" s="13"/>
      <c r="AG317" s="13"/>
      <c r="AH317" s="13"/>
      <c r="AI317" s="13"/>
      <c r="AJ317" s="13"/>
      <c r="AK317" s="13"/>
      <c r="AL317" s="13"/>
      <c r="AM317" s="13"/>
      <c r="AN317" s="13"/>
    </row>
    <row r="318" spans="1:40" ht="20.25">
      <c r="A318" t="str">
        <f t="shared" si="73"/>
        <v>PiècesSalaires cadres</v>
      </c>
      <c r="B318" s="11" t="s">
        <v>98</v>
      </c>
      <c r="C318" s="102" t="s">
        <v>40</v>
      </c>
      <c r="D318" s="13"/>
      <c r="E318" s="13"/>
      <c r="F318" s="30">
        <v>4175.4722646310438</v>
      </c>
      <c r="G318" s="41"/>
      <c r="H318" s="13"/>
      <c r="I318" s="30"/>
      <c r="J318" s="41"/>
      <c r="K318" s="13"/>
      <c r="L318" s="33">
        <v>2914.2</v>
      </c>
      <c r="M318" s="41"/>
      <c r="N318" s="59">
        <f t="shared" ref="N318:N348" si="80">L318-F318</f>
        <v>-1261.272264631044</v>
      </c>
      <c r="O318" s="41"/>
      <c r="P318" s="13"/>
      <c r="Q318" s="33">
        <v>4268.37</v>
      </c>
      <c r="R318" s="41"/>
      <c r="S318" s="85">
        <f t="shared" ref="S318:S321" si="81">L318-Q318</f>
        <v>-1354.17</v>
      </c>
      <c r="T318" s="13"/>
      <c r="U318" s="13"/>
      <c r="V318" s="13"/>
      <c r="W318" s="13"/>
      <c r="X318" s="13"/>
      <c r="Y318" s="13"/>
      <c r="Z318" s="13"/>
      <c r="AA318" s="13"/>
      <c r="AB318" s="13"/>
      <c r="AC318" s="13"/>
      <c r="AD318" s="13"/>
      <c r="AE318" s="13"/>
      <c r="AF318" s="13"/>
      <c r="AG318" s="13"/>
      <c r="AH318" s="13"/>
      <c r="AI318" s="13"/>
      <c r="AJ318" s="13"/>
      <c r="AK318" s="13"/>
      <c r="AL318" s="13"/>
      <c r="AM318" s="13"/>
      <c r="AN318" s="13"/>
    </row>
    <row r="319" spans="1:40" ht="20.25">
      <c r="A319" t="str">
        <f t="shared" si="73"/>
        <v>PiècesSalaires commis</v>
      </c>
      <c r="B319" s="11" t="s">
        <v>98</v>
      </c>
      <c r="C319" s="103" t="s">
        <v>41</v>
      </c>
      <c r="D319" s="81"/>
      <c r="E319" s="13"/>
      <c r="F319" s="22">
        <v>2773.2824427480914</v>
      </c>
      <c r="G319" s="83"/>
      <c r="H319" s="13"/>
      <c r="I319" s="22"/>
      <c r="J319" s="41"/>
      <c r="K319" s="13"/>
      <c r="L319" s="33">
        <v>2587.2800000000002</v>
      </c>
      <c r="M319" s="41"/>
      <c r="N319" s="59">
        <f t="shared" si="80"/>
        <v>-186.0024427480912</v>
      </c>
      <c r="O319" s="41"/>
      <c r="P319" s="13"/>
      <c r="Q319" s="33">
        <v>2773</v>
      </c>
      <c r="R319" s="41"/>
      <c r="S319" s="85">
        <f t="shared" si="81"/>
        <v>-185.7199999999998</v>
      </c>
      <c r="T319" s="13"/>
      <c r="U319" s="13"/>
      <c r="V319" s="13"/>
      <c r="W319" s="13"/>
      <c r="X319" s="13"/>
      <c r="Y319" s="13"/>
      <c r="Z319" s="13"/>
      <c r="AA319" s="13"/>
      <c r="AB319" s="13"/>
      <c r="AC319" s="13"/>
      <c r="AD319" s="13"/>
      <c r="AE319" s="13"/>
      <c r="AF319" s="13"/>
      <c r="AG319" s="13"/>
      <c r="AH319" s="13"/>
      <c r="AI319" s="13"/>
      <c r="AJ319" s="13"/>
      <c r="AK319" s="13"/>
      <c r="AL319" s="13"/>
      <c r="AM319" s="13"/>
      <c r="AN319" s="13"/>
    </row>
    <row r="320" spans="1:40" ht="20.25">
      <c r="A320" t="str">
        <f t="shared" si="73"/>
        <v>PiècesSalaires autres</v>
      </c>
      <c r="B320" s="11" t="s">
        <v>98</v>
      </c>
      <c r="C320" s="102" t="s">
        <v>42</v>
      </c>
      <c r="D320" s="104"/>
      <c r="E320" s="105"/>
      <c r="F320" s="30">
        <v>13513.435114503816</v>
      </c>
      <c r="G320" s="106"/>
      <c r="H320" s="105"/>
      <c r="I320" s="30"/>
      <c r="J320" s="107"/>
      <c r="K320" s="105"/>
      <c r="L320" s="108">
        <v>8667.3700000000008</v>
      </c>
      <c r="M320" s="107"/>
      <c r="N320" s="109">
        <f t="shared" si="80"/>
        <v>-4846.0651145038155</v>
      </c>
      <c r="O320" s="107"/>
      <c r="P320" s="105"/>
      <c r="Q320" s="108">
        <v>13736.63</v>
      </c>
      <c r="R320" s="107"/>
      <c r="S320" s="110">
        <f t="shared" si="81"/>
        <v>-5069.2599999999984</v>
      </c>
      <c r="T320" s="13"/>
      <c r="U320" s="13"/>
      <c r="V320" s="462" t="s">
        <v>260</v>
      </c>
      <c r="W320" s="13"/>
      <c r="X320" s="13"/>
      <c r="Y320" s="13"/>
      <c r="Z320" s="13"/>
      <c r="AA320" s="13"/>
      <c r="AB320" s="13"/>
      <c r="AC320" s="13"/>
      <c r="AD320" s="13"/>
      <c r="AE320" s="13"/>
      <c r="AF320" s="13"/>
      <c r="AG320" s="13"/>
      <c r="AH320" s="13"/>
      <c r="AI320" s="13"/>
      <c r="AJ320" s="13"/>
      <c r="AK320" s="13"/>
      <c r="AL320" s="13"/>
      <c r="AM320" s="13"/>
      <c r="AN320" s="13"/>
    </row>
    <row r="321" spans="1:40" ht="20.25">
      <c r="A321" t="str">
        <f t="shared" si="73"/>
        <v>PiècesSalaires spécialistes</v>
      </c>
      <c r="B321" s="11" t="s">
        <v>98</v>
      </c>
      <c r="C321" s="102" t="s">
        <v>43</v>
      </c>
      <c r="D321" s="81"/>
      <c r="E321" s="13"/>
      <c r="F321" s="30">
        <v>0</v>
      </c>
      <c r="G321" s="83"/>
      <c r="H321" s="13"/>
      <c r="I321" s="30"/>
      <c r="J321" s="41"/>
      <c r="K321" s="13"/>
      <c r="L321" s="33">
        <v>0</v>
      </c>
      <c r="M321" s="41"/>
      <c r="N321" s="59">
        <f t="shared" si="80"/>
        <v>0</v>
      </c>
      <c r="O321" s="41"/>
      <c r="P321" s="13"/>
      <c r="Q321" s="33">
        <v>0</v>
      </c>
      <c r="R321" s="41"/>
      <c r="S321" s="85">
        <f t="shared" si="81"/>
        <v>0</v>
      </c>
      <c r="T321" s="13"/>
      <c r="U321" s="13"/>
      <c r="V321" s="13"/>
      <c r="W321" s="13"/>
      <c r="X321" s="13"/>
      <c r="Y321" s="13"/>
      <c r="Z321" s="13"/>
      <c r="AA321" s="13"/>
      <c r="AB321" s="13"/>
      <c r="AC321" s="13"/>
      <c r="AD321" s="13"/>
      <c r="AE321" s="13"/>
      <c r="AF321" s="13"/>
      <c r="AG321" s="13"/>
      <c r="AH321" s="13"/>
      <c r="AI321" s="13"/>
      <c r="AJ321" s="13"/>
      <c r="AK321" s="13"/>
      <c r="AL321" s="13"/>
      <c r="AM321" s="13"/>
      <c r="AN321" s="13"/>
    </row>
    <row r="322" spans="1:40" ht="20.25" hidden="1">
      <c r="A322" t="str">
        <f>+B322&amp;C322</f>
        <v>Pièces[...]</v>
      </c>
      <c r="B322" s="11" t="s">
        <v>98</v>
      </c>
      <c r="C322" s="229" t="s">
        <v>19</v>
      </c>
      <c r="D322" s="81"/>
      <c r="E322" s="13"/>
      <c r="F322" s="30">
        <v>0</v>
      </c>
      <c r="G322" s="83"/>
      <c r="H322" s="13"/>
      <c r="I322" s="30"/>
      <c r="J322" s="41"/>
      <c r="K322" s="13"/>
      <c r="L322" s="33">
        <v>0</v>
      </c>
      <c r="M322" s="41"/>
      <c r="N322" s="59">
        <f t="shared" si="80"/>
        <v>0</v>
      </c>
      <c r="O322" s="41"/>
      <c r="P322" s="13"/>
      <c r="Q322" s="33">
        <v>0</v>
      </c>
      <c r="R322" s="41"/>
      <c r="S322" s="85">
        <f>L322-Q322</f>
        <v>0</v>
      </c>
      <c r="T322" s="13"/>
      <c r="U322" s="13"/>
      <c r="V322" s="13"/>
      <c r="W322" s="13"/>
      <c r="X322" s="13"/>
      <c r="Y322" s="13"/>
      <c r="Z322" s="13"/>
      <c r="AA322" s="13"/>
      <c r="AB322" s="13"/>
      <c r="AC322" s="13"/>
      <c r="AD322" s="13"/>
      <c r="AE322" s="13"/>
      <c r="AF322" s="13"/>
      <c r="AG322" s="13"/>
      <c r="AH322" s="13"/>
      <c r="AI322" s="13"/>
      <c r="AJ322" s="13"/>
      <c r="AK322" s="13"/>
      <c r="AL322" s="13"/>
      <c r="AM322" s="13"/>
      <c r="AN322" s="13"/>
    </row>
    <row r="323" spans="1:40" ht="20.25" hidden="1">
      <c r="A323" t="str">
        <f>+B323&amp;C323</f>
        <v>Pièces[...]</v>
      </c>
      <c r="B323" s="11" t="s">
        <v>98</v>
      </c>
      <c r="C323" s="229" t="s">
        <v>19</v>
      </c>
      <c r="D323" s="81"/>
      <c r="E323" s="13"/>
      <c r="F323" s="30">
        <v>0</v>
      </c>
      <c r="G323" s="83"/>
      <c r="H323" s="13"/>
      <c r="I323" s="30"/>
      <c r="J323" s="41"/>
      <c r="K323" s="13"/>
      <c r="L323" s="33">
        <v>0</v>
      </c>
      <c r="M323" s="41"/>
      <c r="N323" s="59">
        <f t="shared" si="80"/>
        <v>0</v>
      </c>
      <c r="O323" s="41"/>
      <c r="P323" s="13"/>
      <c r="Q323" s="33">
        <v>0</v>
      </c>
      <c r="R323" s="41"/>
      <c r="S323" s="85">
        <f>L323-Q323</f>
        <v>0</v>
      </c>
      <c r="T323" s="13"/>
      <c r="U323" s="13"/>
      <c r="V323" s="13"/>
      <c r="W323" s="13"/>
      <c r="X323" s="13"/>
      <c r="Y323" s="13"/>
      <c r="Z323" s="13"/>
      <c r="AA323" s="13"/>
      <c r="AB323" s="13"/>
      <c r="AC323" s="13"/>
      <c r="AD323" s="13"/>
      <c r="AE323" s="13"/>
      <c r="AF323" s="13"/>
      <c r="AG323" s="13"/>
      <c r="AH323" s="13"/>
      <c r="AI323" s="13"/>
      <c r="AJ323" s="13"/>
      <c r="AK323" s="13"/>
      <c r="AL323" s="13"/>
      <c r="AM323" s="13"/>
      <c r="AN323" s="13"/>
    </row>
    <row r="324" spans="1:40" ht="20.25" hidden="1">
      <c r="A324" t="str">
        <f>+B324&amp;C324</f>
        <v>Pièces[...]</v>
      </c>
      <c r="B324" s="11" t="s">
        <v>98</v>
      </c>
      <c r="C324" s="229" t="s">
        <v>19</v>
      </c>
      <c r="D324" s="81"/>
      <c r="E324" s="13"/>
      <c r="F324" s="30">
        <v>0</v>
      </c>
      <c r="G324" s="83"/>
      <c r="H324" s="13"/>
      <c r="I324" s="30"/>
      <c r="J324" s="41"/>
      <c r="K324" s="13"/>
      <c r="L324" s="33">
        <v>0</v>
      </c>
      <c r="M324" s="41"/>
      <c r="N324" s="59">
        <f t="shared" si="80"/>
        <v>0</v>
      </c>
      <c r="O324" s="41"/>
      <c r="P324" s="13"/>
      <c r="Q324" s="33">
        <v>0</v>
      </c>
      <c r="R324" s="41"/>
      <c r="S324" s="85">
        <f>L324-Q324</f>
        <v>0</v>
      </c>
      <c r="T324" s="13"/>
      <c r="U324" s="13"/>
      <c r="V324" s="13"/>
      <c r="W324" s="13"/>
      <c r="X324" s="13"/>
      <c r="Y324" s="13"/>
      <c r="Z324" s="13"/>
      <c r="AA324" s="13"/>
      <c r="AB324" s="13"/>
      <c r="AC324" s="13"/>
      <c r="AD324" s="13"/>
      <c r="AE324" s="13"/>
      <c r="AF324" s="13"/>
      <c r="AG324" s="13"/>
      <c r="AH324" s="13"/>
      <c r="AI324" s="13"/>
      <c r="AJ324" s="13"/>
      <c r="AK324" s="13"/>
      <c r="AL324" s="13"/>
      <c r="AM324" s="13"/>
      <c r="AN324" s="13"/>
    </row>
    <row r="325" spans="1:40" ht="20.25">
      <c r="A325" t="str">
        <f t="shared" ref="A325:A336" si="82">+B325&amp;C325</f>
        <v>PiècesSalaires en absences</v>
      </c>
      <c r="B325" s="11" t="s">
        <v>98</v>
      </c>
      <c r="C325" s="103" t="s">
        <v>44</v>
      </c>
      <c r="D325" s="81"/>
      <c r="E325" s="13"/>
      <c r="F325" s="22">
        <v>2217.8700656536184</v>
      </c>
      <c r="G325" s="83"/>
      <c r="H325" s="13"/>
      <c r="I325" s="22"/>
      <c r="J325" s="41"/>
      <c r="K325" s="13"/>
      <c r="L325" s="33">
        <v>2599.09</v>
      </c>
      <c r="M325" s="41"/>
      <c r="N325" s="59">
        <f t="shared" si="80"/>
        <v>381.21993434638171</v>
      </c>
      <c r="O325" s="41"/>
      <c r="P325" s="13"/>
      <c r="Q325" s="33">
        <v>1636.88</v>
      </c>
      <c r="R325" s="41"/>
      <c r="S325" s="85">
        <f t="shared" ref="S325:S336" si="83">L325-Q325</f>
        <v>962.21</v>
      </c>
      <c r="T325" s="13"/>
      <c r="U325" s="13"/>
      <c r="V325" s="13"/>
      <c r="W325" s="13"/>
      <c r="X325" s="13"/>
      <c r="Y325" s="13"/>
      <c r="Z325" s="13"/>
      <c r="AA325" s="13"/>
      <c r="AB325" s="13"/>
      <c r="AC325" s="13"/>
      <c r="AD325" s="13"/>
      <c r="AE325" s="13"/>
      <c r="AF325" s="13"/>
      <c r="AG325" s="13"/>
      <c r="AH325" s="13"/>
      <c r="AI325" s="13"/>
      <c r="AJ325" s="13"/>
      <c r="AK325" s="13"/>
      <c r="AL325" s="13"/>
      <c r="AM325" s="13"/>
      <c r="AN325" s="13"/>
    </row>
    <row r="326" spans="1:40" ht="20.25">
      <c r="A326" t="str">
        <f t="shared" si="82"/>
        <v>PiècesDéduction à la source</v>
      </c>
      <c r="B326" s="11" t="s">
        <v>98</v>
      </c>
      <c r="C326" s="102" t="s">
        <v>45</v>
      </c>
      <c r="D326" s="104"/>
      <c r="E326" s="105"/>
      <c r="F326" s="30">
        <v>3146.2533580152676</v>
      </c>
      <c r="G326" s="106"/>
      <c r="H326" s="105"/>
      <c r="I326" s="30"/>
      <c r="J326" s="107"/>
      <c r="K326" s="105"/>
      <c r="L326" s="108">
        <v>3793.66</v>
      </c>
      <c r="M326" s="107"/>
      <c r="N326" s="109">
        <f t="shared" si="80"/>
        <v>647.40664198473223</v>
      </c>
      <c r="O326" s="107"/>
      <c r="P326" s="105"/>
      <c r="Q326" s="108">
        <v>3526.37</v>
      </c>
      <c r="R326" s="107"/>
      <c r="S326" s="110">
        <f t="shared" si="83"/>
        <v>267.28999999999996</v>
      </c>
      <c r="T326" s="13"/>
      <c r="U326" s="13"/>
      <c r="V326" s="13"/>
      <c r="W326" s="13"/>
      <c r="X326" s="13"/>
      <c r="Y326" s="13"/>
      <c r="Z326" s="13"/>
      <c r="AA326" s="13"/>
      <c r="AB326" s="13"/>
      <c r="AC326" s="13"/>
      <c r="AD326" s="13"/>
      <c r="AE326" s="13"/>
      <c r="AF326" s="13"/>
      <c r="AG326" s="13"/>
      <c r="AH326" s="13"/>
      <c r="AI326" s="13"/>
      <c r="AJ326" s="13"/>
      <c r="AK326" s="13"/>
      <c r="AL326" s="13"/>
      <c r="AM326" s="13"/>
      <c r="AN326" s="13"/>
    </row>
    <row r="327" spans="1:40" ht="20.25">
      <c r="A327" t="str">
        <f t="shared" si="82"/>
        <v>PiècesBénéfices marginaux</v>
      </c>
      <c r="B327" s="11" t="s">
        <v>98</v>
      </c>
      <c r="C327" s="102" t="s">
        <v>46</v>
      </c>
      <c r="D327" s="81"/>
      <c r="E327" s="13"/>
      <c r="F327" s="30">
        <v>1455.7291656488551</v>
      </c>
      <c r="G327" s="83"/>
      <c r="H327" s="13"/>
      <c r="I327" s="30"/>
      <c r="J327" s="41"/>
      <c r="K327" s="13"/>
      <c r="L327" s="33">
        <v>1958.57</v>
      </c>
      <c r="M327" s="41"/>
      <c r="N327" s="59">
        <f t="shared" si="80"/>
        <v>502.84083435114485</v>
      </c>
      <c r="O327" s="41"/>
      <c r="P327" s="13"/>
      <c r="Q327" s="33">
        <v>1870.35</v>
      </c>
      <c r="R327" s="41"/>
      <c r="S327" s="85">
        <f t="shared" si="83"/>
        <v>88.220000000000027</v>
      </c>
      <c r="T327" s="13"/>
      <c r="U327" s="13"/>
      <c r="V327" s="13"/>
      <c r="W327" s="13"/>
      <c r="X327" s="13"/>
      <c r="Y327" s="13"/>
      <c r="Z327" s="13"/>
      <c r="AA327" s="13"/>
      <c r="AB327" s="13"/>
      <c r="AC327" s="13"/>
      <c r="AD327" s="13"/>
      <c r="AE327" s="13"/>
      <c r="AF327" s="13"/>
      <c r="AG327" s="13"/>
      <c r="AH327" s="13"/>
      <c r="AI327" s="13"/>
      <c r="AJ327" s="13"/>
      <c r="AK327" s="13"/>
      <c r="AL327" s="13"/>
      <c r="AM327" s="13"/>
      <c r="AN327" s="13"/>
    </row>
    <row r="328" spans="1:40" ht="20.25">
      <c r="A328" t="str">
        <f t="shared" si="82"/>
        <v>PiècesCsst</v>
      </c>
      <c r="B328" s="11" t="s">
        <v>98</v>
      </c>
      <c r="C328" s="102" t="s">
        <v>47</v>
      </c>
      <c r="D328" s="81"/>
      <c r="E328" s="13"/>
      <c r="F328" s="30">
        <v>328.71303740458018</v>
      </c>
      <c r="G328" s="83"/>
      <c r="H328" s="13"/>
      <c r="I328" s="30"/>
      <c r="J328" s="41"/>
      <c r="K328" s="13"/>
      <c r="L328" s="33">
        <v>327.83</v>
      </c>
      <c r="M328" s="467"/>
      <c r="N328" s="146">
        <f t="shared" si="80"/>
        <v>-0.8830374045801932</v>
      </c>
      <c r="O328" s="41"/>
      <c r="P328" s="13"/>
      <c r="Q328" s="33">
        <v>286.36</v>
      </c>
      <c r="R328" s="41"/>
      <c r="S328" s="85">
        <f t="shared" si="83"/>
        <v>41.46999999999997</v>
      </c>
      <c r="T328" s="13"/>
      <c r="U328" s="13"/>
      <c r="V328" s="13"/>
      <c r="W328" s="13"/>
      <c r="X328" s="13"/>
      <c r="Y328" s="13"/>
      <c r="Z328" s="13"/>
      <c r="AA328" s="13"/>
      <c r="AB328" s="13"/>
      <c r="AC328" s="13"/>
      <c r="AD328" s="13"/>
      <c r="AE328" s="13"/>
      <c r="AF328" s="13"/>
      <c r="AG328" s="13"/>
      <c r="AH328" s="13"/>
      <c r="AI328" s="13"/>
      <c r="AJ328" s="13"/>
      <c r="AK328" s="13"/>
      <c r="AL328" s="13"/>
      <c r="AM328" s="13"/>
      <c r="AN328" s="13"/>
    </row>
    <row r="329" spans="1:40" ht="20.25" hidden="1">
      <c r="A329" t="str">
        <f t="shared" si="82"/>
        <v>Pièces[...]</v>
      </c>
      <c r="B329" s="11" t="s">
        <v>98</v>
      </c>
      <c r="C329" s="29" t="s">
        <v>19</v>
      </c>
      <c r="D329" s="87"/>
      <c r="E329" s="111"/>
      <c r="F329" s="30">
        <v>0</v>
      </c>
      <c r="G329" s="89"/>
      <c r="H329" s="111"/>
      <c r="I329" s="30"/>
      <c r="J329" s="23"/>
      <c r="K329" s="111"/>
      <c r="L329" s="33">
        <v>0</v>
      </c>
      <c r="M329" s="23"/>
      <c r="N329" s="91">
        <f t="shared" si="80"/>
        <v>0</v>
      </c>
      <c r="O329" s="23"/>
      <c r="P329" s="111"/>
      <c r="Q329" s="33">
        <v>0</v>
      </c>
      <c r="R329" s="23"/>
      <c r="S329" s="92">
        <f t="shared" si="83"/>
        <v>0</v>
      </c>
      <c r="T329" s="13"/>
      <c r="U329" s="13"/>
      <c r="V329" s="13"/>
      <c r="W329" s="13"/>
      <c r="X329" s="13"/>
      <c r="Y329" s="13"/>
      <c r="Z329" s="13"/>
      <c r="AA329" s="13"/>
      <c r="AB329" s="13"/>
      <c r="AC329" s="13"/>
      <c r="AD329" s="13"/>
      <c r="AE329" s="13"/>
      <c r="AF329" s="13"/>
      <c r="AG329" s="13"/>
      <c r="AH329" s="13"/>
      <c r="AI329" s="13"/>
      <c r="AJ329" s="13"/>
      <c r="AK329" s="13"/>
      <c r="AL329" s="13"/>
      <c r="AM329" s="13"/>
      <c r="AN329" s="13"/>
    </row>
    <row r="330" spans="1:40" ht="20.25">
      <c r="A330" t="str">
        <f t="shared" si="82"/>
        <v>PiècesTOTAL PERSONNEL</v>
      </c>
      <c r="B330" s="11" t="s">
        <v>98</v>
      </c>
      <c r="C330" s="93" t="s">
        <v>48</v>
      </c>
      <c r="D330" s="94" t="s">
        <v>38</v>
      </c>
      <c r="E330" s="95">
        <f>F330/F$314</f>
        <v>0.29757709357614526</v>
      </c>
      <c r="F330" s="96">
        <f>+SUM(F318:F329)</f>
        <v>27610.755448605272</v>
      </c>
      <c r="G330" s="97"/>
      <c r="H330" s="95"/>
      <c r="I330" s="96"/>
      <c r="J330" s="97" t="s">
        <v>38</v>
      </c>
      <c r="K330" s="95">
        <f>L330/L$314</f>
        <v>0.31153208665958754</v>
      </c>
      <c r="L330" s="96">
        <f>+SUM(L318:L329)</f>
        <v>22848.000000000004</v>
      </c>
      <c r="M330" s="147"/>
      <c r="N330" s="113">
        <f t="shared" si="80"/>
        <v>-4762.7554486052686</v>
      </c>
      <c r="O330" s="97" t="s">
        <v>38</v>
      </c>
      <c r="P330" s="95">
        <f>Q330/Q$314</f>
        <v>0.35187824579590954</v>
      </c>
      <c r="Q330" s="96">
        <f>+SUM(Q318:Q329)</f>
        <v>28097.96</v>
      </c>
      <c r="R330" s="147"/>
      <c r="S330" s="114">
        <f t="shared" si="83"/>
        <v>-5249.9599999999955</v>
      </c>
      <c r="T330" s="13"/>
      <c r="U330" s="13"/>
      <c r="V330" s="13"/>
      <c r="W330" s="13"/>
      <c r="X330" s="13"/>
      <c r="Y330" s="13"/>
      <c r="Z330" s="13"/>
      <c r="AA330" s="13"/>
      <c r="AB330" s="13"/>
      <c r="AC330" s="13"/>
      <c r="AD330" s="13"/>
      <c r="AE330" s="13"/>
      <c r="AF330" s="13"/>
      <c r="AG330" s="13"/>
      <c r="AH330" s="13"/>
      <c r="AI330" s="13"/>
      <c r="AJ330" s="13"/>
      <c r="AK330" s="13"/>
      <c r="AL330" s="13"/>
      <c r="AM330" s="13"/>
      <c r="AN330" s="13"/>
    </row>
    <row r="331" spans="1:40" ht="20.25">
      <c r="A331" t="str">
        <f t="shared" si="82"/>
        <v>PiècesPublicité 2</v>
      </c>
      <c r="B331" s="11" t="s">
        <v>98</v>
      </c>
      <c r="C331" s="211" t="s">
        <v>49</v>
      </c>
      <c r="D331" s="81"/>
      <c r="E331" s="13"/>
      <c r="F331" s="30">
        <v>2263.4560195806971</v>
      </c>
      <c r="G331" s="83"/>
      <c r="H331" s="13"/>
      <c r="I331" s="30"/>
      <c r="J331" s="41"/>
      <c r="K331" s="13"/>
      <c r="L331" s="33">
        <v>2058.5700000000002</v>
      </c>
      <c r="M331" s="41"/>
      <c r="N331" s="59">
        <f t="shared" si="80"/>
        <v>-204.88601958069694</v>
      </c>
      <c r="O331" s="41"/>
      <c r="P331" s="13"/>
      <c r="Q331" s="33">
        <v>2806.54</v>
      </c>
      <c r="R331" s="41"/>
      <c r="S331" s="85">
        <f t="shared" si="83"/>
        <v>-747.9699999999998</v>
      </c>
      <c r="T331" s="13"/>
      <c r="U331" s="13"/>
      <c r="V331" s="13"/>
      <c r="W331" s="13"/>
      <c r="X331" s="13"/>
      <c r="Y331" s="13"/>
      <c r="Z331" s="13"/>
      <c r="AA331" s="13"/>
      <c r="AB331" s="13"/>
      <c r="AC331" s="13"/>
      <c r="AD331" s="13"/>
      <c r="AE331" s="13"/>
      <c r="AF331" s="13"/>
      <c r="AG331" s="13"/>
      <c r="AH331" s="13"/>
      <c r="AI331" s="13"/>
      <c r="AJ331" s="13"/>
      <c r="AK331" s="13"/>
      <c r="AL331" s="13"/>
      <c r="AM331" s="13"/>
      <c r="AN331" s="13"/>
    </row>
    <row r="332" spans="1:40" ht="20.25">
      <c r="A332" t="str">
        <f t="shared" si="82"/>
        <v>PiècesService gratuit 2</v>
      </c>
      <c r="B332" s="11" t="s">
        <v>98</v>
      </c>
      <c r="C332" s="102" t="s">
        <v>50</v>
      </c>
      <c r="D332" s="81"/>
      <c r="E332" s="13"/>
      <c r="F332" s="30">
        <v>265</v>
      </c>
      <c r="G332" s="83"/>
      <c r="H332" s="13"/>
      <c r="I332" s="30"/>
      <c r="J332" s="41"/>
      <c r="K332" s="13"/>
      <c r="L332" s="59">
        <v>36.74</v>
      </c>
      <c r="M332" s="41"/>
      <c r="N332" s="59">
        <f t="shared" si="80"/>
        <v>-228.26</v>
      </c>
      <c r="O332" s="41"/>
      <c r="P332" s="13"/>
      <c r="Q332" s="33">
        <v>258.38</v>
      </c>
      <c r="R332" s="41"/>
      <c r="S332" s="85">
        <f t="shared" si="83"/>
        <v>-221.64</v>
      </c>
      <c r="T332" s="13"/>
      <c r="U332" s="13"/>
      <c r="V332" s="13"/>
      <c r="W332" s="13"/>
      <c r="X332" s="13"/>
      <c r="Y332" s="13"/>
      <c r="Z332" s="13"/>
      <c r="AA332" s="13"/>
      <c r="AB332" s="13"/>
      <c r="AC332" s="13"/>
      <c r="AD332" s="13"/>
      <c r="AE332" s="13"/>
      <c r="AF332" s="13"/>
      <c r="AG332" s="13"/>
      <c r="AH332" s="13"/>
      <c r="AI332" s="13"/>
      <c r="AJ332" s="13"/>
      <c r="AK332" s="13"/>
      <c r="AL332" s="13"/>
      <c r="AM332" s="13"/>
      <c r="AN332" s="13"/>
    </row>
    <row r="333" spans="1:40" ht="20.25">
      <c r="A333" t="str">
        <f t="shared" si="82"/>
        <v>PiècesFrais véhicules de cie</v>
      </c>
      <c r="B333" s="11" t="s">
        <v>98</v>
      </c>
      <c r="C333" s="103" t="s">
        <v>51</v>
      </c>
      <c r="D333" s="87"/>
      <c r="E333" s="111"/>
      <c r="F333" s="22">
        <v>4423.3333333333339</v>
      </c>
      <c r="G333" s="89"/>
      <c r="H333" s="111"/>
      <c r="I333" s="22"/>
      <c r="J333" s="23"/>
      <c r="K333" s="111"/>
      <c r="L333" s="91">
        <v>5126.7299999999996</v>
      </c>
      <c r="M333" s="23"/>
      <c r="N333" s="91">
        <f t="shared" si="80"/>
        <v>703.39666666666562</v>
      </c>
      <c r="O333" s="23"/>
      <c r="P333" s="111"/>
      <c r="Q333" s="33">
        <v>3900.19</v>
      </c>
      <c r="R333" s="23"/>
      <c r="S333" s="92">
        <f t="shared" si="83"/>
        <v>1226.5399999999995</v>
      </c>
      <c r="T333" s="13"/>
      <c r="U333" s="13"/>
      <c r="V333" s="13"/>
      <c r="W333" s="13"/>
      <c r="X333" s="13"/>
      <c r="Y333" s="13"/>
      <c r="Z333" s="13"/>
      <c r="AA333" s="13"/>
      <c r="AB333" s="13"/>
      <c r="AC333" s="13"/>
      <c r="AD333" s="13"/>
      <c r="AE333" s="13"/>
      <c r="AF333" s="13"/>
      <c r="AG333" s="13"/>
      <c r="AH333" s="13"/>
      <c r="AI333" s="13"/>
      <c r="AJ333" s="13"/>
      <c r="AK333" s="13"/>
      <c r="AL333" s="13"/>
      <c r="AM333" s="13"/>
      <c r="AN333" s="13"/>
    </row>
    <row r="334" spans="1:40" ht="20.25">
      <c r="A334" t="str">
        <f t="shared" si="82"/>
        <v>PiècesInformatique</v>
      </c>
      <c r="B334" s="11" t="s">
        <v>98</v>
      </c>
      <c r="C334" s="102" t="s">
        <v>52</v>
      </c>
      <c r="D334" s="81"/>
      <c r="E334" s="13"/>
      <c r="F334" s="30">
        <v>1913.8000000000002</v>
      </c>
      <c r="G334" s="83"/>
      <c r="H334" s="13"/>
      <c r="I334" s="30"/>
      <c r="J334" s="41"/>
      <c r="K334" s="13"/>
      <c r="L334" s="108">
        <v>1769.38</v>
      </c>
      <c r="M334" s="41"/>
      <c r="N334" s="59">
        <f t="shared" si="80"/>
        <v>-144.42000000000007</v>
      </c>
      <c r="O334" s="41"/>
      <c r="P334" s="13"/>
      <c r="Q334" s="108">
        <v>1902.76</v>
      </c>
      <c r="R334" s="41"/>
      <c r="S334" s="85">
        <f t="shared" si="83"/>
        <v>-133.37999999999988</v>
      </c>
      <c r="T334" s="13"/>
      <c r="U334" s="13"/>
      <c r="V334" s="13"/>
      <c r="W334" s="13"/>
      <c r="X334" s="13"/>
      <c r="Y334" s="13"/>
      <c r="Z334" s="13"/>
      <c r="AA334" s="13"/>
      <c r="AB334" s="13"/>
      <c r="AC334" s="13"/>
      <c r="AD334" s="13"/>
      <c r="AE334" s="13"/>
      <c r="AF334" s="13"/>
      <c r="AG334" s="13"/>
      <c r="AH334" s="13"/>
      <c r="AI334" s="13"/>
      <c r="AJ334" s="13"/>
      <c r="AK334" s="13"/>
      <c r="AL334" s="13"/>
      <c r="AM334" s="13"/>
      <c r="AN334" s="13"/>
    </row>
    <row r="335" spans="1:40" ht="20.25">
      <c r="A335" t="str">
        <f t="shared" si="82"/>
        <v>PiècesFrais de déplacement</v>
      </c>
      <c r="B335" s="11" t="s">
        <v>98</v>
      </c>
      <c r="C335" s="102" t="s">
        <v>53</v>
      </c>
      <c r="D335" s="81"/>
      <c r="E335" s="13"/>
      <c r="F335" s="30">
        <v>365.6</v>
      </c>
      <c r="G335" s="83"/>
      <c r="H335" s="13"/>
      <c r="I335" s="30"/>
      <c r="J335" s="41"/>
      <c r="K335" s="13"/>
      <c r="L335" s="33">
        <v>322.51</v>
      </c>
      <c r="M335" s="41"/>
      <c r="N335" s="59">
        <f t="shared" si="80"/>
        <v>-43.090000000000032</v>
      </c>
      <c r="O335" s="41"/>
      <c r="P335" s="13"/>
      <c r="Q335" s="33">
        <v>190.57</v>
      </c>
      <c r="R335" s="41"/>
      <c r="S335" s="85">
        <f t="shared" si="83"/>
        <v>131.94</v>
      </c>
      <c r="T335" s="13"/>
      <c r="U335" s="13"/>
      <c r="V335" s="13"/>
      <c r="W335" s="13"/>
      <c r="X335" s="13"/>
      <c r="Y335" s="13"/>
      <c r="Z335" s="13"/>
      <c r="AA335" s="13"/>
      <c r="AB335" s="13"/>
      <c r="AC335" s="13"/>
      <c r="AD335" s="13"/>
      <c r="AE335" s="13"/>
      <c r="AF335" s="13"/>
      <c r="AG335" s="13"/>
      <c r="AH335" s="13"/>
      <c r="AI335" s="13"/>
      <c r="AJ335" s="13"/>
      <c r="AK335" s="13"/>
      <c r="AL335" s="13"/>
      <c r="AM335" s="13"/>
      <c r="AN335" s="13"/>
    </row>
    <row r="336" spans="1:40" ht="20.25">
      <c r="A336" t="str">
        <f t="shared" si="82"/>
        <v>PiècesServices extérieurs</v>
      </c>
      <c r="B336" s="11" t="s">
        <v>98</v>
      </c>
      <c r="C336" s="230" t="s">
        <v>54</v>
      </c>
      <c r="D336" s="87"/>
      <c r="E336" s="111"/>
      <c r="F336" s="22">
        <v>1994.2000000000003</v>
      </c>
      <c r="G336" s="89"/>
      <c r="H336" s="111"/>
      <c r="I336" s="22"/>
      <c r="J336" s="23"/>
      <c r="K336" s="111"/>
      <c r="L336" s="48">
        <v>1588.64</v>
      </c>
      <c r="M336" s="23"/>
      <c r="N336" s="91">
        <f t="shared" si="80"/>
        <v>-405.56000000000017</v>
      </c>
      <c r="O336" s="23"/>
      <c r="P336" s="111"/>
      <c r="Q336" s="48">
        <v>1205.67</v>
      </c>
      <c r="R336" s="23"/>
      <c r="S336" s="92">
        <f t="shared" si="83"/>
        <v>382.97</v>
      </c>
      <c r="T336" s="13"/>
      <c r="U336" s="13"/>
      <c r="V336" s="13"/>
      <c r="W336" s="13"/>
      <c r="X336" s="13"/>
      <c r="Y336" s="13"/>
      <c r="Z336" s="13"/>
      <c r="AA336" s="13"/>
      <c r="AB336" s="13"/>
      <c r="AC336" s="13"/>
      <c r="AD336" s="13"/>
      <c r="AE336" s="13"/>
      <c r="AF336" s="13"/>
      <c r="AG336" s="13"/>
      <c r="AH336" s="13"/>
      <c r="AI336" s="13"/>
      <c r="AJ336" s="13"/>
      <c r="AK336" s="13"/>
      <c r="AL336" s="13"/>
      <c r="AM336" s="13"/>
      <c r="AN336" s="13"/>
    </row>
    <row r="337" spans="1:40" ht="20.25">
      <c r="A337" t="str">
        <f>+B337&amp;C337</f>
        <v>PiècesFournitures d'atelier</v>
      </c>
      <c r="B337" s="11" t="s">
        <v>98</v>
      </c>
      <c r="C337" s="102" t="s">
        <v>93</v>
      </c>
      <c r="D337" s="81"/>
      <c r="E337" s="13"/>
      <c r="F337" s="30"/>
      <c r="G337" s="83"/>
      <c r="H337" s="13"/>
      <c r="I337" s="30"/>
      <c r="J337" s="41"/>
      <c r="K337" s="13"/>
      <c r="L337" s="33">
        <v>0</v>
      </c>
      <c r="M337" s="41"/>
      <c r="N337" s="59">
        <f t="shared" si="80"/>
        <v>0</v>
      </c>
      <c r="O337" s="41"/>
      <c r="P337" s="13"/>
      <c r="Q337" s="33">
        <v>0</v>
      </c>
      <c r="R337" s="41"/>
      <c r="S337" s="85">
        <f>L337-Q337</f>
        <v>0</v>
      </c>
      <c r="T337" s="13"/>
      <c r="U337" s="13"/>
      <c r="V337" s="13"/>
      <c r="W337" s="13"/>
      <c r="X337" s="13"/>
      <c r="Y337" s="13"/>
      <c r="Z337" s="13"/>
      <c r="AA337" s="13"/>
      <c r="AB337" s="13"/>
      <c r="AC337" s="13"/>
      <c r="AD337" s="13"/>
      <c r="AE337" s="13"/>
      <c r="AF337" s="13"/>
      <c r="AG337" s="13"/>
      <c r="AH337" s="13"/>
      <c r="AI337" s="13"/>
      <c r="AJ337" s="13"/>
      <c r="AK337" s="13"/>
      <c r="AL337" s="13"/>
      <c r="AM337" s="13"/>
      <c r="AN337" s="13"/>
    </row>
    <row r="338" spans="1:40" ht="20.25">
      <c r="A338" t="str">
        <f t="shared" ref="A338:A343" si="84">+B338&amp;C338</f>
        <v>PiècesFournitures autres</v>
      </c>
      <c r="B338" s="11" t="s">
        <v>98</v>
      </c>
      <c r="C338" s="102" t="s">
        <v>55</v>
      </c>
      <c r="D338" s="81"/>
      <c r="E338" s="13"/>
      <c r="F338" s="30">
        <v>29.518072289156624</v>
      </c>
      <c r="G338" s="83"/>
      <c r="H338" s="13"/>
      <c r="I338" s="30"/>
      <c r="J338" s="41"/>
      <c r="K338" s="13"/>
      <c r="L338" s="33">
        <v>0</v>
      </c>
      <c r="M338" s="41"/>
      <c r="N338" s="59">
        <f t="shared" si="80"/>
        <v>-29.518072289156624</v>
      </c>
      <c r="O338" s="41"/>
      <c r="P338" s="13"/>
      <c r="Q338" s="33">
        <v>46.18</v>
      </c>
      <c r="R338" s="41"/>
      <c r="S338" s="85">
        <f t="shared" ref="S338:S343" si="85">L338-Q338</f>
        <v>-46.18</v>
      </c>
      <c r="T338" s="13"/>
      <c r="U338" s="13"/>
      <c r="V338" s="13"/>
      <c r="W338" s="13"/>
      <c r="X338" s="13"/>
      <c r="Y338" s="13"/>
      <c r="Z338" s="13"/>
      <c r="AA338" s="13"/>
      <c r="AB338" s="13"/>
      <c r="AC338" s="13"/>
      <c r="AD338" s="13"/>
      <c r="AE338" s="13"/>
      <c r="AF338" s="13"/>
      <c r="AG338" s="13"/>
      <c r="AH338" s="13"/>
      <c r="AI338" s="13"/>
      <c r="AJ338" s="13"/>
      <c r="AK338" s="13"/>
      <c r="AL338" s="13"/>
      <c r="AM338" s="13"/>
      <c r="AN338" s="13"/>
    </row>
    <row r="339" spans="1:40" ht="20.25">
      <c r="A339" t="str">
        <f t="shared" si="84"/>
        <v>PiècesUniformes</v>
      </c>
      <c r="B339" s="11" t="s">
        <v>98</v>
      </c>
      <c r="C339" s="102" t="s">
        <v>56</v>
      </c>
      <c r="D339" s="81"/>
      <c r="E339" s="13"/>
      <c r="F339" s="30">
        <v>33</v>
      </c>
      <c r="G339" s="83"/>
      <c r="H339" s="13"/>
      <c r="I339" s="30"/>
      <c r="J339" s="41"/>
      <c r="K339" s="13"/>
      <c r="L339" s="33">
        <v>110</v>
      </c>
      <c r="M339" s="41"/>
      <c r="N339" s="59">
        <f t="shared" si="80"/>
        <v>77</v>
      </c>
      <c r="O339" s="41"/>
      <c r="P339" s="13"/>
      <c r="Q339" s="33">
        <v>131.71</v>
      </c>
      <c r="R339" s="41"/>
      <c r="S339" s="85">
        <f t="shared" si="85"/>
        <v>-21.710000000000008</v>
      </c>
      <c r="T339" s="13"/>
      <c r="U339" s="13"/>
      <c r="V339" s="13"/>
      <c r="W339" s="13"/>
      <c r="X339" s="13"/>
      <c r="Y339" s="13"/>
      <c r="Z339" s="13"/>
      <c r="AA339" s="13"/>
      <c r="AB339" s="13"/>
      <c r="AC339" s="13"/>
      <c r="AD339" s="13"/>
      <c r="AE339" s="13"/>
      <c r="AF339" s="13"/>
      <c r="AG339" s="13"/>
      <c r="AH339" s="13"/>
      <c r="AI339" s="13"/>
      <c r="AJ339" s="13"/>
      <c r="AK339" s="13"/>
      <c r="AL339" s="13"/>
      <c r="AM339" s="13"/>
      <c r="AN339" s="13"/>
    </row>
    <row r="340" spans="1:40" ht="20.25">
      <c r="A340" t="str">
        <f t="shared" si="84"/>
        <v>PiècesPapeterie</v>
      </c>
      <c r="B340" s="11" t="s">
        <v>98</v>
      </c>
      <c r="C340" s="102" t="s">
        <v>57</v>
      </c>
      <c r="D340" s="81"/>
      <c r="E340" s="13"/>
      <c r="F340" s="30">
        <v>350</v>
      </c>
      <c r="G340" s="83"/>
      <c r="H340" s="13"/>
      <c r="I340" s="30"/>
      <c r="J340" s="41"/>
      <c r="K340" s="13"/>
      <c r="L340" s="32">
        <v>393.25</v>
      </c>
      <c r="M340" s="41"/>
      <c r="N340" s="59">
        <f t="shared" si="80"/>
        <v>43.25</v>
      </c>
      <c r="O340" s="41"/>
      <c r="P340" s="13"/>
      <c r="Q340" s="32">
        <v>327.3</v>
      </c>
      <c r="R340" s="41"/>
      <c r="S340" s="85">
        <f t="shared" si="85"/>
        <v>65.949999999999989</v>
      </c>
      <c r="T340" s="13"/>
      <c r="U340" s="13"/>
      <c r="V340" s="13"/>
      <c r="W340" s="13"/>
      <c r="X340" s="13"/>
      <c r="Y340" s="13"/>
      <c r="Z340" s="13"/>
      <c r="AA340" s="13"/>
      <c r="AB340" s="13"/>
      <c r="AC340" s="13"/>
      <c r="AD340" s="13"/>
      <c r="AE340" s="13"/>
      <c r="AF340" s="13"/>
      <c r="AG340" s="13"/>
      <c r="AH340" s="13"/>
      <c r="AI340" s="13"/>
      <c r="AJ340" s="13"/>
      <c r="AK340" s="13"/>
      <c r="AL340" s="13"/>
      <c r="AM340" s="13"/>
      <c r="AN340" s="13"/>
    </row>
    <row r="341" spans="1:40" ht="20.25">
      <c r="A341" t="str">
        <f t="shared" si="84"/>
        <v>PiècesTéléphone</v>
      </c>
      <c r="B341" s="11" t="s">
        <v>98</v>
      </c>
      <c r="C341" s="102" t="s">
        <v>58</v>
      </c>
      <c r="D341" s="81"/>
      <c r="E341" s="13"/>
      <c r="F341" s="30">
        <v>118.4</v>
      </c>
      <c r="G341" s="83"/>
      <c r="H341" s="13"/>
      <c r="I341" s="30"/>
      <c r="J341" s="41"/>
      <c r="K341" s="13"/>
      <c r="L341" s="33">
        <v>100.69</v>
      </c>
      <c r="M341" s="41"/>
      <c r="N341" s="59">
        <f t="shared" si="80"/>
        <v>-17.710000000000008</v>
      </c>
      <c r="O341" s="41"/>
      <c r="P341" s="13"/>
      <c r="Q341" s="33">
        <v>136.96</v>
      </c>
      <c r="R341" s="41"/>
      <c r="S341" s="85">
        <f t="shared" si="85"/>
        <v>-36.27000000000001</v>
      </c>
      <c r="T341" s="13"/>
      <c r="U341" s="13"/>
      <c r="V341" s="13"/>
      <c r="W341" s="13"/>
      <c r="X341" s="13"/>
      <c r="Y341" s="13"/>
      <c r="Z341" s="13"/>
      <c r="AA341" s="13"/>
      <c r="AB341" s="13"/>
      <c r="AC341" s="13"/>
      <c r="AD341" s="13"/>
      <c r="AE341" s="13"/>
      <c r="AF341" s="13"/>
      <c r="AG341" s="13"/>
      <c r="AH341" s="13"/>
      <c r="AI341" s="13"/>
      <c r="AJ341" s="13"/>
      <c r="AK341" s="13"/>
      <c r="AL341" s="13"/>
      <c r="AM341" s="13"/>
      <c r="AN341" s="13"/>
    </row>
    <row r="342" spans="1:40" ht="20.25">
      <c r="A342" t="str">
        <f t="shared" si="84"/>
        <v>PiècesFrais postaux</v>
      </c>
      <c r="B342" s="11" t="s">
        <v>98</v>
      </c>
      <c r="C342" s="102" t="s">
        <v>59</v>
      </c>
      <c r="D342" s="81"/>
      <c r="E342" s="13"/>
      <c r="F342" s="30">
        <v>475</v>
      </c>
      <c r="G342" s="83"/>
      <c r="H342" s="13"/>
      <c r="I342" s="30"/>
      <c r="J342" s="41"/>
      <c r="K342" s="13"/>
      <c r="L342" s="33">
        <v>-432.3</v>
      </c>
      <c r="M342" s="41"/>
      <c r="N342" s="59">
        <f t="shared" si="80"/>
        <v>-907.3</v>
      </c>
      <c r="O342" s="41"/>
      <c r="P342" s="13"/>
      <c r="Q342" s="33">
        <v>419.92</v>
      </c>
      <c r="R342" s="41"/>
      <c r="S342" s="85">
        <f t="shared" si="85"/>
        <v>-852.22</v>
      </c>
      <c r="T342" s="13"/>
      <c r="U342" s="13"/>
      <c r="V342" s="13"/>
      <c r="W342" s="13"/>
      <c r="X342" s="13"/>
      <c r="Y342" s="13"/>
      <c r="Z342" s="13"/>
      <c r="AA342" s="13"/>
      <c r="AB342" s="13"/>
      <c r="AC342" s="13"/>
      <c r="AD342" s="13"/>
      <c r="AE342" s="13"/>
      <c r="AF342" s="13"/>
      <c r="AG342" s="13"/>
      <c r="AH342" s="13"/>
      <c r="AI342" s="13"/>
      <c r="AJ342" s="13"/>
      <c r="AK342" s="13"/>
      <c r="AL342" s="13"/>
      <c r="AM342" s="13"/>
      <c r="AN342" s="13"/>
    </row>
    <row r="343" spans="1:40" ht="20.25">
      <c r="A343" t="str">
        <f t="shared" si="84"/>
        <v>PiècesDivers</v>
      </c>
      <c r="B343" s="11" t="s">
        <v>98</v>
      </c>
      <c r="C343" s="102" t="s">
        <v>60</v>
      </c>
      <c r="D343" s="81"/>
      <c r="E343" s="13"/>
      <c r="F343" s="30">
        <v>371.6</v>
      </c>
      <c r="G343" s="83"/>
      <c r="H343" s="13"/>
      <c r="I343" s="30"/>
      <c r="J343" s="41"/>
      <c r="K343" s="13"/>
      <c r="L343" s="33">
        <v>370.2</v>
      </c>
      <c r="M343" s="41"/>
      <c r="N343" s="59">
        <f t="shared" si="80"/>
        <v>-1.4000000000000341</v>
      </c>
      <c r="O343" s="41"/>
      <c r="P343" s="13"/>
      <c r="Q343" s="33">
        <v>461.3</v>
      </c>
      <c r="R343" s="41"/>
      <c r="S343" s="85">
        <f t="shared" si="85"/>
        <v>-91.100000000000023</v>
      </c>
      <c r="T343" s="13"/>
      <c r="U343" s="13"/>
      <c r="V343" s="13"/>
      <c r="W343" s="13"/>
      <c r="X343" s="13"/>
      <c r="Y343" s="13"/>
      <c r="Z343" s="13"/>
      <c r="AA343" s="13"/>
      <c r="AB343" s="13"/>
      <c r="AC343" s="13"/>
      <c r="AD343" s="13"/>
      <c r="AE343" s="13"/>
      <c r="AF343" s="13"/>
      <c r="AG343" s="13"/>
      <c r="AH343" s="13"/>
      <c r="AI343" s="13"/>
      <c r="AJ343" s="13"/>
      <c r="AK343" s="13"/>
      <c r="AL343" s="13"/>
      <c r="AM343" s="13"/>
      <c r="AN343" s="13"/>
    </row>
    <row r="344" spans="1:40" ht="20.25">
      <c r="A344" t="str">
        <f>+B344&amp;C344</f>
        <v>PiècesFormation</v>
      </c>
      <c r="B344" s="11" t="s">
        <v>98</v>
      </c>
      <c r="C344" s="102" t="s">
        <v>61</v>
      </c>
      <c r="D344" s="81"/>
      <c r="E344" s="13"/>
      <c r="F344" s="30">
        <v>241.14687999999995</v>
      </c>
      <c r="G344" s="83"/>
      <c r="H344" s="13"/>
      <c r="I344" s="30"/>
      <c r="J344" s="41"/>
      <c r="K344" s="13"/>
      <c r="L344" s="59">
        <v>433.32</v>
      </c>
      <c r="M344" s="41"/>
      <c r="N344" s="59">
        <f t="shared" si="80"/>
        <v>192.17312000000004</v>
      </c>
      <c r="O344" s="41"/>
      <c r="P344" s="13"/>
      <c r="Q344" s="33">
        <v>164.48</v>
      </c>
      <c r="R344" s="41"/>
      <c r="S344" s="85">
        <f>L344-Q344</f>
        <v>268.84000000000003</v>
      </c>
      <c r="T344" s="13"/>
      <c r="U344" s="13"/>
      <c r="V344" s="13"/>
      <c r="W344" s="13"/>
      <c r="X344" s="13"/>
      <c r="Y344" s="13"/>
      <c r="Z344" s="13"/>
      <c r="AA344" s="13"/>
      <c r="AB344" s="13"/>
      <c r="AC344" s="13"/>
      <c r="AD344" s="13"/>
      <c r="AE344" s="13"/>
      <c r="AF344" s="13"/>
      <c r="AG344" s="13"/>
      <c r="AH344" s="13"/>
      <c r="AI344" s="13"/>
      <c r="AJ344" s="13"/>
      <c r="AK344" s="13"/>
      <c r="AL344" s="13"/>
      <c r="AM344" s="13"/>
      <c r="AN344" s="13"/>
    </row>
    <row r="345" spans="1:40" ht="20.25">
      <c r="A345" t="str">
        <f>+B345&amp;C345</f>
        <v>PiècesFrais bancaires</v>
      </c>
      <c r="B345" s="11" t="s">
        <v>98</v>
      </c>
      <c r="C345" s="102" t="s">
        <v>62</v>
      </c>
      <c r="D345" s="81"/>
      <c r="E345" s="13"/>
      <c r="F345" s="30">
        <v>1237.0872841360267</v>
      </c>
      <c r="G345" s="83"/>
      <c r="H345" s="13"/>
      <c r="I345" s="30"/>
      <c r="J345" s="41"/>
      <c r="K345" s="13"/>
      <c r="L345" s="32">
        <v>887.88</v>
      </c>
      <c r="M345" s="41"/>
      <c r="N345" s="59">
        <f t="shared" si="80"/>
        <v>-349.20728413602671</v>
      </c>
      <c r="O345" s="41"/>
      <c r="P345" s="13"/>
      <c r="Q345" s="33">
        <v>1168.8</v>
      </c>
      <c r="R345" s="41"/>
      <c r="S345" s="85">
        <f>L345-Q345</f>
        <v>-280.91999999999996</v>
      </c>
      <c r="T345" s="13"/>
      <c r="U345" s="13"/>
      <c r="V345" s="13"/>
      <c r="W345" s="13"/>
      <c r="X345" s="13"/>
      <c r="Y345" s="13"/>
      <c r="Z345" s="13"/>
      <c r="AA345" s="13"/>
      <c r="AB345" s="13"/>
      <c r="AC345" s="13"/>
      <c r="AD345" s="13"/>
      <c r="AE345" s="13"/>
      <c r="AF345" s="13"/>
      <c r="AG345" s="13"/>
      <c r="AH345" s="13"/>
      <c r="AI345" s="13"/>
      <c r="AJ345" s="13"/>
      <c r="AK345" s="13"/>
      <c r="AL345" s="13"/>
      <c r="AM345" s="13"/>
      <c r="AN345" s="13"/>
    </row>
    <row r="346" spans="1:40" ht="20.25" hidden="1">
      <c r="A346" t="str">
        <f>+B346&amp;C346</f>
        <v>Pièces[...]</v>
      </c>
      <c r="B346" s="11" t="s">
        <v>98</v>
      </c>
      <c r="C346" s="102" t="s">
        <v>19</v>
      </c>
      <c r="D346" s="81"/>
      <c r="E346" s="13"/>
      <c r="F346" s="30">
        <v>0</v>
      </c>
      <c r="G346" s="83"/>
      <c r="H346" s="13"/>
      <c r="I346" s="30"/>
      <c r="J346" s="41"/>
      <c r="K346" s="13"/>
      <c r="L346" s="33">
        <v>0</v>
      </c>
      <c r="M346" s="41"/>
      <c r="N346" s="59">
        <f t="shared" si="80"/>
        <v>0</v>
      </c>
      <c r="O346" s="41"/>
      <c r="P346" s="13"/>
      <c r="Q346" s="33">
        <v>0</v>
      </c>
      <c r="R346" s="41"/>
      <c r="S346" s="85">
        <f>L346-Q346</f>
        <v>0</v>
      </c>
      <c r="T346" s="13"/>
      <c r="U346" s="13"/>
      <c r="V346" s="13"/>
      <c r="W346" s="13"/>
      <c r="X346" s="13"/>
      <c r="Y346" s="13"/>
      <c r="Z346" s="13"/>
      <c r="AA346" s="13"/>
      <c r="AB346" s="13"/>
      <c r="AC346" s="13"/>
      <c r="AD346" s="13"/>
      <c r="AE346" s="13"/>
      <c r="AF346" s="13"/>
      <c r="AG346" s="13"/>
      <c r="AH346" s="13"/>
      <c r="AI346" s="13"/>
      <c r="AJ346" s="13"/>
      <c r="AK346" s="13"/>
      <c r="AL346" s="13"/>
      <c r="AM346" s="13"/>
      <c r="AN346" s="13"/>
    </row>
    <row r="347" spans="1:40" ht="20.25" hidden="1">
      <c r="A347" t="str">
        <f>+B347&amp;C347</f>
        <v>Pièces[...]</v>
      </c>
      <c r="B347" s="11" t="s">
        <v>98</v>
      </c>
      <c r="C347" s="102" t="s">
        <v>19</v>
      </c>
      <c r="D347" s="81"/>
      <c r="E347" s="13"/>
      <c r="F347" s="30">
        <v>0</v>
      </c>
      <c r="G347" s="83"/>
      <c r="H347" s="13"/>
      <c r="I347" s="30"/>
      <c r="J347" s="41"/>
      <c r="K347" s="13"/>
      <c r="L347" s="33">
        <v>0</v>
      </c>
      <c r="M347" s="41"/>
      <c r="N347" s="59">
        <f t="shared" si="80"/>
        <v>0</v>
      </c>
      <c r="O347" s="41"/>
      <c r="P347" s="13"/>
      <c r="Q347" s="33">
        <v>0</v>
      </c>
      <c r="R347" s="41"/>
      <c r="S347" s="85">
        <f>L347-Q347</f>
        <v>0</v>
      </c>
      <c r="T347" s="13"/>
      <c r="U347" s="13"/>
      <c r="V347" s="13"/>
      <c r="W347" s="13"/>
      <c r="X347" s="13"/>
      <c r="Y347" s="13"/>
      <c r="Z347" s="13"/>
      <c r="AA347" s="13"/>
      <c r="AB347" s="13"/>
      <c r="AC347" s="13"/>
      <c r="AD347" s="13"/>
      <c r="AE347" s="13"/>
      <c r="AF347" s="13"/>
      <c r="AG347" s="13"/>
      <c r="AH347" s="13"/>
      <c r="AI347" s="13"/>
      <c r="AJ347" s="13"/>
      <c r="AK347" s="13"/>
      <c r="AL347" s="13"/>
      <c r="AM347" s="13"/>
      <c r="AN347" s="13"/>
    </row>
    <row r="348" spans="1:40" ht="20.25" hidden="1">
      <c r="A348" t="str">
        <f>+B348&amp;C348</f>
        <v>Pièces[...]</v>
      </c>
      <c r="B348" s="11" t="s">
        <v>98</v>
      </c>
      <c r="C348" s="102" t="s">
        <v>19</v>
      </c>
      <c r="D348" s="81"/>
      <c r="E348" s="13"/>
      <c r="F348" s="30">
        <v>0</v>
      </c>
      <c r="G348" s="83"/>
      <c r="H348" s="13"/>
      <c r="I348" s="30"/>
      <c r="J348" s="41"/>
      <c r="K348" s="13"/>
      <c r="L348" s="33">
        <v>0</v>
      </c>
      <c r="M348" s="41"/>
      <c r="N348" s="59">
        <f t="shared" si="80"/>
        <v>0</v>
      </c>
      <c r="O348" s="41"/>
      <c r="P348" s="13"/>
      <c r="Q348" s="33">
        <v>0</v>
      </c>
      <c r="R348" s="41"/>
      <c r="S348" s="85">
        <f>L348-Q348</f>
        <v>0</v>
      </c>
      <c r="T348" s="13"/>
      <c r="U348" s="13"/>
      <c r="V348" s="13"/>
      <c r="W348" s="13"/>
      <c r="X348" s="13"/>
      <c r="Y348" s="13"/>
      <c r="Z348" s="13"/>
      <c r="AA348" s="13"/>
      <c r="AB348" s="13"/>
      <c r="AC348" s="13"/>
      <c r="AD348" s="13"/>
      <c r="AE348" s="13"/>
      <c r="AF348" s="13"/>
      <c r="AG348" s="13"/>
      <c r="AH348" s="13"/>
      <c r="AI348" s="13"/>
      <c r="AJ348" s="13"/>
      <c r="AK348" s="13"/>
      <c r="AL348" s="13"/>
      <c r="AM348" s="13"/>
      <c r="AN348" s="13"/>
    </row>
    <row r="349" spans="1:40" ht="20.25">
      <c r="B349" s="7"/>
      <c r="C349" s="93" t="s">
        <v>63</v>
      </c>
      <c r="D349" s="94" t="s">
        <v>38</v>
      </c>
      <c r="E349" s="95">
        <f>F349/F$314</f>
        <v>0.15176061358369716</v>
      </c>
      <c r="F349" s="96">
        <f>+SUM(F331:F348)</f>
        <v>14081.141589339215</v>
      </c>
      <c r="G349" s="97"/>
      <c r="H349" s="95"/>
      <c r="I349" s="96"/>
      <c r="J349" s="97" t="s">
        <v>38</v>
      </c>
      <c r="K349" s="95">
        <f>L349/L$314</f>
        <v>0.17405887258326749</v>
      </c>
      <c r="L349" s="96">
        <f>+SUM(L331:L348)</f>
        <v>12765.609999999999</v>
      </c>
      <c r="M349" s="100"/>
      <c r="N349" s="96">
        <f>+SUM(N331:N348)</f>
        <v>-1315.5315893392149</v>
      </c>
      <c r="O349" s="97" t="s">
        <v>38</v>
      </c>
      <c r="P349" s="95">
        <f>Q349/Q$314</f>
        <v>0.16431477631504698</v>
      </c>
      <c r="Q349" s="96">
        <f>+SUM(Q331:Q348)</f>
        <v>13120.759999999997</v>
      </c>
      <c r="R349" s="100"/>
      <c r="S349" s="101">
        <f>+SUM(S331:S348)</f>
        <v>-355.1500000000002</v>
      </c>
      <c r="T349" s="13"/>
      <c r="U349" s="13"/>
      <c r="V349" s="13"/>
      <c r="W349" s="13"/>
      <c r="X349" s="13"/>
      <c r="Y349" s="13"/>
      <c r="Z349" s="13"/>
      <c r="AA349" s="13"/>
      <c r="AB349" s="13"/>
      <c r="AC349" s="13"/>
      <c r="AD349" s="13"/>
      <c r="AE349" s="13"/>
      <c r="AF349" s="13"/>
      <c r="AG349" s="13"/>
      <c r="AH349" s="13"/>
      <c r="AI349" s="13"/>
      <c r="AJ349" s="13"/>
      <c r="AK349" s="13"/>
      <c r="AL349" s="13"/>
      <c r="AM349" s="13"/>
      <c r="AN349" s="13"/>
    </row>
    <row r="350" spans="1:40" ht="20.25">
      <c r="B350" s="7"/>
      <c r="C350" s="86"/>
      <c r="D350" s="87"/>
      <c r="E350" s="111"/>
      <c r="F350" s="59"/>
      <c r="G350" s="89"/>
      <c r="H350" s="111"/>
      <c r="I350" s="59"/>
      <c r="J350" s="23"/>
      <c r="K350" s="111"/>
      <c r="L350" s="91"/>
      <c r="M350" s="23"/>
      <c r="N350" s="91"/>
      <c r="O350" s="23"/>
      <c r="P350" s="111"/>
      <c r="Q350" s="91"/>
      <c r="R350" s="23"/>
      <c r="S350" s="92"/>
      <c r="T350" s="13"/>
      <c r="U350" s="13"/>
      <c r="V350" s="13"/>
      <c r="W350" s="13"/>
      <c r="X350" s="13"/>
      <c r="Y350" s="13"/>
      <c r="Z350" s="13"/>
      <c r="AA350" s="13"/>
      <c r="AB350" s="13"/>
      <c r="AC350" s="13"/>
      <c r="AD350" s="13"/>
      <c r="AE350" s="13"/>
      <c r="AF350" s="13"/>
      <c r="AG350" s="13"/>
      <c r="AH350" s="13"/>
      <c r="AI350" s="13"/>
      <c r="AJ350" s="13"/>
      <c r="AK350" s="13"/>
      <c r="AL350" s="13"/>
      <c r="AM350" s="13"/>
      <c r="AN350" s="13"/>
    </row>
    <row r="351" spans="1:40" ht="20.25">
      <c r="B351" s="7"/>
      <c r="C351" s="93" t="s">
        <v>64</v>
      </c>
      <c r="D351" s="94" t="s">
        <v>38</v>
      </c>
      <c r="E351" s="95">
        <f>F351/F$314</f>
        <v>0.44933770715984239</v>
      </c>
      <c r="F351" s="96">
        <f>F330+F349</f>
        <v>41691.897037944487</v>
      </c>
      <c r="G351" s="97"/>
      <c r="H351" s="95"/>
      <c r="I351" s="96"/>
      <c r="J351" s="97" t="s">
        <v>38</v>
      </c>
      <c r="K351" s="95">
        <f>L351/L$314</f>
        <v>0.485590959242855</v>
      </c>
      <c r="L351" s="96">
        <f>L330+L349</f>
        <v>35613.61</v>
      </c>
      <c r="M351" s="100"/>
      <c r="N351" s="113">
        <f>L351-F351</f>
        <v>-6078.2870379444867</v>
      </c>
      <c r="O351" s="97" t="s">
        <v>38</v>
      </c>
      <c r="P351" s="95">
        <f>Q351/Q$314</f>
        <v>0.51619302211095652</v>
      </c>
      <c r="Q351" s="96">
        <f>Q330+Q349</f>
        <v>41218.719999999994</v>
      </c>
      <c r="R351" s="100"/>
      <c r="S351" s="114">
        <f>L351-Q351</f>
        <v>-5605.1099999999933</v>
      </c>
      <c r="T351" s="13"/>
      <c r="U351" s="13"/>
      <c r="V351" s="13"/>
      <c r="W351" s="13"/>
      <c r="X351" s="13"/>
      <c r="Y351" s="13"/>
      <c r="Z351" s="13"/>
      <c r="AA351" s="13"/>
      <c r="AB351" s="13"/>
      <c r="AC351" s="13"/>
      <c r="AD351" s="13"/>
      <c r="AE351" s="13"/>
      <c r="AF351" s="13"/>
      <c r="AG351" s="13"/>
      <c r="AH351" s="13"/>
      <c r="AI351" s="13"/>
      <c r="AJ351" s="13"/>
      <c r="AK351" s="13"/>
      <c r="AL351" s="13"/>
      <c r="AM351" s="13"/>
      <c r="AN351" s="13"/>
    </row>
    <row r="352" spans="1:40" ht="20.25">
      <c r="B352" s="7"/>
      <c r="C352" s="29"/>
      <c r="D352" s="81"/>
      <c r="E352" s="13"/>
      <c r="F352" s="59"/>
      <c r="G352" s="83"/>
      <c r="H352" s="13"/>
      <c r="I352" s="59"/>
      <c r="J352" s="41"/>
      <c r="K352" s="13"/>
      <c r="L352" s="59"/>
      <c r="M352" s="41"/>
      <c r="N352" s="59">
        <f>L352-F352</f>
        <v>0</v>
      </c>
      <c r="O352" s="41"/>
      <c r="P352" s="13"/>
      <c r="Q352" s="59"/>
      <c r="R352" s="41"/>
      <c r="S352" s="85"/>
      <c r="T352" s="13"/>
      <c r="U352" s="13"/>
      <c r="V352" s="13"/>
      <c r="W352" s="13"/>
      <c r="X352" s="13"/>
      <c r="Y352" s="13"/>
      <c r="Z352" s="13"/>
      <c r="AA352" s="13"/>
      <c r="AB352" s="13"/>
      <c r="AC352" s="13"/>
      <c r="AD352" s="13"/>
      <c r="AE352" s="13"/>
      <c r="AF352" s="13"/>
      <c r="AG352" s="13"/>
      <c r="AH352" s="13"/>
      <c r="AI352" s="13"/>
      <c r="AJ352" s="13"/>
      <c r="AK352" s="13"/>
      <c r="AL352" s="13"/>
      <c r="AM352" s="13"/>
      <c r="AN352" s="13"/>
    </row>
    <row r="353" spans="1:40" ht="21" thickBot="1">
      <c r="B353" s="7"/>
      <c r="C353" s="124" t="s">
        <v>69</v>
      </c>
      <c r="D353" s="152"/>
      <c r="E353" s="125"/>
      <c r="F353" s="127">
        <f>F314-F351</f>
        <v>51093.32079180127</v>
      </c>
      <c r="G353" s="153"/>
      <c r="H353" s="125"/>
      <c r="I353" s="127"/>
      <c r="J353" s="154"/>
      <c r="K353" s="126"/>
      <c r="L353" s="127">
        <f>L314-L351</f>
        <v>37727.14999999998</v>
      </c>
      <c r="M353" s="154"/>
      <c r="N353" s="127">
        <f>L353-F353</f>
        <v>-13366.170791801291</v>
      </c>
      <c r="O353" s="154"/>
      <c r="P353" s="126"/>
      <c r="Q353" s="127">
        <f>Q314-Q351</f>
        <v>38632.649999999667</v>
      </c>
      <c r="R353" s="154"/>
      <c r="S353" s="129">
        <f>L353-Q353</f>
        <v>-905.49999999968713</v>
      </c>
      <c r="T353" s="13"/>
      <c r="U353" s="13"/>
      <c r="V353" s="13"/>
      <c r="W353" s="13"/>
      <c r="X353" s="13"/>
      <c r="Y353" s="13"/>
      <c r="Z353" s="13"/>
      <c r="AA353" s="13"/>
      <c r="AB353" s="13"/>
      <c r="AC353" s="13"/>
      <c r="AD353" s="13"/>
      <c r="AE353" s="13"/>
      <c r="AF353" s="13"/>
      <c r="AG353" s="13"/>
      <c r="AH353" s="13"/>
      <c r="AI353" s="13"/>
      <c r="AJ353" s="13"/>
      <c r="AK353" s="13"/>
      <c r="AL353" s="13"/>
      <c r="AM353" s="13"/>
      <c r="AN353" s="13"/>
    </row>
    <row r="354" spans="1:40" ht="21" thickTop="1">
      <c r="B354" s="7"/>
      <c r="C354" s="76"/>
      <c r="D354" s="81"/>
      <c r="E354" s="13"/>
      <c r="F354" s="112"/>
      <c r="G354" s="81"/>
      <c r="H354" s="13"/>
      <c r="I354" s="112"/>
      <c r="J354" s="76"/>
      <c r="K354" s="76"/>
      <c r="L354" s="112"/>
      <c r="M354" s="76"/>
      <c r="N354" s="112"/>
      <c r="O354" s="76"/>
      <c r="P354" s="76"/>
      <c r="Q354" s="112"/>
      <c r="R354" s="76"/>
      <c r="S354" s="112"/>
      <c r="T354" s="13"/>
      <c r="U354" s="13"/>
      <c r="V354" s="13"/>
      <c r="W354" s="13"/>
      <c r="X354" s="13"/>
      <c r="Y354" s="13"/>
      <c r="Z354" s="13"/>
      <c r="AA354" s="13"/>
      <c r="AB354" s="13"/>
      <c r="AC354" s="13"/>
      <c r="AD354" s="13"/>
      <c r="AE354" s="13"/>
      <c r="AF354" s="13"/>
      <c r="AG354" s="13"/>
      <c r="AH354" s="13"/>
      <c r="AI354" s="13"/>
      <c r="AJ354" s="13"/>
      <c r="AK354" s="13"/>
      <c r="AL354" s="13"/>
      <c r="AM354" s="13"/>
      <c r="AN354" s="13"/>
    </row>
    <row r="355" spans="1:40" ht="20.25" hidden="1">
      <c r="B355" s="7"/>
      <c r="C355" s="76"/>
      <c r="D355" s="81"/>
      <c r="E355" s="13"/>
      <c r="F355" s="112"/>
      <c r="G355" s="81"/>
      <c r="H355" s="13"/>
      <c r="I355" s="112"/>
      <c r="J355" s="76"/>
      <c r="K355" s="76"/>
      <c r="L355" s="112"/>
      <c r="M355" s="76"/>
      <c r="N355" s="112"/>
      <c r="O355" s="76"/>
      <c r="P355" s="76"/>
      <c r="Q355" s="112"/>
      <c r="R355" s="76"/>
      <c r="S355" s="112"/>
      <c r="T355" s="13"/>
      <c r="U355" s="13"/>
      <c r="V355" s="13"/>
      <c r="W355" s="13"/>
      <c r="X355" s="13"/>
      <c r="Y355" s="13"/>
      <c r="Z355" s="13"/>
      <c r="AA355" s="13"/>
      <c r="AB355" s="13"/>
      <c r="AC355" s="13"/>
      <c r="AD355" s="13"/>
      <c r="AE355" s="13"/>
      <c r="AF355" s="13"/>
      <c r="AG355" s="13"/>
      <c r="AH355" s="13"/>
      <c r="AI355" s="13"/>
      <c r="AJ355" s="13"/>
      <c r="AK355" s="13"/>
      <c r="AL355" s="13"/>
      <c r="AM355" s="13"/>
      <c r="AN355" s="13"/>
    </row>
    <row r="356" spans="1:40" ht="35.25" hidden="1">
      <c r="B356" s="7"/>
      <c r="C356" s="6" t="str">
        <f>+C291</f>
        <v>BMW Sherbrooke</v>
      </c>
      <c r="D356" s="2"/>
      <c r="E356" s="2"/>
      <c r="F356" s="2"/>
      <c r="G356" s="2"/>
      <c r="H356" s="1"/>
      <c r="I356" s="1"/>
      <c r="J356" s="1"/>
      <c r="K356" s="3" t="s">
        <v>114</v>
      </c>
      <c r="L356" s="2"/>
      <c r="M356" s="2"/>
      <c r="N356" s="1"/>
      <c r="O356" s="1"/>
      <c r="P356" s="2"/>
      <c r="Q356" s="1"/>
      <c r="R356" s="2"/>
      <c r="S356" s="5" t="str">
        <f>$S$1</f>
        <v>Réalisé, Août 2024</v>
      </c>
      <c r="T356" s="10"/>
      <c r="U356" s="10"/>
      <c r="V356" s="13"/>
      <c r="W356" s="10"/>
      <c r="X356" s="10"/>
      <c r="Y356" s="10"/>
      <c r="Z356" s="10"/>
      <c r="AA356" s="10"/>
      <c r="AB356" s="10"/>
      <c r="AC356" s="10"/>
      <c r="AD356" s="10"/>
      <c r="AE356" s="10"/>
      <c r="AF356" s="10"/>
      <c r="AG356" s="10"/>
      <c r="AH356" s="10"/>
      <c r="AI356" s="10"/>
      <c r="AJ356" s="10"/>
      <c r="AK356" s="10"/>
      <c r="AL356" s="10"/>
      <c r="AM356" s="10"/>
      <c r="AN356" s="10"/>
    </row>
    <row r="357" spans="1:40" ht="20.25" hidden="1">
      <c r="B357" s="7"/>
      <c r="C357" s="8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3"/>
      <c r="W357" s="10"/>
      <c r="X357" s="10"/>
      <c r="Y357" s="10"/>
      <c r="Z357" s="10"/>
      <c r="AA357" s="10"/>
      <c r="AB357" s="10"/>
      <c r="AC357" s="10"/>
      <c r="AD357" s="10"/>
      <c r="AE357" s="10"/>
      <c r="AF357" s="10"/>
      <c r="AG357" s="10"/>
      <c r="AH357" s="10"/>
      <c r="AI357" s="10"/>
      <c r="AJ357" s="10"/>
      <c r="AK357" s="10"/>
      <c r="AL357" s="10"/>
      <c r="AM357" s="10"/>
      <c r="AN357" s="10"/>
    </row>
    <row r="358" spans="1:40" ht="21" hidden="1" thickTop="1">
      <c r="B358" s="7"/>
      <c r="C358" s="12"/>
      <c r="D358" s="496" t="s">
        <v>5</v>
      </c>
      <c r="E358" s="497"/>
      <c r="F358" s="498"/>
      <c r="G358" s="499"/>
      <c r="H358" s="497"/>
      <c r="I358" s="498"/>
      <c r="J358" s="499" t="s">
        <v>7</v>
      </c>
      <c r="K358" s="497"/>
      <c r="L358" s="498"/>
      <c r="M358" s="499"/>
      <c r="N358" s="498"/>
      <c r="O358" s="496" t="s">
        <v>8</v>
      </c>
      <c r="P358" s="497"/>
      <c r="Q358" s="498"/>
      <c r="R358" s="499" t="s">
        <v>9</v>
      </c>
      <c r="S358" s="503"/>
      <c r="T358" s="10"/>
      <c r="U358" s="10"/>
      <c r="V358" s="13"/>
      <c r="W358" s="10"/>
      <c r="X358" s="10"/>
      <c r="Y358" s="10"/>
      <c r="Z358" s="10"/>
      <c r="AA358" s="10"/>
      <c r="AB358" s="10"/>
      <c r="AC358" s="10"/>
      <c r="AD358" s="10"/>
      <c r="AE358" s="10"/>
      <c r="AF358" s="10"/>
      <c r="AG358" s="10"/>
      <c r="AH358" s="10"/>
      <c r="AI358" s="10"/>
      <c r="AJ358" s="10"/>
      <c r="AK358" s="10"/>
      <c r="AL358" s="10"/>
      <c r="AM358" s="10"/>
      <c r="AN358" s="10"/>
    </row>
    <row r="359" spans="1:40" ht="21" hidden="1" thickBot="1">
      <c r="A359" t="str">
        <f t="shared" ref="A359:A394" si="86">+B359&amp;C359</f>
        <v>Boutique</v>
      </c>
      <c r="B359" s="11" t="s">
        <v>114</v>
      </c>
      <c r="C359" s="29"/>
      <c r="D359" s="231" t="s">
        <v>79</v>
      </c>
      <c r="E359" s="231" t="s">
        <v>99</v>
      </c>
      <c r="F359" s="232" t="s">
        <v>12</v>
      </c>
      <c r="G359" s="233"/>
      <c r="H359" s="231"/>
      <c r="I359" s="232"/>
      <c r="J359" s="135" t="s">
        <v>79</v>
      </c>
      <c r="K359" s="80" t="s">
        <v>99</v>
      </c>
      <c r="L359" s="134" t="s">
        <v>12</v>
      </c>
      <c r="M359" s="135"/>
      <c r="N359" s="134"/>
      <c r="O359" s="135" t="s">
        <v>79</v>
      </c>
      <c r="P359" s="80" t="s">
        <v>99</v>
      </c>
      <c r="Q359" s="134" t="s">
        <v>12</v>
      </c>
      <c r="R359" s="135" t="s">
        <v>80</v>
      </c>
      <c r="S359" s="136" t="s">
        <v>12</v>
      </c>
      <c r="T359" s="10"/>
      <c r="U359" s="10"/>
      <c r="V359" s="13"/>
      <c r="W359" s="10"/>
      <c r="X359" s="10"/>
      <c r="Y359" s="10"/>
      <c r="Z359" s="10"/>
      <c r="AA359" s="10"/>
      <c r="AB359" s="10"/>
      <c r="AC359" s="10"/>
      <c r="AD359" s="10"/>
      <c r="AE359" s="10"/>
      <c r="AF359" s="10"/>
      <c r="AG359" s="10"/>
      <c r="AH359" s="10"/>
      <c r="AI359" s="10"/>
      <c r="AJ359" s="10"/>
      <c r="AK359" s="10"/>
      <c r="AL359" s="10"/>
      <c r="AM359" s="10"/>
      <c r="AN359" s="10"/>
    </row>
    <row r="360" spans="1:40" ht="27.75" hidden="1" thickTop="1">
      <c r="A360" t="str">
        <f t="shared" si="86"/>
        <v>BoutiqueBoutique</v>
      </c>
      <c r="B360" s="11" t="s">
        <v>114</v>
      </c>
      <c r="C360" s="62" t="s">
        <v>114</v>
      </c>
      <c r="D360" s="234">
        <v>0</v>
      </c>
      <c r="E360" s="235">
        <f>IFERROR(F360/D360,0)</f>
        <v>0</v>
      </c>
      <c r="F360" s="236">
        <v>0</v>
      </c>
      <c r="G360" s="234"/>
      <c r="H360" s="235"/>
      <c r="I360" s="234"/>
      <c r="J360" s="237">
        <v>0</v>
      </c>
      <c r="K360" s="219">
        <f>IF(J360&lt;=0,0,L360/J360)</f>
        <v>0</v>
      </c>
      <c r="L360" s="238">
        <v>0</v>
      </c>
      <c r="M360" s="220"/>
      <c r="N360" s="221"/>
      <c r="O360" s="237">
        <v>0</v>
      </c>
      <c r="P360" s="219">
        <f>IFERROR(Q360/O360,0)</f>
        <v>0</v>
      </c>
      <c r="Q360" s="238">
        <v>0</v>
      </c>
      <c r="R360" s="220">
        <f>IF(O360=0,0,(J360-O360)/O360)</f>
        <v>0</v>
      </c>
      <c r="S360" s="222">
        <f>L360-Q360</f>
        <v>0</v>
      </c>
      <c r="T360" s="10"/>
      <c r="U360" s="10"/>
      <c r="V360" s="239"/>
      <c r="W360" s="10"/>
      <c r="X360" s="10"/>
      <c r="Y360" s="10"/>
      <c r="Z360" s="10"/>
      <c r="AA360" s="10"/>
      <c r="AB360" s="10"/>
      <c r="AC360" s="10"/>
      <c r="AD360" s="10"/>
      <c r="AE360" s="10"/>
      <c r="AF360" s="10"/>
      <c r="AG360" s="10"/>
      <c r="AH360" s="10"/>
      <c r="AI360" s="10"/>
      <c r="AJ360" s="10"/>
      <c r="AK360" s="10"/>
      <c r="AL360" s="10"/>
      <c r="AM360" s="10"/>
      <c r="AN360" s="10"/>
    </row>
    <row r="361" spans="1:40" ht="21" hidden="1" thickBot="1">
      <c r="A361" t="str">
        <f t="shared" si="86"/>
        <v>Boutique</v>
      </c>
      <c r="B361" s="11" t="s">
        <v>114</v>
      </c>
      <c r="C361" s="223"/>
      <c r="D361" s="224"/>
      <c r="E361" s="225"/>
      <c r="F361" s="226"/>
      <c r="G361" s="227"/>
      <c r="H361" s="225"/>
      <c r="I361" s="226"/>
      <c r="J361" s="227"/>
      <c r="K361" s="225"/>
      <c r="L361" s="226"/>
      <c r="M361" s="228"/>
      <c r="N361" s="74"/>
      <c r="O361" s="227"/>
      <c r="P361" s="225"/>
      <c r="Q361" s="226"/>
      <c r="R361" s="228"/>
      <c r="S361" s="75"/>
      <c r="T361" s="10"/>
      <c r="U361" s="10"/>
      <c r="V361" s="13"/>
      <c r="W361" s="10"/>
      <c r="X361" s="10"/>
      <c r="Y361" s="10"/>
      <c r="Z361" s="10"/>
      <c r="AA361" s="10"/>
      <c r="AB361" s="10"/>
      <c r="AC361" s="10"/>
      <c r="AD361" s="10"/>
      <c r="AE361" s="10"/>
      <c r="AF361" s="10"/>
      <c r="AG361" s="10"/>
      <c r="AH361" s="10"/>
      <c r="AI361" s="10"/>
      <c r="AJ361" s="10"/>
      <c r="AK361" s="10"/>
      <c r="AL361" s="10"/>
      <c r="AM361" s="10"/>
      <c r="AN361" s="10"/>
    </row>
    <row r="362" spans="1:40" ht="21" hidden="1" thickTop="1">
      <c r="A362" t="str">
        <f t="shared" si="86"/>
        <v>BoutiqueTotal Dépt. Boutique</v>
      </c>
      <c r="B362" s="11" t="s">
        <v>114</v>
      </c>
      <c r="C362" s="53" t="s">
        <v>115</v>
      </c>
      <c r="D362" s="240">
        <f>+D360</f>
        <v>0</v>
      </c>
      <c r="E362" s="174">
        <f>IF(D362&lt;=0,0,F362/D362)</f>
        <v>0</v>
      </c>
      <c r="F362" s="176">
        <f>+F360</f>
        <v>0</v>
      </c>
      <c r="G362" s="175"/>
      <c r="H362" s="174"/>
      <c r="I362" s="176"/>
      <c r="J362" s="175">
        <f>+J360</f>
        <v>0</v>
      </c>
      <c r="K362" s="174">
        <f>IF(J362&lt;=0,0,L362/J362)</f>
        <v>0</v>
      </c>
      <c r="L362" s="176">
        <f>+L360</f>
        <v>0</v>
      </c>
      <c r="M362" s="241"/>
      <c r="N362" s="242"/>
      <c r="O362" s="175">
        <f>+O360</f>
        <v>0</v>
      </c>
      <c r="P362" s="174">
        <f>IF(O362&lt;=0,0,Q362/O362)</f>
        <v>0</v>
      </c>
      <c r="Q362" s="176">
        <f t="shared" ref="Q362" si="87">+Q360</f>
        <v>0</v>
      </c>
      <c r="R362" s="41">
        <f>IF(O362=0,0,(J362-O362)/O362)</f>
        <v>0</v>
      </c>
      <c r="S362" s="44">
        <f>L362-Q362</f>
        <v>0</v>
      </c>
      <c r="T362" s="10"/>
      <c r="U362" s="10"/>
      <c r="V362" s="13"/>
      <c r="W362" s="10"/>
      <c r="X362" s="10"/>
      <c r="Y362" s="10"/>
      <c r="Z362" s="10"/>
      <c r="AA362" s="10"/>
      <c r="AB362" s="10"/>
      <c r="AC362" s="10"/>
      <c r="AD362" s="10"/>
      <c r="AE362" s="10"/>
      <c r="AF362" s="10"/>
      <c r="AG362" s="10"/>
      <c r="AH362" s="10"/>
      <c r="AI362" s="10"/>
      <c r="AJ362" s="10"/>
      <c r="AK362" s="10"/>
      <c r="AL362" s="10"/>
      <c r="AM362" s="10"/>
      <c r="AN362" s="10"/>
    </row>
    <row r="363" spans="1:40" ht="20.25" hidden="1">
      <c r="A363" t="str">
        <f t="shared" si="86"/>
        <v>Boutique</v>
      </c>
      <c r="B363" s="11" t="s">
        <v>114</v>
      </c>
      <c r="C363" s="79"/>
      <c r="D363" s="13"/>
      <c r="E363" s="13"/>
      <c r="F363" s="59"/>
      <c r="G363" s="41"/>
      <c r="H363" s="243"/>
      <c r="I363" s="59"/>
      <c r="J363" s="41"/>
      <c r="K363" s="13"/>
      <c r="L363" s="40"/>
      <c r="M363" s="41"/>
      <c r="N363" s="244"/>
      <c r="O363" s="41"/>
      <c r="P363" s="13"/>
      <c r="Q363" s="40"/>
      <c r="R363" s="41"/>
      <c r="S363" s="61">
        <f>IF(Q362=0,0,S362/Q362)</f>
        <v>0</v>
      </c>
      <c r="T363" s="10"/>
      <c r="U363" s="10"/>
      <c r="V363" s="13"/>
      <c r="W363" s="10"/>
      <c r="X363" s="10"/>
      <c r="Y363" s="10"/>
      <c r="Z363" s="10"/>
      <c r="AA363" s="10"/>
      <c r="AB363" s="10"/>
      <c r="AC363" s="10"/>
      <c r="AD363" s="10"/>
      <c r="AE363" s="10"/>
      <c r="AF363" s="10"/>
      <c r="AG363" s="10"/>
      <c r="AH363" s="10"/>
      <c r="AI363" s="10"/>
      <c r="AJ363" s="10"/>
      <c r="AK363" s="10"/>
      <c r="AL363" s="10"/>
      <c r="AM363" s="10"/>
      <c r="AN363" s="10"/>
    </row>
    <row r="364" spans="1:40" ht="20.25" hidden="1">
      <c r="A364" t="str">
        <f t="shared" si="86"/>
        <v>BoutiqueDEPENSES</v>
      </c>
      <c r="B364" s="11" t="s">
        <v>114</v>
      </c>
      <c r="C364" s="79" t="s">
        <v>29</v>
      </c>
      <c r="D364" s="13"/>
      <c r="E364" s="13"/>
      <c r="F364" s="59"/>
      <c r="G364" s="41"/>
      <c r="H364" s="13"/>
      <c r="I364" s="59"/>
      <c r="J364" s="41"/>
      <c r="K364" s="13"/>
      <c r="L364" s="40"/>
      <c r="M364" s="41"/>
      <c r="N364" s="40"/>
      <c r="O364" s="41"/>
      <c r="P364" s="13"/>
      <c r="Q364" s="40"/>
      <c r="R364" s="41"/>
      <c r="S364" s="61"/>
      <c r="T364" s="10"/>
      <c r="U364" s="10"/>
      <c r="V364" s="13"/>
      <c r="W364" s="10"/>
      <c r="X364" s="10"/>
      <c r="Y364" s="10"/>
      <c r="Z364" s="10"/>
      <c r="AA364" s="10"/>
      <c r="AB364" s="10"/>
      <c r="AC364" s="10"/>
      <c r="AD364" s="10"/>
      <c r="AE364" s="10"/>
      <c r="AF364" s="10"/>
      <c r="AG364" s="10"/>
      <c r="AH364" s="10"/>
      <c r="AI364" s="10"/>
      <c r="AJ364" s="10"/>
      <c r="AK364" s="10"/>
      <c r="AL364" s="10"/>
      <c r="AM364" s="10"/>
      <c r="AN364" s="10"/>
    </row>
    <row r="365" spans="1:40" ht="20.25" hidden="1">
      <c r="A365" t="str">
        <f t="shared" si="86"/>
        <v>BoutiqueSalaires cadres</v>
      </c>
      <c r="B365" s="11" t="s">
        <v>114</v>
      </c>
      <c r="C365" s="102" t="s">
        <v>40</v>
      </c>
      <c r="D365" s="13"/>
      <c r="E365" s="13"/>
      <c r="F365" s="30">
        <v>0</v>
      </c>
      <c r="G365" s="41"/>
      <c r="H365" s="13"/>
      <c r="I365" s="30"/>
      <c r="J365" s="41"/>
      <c r="K365" s="13"/>
      <c r="L365" s="33">
        <v>0</v>
      </c>
      <c r="M365" s="41"/>
      <c r="N365" s="40"/>
      <c r="O365" s="41"/>
      <c r="P365" s="13"/>
      <c r="Q365" s="33">
        <v>0</v>
      </c>
      <c r="R365" s="41"/>
      <c r="S365" s="34">
        <f>L365-Q365</f>
        <v>0</v>
      </c>
      <c r="T365" s="10"/>
      <c r="U365" s="10"/>
      <c r="V365" s="13"/>
      <c r="W365" s="10"/>
      <c r="X365" s="10"/>
      <c r="Y365" s="10"/>
      <c r="Z365" s="10"/>
      <c r="AA365" s="10"/>
      <c r="AB365" s="10"/>
      <c r="AC365" s="10"/>
      <c r="AD365" s="10"/>
      <c r="AE365" s="10"/>
      <c r="AF365" s="10"/>
      <c r="AG365" s="10"/>
      <c r="AH365" s="10"/>
      <c r="AI365" s="10"/>
      <c r="AJ365" s="10"/>
      <c r="AK365" s="10"/>
      <c r="AL365" s="10"/>
      <c r="AM365" s="10"/>
      <c r="AN365" s="10"/>
    </row>
    <row r="366" spans="1:40" ht="20.25" hidden="1">
      <c r="A366" t="str">
        <f t="shared" si="86"/>
        <v>BoutiqueSalaires commis</v>
      </c>
      <c r="B366" s="11" t="s">
        <v>114</v>
      </c>
      <c r="C366" s="103" t="s">
        <v>41</v>
      </c>
      <c r="D366" s="81"/>
      <c r="E366" s="13"/>
      <c r="F366" s="22">
        <v>0</v>
      </c>
      <c r="G366" s="83"/>
      <c r="H366" s="13"/>
      <c r="I366" s="22"/>
      <c r="J366" s="41"/>
      <c r="K366" s="13"/>
      <c r="L366" s="22">
        <v>0</v>
      </c>
      <c r="M366" s="41"/>
      <c r="N366" s="59"/>
      <c r="O366" s="41"/>
      <c r="P366" s="13"/>
      <c r="Q366" s="22">
        <v>0</v>
      </c>
      <c r="R366" s="41"/>
      <c r="S366" s="85">
        <f t="shared" ref="S366:S394" si="88">L366-Q366</f>
        <v>0</v>
      </c>
      <c r="T366" s="10"/>
      <c r="U366" s="10"/>
      <c r="V366" s="13"/>
      <c r="W366" s="10"/>
      <c r="X366" s="10"/>
      <c r="Y366" s="10"/>
      <c r="Z366" s="10"/>
      <c r="AA366" s="10"/>
      <c r="AB366" s="10"/>
      <c r="AC366" s="10"/>
      <c r="AD366" s="10"/>
      <c r="AE366" s="10"/>
      <c r="AF366" s="10"/>
      <c r="AG366" s="10"/>
      <c r="AH366" s="10"/>
      <c r="AI366" s="10"/>
      <c r="AJ366" s="10"/>
      <c r="AK366" s="10"/>
      <c r="AL366" s="10"/>
      <c r="AM366" s="10"/>
      <c r="AN366" s="10"/>
    </row>
    <row r="367" spans="1:40" ht="20.25" hidden="1">
      <c r="A367" t="str">
        <f t="shared" si="86"/>
        <v>BoutiqueSalaires autres</v>
      </c>
      <c r="B367" s="11" t="s">
        <v>114</v>
      </c>
      <c r="C367" s="102" t="s">
        <v>42</v>
      </c>
      <c r="D367" s="104"/>
      <c r="E367" s="105"/>
      <c r="F367" s="30">
        <v>0</v>
      </c>
      <c r="G367" s="106"/>
      <c r="H367" s="105"/>
      <c r="I367" s="30"/>
      <c r="J367" s="107"/>
      <c r="K367" s="105"/>
      <c r="L367" s="33">
        <v>0</v>
      </c>
      <c r="M367" s="107"/>
      <c r="N367" s="109"/>
      <c r="O367" s="107"/>
      <c r="P367" s="105"/>
      <c r="Q367" s="33">
        <v>0</v>
      </c>
      <c r="R367" s="107"/>
      <c r="S367" s="110">
        <f t="shared" si="88"/>
        <v>0</v>
      </c>
      <c r="T367" s="10"/>
      <c r="U367" s="10"/>
      <c r="V367" s="13"/>
      <c r="W367" s="10"/>
      <c r="X367" s="10"/>
      <c r="Y367" s="10"/>
      <c r="Z367" s="10"/>
      <c r="AA367" s="10"/>
      <c r="AB367" s="10"/>
      <c r="AC367" s="10"/>
      <c r="AD367" s="10"/>
      <c r="AE367" s="10"/>
      <c r="AF367" s="10"/>
      <c r="AG367" s="10"/>
      <c r="AH367" s="10"/>
      <c r="AI367" s="10"/>
      <c r="AJ367" s="10"/>
      <c r="AK367" s="10"/>
      <c r="AL367" s="10"/>
      <c r="AM367" s="10"/>
      <c r="AN367" s="10"/>
    </row>
    <row r="368" spans="1:40" ht="20.25" hidden="1">
      <c r="A368" t="str">
        <f t="shared" si="86"/>
        <v>BoutiqueSalaires spécialistes</v>
      </c>
      <c r="B368" s="11" t="s">
        <v>114</v>
      </c>
      <c r="C368" s="102" t="s">
        <v>43</v>
      </c>
      <c r="D368" s="81"/>
      <c r="E368" s="13"/>
      <c r="F368" s="30">
        <v>0</v>
      </c>
      <c r="G368" s="83"/>
      <c r="H368" s="13"/>
      <c r="I368" s="30"/>
      <c r="J368" s="41"/>
      <c r="K368" s="13"/>
      <c r="L368" s="33">
        <v>0</v>
      </c>
      <c r="M368" s="41"/>
      <c r="N368" s="59"/>
      <c r="O368" s="41"/>
      <c r="P368" s="13"/>
      <c r="Q368" s="33">
        <v>0</v>
      </c>
      <c r="R368" s="41"/>
      <c r="S368" s="85">
        <f t="shared" si="88"/>
        <v>0</v>
      </c>
      <c r="T368" s="10"/>
      <c r="U368" s="10"/>
      <c r="V368" s="13"/>
      <c r="W368" s="10"/>
      <c r="X368" s="10"/>
      <c r="Y368" s="10"/>
      <c r="Z368" s="10"/>
      <c r="AA368" s="10"/>
      <c r="AB368" s="10"/>
      <c r="AC368" s="10"/>
      <c r="AD368" s="10"/>
      <c r="AE368" s="10"/>
      <c r="AF368" s="10"/>
      <c r="AG368" s="10"/>
      <c r="AH368" s="10"/>
      <c r="AI368" s="10"/>
      <c r="AJ368" s="10"/>
      <c r="AK368" s="10"/>
      <c r="AL368" s="10"/>
      <c r="AM368" s="10"/>
      <c r="AN368" s="10"/>
    </row>
    <row r="369" spans="1:40" ht="20.25" hidden="1">
      <c r="A369" t="str">
        <f t="shared" si="86"/>
        <v>Boutique[...]</v>
      </c>
      <c r="B369" s="11" t="s">
        <v>114</v>
      </c>
      <c r="C369" s="29" t="s">
        <v>19</v>
      </c>
      <c r="D369" s="81"/>
      <c r="E369" s="13"/>
      <c r="F369" s="30">
        <v>0</v>
      </c>
      <c r="G369" s="83"/>
      <c r="H369" s="13"/>
      <c r="I369" s="30"/>
      <c r="J369" s="41"/>
      <c r="K369" s="13"/>
      <c r="L369" s="33">
        <v>0</v>
      </c>
      <c r="M369" s="41"/>
      <c r="N369" s="59"/>
      <c r="O369" s="41"/>
      <c r="P369" s="13"/>
      <c r="Q369" s="33">
        <v>0</v>
      </c>
      <c r="R369" s="41"/>
      <c r="S369" s="85">
        <f t="shared" si="88"/>
        <v>0</v>
      </c>
      <c r="T369" s="10"/>
      <c r="U369" s="10"/>
      <c r="V369" s="13"/>
      <c r="W369" s="10"/>
      <c r="X369" s="10"/>
      <c r="Y369" s="10"/>
      <c r="Z369" s="10"/>
      <c r="AA369" s="10"/>
      <c r="AB369" s="10"/>
      <c r="AC369" s="10"/>
      <c r="AD369" s="10"/>
      <c r="AE369" s="10"/>
      <c r="AF369" s="10"/>
      <c r="AG369" s="10"/>
      <c r="AH369" s="10"/>
      <c r="AI369" s="10"/>
      <c r="AJ369" s="10"/>
      <c r="AK369" s="10"/>
      <c r="AL369" s="10"/>
      <c r="AM369" s="10"/>
      <c r="AN369" s="10"/>
    </row>
    <row r="370" spans="1:40" ht="20.25" hidden="1">
      <c r="A370" t="str">
        <f t="shared" si="86"/>
        <v>Boutique[...]</v>
      </c>
      <c r="B370" s="11" t="s">
        <v>114</v>
      </c>
      <c r="C370" s="29" t="s">
        <v>19</v>
      </c>
      <c r="D370" s="81"/>
      <c r="E370" s="13"/>
      <c r="F370" s="30">
        <v>0</v>
      </c>
      <c r="G370" s="83"/>
      <c r="H370" s="13"/>
      <c r="I370" s="30"/>
      <c r="J370" s="41"/>
      <c r="K370" s="13"/>
      <c r="L370" s="33">
        <v>0</v>
      </c>
      <c r="M370" s="41"/>
      <c r="N370" s="59"/>
      <c r="O370" s="41"/>
      <c r="P370" s="13"/>
      <c r="Q370" s="33">
        <v>0</v>
      </c>
      <c r="R370" s="41"/>
      <c r="S370" s="85">
        <f t="shared" si="88"/>
        <v>0</v>
      </c>
      <c r="T370" s="10"/>
      <c r="U370" s="10"/>
      <c r="V370" s="13"/>
      <c r="W370" s="10"/>
      <c r="X370" s="10"/>
      <c r="Y370" s="10"/>
      <c r="Z370" s="10"/>
      <c r="AA370" s="10"/>
      <c r="AB370" s="10"/>
      <c r="AC370" s="10"/>
      <c r="AD370" s="10"/>
      <c r="AE370" s="10"/>
      <c r="AF370" s="10"/>
      <c r="AG370" s="10"/>
      <c r="AH370" s="10"/>
      <c r="AI370" s="10"/>
      <c r="AJ370" s="10"/>
      <c r="AK370" s="10"/>
      <c r="AL370" s="10"/>
      <c r="AM370" s="10"/>
      <c r="AN370" s="10"/>
    </row>
    <row r="371" spans="1:40" ht="20.25" hidden="1">
      <c r="A371" t="str">
        <f t="shared" si="86"/>
        <v>Boutique[...]</v>
      </c>
      <c r="B371" s="11" t="s">
        <v>114</v>
      </c>
      <c r="C371" s="29" t="s">
        <v>19</v>
      </c>
      <c r="D371" s="81"/>
      <c r="E371" s="13"/>
      <c r="F371" s="30">
        <v>0</v>
      </c>
      <c r="G371" s="83"/>
      <c r="H371" s="13"/>
      <c r="I371" s="30"/>
      <c r="J371" s="41"/>
      <c r="K371" s="13"/>
      <c r="L371" s="33">
        <v>0</v>
      </c>
      <c r="M371" s="41"/>
      <c r="N371" s="59"/>
      <c r="O371" s="41"/>
      <c r="P371" s="13"/>
      <c r="Q371" s="33">
        <v>0</v>
      </c>
      <c r="R371" s="41"/>
      <c r="S371" s="85">
        <f t="shared" si="88"/>
        <v>0</v>
      </c>
      <c r="T371" s="10"/>
      <c r="U371" s="10"/>
      <c r="V371" s="13"/>
      <c r="W371" s="10"/>
      <c r="X371" s="10"/>
      <c r="Y371" s="10"/>
      <c r="Z371" s="10"/>
      <c r="AA371" s="10"/>
      <c r="AB371" s="10"/>
      <c r="AC371" s="10"/>
      <c r="AD371" s="10"/>
      <c r="AE371" s="10"/>
      <c r="AF371" s="10"/>
      <c r="AG371" s="10"/>
      <c r="AH371" s="10"/>
      <c r="AI371" s="10"/>
      <c r="AJ371" s="10"/>
      <c r="AK371" s="10"/>
      <c r="AL371" s="10"/>
      <c r="AM371" s="10"/>
      <c r="AN371" s="10"/>
    </row>
    <row r="372" spans="1:40" ht="20.25" hidden="1">
      <c r="A372" t="str">
        <f t="shared" si="86"/>
        <v>BoutiqueSalaires en absences</v>
      </c>
      <c r="B372" s="11" t="s">
        <v>114</v>
      </c>
      <c r="C372" s="103" t="s">
        <v>44</v>
      </c>
      <c r="D372" s="81"/>
      <c r="E372" s="13"/>
      <c r="F372" s="22">
        <v>0</v>
      </c>
      <c r="G372" s="83"/>
      <c r="H372" s="13"/>
      <c r="I372" s="22"/>
      <c r="J372" s="41"/>
      <c r="K372" s="13"/>
      <c r="L372" s="22">
        <v>0</v>
      </c>
      <c r="M372" s="41"/>
      <c r="N372" s="59"/>
      <c r="O372" s="41"/>
      <c r="P372" s="13"/>
      <c r="Q372" s="22">
        <v>0</v>
      </c>
      <c r="R372" s="41"/>
      <c r="S372" s="85">
        <f t="shared" si="88"/>
        <v>0</v>
      </c>
      <c r="T372" s="10"/>
      <c r="U372" s="10"/>
      <c r="V372" s="13"/>
      <c r="W372" s="10"/>
      <c r="X372" s="10"/>
      <c r="Y372" s="10"/>
      <c r="Z372" s="10"/>
      <c r="AA372" s="10"/>
      <c r="AB372" s="10"/>
      <c r="AC372" s="10"/>
      <c r="AD372" s="10"/>
      <c r="AE372" s="10"/>
      <c r="AF372" s="10"/>
      <c r="AG372" s="10"/>
      <c r="AH372" s="10"/>
      <c r="AI372" s="10"/>
      <c r="AJ372" s="10"/>
      <c r="AK372" s="10"/>
      <c r="AL372" s="10"/>
      <c r="AM372" s="10"/>
      <c r="AN372" s="10"/>
    </row>
    <row r="373" spans="1:40" ht="20.25" hidden="1">
      <c r="A373" t="str">
        <f t="shared" si="86"/>
        <v>BoutiqueDéduction à la source</v>
      </c>
      <c r="B373" s="11" t="s">
        <v>114</v>
      </c>
      <c r="C373" s="102" t="s">
        <v>45</v>
      </c>
      <c r="D373" s="104"/>
      <c r="E373" s="105"/>
      <c r="F373" s="30">
        <v>0</v>
      </c>
      <c r="G373" s="106"/>
      <c r="H373" s="105"/>
      <c r="I373" s="30"/>
      <c r="J373" s="107"/>
      <c r="K373" s="105"/>
      <c r="L373" s="33">
        <v>0</v>
      </c>
      <c r="M373" s="107"/>
      <c r="N373" s="109"/>
      <c r="O373" s="107"/>
      <c r="P373" s="105"/>
      <c r="Q373" s="33">
        <v>0</v>
      </c>
      <c r="R373" s="107"/>
      <c r="S373" s="110">
        <f t="shared" si="88"/>
        <v>0</v>
      </c>
      <c r="T373" s="10"/>
      <c r="U373" s="10"/>
      <c r="V373" s="13"/>
      <c r="W373" s="10"/>
      <c r="X373" s="10"/>
      <c r="Y373" s="10"/>
      <c r="Z373" s="10"/>
      <c r="AA373" s="10"/>
      <c r="AB373" s="10"/>
      <c r="AC373" s="10"/>
      <c r="AD373" s="10"/>
      <c r="AE373" s="10"/>
      <c r="AF373" s="10"/>
      <c r="AG373" s="10"/>
      <c r="AH373" s="10"/>
      <c r="AI373" s="10"/>
      <c r="AJ373" s="10"/>
      <c r="AK373" s="10"/>
      <c r="AL373" s="10"/>
      <c r="AM373" s="10"/>
      <c r="AN373" s="10"/>
    </row>
    <row r="374" spans="1:40" ht="20.25" hidden="1">
      <c r="A374" t="str">
        <f t="shared" si="86"/>
        <v>BoutiqueBénéfices marginaux</v>
      </c>
      <c r="B374" s="11" t="s">
        <v>114</v>
      </c>
      <c r="C374" s="102" t="s">
        <v>46</v>
      </c>
      <c r="D374" s="81"/>
      <c r="E374" s="13"/>
      <c r="F374" s="30">
        <v>0</v>
      </c>
      <c r="G374" s="83"/>
      <c r="H374" s="13"/>
      <c r="I374" s="30"/>
      <c r="J374" s="41"/>
      <c r="K374" s="13"/>
      <c r="L374" s="33">
        <v>0</v>
      </c>
      <c r="M374" s="41"/>
      <c r="N374" s="59"/>
      <c r="O374" s="41"/>
      <c r="P374" s="13"/>
      <c r="Q374" s="33">
        <v>0</v>
      </c>
      <c r="R374" s="41"/>
      <c r="S374" s="85">
        <f t="shared" si="88"/>
        <v>0</v>
      </c>
      <c r="T374" s="10"/>
      <c r="U374" s="10"/>
      <c r="V374" s="13"/>
      <c r="W374" s="10"/>
      <c r="X374" s="10"/>
      <c r="Y374" s="10"/>
      <c r="Z374" s="10"/>
      <c r="AA374" s="10"/>
      <c r="AB374" s="10"/>
      <c r="AC374" s="10"/>
      <c r="AD374" s="10"/>
      <c r="AE374" s="10"/>
      <c r="AF374" s="10"/>
      <c r="AG374" s="10"/>
      <c r="AH374" s="10"/>
      <c r="AI374" s="10"/>
      <c r="AJ374" s="10"/>
      <c r="AK374" s="10"/>
      <c r="AL374" s="10"/>
      <c r="AM374" s="10"/>
      <c r="AN374" s="10"/>
    </row>
    <row r="375" spans="1:40" ht="20.25" hidden="1">
      <c r="A375" t="str">
        <f t="shared" si="86"/>
        <v>BoutiqueCsst</v>
      </c>
      <c r="B375" s="11" t="s">
        <v>114</v>
      </c>
      <c r="C375" s="102" t="s">
        <v>47</v>
      </c>
      <c r="D375" s="81"/>
      <c r="E375" s="13"/>
      <c r="F375" s="30">
        <v>0</v>
      </c>
      <c r="G375" s="83"/>
      <c r="H375" s="13"/>
      <c r="I375" s="30"/>
      <c r="J375" s="41"/>
      <c r="K375" s="13"/>
      <c r="L375" s="33">
        <v>0</v>
      </c>
      <c r="M375" s="41"/>
      <c r="N375" s="59"/>
      <c r="O375" s="41"/>
      <c r="P375" s="13"/>
      <c r="Q375" s="33">
        <v>0</v>
      </c>
      <c r="R375" s="41"/>
      <c r="S375" s="85">
        <f t="shared" si="88"/>
        <v>0</v>
      </c>
      <c r="T375" s="10"/>
      <c r="U375" s="10"/>
      <c r="V375" s="13"/>
      <c r="W375" s="10"/>
      <c r="X375" s="10"/>
      <c r="Y375" s="10"/>
      <c r="Z375" s="10"/>
      <c r="AA375" s="10"/>
      <c r="AB375" s="10"/>
      <c r="AC375" s="10"/>
      <c r="AD375" s="10"/>
      <c r="AE375" s="10"/>
      <c r="AF375" s="10"/>
      <c r="AG375" s="10"/>
      <c r="AH375" s="10"/>
      <c r="AI375" s="10"/>
      <c r="AJ375" s="10"/>
      <c r="AK375" s="10"/>
      <c r="AL375" s="10"/>
      <c r="AM375" s="10"/>
      <c r="AN375" s="10"/>
    </row>
    <row r="376" spans="1:40" ht="20.25" hidden="1">
      <c r="A376" t="str">
        <f t="shared" si="86"/>
        <v>Boutique[...]</v>
      </c>
      <c r="B376" s="11" t="s">
        <v>114</v>
      </c>
      <c r="C376" s="29" t="s">
        <v>19</v>
      </c>
      <c r="D376" s="87"/>
      <c r="E376" s="111"/>
      <c r="F376" s="30">
        <v>0</v>
      </c>
      <c r="G376" s="89"/>
      <c r="H376" s="111"/>
      <c r="I376" s="30"/>
      <c r="J376" s="23"/>
      <c r="K376" s="111"/>
      <c r="L376" s="33">
        <v>0</v>
      </c>
      <c r="M376" s="23"/>
      <c r="N376" s="91"/>
      <c r="O376" s="23"/>
      <c r="P376" s="111"/>
      <c r="Q376" s="33">
        <v>0</v>
      </c>
      <c r="R376" s="23"/>
      <c r="S376" s="92">
        <f t="shared" si="88"/>
        <v>0</v>
      </c>
      <c r="T376" s="10"/>
      <c r="U376" s="10"/>
      <c r="V376" s="13"/>
      <c r="W376" s="10"/>
      <c r="X376" s="10"/>
      <c r="Y376" s="10"/>
      <c r="Z376" s="10"/>
      <c r="AA376" s="10"/>
      <c r="AB376" s="10"/>
      <c r="AC376" s="10"/>
      <c r="AD376" s="10"/>
      <c r="AE376" s="10"/>
      <c r="AF376" s="10"/>
      <c r="AG376" s="10"/>
      <c r="AH376" s="10"/>
      <c r="AI376" s="10"/>
      <c r="AJ376" s="10"/>
      <c r="AK376" s="10"/>
      <c r="AL376" s="10"/>
      <c r="AM376" s="10"/>
      <c r="AN376" s="10"/>
    </row>
    <row r="377" spans="1:40" ht="20.25" hidden="1">
      <c r="A377" t="str">
        <f t="shared" si="86"/>
        <v>BoutiqueTOTAL PERSONNEL</v>
      </c>
      <c r="B377" s="11" t="s">
        <v>114</v>
      </c>
      <c r="C377" s="93" t="s">
        <v>48</v>
      </c>
      <c r="D377" s="94" t="s">
        <v>38</v>
      </c>
      <c r="E377" s="95">
        <f>IFERROR(F377/F$360,0)</f>
        <v>0</v>
      </c>
      <c r="F377" s="96">
        <f>+SUM(F365:F376)</f>
        <v>0</v>
      </c>
      <c r="G377" s="97"/>
      <c r="H377" s="95"/>
      <c r="I377" s="96"/>
      <c r="J377" s="97" t="s">
        <v>38</v>
      </c>
      <c r="K377" s="95">
        <f>IFERROR(L377/L$360,0)</f>
        <v>0</v>
      </c>
      <c r="L377" s="96">
        <f>+SUM(L365:L376)</f>
        <v>0</v>
      </c>
      <c r="M377" s="147"/>
      <c r="N377" s="113"/>
      <c r="O377" s="97" t="s">
        <v>38</v>
      </c>
      <c r="P377" s="95">
        <f>IFERROR(Q377/Q$360,0)</f>
        <v>0</v>
      </c>
      <c r="Q377" s="96">
        <f>+SUM(Q365:Q376)</f>
        <v>0</v>
      </c>
      <c r="R377" s="147"/>
      <c r="S377" s="114">
        <f t="shared" si="88"/>
        <v>0</v>
      </c>
      <c r="T377" s="10"/>
      <c r="U377" s="10"/>
      <c r="V377" s="13"/>
      <c r="W377" s="10"/>
      <c r="X377" s="10"/>
      <c r="Y377" s="10"/>
      <c r="Z377" s="10"/>
      <c r="AA377" s="10"/>
      <c r="AB377" s="10"/>
      <c r="AC377" s="10"/>
      <c r="AD377" s="10"/>
      <c r="AE377" s="10"/>
      <c r="AF377" s="10"/>
      <c r="AG377" s="10"/>
      <c r="AH377" s="10"/>
      <c r="AI377" s="10"/>
      <c r="AJ377" s="10"/>
      <c r="AK377" s="10"/>
      <c r="AL377" s="10"/>
      <c r="AM377" s="10"/>
      <c r="AN377" s="10"/>
    </row>
    <row r="378" spans="1:40" ht="20.25" hidden="1">
      <c r="A378" t="str">
        <f t="shared" si="86"/>
        <v>BoutiquePublicité 2</v>
      </c>
      <c r="B378" s="11" t="s">
        <v>114</v>
      </c>
      <c r="C378" s="211" t="s">
        <v>49</v>
      </c>
      <c r="D378" s="81"/>
      <c r="E378" s="13"/>
      <c r="F378" s="30">
        <v>0</v>
      </c>
      <c r="G378" s="83"/>
      <c r="H378" s="13"/>
      <c r="I378" s="30"/>
      <c r="J378" s="41"/>
      <c r="K378" s="13"/>
      <c r="L378" s="33">
        <v>0</v>
      </c>
      <c r="M378" s="41"/>
      <c r="N378" s="59"/>
      <c r="O378" s="41"/>
      <c r="P378" s="13"/>
      <c r="Q378" s="33">
        <v>0</v>
      </c>
      <c r="R378" s="41"/>
      <c r="S378" s="85">
        <f t="shared" si="88"/>
        <v>0</v>
      </c>
      <c r="T378" s="10"/>
      <c r="U378" s="10"/>
      <c r="V378" s="13"/>
      <c r="W378" s="10"/>
      <c r="X378" s="10"/>
      <c r="Y378" s="10"/>
      <c r="Z378" s="10"/>
      <c r="AA378" s="10"/>
      <c r="AB378" s="10"/>
      <c r="AC378" s="10"/>
      <c r="AD378" s="10"/>
      <c r="AE378" s="10"/>
      <c r="AF378" s="10"/>
      <c r="AG378" s="10"/>
      <c r="AH378" s="10"/>
      <c r="AI378" s="10"/>
      <c r="AJ378" s="10"/>
      <c r="AK378" s="10"/>
      <c r="AL378" s="10"/>
      <c r="AM378" s="10"/>
      <c r="AN378" s="10"/>
    </row>
    <row r="379" spans="1:40" ht="20.25" hidden="1">
      <c r="A379" t="str">
        <f t="shared" si="86"/>
        <v>BoutiqueService gratuit 2</v>
      </c>
      <c r="B379" s="11" t="s">
        <v>114</v>
      </c>
      <c r="C379" s="102" t="s">
        <v>50</v>
      </c>
      <c r="D379" s="81"/>
      <c r="E379" s="13"/>
      <c r="F379" s="30">
        <v>0</v>
      </c>
      <c r="G379" s="83"/>
      <c r="H379" s="13"/>
      <c r="I379" s="30"/>
      <c r="J379" s="41"/>
      <c r="K379" s="13"/>
      <c r="L379" s="33">
        <v>0</v>
      </c>
      <c r="M379" s="41"/>
      <c r="N379" s="59"/>
      <c r="O379" s="41"/>
      <c r="P379" s="13"/>
      <c r="Q379" s="33">
        <v>0</v>
      </c>
      <c r="R379" s="41"/>
      <c r="S379" s="85">
        <f t="shared" si="88"/>
        <v>0</v>
      </c>
      <c r="T379" s="10"/>
      <c r="U379" s="10"/>
      <c r="V379" s="13"/>
      <c r="W379" s="10"/>
      <c r="X379" s="10"/>
      <c r="Y379" s="10"/>
      <c r="Z379" s="10"/>
      <c r="AA379" s="10"/>
      <c r="AB379" s="10"/>
      <c r="AC379" s="10"/>
      <c r="AD379" s="10"/>
      <c r="AE379" s="10"/>
      <c r="AF379" s="10"/>
      <c r="AG379" s="10"/>
      <c r="AH379" s="10"/>
      <c r="AI379" s="10"/>
      <c r="AJ379" s="10"/>
      <c r="AK379" s="10"/>
      <c r="AL379" s="10"/>
      <c r="AM379" s="10"/>
      <c r="AN379" s="10"/>
    </row>
    <row r="380" spans="1:40" ht="20.25" hidden="1">
      <c r="A380" t="str">
        <f t="shared" si="86"/>
        <v>BoutiqueFrais véhicules de cie</v>
      </c>
      <c r="B380" s="11" t="s">
        <v>114</v>
      </c>
      <c r="C380" s="103" t="s">
        <v>51</v>
      </c>
      <c r="D380" s="87"/>
      <c r="E380" s="111"/>
      <c r="F380" s="22">
        <v>0</v>
      </c>
      <c r="G380" s="89"/>
      <c r="H380" s="111"/>
      <c r="I380" s="22"/>
      <c r="J380" s="23"/>
      <c r="K380" s="111"/>
      <c r="L380" s="22">
        <v>0</v>
      </c>
      <c r="M380" s="23"/>
      <c r="N380" s="91"/>
      <c r="O380" s="23"/>
      <c r="P380" s="111"/>
      <c r="Q380" s="22">
        <v>0</v>
      </c>
      <c r="R380" s="23"/>
      <c r="S380" s="92">
        <f t="shared" si="88"/>
        <v>0</v>
      </c>
      <c r="T380" s="10"/>
      <c r="U380" s="10"/>
      <c r="V380" s="13"/>
      <c r="W380" s="10"/>
      <c r="X380" s="10"/>
      <c r="Y380" s="10"/>
      <c r="Z380" s="10"/>
      <c r="AA380" s="10"/>
      <c r="AB380" s="10"/>
      <c r="AC380" s="10"/>
      <c r="AD380" s="10"/>
      <c r="AE380" s="10"/>
      <c r="AF380" s="10"/>
      <c r="AG380" s="10"/>
      <c r="AH380" s="10"/>
      <c r="AI380" s="10"/>
      <c r="AJ380" s="10"/>
      <c r="AK380" s="10"/>
      <c r="AL380" s="10"/>
      <c r="AM380" s="10"/>
      <c r="AN380" s="10"/>
    </row>
    <row r="381" spans="1:40" ht="20.25" hidden="1">
      <c r="A381" t="str">
        <f t="shared" si="86"/>
        <v>BoutiqueInformatique</v>
      </c>
      <c r="B381" s="11" t="s">
        <v>114</v>
      </c>
      <c r="C381" s="102" t="s">
        <v>52</v>
      </c>
      <c r="D381" s="81"/>
      <c r="E381" s="13"/>
      <c r="F381" s="30">
        <v>0</v>
      </c>
      <c r="G381" s="83"/>
      <c r="H381" s="13"/>
      <c r="I381" s="30"/>
      <c r="J381" s="41"/>
      <c r="K381" s="13"/>
      <c r="L381" s="33">
        <v>0</v>
      </c>
      <c r="M381" s="41"/>
      <c r="N381" s="59"/>
      <c r="O381" s="41"/>
      <c r="P381" s="13"/>
      <c r="Q381" s="33">
        <v>0</v>
      </c>
      <c r="R381" s="41"/>
      <c r="S381" s="85">
        <f t="shared" si="88"/>
        <v>0</v>
      </c>
      <c r="T381" s="10"/>
      <c r="U381" s="10"/>
      <c r="V381" s="13"/>
      <c r="W381" s="10"/>
      <c r="X381" s="10"/>
      <c r="Y381" s="10"/>
      <c r="Z381" s="10"/>
      <c r="AA381" s="10"/>
      <c r="AB381" s="10"/>
      <c r="AC381" s="10"/>
      <c r="AD381" s="10"/>
      <c r="AE381" s="10"/>
      <c r="AF381" s="10"/>
      <c r="AG381" s="10"/>
      <c r="AH381" s="10"/>
      <c r="AI381" s="10"/>
      <c r="AJ381" s="10"/>
      <c r="AK381" s="10"/>
      <c r="AL381" s="10"/>
      <c r="AM381" s="10"/>
      <c r="AN381" s="10"/>
    </row>
    <row r="382" spans="1:40" ht="20.25" hidden="1">
      <c r="A382" t="str">
        <f t="shared" si="86"/>
        <v>BoutiqueFrais de déplacement</v>
      </c>
      <c r="B382" s="11" t="s">
        <v>114</v>
      </c>
      <c r="C382" s="102" t="s">
        <v>53</v>
      </c>
      <c r="D382" s="81"/>
      <c r="E382" s="13"/>
      <c r="F382" s="30">
        <v>0</v>
      </c>
      <c r="G382" s="83"/>
      <c r="H382" s="13"/>
      <c r="I382" s="30"/>
      <c r="J382" s="41"/>
      <c r="K382" s="13"/>
      <c r="L382" s="33">
        <v>0</v>
      </c>
      <c r="M382" s="41"/>
      <c r="N382" s="59"/>
      <c r="O382" s="41"/>
      <c r="P382" s="13"/>
      <c r="Q382" s="33">
        <v>0</v>
      </c>
      <c r="R382" s="41"/>
      <c r="S382" s="85">
        <f t="shared" si="88"/>
        <v>0</v>
      </c>
      <c r="T382" s="10"/>
      <c r="U382" s="10"/>
      <c r="V382" s="13"/>
      <c r="W382" s="10"/>
      <c r="X382" s="10"/>
      <c r="Y382" s="10"/>
      <c r="Z382" s="10"/>
      <c r="AA382" s="10"/>
      <c r="AB382" s="10"/>
      <c r="AC382" s="10"/>
      <c r="AD382" s="10"/>
      <c r="AE382" s="10"/>
      <c r="AF382" s="10"/>
      <c r="AG382" s="10"/>
      <c r="AH382" s="10"/>
      <c r="AI382" s="10"/>
      <c r="AJ382" s="10"/>
      <c r="AK382" s="10"/>
      <c r="AL382" s="10"/>
      <c r="AM382" s="10"/>
      <c r="AN382" s="10"/>
    </row>
    <row r="383" spans="1:40" ht="20.25" hidden="1">
      <c r="A383" t="str">
        <f t="shared" si="86"/>
        <v>BoutiqueServices extérieurs</v>
      </c>
      <c r="B383" s="11" t="s">
        <v>114</v>
      </c>
      <c r="C383" s="102" t="s">
        <v>54</v>
      </c>
      <c r="D383" s="87"/>
      <c r="E383" s="111"/>
      <c r="F383" s="22">
        <v>0</v>
      </c>
      <c r="G383" s="89"/>
      <c r="H383" s="111"/>
      <c r="I383" s="22"/>
      <c r="J383" s="23"/>
      <c r="K383" s="111"/>
      <c r="L383" s="22">
        <v>0</v>
      </c>
      <c r="M383" s="23"/>
      <c r="N383" s="91"/>
      <c r="O383" s="23"/>
      <c r="P383" s="111"/>
      <c r="Q383" s="22">
        <v>0</v>
      </c>
      <c r="R383" s="23"/>
      <c r="S383" s="92">
        <f t="shared" si="88"/>
        <v>0</v>
      </c>
      <c r="T383" s="10"/>
      <c r="U383" s="10"/>
      <c r="V383" s="13"/>
      <c r="W383" s="10"/>
      <c r="X383" s="10"/>
      <c r="Y383" s="10"/>
      <c r="Z383" s="10"/>
      <c r="AA383" s="10"/>
      <c r="AB383" s="10"/>
      <c r="AC383" s="10"/>
      <c r="AD383" s="10"/>
      <c r="AE383" s="10"/>
      <c r="AF383" s="10"/>
      <c r="AG383" s="10"/>
      <c r="AH383" s="10"/>
      <c r="AI383" s="10"/>
      <c r="AJ383" s="10"/>
      <c r="AK383" s="10"/>
      <c r="AL383" s="10"/>
      <c r="AM383" s="10"/>
      <c r="AN383" s="10"/>
    </row>
    <row r="384" spans="1:40" ht="20.25" hidden="1">
      <c r="A384" t="str">
        <f t="shared" si="86"/>
        <v>BoutiqueFournitures autres</v>
      </c>
      <c r="B384" s="11" t="s">
        <v>114</v>
      </c>
      <c r="C384" s="211" t="s">
        <v>55</v>
      </c>
      <c r="D384" s="81"/>
      <c r="E384" s="13"/>
      <c r="F384" s="30">
        <v>0</v>
      </c>
      <c r="G384" s="83"/>
      <c r="H384" s="13"/>
      <c r="I384" s="30"/>
      <c r="J384" s="41"/>
      <c r="K384" s="13"/>
      <c r="L384" s="33">
        <v>0</v>
      </c>
      <c r="M384" s="41"/>
      <c r="N384" s="59"/>
      <c r="O384" s="41"/>
      <c r="P384" s="13"/>
      <c r="Q384" s="33">
        <v>0</v>
      </c>
      <c r="R384" s="41"/>
      <c r="S384" s="85">
        <f t="shared" si="88"/>
        <v>0</v>
      </c>
      <c r="T384" s="10"/>
      <c r="U384" s="10"/>
      <c r="V384" s="13"/>
      <c r="W384" s="10"/>
      <c r="X384" s="10"/>
      <c r="Y384" s="10"/>
      <c r="Z384" s="10"/>
      <c r="AA384" s="10"/>
      <c r="AB384" s="10"/>
      <c r="AC384" s="10"/>
      <c r="AD384" s="10"/>
      <c r="AE384" s="10"/>
      <c r="AF384" s="10"/>
      <c r="AG384" s="10"/>
      <c r="AH384" s="10"/>
      <c r="AI384" s="10"/>
      <c r="AJ384" s="10"/>
      <c r="AK384" s="10"/>
      <c r="AL384" s="10"/>
      <c r="AM384" s="10"/>
      <c r="AN384" s="10"/>
    </row>
    <row r="385" spans="1:40" ht="20.25" hidden="1">
      <c r="A385" t="str">
        <f t="shared" si="86"/>
        <v>BoutiqueUniformes</v>
      </c>
      <c r="B385" s="11" t="s">
        <v>114</v>
      </c>
      <c r="C385" s="102" t="s">
        <v>56</v>
      </c>
      <c r="D385" s="81"/>
      <c r="E385" s="13"/>
      <c r="F385" s="30">
        <v>0</v>
      </c>
      <c r="G385" s="83"/>
      <c r="H385" s="13"/>
      <c r="I385" s="30"/>
      <c r="J385" s="41"/>
      <c r="K385" s="13"/>
      <c r="L385" s="33">
        <v>0</v>
      </c>
      <c r="M385" s="41"/>
      <c r="N385" s="59"/>
      <c r="O385" s="41"/>
      <c r="P385" s="13"/>
      <c r="Q385" s="33">
        <v>0</v>
      </c>
      <c r="R385" s="41"/>
      <c r="S385" s="85">
        <f t="shared" si="88"/>
        <v>0</v>
      </c>
      <c r="T385" s="10"/>
      <c r="U385" s="10"/>
      <c r="V385" s="13"/>
      <c r="W385" s="10"/>
      <c r="X385" s="10"/>
      <c r="Y385" s="10"/>
      <c r="Z385" s="10"/>
      <c r="AA385" s="10"/>
      <c r="AB385" s="10"/>
      <c r="AC385" s="10"/>
      <c r="AD385" s="10"/>
      <c r="AE385" s="10"/>
      <c r="AF385" s="10"/>
      <c r="AG385" s="10"/>
      <c r="AH385" s="10"/>
      <c r="AI385" s="10"/>
      <c r="AJ385" s="10"/>
      <c r="AK385" s="10"/>
      <c r="AL385" s="10"/>
      <c r="AM385" s="10"/>
      <c r="AN385" s="10"/>
    </row>
    <row r="386" spans="1:40" ht="20.25" hidden="1">
      <c r="A386" t="str">
        <f t="shared" si="86"/>
        <v>BoutiquePapeterie</v>
      </c>
      <c r="B386" s="11" t="s">
        <v>114</v>
      </c>
      <c r="C386" s="102" t="s">
        <v>57</v>
      </c>
      <c r="D386" s="81"/>
      <c r="E386" s="13"/>
      <c r="F386" s="30">
        <v>0</v>
      </c>
      <c r="G386" s="83"/>
      <c r="H386" s="13"/>
      <c r="I386" s="30"/>
      <c r="J386" s="41"/>
      <c r="K386" s="13"/>
      <c r="L386" s="33">
        <v>0</v>
      </c>
      <c r="M386" s="41"/>
      <c r="N386" s="59"/>
      <c r="O386" s="41"/>
      <c r="P386" s="13"/>
      <c r="Q386" s="33">
        <v>0</v>
      </c>
      <c r="R386" s="41"/>
      <c r="S386" s="85">
        <f t="shared" si="88"/>
        <v>0</v>
      </c>
      <c r="T386" s="10"/>
      <c r="U386" s="10"/>
      <c r="V386" s="13"/>
      <c r="W386" s="10"/>
      <c r="X386" s="10"/>
      <c r="Y386" s="10"/>
      <c r="Z386" s="10"/>
      <c r="AA386" s="10"/>
      <c r="AB386" s="10"/>
      <c r="AC386" s="10"/>
      <c r="AD386" s="10"/>
      <c r="AE386" s="10"/>
      <c r="AF386" s="10"/>
      <c r="AG386" s="10"/>
      <c r="AH386" s="10"/>
      <c r="AI386" s="10"/>
      <c r="AJ386" s="10"/>
      <c r="AK386" s="10"/>
      <c r="AL386" s="10"/>
      <c r="AM386" s="10"/>
      <c r="AN386" s="10"/>
    </row>
    <row r="387" spans="1:40" ht="20.25" hidden="1">
      <c r="A387" t="str">
        <f t="shared" si="86"/>
        <v>BoutiqueTéléphone</v>
      </c>
      <c r="B387" s="11" t="s">
        <v>114</v>
      </c>
      <c r="C387" s="102" t="s">
        <v>58</v>
      </c>
      <c r="D387" s="81"/>
      <c r="E387" s="13"/>
      <c r="F387" s="30">
        <v>0</v>
      </c>
      <c r="G387" s="83"/>
      <c r="H387" s="13"/>
      <c r="I387" s="30"/>
      <c r="J387" s="41"/>
      <c r="K387" s="13"/>
      <c r="L387" s="33">
        <v>0</v>
      </c>
      <c r="M387" s="41"/>
      <c r="N387" s="59"/>
      <c r="O387" s="41"/>
      <c r="P387" s="13"/>
      <c r="Q387" s="33">
        <v>0</v>
      </c>
      <c r="R387" s="41"/>
      <c r="S387" s="85">
        <f t="shared" si="88"/>
        <v>0</v>
      </c>
      <c r="T387" s="10"/>
      <c r="U387" s="10"/>
      <c r="V387" s="13"/>
      <c r="W387" s="10"/>
      <c r="X387" s="10"/>
      <c r="Y387" s="10"/>
      <c r="Z387" s="10"/>
      <c r="AA387" s="10"/>
      <c r="AB387" s="10"/>
      <c r="AC387" s="10"/>
      <c r="AD387" s="10"/>
      <c r="AE387" s="10"/>
      <c r="AF387" s="10"/>
      <c r="AG387" s="10"/>
      <c r="AH387" s="10"/>
      <c r="AI387" s="10"/>
      <c r="AJ387" s="10"/>
      <c r="AK387" s="10"/>
      <c r="AL387" s="10"/>
      <c r="AM387" s="10"/>
      <c r="AN387" s="10"/>
    </row>
    <row r="388" spans="1:40" ht="20.25" hidden="1">
      <c r="A388" t="str">
        <f t="shared" si="86"/>
        <v>BoutiqueFrais postaux</v>
      </c>
      <c r="B388" s="11" t="s">
        <v>114</v>
      </c>
      <c r="C388" s="102" t="s">
        <v>59</v>
      </c>
      <c r="D388" s="81"/>
      <c r="E388" s="13"/>
      <c r="F388" s="30">
        <v>0</v>
      </c>
      <c r="G388" s="83"/>
      <c r="H388" s="13"/>
      <c r="I388" s="30"/>
      <c r="J388" s="41"/>
      <c r="K388" s="13"/>
      <c r="L388" s="33">
        <v>0</v>
      </c>
      <c r="M388" s="41"/>
      <c r="N388" s="59"/>
      <c r="O388" s="41"/>
      <c r="P388" s="13"/>
      <c r="Q388" s="33">
        <v>0</v>
      </c>
      <c r="R388" s="41"/>
      <c r="S388" s="85">
        <f t="shared" si="88"/>
        <v>0</v>
      </c>
      <c r="T388" s="10"/>
      <c r="U388" s="10"/>
      <c r="V388" s="13"/>
      <c r="W388" s="10"/>
      <c r="X388" s="10"/>
      <c r="Y388" s="10"/>
      <c r="Z388" s="10"/>
      <c r="AA388" s="10"/>
      <c r="AB388" s="10"/>
      <c r="AC388" s="10"/>
      <c r="AD388" s="10"/>
      <c r="AE388" s="10"/>
      <c r="AF388" s="10"/>
      <c r="AG388" s="10"/>
      <c r="AH388" s="10"/>
      <c r="AI388" s="10"/>
      <c r="AJ388" s="10"/>
      <c r="AK388" s="10"/>
      <c r="AL388" s="10"/>
      <c r="AM388" s="10"/>
      <c r="AN388" s="10"/>
    </row>
    <row r="389" spans="1:40" ht="20.25" hidden="1">
      <c r="A389" t="str">
        <f t="shared" si="86"/>
        <v>BoutiqueDivers</v>
      </c>
      <c r="B389" s="11" t="s">
        <v>114</v>
      </c>
      <c r="C389" s="102" t="s">
        <v>60</v>
      </c>
      <c r="D389" s="81"/>
      <c r="E389" s="13"/>
      <c r="F389" s="30">
        <v>0</v>
      </c>
      <c r="G389" s="83"/>
      <c r="H389" s="13"/>
      <c r="I389" s="30"/>
      <c r="J389" s="41"/>
      <c r="K389" s="13"/>
      <c r="L389" s="33">
        <v>0</v>
      </c>
      <c r="M389" s="41"/>
      <c r="N389" s="59"/>
      <c r="O389" s="41"/>
      <c r="P389" s="13"/>
      <c r="Q389" s="33">
        <v>0</v>
      </c>
      <c r="R389" s="41"/>
      <c r="S389" s="85">
        <f t="shared" si="88"/>
        <v>0</v>
      </c>
      <c r="T389" s="10"/>
      <c r="U389" s="10"/>
      <c r="V389" s="13"/>
      <c r="W389" s="10"/>
      <c r="X389" s="10"/>
      <c r="Y389" s="10"/>
      <c r="Z389" s="10"/>
      <c r="AA389" s="10"/>
      <c r="AB389" s="10"/>
      <c r="AC389" s="10"/>
      <c r="AD389" s="10"/>
      <c r="AE389" s="10"/>
      <c r="AF389" s="10"/>
      <c r="AG389" s="10"/>
      <c r="AH389" s="10"/>
      <c r="AI389" s="10"/>
      <c r="AJ389" s="10"/>
      <c r="AK389" s="10"/>
      <c r="AL389" s="10"/>
      <c r="AM389" s="10"/>
      <c r="AN389" s="10"/>
    </row>
    <row r="390" spans="1:40" ht="20.25" hidden="1">
      <c r="A390" t="str">
        <f t="shared" si="86"/>
        <v>BoutiqueFormation</v>
      </c>
      <c r="B390" s="11" t="s">
        <v>114</v>
      </c>
      <c r="C390" s="102" t="s">
        <v>61</v>
      </c>
      <c r="D390" s="81"/>
      <c r="E390" s="13"/>
      <c r="F390" s="30">
        <v>0</v>
      </c>
      <c r="G390" s="83"/>
      <c r="H390" s="13"/>
      <c r="I390" s="30"/>
      <c r="J390" s="41"/>
      <c r="K390" s="13"/>
      <c r="L390" s="33">
        <v>0</v>
      </c>
      <c r="M390" s="41"/>
      <c r="N390" s="59"/>
      <c r="O390" s="41"/>
      <c r="P390" s="13"/>
      <c r="Q390" s="33">
        <v>0</v>
      </c>
      <c r="R390" s="41"/>
      <c r="S390" s="85">
        <f t="shared" si="88"/>
        <v>0</v>
      </c>
      <c r="T390" s="10"/>
      <c r="U390" s="10"/>
      <c r="V390" s="13"/>
      <c r="W390" s="10"/>
      <c r="X390" s="10"/>
      <c r="Y390" s="10"/>
      <c r="Z390" s="10"/>
      <c r="AA390" s="10"/>
      <c r="AB390" s="10"/>
      <c r="AC390" s="10"/>
      <c r="AD390" s="10"/>
      <c r="AE390" s="10"/>
      <c r="AF390" s="10"/>
      <c r="AG390" s="10"/>
      <c r="AH390" s="10"/>
      <c r="AI390" s="10"/>
      <c r="AJ390" s="10"/>
      <c r="AK390" s="10"/>
      <c r="AL390" s="10"/>
      <c r="AM390" s="10"/>
      <c r="AN390" s="10"/>
    </row>
    <row r="391" spans="1:40" ht="20.25" hidden="1">
      <c r="A391" t="str">
        <f t="shared" si="86"/>
        <v>BoutiqueFrais bancaires</v>
      </c>
      <c r="B391" s="11" t="s">
        <v>114</v>
      </c>
      <c r="C391" s="102" t="s">
        <v>62</v>
      </c>
      <c r="D391" s="81"/>
      <c r="E391" s="13"/>
      <c r="F391" s="30">
        <v>0</v>
      </c>
      <c r="G391" s="83"/>
      <c r="H391" s="13"/>
      <c r="I391" s="30"/>
      <c r="J391" s="41"/>
      <c r="K391" s="13"/>
      <c r="L391" s="33">
        <v>0</v>
      </c>
      <c r="M391" s="41"/>
      <c r="N391" s="59"/>
      <c r="O391" s="41"/>
      <c r="P391" s="13"/>
      <c r="Q391" s="33">
        <v>0</v>
      </c>
      <c r="R391" s="41"/>
      <c r="S391" s="85">
        <f t="shared" si="88"/>
        <v>0</v>
      </c>
      <c r="T391" s="10"/>
      <c r="U391" s="10"/>
      <c r="V391" s="13"/>
      <c r="W391" s="10"/>
      <c r="X391" s="10"/>
      <c r="Y391" s="10"/>
      <c r="Z391" s="10"/>
      <c r="AA391" s="10"/>
      <c r="AB391" s="10"/>
      <c r="AC391" s="10"/>
      <c r="AD391" s="10"/>
      <c r="AE391" s="10"/>
      <c r="AF391" s="10"/>
      <c r="AG391" s="10"/>
      <c r="AH391" s="10"/>
      <c r="AI391" s="10"/>
      <c r="AJ391" s="10"/>
      <c r="AK391" s="10"/>
      <c r="AL391" s="10"/>
      <c r="AM391" s="10"/>
      <c r="AN391" s="10"/>
    </row>
    <row r="392" spans="1:40" ht="20.25" hidden="1">
      <c r="A392" t="str">
        <f t="shared" si="86"/>
        <v>Boutique[...]</v>
      </c>
      <c r="B392" s="11" t="s">
        <v>114</v>
      </c>
      <c r="C392" s="102" t="s">
        <v>19</v>
      </c>
      <c r="D392" s="81"/>
      <c r="E392" s="13"/>
      <c r="F392" s="30">
        <v>0</v>
      </c>
      <c r="G392" s="83"/>
      <c r="H392" s="13"/>
      <c r="I392" s="30"/>
      <c r="J392" s="41"/>
      <c r="K392" s="13"/>
      <c r="L392" s="33">
        <v>0</v>
      </c>
      <c r="M392" s="41"/>
      <c r="N392" s="59"/>
      <c r="O392" s="41"/>
      <c r="P392" s="13"/>
      <c r="Q392" s="33">
        <v>0</v>
      </c>
      <c r="R392" s="41"/>
      <c r="S392" s="85">
        <f t="shared" si="88"/>
        <v>0</v>
      </c>
      <c r="T392" s="10"/>
      <c r="U392" s="10"/>
      <c r="V392" s="13"/>
      <c r="W392" s="10"/>
      <c r="X392" s="10"/>
      <c r="Y392" s="10"/>
      <c r="Z392" s="10"/>
      <c r="AA392" s="10"/>
      <c r="AB392" s="10"/>
      <c r="AC392" s="10"/>
      <c r="AD392" s="10"/>
      <c r="AE392" s="10"/>
      <c r="AF392" s="10"/>
      <c r="AG392" s="10"/>
      <c r="AH392" s="10"/>
      <c r="AI392" s="10"/>
      <c r="AJ392" s="10"/>
      <c r="AK392" s="10"/>
      <c r="AL392" s="10"/>
      <c r="AM392" s="10"/>
      <c r="AN392" s="10"/>
    </row>
    <row r="393" spans="1:40" ht="20.25" hidden="1">
      <c r="A393" t="str">
        <f t="shared" si="86"/>
        <v>Boutique[...]</v>
      </c>
      <c r="B393" s="11" t="s">
        <v>114</v>
      </c>
      <c r="C393" s="102" t="s">
        <v>19</v>
      </c>
      <c r="D393" s="81"/>
      <c r="E393" s="13"/>
      <c r="F393" s="30">
        <v>0</v>
      </c>
      <c r="G393" s="83"/>
      <c r="H393" s="13"/>
      <c r="I393" s="30"/>
      <c r="J393" s="41"/>
      <c r="K393" s="13"/>
      <c r="L393" s="33">
        <v>0</v>
      </c>
      <c r="M393" s="41"/>
      <c r="N393" s="59"/>
      <c r="O393" s="41"/>
      <c r="P393" s="13"/>
      <c r="Q393" s="33">
        <v>0</v>
      </c>
      <c r="R393" s="41"/>
      <c r="S393" s="85">
        <f t="shared" si="88"/>
        <v>0</v>
      </c>
      <c r="T393" s="10"/>
      <c r="U393" s="10"/>
      <c r="V393" s="13"/>
      <c r="W393" s="10"/>
      <c r="X393" s="10"/>
      <c r="Y393" s="10"/>
      <c r="Z393" s="10"/>
      <c r="AA393" s="10"/>
      <c r="AB393" s="10"/>
      <c r="AC393" s="10"/>
      <c r="AD393" s="10"/>
      <c r="AE393" s="10"/>
      <c r="AF393" s="10"/>
      <c r="AG393" s="10"/>
      <c r="AH393" s="10"/>
      <c r="AI393" s="10"/>
      <c r="AJ393" s="10"/>
      <c r="AK393" s="10"/>
      <c r="AL393" s="10"/>
      <c r="AM393" s="10"/>
      <c r="AN393" s="10"/>
    </row>
    <row r="394" spans="1:40" ht="20.25" hidden="1">
      <c r="A394" t="str">
        <f t="shared" si="86"/>
        <v>Boutique[...]</v>
      </c>
      <c r="B394" s="11" t="s">
        <v>114</v>
      </c>
      <c r="C394" s="102" t="s">
        <v>19</v>
      </c>
      <c r="D394" s="87"/>
      <c r="E394" s="111"/>
      <c r="F394" s="30">
        <v>0</v>
      </c>
      <c r="G394" s="89"/>
      <c r="H394" s="111"/>
      <c r="I394" s="30"/>
      <c r="J394" s="23"/>
      <c r="K394" s="111"/>
      <c r="L394" s="33">
        <v>0</v>
      </c>
      <c r="M394" s="23"/>
      <c r="N394" s="91"/>
      <c r="O394" s="23"/>
      <c r="P394" s="111"/>
      <c r="Q394" s="33">
        <v>0</v>
      </c>
      <c r="R394" s="23"/>
      <c r="S394" s="92">
        <f t="shared" si="88"/>
        <v>0</v>
      </c>
      <c r="T394" s="10"/>
      <c r="U394" s="10"/>
      <c r="V394" s="13"/>
      <c r="W394" s="10"/>
      <c r="X394" s="10"/>
      <c r="Y394" s="10"/>
      <c r="Z394" s="10"/>
      <c r="AA394" s="10"/>
      <c r="AB394" s="10"/>
      <c r="AC394" s="10"/>
      <c r="AD394" s="10"/>
      <c r="AE394" s="10"/>
      <c r="AF394" s="10"/>
      <c r="AG394" s="10"/>
      <c r="AH394" s="10"/>
      <c r="AI394" s="10"/>
      <c r="AJ394" s="10"/>
      <c r="AK394" s="10"/>
      <c r="AL394" s="10"/>
      <c r="AM394" s="10"/>
      <c r="AN394" s="10"/>
    </row>
    <row r="395" spans="1:40" ht="20.25" hidden="1">
      <c r="B395" s="7"/>
      <c r="C395" s="93" t="s">
        <v>63</v>
      </c>
      <c r="D395" s="94" t="s">
        <v>38</v>
      </c>
      <c r="E395" s="95">
        <f>IFERROR(F395/F$360,0)</f>
        <v>0</v>
      </c>
      <c r="F395" s="96">
        <f>+SUM(F378:F394)</f>
        <v>0</v>
      </c>
      <c r="G395" s="97"/>
      <c r="H395" s="95"/>
      <c r="I395" s="96"/>
      <c r="J395" s="97" t="s">
        <v>38</v>
      </c>
      <c r="K395" s="95">
        <f>IFERROR(L395/L$360,0)</f>
        <v>0</v>
      </c>
      <c r="L395" s="96">
        <f>+SUM(L378:L394)</f>
        <v>0</v>
      </c>
      <c r="M395" s="147"/>
      <c r="N395" s="96"/>
      <c r="O395" s="97" t="s">
        <v>38</v>
      </c>
      <c r="P395" s="95">
        <f>IFERROR(Q395/Q$360,0)</f>
        <v>0</v>
      </c>
      <c r="Q395" s="96">
        <f>+SUM(Q378:Q394)</f>
        <v>0</v>
      </c>
      <c r="R395" s="147"/>
      <c r="S395" s="114">
        <f>+SUM(S378:S394)</f>
        <v>0</v>
      </c>
      <c r="T395" s="10"/>
      <c r="U395" s="10"/>
      <c r="V395" s="13"/>
      <c r="W395" s="10"/>
      <c r="X395" s="10"/>
      <c r="Y395" s="10"/>
      <c r="Z395" s="10"/>
      <c r="AA395" s="10"/>
      <c r="AB395" s="10"/>
      <c r="AC395" s="10"/>
      <c r="AD395" s="10"/>
      <c r="AE395" s="10"/>
      <c r="AF395" s="10"/>
      <c r="AG395" s="10"/>
      <c r="AH395" s="10"/>
      <c r="AI395" s="10"/>
      <c r="AJ395" s="10"/>
      <c r="AK395" s="10"/>
      <c r="AL395" s="10"/>
      <c r="AM395" s="10"/>
      <c r="AN395" s="10"/>
    </row>
    <row r="396" spans="1:40" ht="20.25" hidden="1">
      <c r="B396" s="7"/>
      <c r="C396" s="29"/>
      <c r="D396" s="13"/>
      <c r="E396" s="13"/>
      <c r="F396" s="40"/>
      <c r="G396" s="41"/>
      <c r="H396" s="13"/>
      <c r="I396" s="40"/>
      <c r="J396" s="41"/>
      <c r="K396" s="13"/>
      <c r="L396" s="40"/>
      <c r="M396" s="78"/>
      <c r="N396" s="77"/>
      <c r="O396" s="41"/>
      <c r="P396" s="13"/>
      <c r="Q396" s="40"/>
      <c r="R396" s="41"/>
      <c r="S396" s="245"/>
      <c r="T396" s="246"/>
      <c r="U396" s="246"/>
      <c r="V396" s="13"/>
      <c r="W396" s="10"/>
      <c r="X396" s="10"/>
      <c r="Y396" s="10"/>
      <c r="Z396" s="10"/>
      <c r="AA396" s="10"/>
      <c r="AB396" s="10"/>
      <c r="AC396" s="10"/>
      <c r="AD396" s="10"/>
      <c r="AE396" s="10"/>
      <c r="AF396" s="10"/>
      <c r="AG396" s="10"/>
      <c r="AH396" s="10"/>
      <c r="AI396" s="10"/>
      <c r="AJ396" s="10"/>
      <c r="AK396" s="10"/>
      <c r="AL396" s="10"/>
      <c r="AM396" s="10"/>
      <c r="AN396" s="10"/>
    </row>
    <row r="397" spans="1:40" ht="20.25" hidden="1">
      <c r="B397" s="7"/>
      <c r="C397" s="93" t="s">
        <v>64</v>
      </c>
      <c r="D397" s="94" t="s">
        <v>38</v>
      </c>
      <c r="E397" s="95">
        <f>IFERROR(F397/F$360,0)</f>
        <v>0</v>
      </c>
      <c r="F397" s="96">
        <f>F377+F395</f>
        <v>0</v>
      </c>
      <c r="G397" s="97"/>
      <c r="H397" s="95"/>
      <c r="I397" s="96"/>
      <c r="J397" s="97" t="s">
        <v>38</v>
      </c>
      <c r="K397" s="95">
        <f>IFERROR(L397/L$360,0)</f>
        <v>0</v>
      </c>
      <c r="L397" s="96">
        <f>L377+L395</f>
        <v>0</v>
      </c>
      <c r="M397" s="247"/>
      <c r="N397" s="96"/>
      <c r="O397" s="97" t="s">
        <v>38</v>
      </c>
      <c r="P397" s="95">
        <f>IFERROR(Q397/Q$360,0)</f>
        <v>0</v>
      </c>
      <c r="Q397" s="96">
        <f>Q377+Q395</f>
        <v>0</v>
      </c>
      <c r="R397" s="100"/>
      <c r="S397" s="101">
        <f>L397-Q397</f>
        <v>0</v>
      </c>
      <c r="T397" s="246"/>
      <c r="U397" s="246"/>
      <c r="V397" s="13"/>
      <c r="W397" s="10"/>
      <c r="X397" s="10"/>
      <c r="Y397" s="10"/>
      <c r="Z397" s="10"/>
      <c r="AA397" s="10"/>
      <c r="AB397" s="10"/>
      <c r="AC397" s="10"/>
      <c r="AD397" s="10"/>
      <c r="AE397" s="10"/>
      <c r="AF397" s="10"/>
      <c r="AG397" s="10"/>
      <c r="AH397" s="10"/>
      <c r="AI397" s="10"/>
      <c r="AJ397" s="10"/>
      <c r="AK397" s="10"/>
      <c r="AL397" s="10"/>
      <c r="AM397" s="10"/>
      <c r="AN397" s="10"/>
    </row>
    <row r="398" spans="1:40" ht="20.25" hidden="1">
      <c r="B398" s="7"/>
      <c r="C398" s="29"/>
      <c r="D398" s="13"/>
      <c r="E398" s="13"/>
      <c r="F398" s="59"/>
      <c r="G398" s="41"/>
      <c r="H398" s="13"/>
      <c r="I398" s="59"/>
      <c r="J398" s="41"/>
      <c r="K398" s="13"/>
      <c r="L398" s="59"/>
      <c r="M398" s="78"/>
      <c r="N398" s="77"/>
      <c r="O398" s="41"/>
      <c r="P398" s="13"/>
      <c r="Q398" s="59"/>
      <c r="R398" s="41"/>
      <c r="S398" s="245"/>
      <c r="T398" s="10"/>
      <c r="U398" s="10"/>
      <c r="V398" s="13"/>
      <c r="W398" s="10"/>
      <c r="X398" s="10"/>
      <c r="Y398" s="10"/>
      <c r="Z398" s="10"/>
      <c r="AA398" s="10"/>
      <c r="AB398" s="10"/>
      <c r="AC398" s="10"/>
      <c r="AD398" s="10"/>
      <c r="AE398" s="10"/>
      <c r="AF398" s="10"/>
      <c r="AG398" s="10"/>
      <c r="AH398" s="10"/>
      <c r="AI398" s="10"/>
      <c r="AJ398" s="10"/>
      <c r="AK398" s="10"/>
      <c r="AL398" s="10"/>
      <c r="AM398" s="10"/>
      <c r="AN398" s="10"/>
    </row>
    <row r="399" spans="1:40" ht="21.75" hidden="1" thickTop="1" thickBot="1">
      <c r="B399" s="7"/>
      <c r="C399" s="248" t="s">
        <v>69</v>
      </c>
      <c r="D399" s="249"/>
      <c r="E399" s="249"/>
      <c r="F399" s="250">
        <f>F362-F397</f>
        <v>0</v>
      </c>
      <c r="G399" s="251"/>
      <c r="H399" s="249"/>
      <c r="I399" s="250"/>
      <c r="J399" s="252"/>
      <c r="K399" s="253"/>
      <c r="L399" s="250">
        <f>L362-L397</f>
        <v>0</v>
      </c>
      <c r="M399" s="251"/>
      <c r="N399" s="250"/>
      <c r="O399" s="252"/>
      <c r="P399" s="253"/>
      <c r="Q399" s="250">
        <f>Q362-Q397</f>
        <v>0</v>
      </c>
      <c r="R399" s="252"/>
      <c r="S399" s="254">
        <f>L399-Q399</f>
        <v>0</v>
      </c>
      <c r="T399" s="10"/>
      <c r="U399" s="10"/>
      <c r="V399" s="13"/>
      <c r="W399" s="10"/>
      <c r="X399" s="10"/>
      <c r="Y399" s="10"/>
      <c r="Z399" s="10"/>
      <c r="AA399" s="10"/>
      <c r="AB399" s="10"/>
      <c r="AC399" s="10"/>
      <c r="AD399" s="10"/>
      <c r="AE399" s="10"/>
      <c r="AF399" s="10"/>
      <c r="AG399" s="10"/>
      <c r="AH399" s="10"/>
      <c r="AI399" s="10"/>
      <c r="AJ399" s="10"/>
      <c r="AK399" s="10"/>
      <c r="AL399" s="10"/>
      <c r="AM399" s="10"/>
      <c r="AN399" s="10"/>
    </row>
    <row r="400" spans="1:40" ht="20.25" hidden="1">
      <c r="B400" s="7"/>
      <c r="C400" s="76"/>
      <c r="D400" s="81"/>
      <c r="E400" s="13"/>
      <c r="F400" s="112"/>
      <c r="G400" s="81"/>
      <c r="H400" s="13"/>
      <c r="I400" s="112"/>
      <c r="J400" s="76"/>
      <c r="K400" s="76"/>
      <c r="L400" s="112"/>
      <c r="M400" s="76"/>
      <c r="N400" s="112"/>
      <c r="O400" s="76"/>
      <c r="P400" s="76"/>
      <c r="Q400" s="112"/>
      <c r="R400" s="76"/>
      <c r="S400" s="112"/>
      <c r="T400" s="13"/>
      <c r="U400" s="13"/>
      <c r="V400" s="13"/>
      <c r="W400" s="13"/>
      <c r="X400" s="13"/>
      <c r="Y400" s="13"/>
      <c r="Z400" s="13"/>
      <c r="AA400" s="13"/>
      <c r="AB400" s="13"/>
      <c r="AC400" s="13"/>
      <c r="AD400" s="13"/>
      <c r="AE400" s="13"/>
      <c r="AF400" s="13"/>
      <c r="AG400" s="13"/>
      <c r="AH400" s="13"/>
      <c r="AI400" s="13"/>
      <c r="AJ400" s="13"/>
      <c r="AK400" s="13"/>
      <c r="AL400" s="13"/>
      <c r="AM400" s="13"/>
      <c r="AN400" s="13"/>
    </row>
    <row r="401" spans="1:61" ht="20.25">
      <c r="B401" s="7"/>
      <c r="C401" s="13"/>
      <c r="D401" s="13"/>
      <c r="E401" s="13"/>
      <c r="F401" s="82">
        <f>F353+F289+F233</f>
        <v>60648.390285597365</v>
      </c>
      <c r="G401" s="13"/>
      <c r="H401" s="13"/>
      <c r="I401" s="13"/>
      <c r="J401" s="13"/>
      <c r="K401" s="13"/>
      <c r="L401" s="82">
        <f>L353+L289+L233</f>
        <v>48804.209999999963</v>
      </c>
      <c r="M401" s="13"/>
      <c r="N401" s="13"/>
      <c r="O401" s="13"/>
      <c r="P401" s="13"/>
      <c r="Q401" s="13"/>
      <c r="R401" s="13"/>
      <c r="S401" s="13"/>
      <c r="T401" s="10"/>
      <c r="U401" s="10"/>
      <c r="V401" s="13"/>
      <c r="W401" s="10"/>
      <c r="X401" s="10"/>
      <c r="Y401" s="10"/>
      <c r="Z401" s="10"/>
      <c r="AA401" s="10"/>
      <c r="AB401" s="10"/>
      <c r="AC401" s="10"/>
      <c r="AD401" s="10"/>
      <c r="AE401" s="10"/>
      <c r="AF401" s="10"/>
      <c r="AG401" s="10"/>
      <c r="AH401" s="10"/>
      <c r="AI401" s="10"/>
      <c r="AJ401" s="10"/>
      <c r="AK401" s="10"/>
      <c r="AL401" s="10"/>
      <c r="AM401" s="10"/>
      <c r="AN401" s="10"/>
      <c r="AQ401" s="472"/>
      <c r="AU401" s="472"/>
      <c r="AV401" s="473"/>
    </row>
    <row r="402" spans="1:61" ht="35.25">
      <c r="B402" s="7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6" t="str">
        <f>C1</f>
        <v>BMW Sherbrooke</v>
      </c>
      <c r="W402" s="6"/>
      <c r="X402" s="6"/>
      <c r="Y402" s="6"/>
      <c r="Z402" s="1"/>
      <c r="AA402" s="1"/>
      <c r="AB402" s="6"/>
      <c r="AC402" s="6"/>
      <c r="AD402" s="1"/>
      <c r="AE402" s="3" t="s">
        <v>116</v>
      </c>
      <c r="AF402" s="6"/>
      <c r="AG402" s="6"/>
      <c r="AH402" s="1"/>
      <c r="AI402" s="1"/>
      <c r="AJ402" s="255"/>
      <c r="AK402" s="2"/>
      <c r="AL402" s="1"/>
      <c r="AM402" s="6"/>
      <c r="AN402" s="6"/>
      <c r="AO402" s="5" t="str">
        <f>$S$1</f>
        <v>Réalisé, Août 2024</v>
      </c>
      <c r="AP402" s="246"/>
      <c r="AQ402" s="472"/>
      <c r="AS402" s="473"/>
      <c r="AT402" s="474"/>
      <c r="AU402" s="472"/>
      <c r="AV402" s="473"/>
      <c r="AW402" s="473"/>
      <c r="AX402" s="473"/>
      <c r="AY402" s="246"/>
      <c r="AZ402" s="246"/>
      <c r="BA402" s="246"/>
      <c r="BB402" s="246"/>
      <c r="BC402" s="246"/>
      <c r="BD402" s="246"/>
      <c r="BE402" s="246"/>
      <c r="BF402" s="246"/>
      <c r="BG402" s="246"/>
      <c r="BH402" s="246"/>
      <c r="BI402" s="246"/>
    </row>
    <row r="403" spans="1:61" ht="18.75" thickBot="1">
      <c r="B403" s="7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256"/>
      <c r="W403" s="9"/>
      <c r="X403" s="9"/>
      <c r="Y403" s="9"/>
      <c r="Z403" s="9"/>
      <c r="AA403" s="9"/>
      <c r="AB403" s="9"/>
      <c r="AC403" s="9"/>
      <c r="AD403" s="9"/>
      <c r="AE403" s="9"/>
      <c r="AF403" s="9"/>
      <c r="AG403" s="9"/>
      <c r="AH403" s="9"/>
      <c r="AI403" s="9"/>
      <c r="AJ403" s="9"/>
      <c r="AK403" s="9"/>
      <c r="AL403" s="10"/>
      <c r="AM403" s="10"/>
      <c r="AN403" s="10"/>
      <c r="AO403" s="10"/>
      <c r="AP403" s="246"/>
      <c r="AQ403" s="475"/>
      <c r="AR403" s="246"/>
      <c r="AS403" s="473"/>
      <c r="AT403" s="476"/>
      <c r="AU403" s="475"/>
      <c r="AV403" s="477"/>
      <c r="AW403" s="477"/>
      <c r="AX403" s="477"/>
      <c r="AY403" s="246"/>
      <c r="AZ403" s="246"/>
      <c r="BA403" s="246"/>
      <c r="BB403" s="246"/>
      <c r="BC403" s="246"/>
      <c r="BD403" s="246"/>
      <c r="BE403" s="246"/>
      <c r="BF403" s="246"/>
      <c r="BG403" s="246"/>
      <c r="BH403" s="246"/>
      <c r="BI403" s="246"/>
    </row>
    <row r="404" spans="1:61" ht="21.75" thickTop="1" thickBot="1">
      <c r="A404" t="str">
        <f>+U404&amp;V404</f>
        <v/>
      </c>
      <c r="B404" s="7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257"/>
      <c r="W404" s="258"/>
      <c r="X404" s="504" t="s">
        <v>117</v>
      </c>
      <c r="Y404" s="501"/>
      <c r="Z404" s="505"/>
      <c r="AA404" s="500"/>
      <c r="AB404" s="501"/>
      <c r="AC404" s="505"/>
      <c r="AD404" s="500" t="s">
        <v>7</v>
      </c>
      <c r="AE404" s="501"/>
      <c r="AF404" s="505"/>
      <c r="AG404" s="500" t="s">
        <v>213</v>
      </c>
      <c r="AH404" s="501"/>
      <c r="AI404" s="505"/>
      <c r="AJ404" s="500" t="s">
        <v>118</v>
      </c>
      <c r="AK404" s="501"/>
      <c r="AL404" s="501"/>
      <c r="AM404" s="500" t="s">
        <v>119</v>
      </c>
      <c r="AN404" s="501"/>
      <c r="AO404" s="502"/>
      <c r="AP404" s="246"/>
      <c r="AQ404" s="475"/>
      <c r="AR404" s="246"/>
      <c r="AS404" s="477"/>
      <c r="AT404" s="476"/>
      <c r="AU404" s="475"/>
      <c r="AV404" s="477"/>
      <c r="AW404" s="477"/>
      <c r="AX404" s="477"/>
      <c r="AY404" s="246"/>
      <c r="AZ404" s="246"/>
      <c r="BA404" s="246"/>
      <c r="BB404" s="246"/>
      <c r="BC404" s="246"/>
      <c r="BD404" s="246"/>
      <c r="BE404" s="246"/>
      <c r="BF404" s="246"/>
      <c r="BG404" s="246"/>
      <c r="BH404" s="246"/>
      <c r="BI404" s="246"/>
    </row>
    <row r="405" spans="1:61" ht="20.25">
      <c r="A405" t="str">
        <f t="shared" ref="A405:A484" si="89">+U405&amp;V405</f>
        <v/>
      </c>
      <c r="B405" s="7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86"/>
      <c r="W405" s="259" t="s">
        <v>120</v>
      </c>
      <c r="X405" s="259" t="s">
        <v>121</v>
      </c>
      <c r="Y405" s="259" t="s">
        <v>122</v>
      </c>
      <c r="Z405" s="260" t="s">
        <v>123</v>
      </c>
      <c r="AA405" s="259"/>
      <c r="AB405" s="259"/>
      <c r="AC405" s="260"/>
      <c r="AD405" s="261" t="s">
        <v>121</v>
      </c>
      <c r="AE405" s="259" t="s">
        <v>122</v>
      </c>
      <c r="AF405" s="259" t="s">
        <v>123</v>
      </c>
      <c r="AG405" s="261" t="s">
        <v>124</v>
      </c>
      <c r="AH405" s="259" t="s">
        <v>125</v>
      </c>
      <c r="AI405" s="259" t="s">
        <v>126</v>
      </c>
      <c r="AJ405" s="261" t="s">
        <v>121</v>
      </c>
      <c r="AK405" s="259" t="s">
        <v>122</v>
      </c>
      <c r="AL405" s="259" t="s">
        <v>123</v>
      </c>
      <c r="AM405" s="262" t="s">
        <v>124</v>
      </c>
      <c r="AN405" s="259" t="s">
        <v>125</v>
      </c>
      <c r="AO405" s="139" t="s">
        <v>126</v>
      </c>
      <c r="AP405" s="246"/>
      <c r="AQ405" s="478"/>
      <c r="AR405" s="395"/>
      <c r="AS405" s="395"/>
      <c r="AT405" s="479"/>
      <c r="AU405" s="478"/>
      <c r="AV405" s="480"/>
      <c r="AW405" s="480"/>
      <c r="AX405" s="480"/>
      <c r="AY405" s="246"/>
      <c r="AZ405" s="246"/>
      <c r="BA405" s="246"/>
      <c r="BB405" s="246"/>
      <c r="BC405" s="246"/>
      <c r="BD405" s="246"/>
      <c r="BE405" s="246"/>
      <c r="BF405" s="246"/>
      <c r="BG405" s="246"/>
      <c r="BH405" s="246"/>
      <c r="BI405" s="246"/>
    </row>
    <row r="406" spans="1:61" ht="18">
      <c r="A406" t="str">
        <f t="shared" si="89"/>
        <v>Ventes nettes</v>
      </c>
      <c r="B406" s="7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246"/>
      <c r="U406" s="246"/>
      <c r="V406" s="103" t="s">
        <v>14</v>
      </c>
      <c r="W406" s="263"/>
      <c r="X406" s="263"/>
      <c r="Y406" s="263"/>
      <c r="Z406" s="264">
        <f>F5+F93+E194+E250+D314+D362</f>
        <v>4096315.5103841941</v>
      </c>
      <c r="AA406" s="263"/>
      <c r="AB406" s="263"/>
      <c r="AC406" s="264"/>
      <c r="AD406" s="265"/>
      <c r="AE406" s="266"/>
      <c r="AF406" s="266">
        <f>L5+L93+K194+K250+J314+J362</f>
        <v>2910188.5</v>
      </c>
      <c r="AG406" s="265"/>
      <c r="AH406" s="266"/>
      <c r="AI406" s="267"/>
      <c r="AJ406" s="265"/>
      <c r="AK406" s="266"/>
      <c r="AL406" s="266">
        <f>Q5+Q93+P194+P250+O314+O362</f>
        <v>5191041.2399999993</v>
      </c>
      <c r="AM406" s="268"/>
      <c r="AN406" s="266"/>
      <c r="AO406" s="269"/>
      <c r="AP406" s="246"/>
      <c r="AQ406" s="246"/>
      <c r="AR406" s="246"/>
      <c r="AS406" s="246"/>
      <c r="AT406" s="246"/>
      <c r="AU406" s="246"/>
      <c r="AV406" s="477"/>
      <c r="AW406" s="246"/>
      <c r="AX406" s="246"/>
      <c r="AY406" s="246"/>
      <c r="AZ406" s="246"/>
      <c r="BA406" s="246"/>
      <c r="BB406" s="246"/>
      <c r="BC406" s="246"/>
      <c r="BD406" s="246"/>
      <c r="BE406" s="246"/>
      <c r="BF406" s="246"/>
      <c r="BG406" s="246"/>
      <c r="BH406" s="246"/>
      <c r="BI406" s="246"/>
    </row>
    <row r="407" spans="1:61" ht="18">
      <c r="A407" t="str">
        <f t="shared" si="89"/>
        <v>Profit brut</v>
      </c>
      <c r="B407" s="7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246"/>
      <c r="U407" s="246"/>
      <c r="V407" s="270" t="s">
        <v>127</v>
      </c>
      <c r="W407" s="271"/>
      <c r="X407" s="271"/>
      <c r="Y407" s="271"/>
      <c r="Z407" s="272">
        <f>F27+F108+F194+F250+F314+F362</f>
        <v>432177.56363649108</v>
      </c>
      <c r="AA407" s="271"/>
      <c r="AB407" s="271"/>
      <c r="AC407" s="272"/>
      <c r="AD407" s="273"/>
      <c r="AE407" s="274"/>
      <c r="AF407" s="274">
        <f>L27+L108+L194+L250+L314+L362</f>
        <v>280020.36000000004</v>
      </c>
      <c r="AG407" s="273"/>
      <c r="AH407" s="274">
        <f>AF407-Z407</f>
        <v>-152157.20363649103</v>
      </c>
      <c r="AI407" s="275">
        <f>AH407/Z407</f>
        <v>-0.35207103847823068</v>
      </c>
      <c r="AJ407" s="273">
        <f>+AL407/AL406</f>
        <v>9.5970659250628365E-2</v>
      </c>
      <c r="AK407" s="274"/>
      <c r="AL407" s="274">
        <f>Q27+Q108+Q194+Q250+Q314+Q362</f>
        <v>498187.64999999927</v>
      </c>
      <c r="AM407" s="276"/>
      <c r="AN407" s="274">
        <f>AF407-AL407</f>
        <v>-218167.28999999922</v>
      </c>
      <c r="AO407" s="277">
        <f>IF(AL407=0,0,AN407/AL407)</f>
        <v>-0.4379219155673561</v>
      </c>
      <c r="AP407" s="246"/>
      <c r="AQ407" s="246" t="s">
        <v>221</v>
      </c>
      <c r="AR407" s="310">
        <v>294172</v>
      </c>
      <c r="AS407" s="310">
        <f>AF407-AR407</f>
        <v>-14151.639999999956</v>
      </c>
      <c r="AT407" s="246"/>
      <c r="AU407" s="246"/>
      <c r="AV407" s="246"/>
      <c r="AW407" s="246"/>
      <c r="AX407" s="246"/>
      <c r="AY407" s="246"/>
      <c r="AZ407" s="246"/>
      <c r="BA407" s="246"/>
      <c r="BB407" s="246"/>
      <c r="BC407" s="246"/>
      <c r="BD407" s="246"/>
      <c r="BE407" s="246"/>
      <c r="BF407" s="246"/>
      <c r="BG407" s="246"/>
      <c r="BH407" s="246"/>
      <c r="BI407" s="246"/>
    </row>
    <row r="408" spans="1:61" ht="18">
      <c r="A408" t="str">
        <f t="shared" si="89"/>
        <v>DÉPENSES</v>
      </c>
      <c r="B408" s="7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246"/>
      <c r="U408" s="246"/>
      <c r="V408" s="278" t="s">
        <v>128</v>
      </c>
      <c r="W408" s="279"/>
      <c r="X408" s="279"/>
      <c r="Y408" s="279"/>
      <c r="Z408" s="280"/>
      <c r="AA408" s="279"/>
      <c r="AB408" s="279"/>
      <c r="AC408" s="280"/>
      <c r="AD408" s="281"/>
      <c r="AE408" s="279"/>
      <c r="AF408" s="282"/>
      <c r="AG408" s="281"/>
      <c r="AH408" s="282"/>
      <c r="AI408" s="283"/>
      <c r="AJ408" s="281"/>
      <c r="AK408" s="279"/>
      <c r="AL408" s="282"/>
      <c r="AM408" s="284"/>
      <c r="AN408" s="282"/>
      <c r="AO408" s="285"/>
      <c r="AP408" s="246"/>
      <c r="AQ408" s="246"/>
      <c r="AR408" s="246"/>
      <c r="AS408" s="246"/>
      <c r="AT408" s="246"/>
      <c r="AU408" s="475"/>
      <c r="AV408" s="475"/>
      <c r="AW408" s="475"/>
      <c r="AX408" s="475"/>
      <c r="AY408" s="475"/>
      <c r="AZ408" s="246"/>
      <c r="BA408" s="246"/>
      <c r="BB408" s="246"/>
      <c r="BC408" s="246"/>
      <c r="BD408" s="246"/>
      <c r="BE408" s="246"/>
      <c r="BF408" s="246"/>
      <c r="BG408" s="246"/>
      <c r="BH408" s="246"/>
      <c r="BI408" s="246"/>
    </row>
    <row r="409" spans="1:61" ht="18">
      <c r="A409" t="str">
        <f t="shared" si="89"/>
        <v>Comm. vendeurs</v>
      </c>
      <c r="B409" s="7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246"/>
      <c r="U409" s="246"/>
      <c r="V409" s="102" t="s">
        <v>30</v>
      </c>
      <c r="W409" s="286" t="s">
        <v>129</v>
      </c>
      <c r="X409" s="279"/>
      <c r="Y409" s="287">
        <f t="shared" ref="Y409:Y418" si="90">Z409/(D$13+D$97)</f>
        <v>1185.2586985361772</v>
      </c>
      <c r="Z409" s="280">
        <f t="shared" ref="Z409:Z415" si="91">+SUMIF($C:$C,$V409,F:F)</f>
        <v>48595.606639983263</v>
      </c>
      <c r="AA409" s="279"/>
      <c r="AB409" s="287"/>
      <c r="AC409" s="280"/>
      <c r="AD409" s="288"/>
      <c r="AE409" s="287">
        <f t="shared" ref="AE409:AE414" si="92">IF(AF409=0,0,AF409/(J$13+J$97))</f>
        <v>770.94580645161284</v>
      </c>
      <c r="AF409" s="280">
        <f t="shared" ref="AF409:AF415" si="93">+SUMIF($C:$C,$V409,L:L)</f>
        <v>23899.32</v>
      </c>
      <c r="AG409" s="281">
        <f t="shared" ref="AG409:AH424" si="94">AE409-Y409</f>
        <v>-414.3128920845644</v>
      </c>
      <c r="AH409" s="282">
        <f t="shared" si="94"/>
        <v>-24696.286639983264</v>
      </c>
      <c r="AI409" s="283">
        <f t="shared" ref="AI409:AI418" si="95">IF(Z409=0,0,AH409/Z409)</f>
        <v>-0.50819998653260501</v>
      </c>
      <c r="AJ409" s="288"/>
      <c r="AK409" s="282">
        <f t="shared" ref="AK409:AK418" si="96">AL409/(O$13+O$97)</f>
        <v>1540.2204761904761</v>
      </c>
      <c r="AL409" s="280">
        <f t="shared" ref="AL409:AL414" si="97">+SUMIF($C:$C,$V409,Q:Q)</f>
        <v>64689.259999999995</v>
      </c>
      <c r="AM409" s="284">
        <f t="shared" ref="AM409:AM414" si="98">AE409-Y409</f>
        <v>-414.3128920845644</v>
      </c>
      <c r="AN409" s="282">
        <f t="shared" ref="AN409:AN414" si="99">AF409-AL409</f>
        <v>-40789.939999999995</v>
      </c>
      <c r="AO409" s="289">
        <f t="shared" ref="AO409:AO431" si="100">IF(AL409=0,0,AN409/AL409)</f>
        <v>-0.63055196488567034</v>
      </c>
      <c r="AP409" s="246"/>
      <c r="AQ409" s="246"/>
      <c r="AS409" s="481"/>
      <c r="AT409" s="474"/>
      <c r="AU409" s="475"/>
      <c r="AV409" s="475"/>
      <c r="AW409" s="475"/>
      <c r="AX409" s="475"/>
      <c r="AY409" s="475"/>
      <c r="AZ409" s="246"/>
      <c r="BA409" s="246"/>
      <c r="BB409" s="246"/>
      <c r="BC409" s="246"/>
      <c r="BD409" s="246"/>
      <c r="BE409" s="246"/>
      <c r="BF409" s="246"/>
      <c r="BG409" s="246"/>
      <c r="BH409" s="246"/>
      <c r="BI409" s="246"/>
    </row>
    <row r="410" spans="1:61" ht="18">
      <c r="A410" t="str">
        <f t="shared" si="89"/>
        <v>Comm. F&amp;I</v>
      </c>
      <c r="B410" s="7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246"/>
      <c r="U410" s="246"/>
      <c r="V410" s="103" t="s">
        <v>31</v>
      </c>
      <c r="W410" s="290" t="s">
        <v>130</v>
      </c>
      <c r="X410" s="263"/>
      <c r="Y410" s="291">
        <f t="shared" si="90"/>
        <v>425.91463414634148</v>
      </c>
      <c r="Z410" s="264">
        <f t="shared" si="91"/>
        <v>17462.5</v>
      </c>
      <c r="AA410" s="263"/>
      <c r="AB410" s="291"/>
      <c r="AC410" s="264"/>
      <c r="AD410" s="292"/>
      <c r="AE410" s="291">
        <f t="shared" si="92"/>
        <v>369.76354838709676</v>
      </c>
      <c r="AF410" s="264">
        <f t="shared" si="93"/>
        <v>11462.67</v>
      </c>
      <c r="AG410" s="265">
        <f t="shared" si="94"/>
        <v>-56.151085759244722</v>
      </c>
      <c r="AH410" s="266">
        <f t="shared" si="94"/>
        <v>-5999.83</v>
      </c>
      <c r="AI410" s="293">
        <f t="shared" si="95"/>
        <v>-0.34358367931281314</v>
      </c>
      <c r="AJ410" s="292"/>
      <c r="AK410" s="266">
        <f t="shared" si="96"/>
        <v>461.125</v>
      </c>
      <c r="AL410" s="264">
        <f t="shared" si="97"/>
        <v>19367.25</v>
      </c>
      <c r="AM410" s="268">
        <f t="shared" si="98"/>
        <v>-56.151085759244722</v>
      </c>
      <c r="AN410" s="266">
        <f t="shared" si="99"/>
        <v>-7904.58</v>
      </c>
      <c r="AO410" s="294">
        <f t="shared" si="100"/>
        <v>-0.40814157921233007</v>
      </c>
      <c r="AP410" s="246"/>
      <c r="AQ410" s="246"/>
      <c r="AS410" s="439"/>
      <c r="AT410" s="474"/>
      <c r="AU410" s="475"/>
      <c r="AV410" s="475"/>
      <c r="AW410" s="475"/>
      <c r="AX410" s="475"/>
      <c r="AY410" s="475"/>
      <c r="AZ410" s="246"/>
      <c r="BA410" s="246"/>
      <c r="BB410" s="246"/>
      <c r="BC410" s="246"/>
      <c r="BD410" s="246"/>
      <c r="BE410" s="246"/>
      <c r="BF410" s="246"/>
      <c r="BG410" s="246"/>
      <c r="BH410" s="246"/>
      <c r="BI410" s="246"/>
    </row>
    <row r="411" spans="1:61" ht="18">
      <c r="A411" t="str">
        <f t="shared" si="89"/>
        <v>Frais de livraison</v>
      </c>
      <c r="B411" s="7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246"/>
      <c r="U411" s="246"/>
      <c r="V411" s="102" t="s">
        <v>32</v>
      </c>
      <c r="W411" s="286" t="s">
        <v>131</v>
      </c>
      <c r="X411" s="279"/>
      <c r="Y411" s="287">
        <f t="shared" si="90"/>
        <v>110</v>
      </c>
      <c r="Z411" s="280">
        <f t="shared" si="91"/>
        <v>4510</v>
      </c>
      <c r="AA411" s="279"/>
      <c r="AB411" s="287"/>
      <c r="AC411" s="280"/>
      <c r="AD411" s="288"/>
      <c r="AE411" s="287">
        <f t="shared" si="92"/>
        <v>200.28774193548387</v>
      </c>
      <c r="AF411" s="280">
        <f t="shared" si="93"/>
        <v>6208.92</v>
      </c>
      <c r="AG411" s="281">
        <f t="shared" si="94"/>
        <v>90.287741935483865</v>
      </c>
      <c r="AH411" s="282">
        <f t="shared" si="94"/>
        <v>1698.92</v>
      </c>
      <c r="AI411" s="283">
        <f t="shared" si="95"/>
        <v>0.37670066518847006</v>
      </c>
      <c r="AJ411" s="288"/>
      <c r="AK411" s="282">
        <f t="shared" si="96"/>
        <v>110.12071428571429</v>
      </c>
      <c r="AL411" s="280">
        <f t="shared" si="97"/>
        <v>4625.07</v>
      </c>
      <c r="AM411" s="284">
        <f t="shared" si="98"/>
        <v>90.287741935483865</v>
      </c>
      <c r="AN411" s="282">
        <f t="shared" si="99"/>
        <v>1583.8500000000004</v>
      </c>
      <c r="AO411" s="289">
        <f t="shared" si="100"/>
        <v>0.34244887104411403</v>
      </c>
      <c r="AP411" s="246"/>
      <c r="AQ411" s="246"/>
      <c r="AS411" s="439"/>
      <c r="AT411" s="474"/>
      <c r="AU411" s="475"/>
      <c r="AV411" s="475"/>
      <c r="AW411" s="475"/>
      <c r="AX411" s="475"/>
      <c r="AY411" s="475"/>
      <c r="AZ411" s="246"/>
      <c r="BA411" s="246"/>
      <c r="BB411" s="246"/>
      <c r="BC411" s="246"/>
      <c r="BD411" s="246"/>
      <c r="BE411" s="246"/>
      <c r="BF411" s="246"/>
      <c r="BG411" s="246"/>
      <c r="BH411" s="246"/>
      <c r="BI411" s="246"/>
    </row>
    <row r="412" spans="1:61" ht="18">
      <c r="A412" t="str">
        <f t="shared" si="89"/>
        <v>Service gratuit 1</v>
      </c>
      <c r="B412" s="7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246"/>
      <c r="U412" s="246"/>
      <c r="V412" s="102" t="s">
        <v>33</v>
      </c>
      <c r="W412" s="286" t="s">
        <v>148</v>
      </c>
      <c r="X412" s="279"/>
      <c r="Y412" s="287">
        <f t="shared" si="90"/>
        <v>70.243902439024396</v>
      </c>
      <c r="Z412" s="280">
        <f t="shared" si="91"/>
        <v>2880</v>
      </c>
      <c r="AA412" s="279"/>
      <c r="AB412" s="287"/>
      <c r="AC412" s="280"/>
      <c r="AD412" s="288"/>
      <c r="AE412" s="287">
        <f t="shared" si="92"/>
        <v>81.255161290322576</v>
      </c>
      <c r="AF412" s="280">
        <f t="shared" si="93"/>
        <v>2518.91</v>
      </c>
      <c r="AG412" s="281">
        <f t="shared" si="94"/>
        <v>11.01125885129818</v>
      </c>
      <c r="AH412" s="282">
        <f t="shared" si="94"/>
        <v>-361.09000000000015</v>
      </c>
      <c r="AI412" s="283">
        <f t="shared" si="95"/>
        <v>-0.12537847222222226</v>
      </c>
      <c r="AJ412" s="288"/>
      <c r="AK412" s="282">
        <f t="shared" si="96"/>
        <v>74.042142857142863</v>
      </c>
      <c r="AL412" s="280">
        <f t="shared" si="97"/>
        <v>3109.77</v>
      </c>
      <c r="AM412" s="284">
        <f t="shared" si="98"/>
        <v>11.01125885129818</v>
      </c>
      <c r="AN412" s="282">
        <f t="shared" si="99"/>
        <v>-590.86000000000013</v>
      </c>
      <c r="AO412" s="295">
        <f t="shared" si="100"/>
        <v>-0.1900011897986025</v>
      </c>
      <c r="AP412" s="246"/>
      <c r="AQ412" s="246"/>
      <c r="AS412" s="439"/>
      <c r="AT412" s="474"/>
      <c r="AU412" s="475"/>
      <c r="AV412" s="475"/>
      <c r="AW412" s="475"/>
      <c r="AX412" s="475"/>
      <c r="AY412" s="475"/>
      <c r="AZ412" s="246"/>
      <c r="BA412" s="246"/>
      <c r="BB412" s="246"/>
      <c r="BC412" s="246"/>
      <c r="BD412" s="246"/>
      <c r="BE412" s="246"/>
      <c r="BF412" s="246"/>
      <c r="BG412" s="246"/>
      <c r="BH412" s="246"/>
      <c r="BI412" s="246"/>
    </row>
    <row r="413" spans="1:61" ht="18">
      <c r="A413" t="str">
        <f t="shared" si="89"/>
        <v>Entretien stock</v>
      </c>
      <c r="B413" s="7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246"/>
      <c r="U413" s="246"/>
      <c r="V413" s="103" t="s">
        <v>34</v>
      </c>
      <c r="W413" s="290" t="s">
        <v>222</v>
      </c>
      <c r="X413" s="263"/>
      <c r="Y413" s="291">
        <f t="shared" si="90"/>
        <v>76.951219512195124</v>
      </c>
      <c r="Z413" s="264">
        <f t="shared" si="91"/>
        <v>3155</v>
      </c>
      <c r="AA413" s="263"/>
      <c r="AB413" s="291"/>
      <c r="AC413" s="264"/>
      <c r="AD413" s="292"/>
      <c r="AE413" s="291">
        <f t="shared" si="92"/>
        <v>112.05064516129032</v>
      </c>
      <c r="AF413" s="264">
        <f t="shared" si="93"/>
        <v>3473.5699999999997</v>
      </c>
      <c r="AG413" s="265">
        <f t="shared" si="94"/>
        <v>35.099425649095195</v>
      </c>
      <c r="AH413" s="266">
        <f t="shared" si="94"/>
        <v>318.56999999999971</v>
      </c>
      <c r="AI413" s="293">
        <f t="shared" si="95"/>
        <v>0.1009730586370839</v>
      </c>
      <c r="AJ413" s="292"/>
      <c r="AK413" s="266">
        <f t="shared" si="96"/>
        <v>62.07595238095238</v>
      </c>
      <c r="AL413" s="264">
        <f t="shared" si="97"/>
        <v>2607.19</v>
      </c>
      <c r="AM413" s="268">
        <f t="shared" si="98"/>
        <v>35.099425649095195</v>
      </c>
      <c r="AN413" s="266">
        <f t="shared" si="99"/>
        <v>866.37999999999965</v>
      </c>
      <c r="AO413" s="294">
        <f t="shared" si="100"/>
        <v>0.33230412819932559</v>
      </c>
      <c r="AP413" s="246"/>
      <c r="AQ413" s="246"/>
      <c r="AS413" s="439"/>
      <c r="AT413" s="474"/>
      <c r="AU413" s="475"/>
      <c r="AV413" s="475"/>
      <c r="AW413" s="475"/>
      <c r="AX413" s="475"/>
      <c r="AY413" s="475"/>
      <c r="AZ413" s="246"/>
      <c r="BA413" s="246"/>
      <c r="BB413" s="246"/>
      <c r="BC413" s="246"/>
      <c r="BD413" s="246"/>
      <c r="BE413" s="246"/>
      <c r="BF413" s="246"/>
      <c r="BG413" s="246"/>
      <c r="BH413" s="246"/>
      <c r="BI413" s="246"/>
    </row>
    <row r="414" spans="1:61" ht="18">
      <c r="A414" t="str">
        <f t="shared" si="89"/>
        <v>Publicité 1</v>
      </c>
      <c r="B414" s="7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246"/>
      <c r="U414" s="246"/>
      <c r="V414" s="102" t="s">
        <v>35</v>
      </c>
      <c r="W414" s="286" t="s">
        <v>223</v>
      </c>
      <c r="X414" s="283"/>
      <c r="Y414" s="287">
        <f t="shared" si="90"/>
        <v>421.01194105691064</v>
      </c>
      <c r="Z414" s="280">
        <f t="shared" si="91"/>
        <v>17261.489583333336</v>
      </c>
      <c r="AA414" s="283"/>
      <c r="AB414" s="287"/>
      <c r="AC414" s="280"/>
      <c r="AD414" s="288"/>
      <c r="AE414" s="287">
        <f t="shared" si="92"/>
        <v>606.21903225806454</v>
      </c>
      <c r="AF414" s="280">
        <f t="shared" si="93"/>
        <v>18792.79</v>
      </c>
      <c r="AG414" s="281">
        <f t="shared" si="94"/>
        <v>185.2070912011539</v>
      </c>
      <c r="AH414" s="282">
        <f t="shared" si="94"/>
        <v>1531.3004166666651</v>
      </c>
      <c r="AI414" s="283">
        <f t="shared" si="95"/>
        <v>8.8711950916750396E-2</v>
      </c>
      <c r="AJ414" s="288"/>
      <c r="AK414" s="282">
        <f t="shared" si="96"/>
        <v>360.56095238095241</v>
      </c>
      <c r="AL414" s="280">
        <f t="shared" si="97"/>
        <v>15143.560000000001</v>
      </c>
      <c r="AM414" s="284">
        <f t="shared" si="98"/>
        <v>185.2070912011539</v>
      </c>
      <c r="AN414" s="282">
        <f t="shared" si="99"/>
        <v>3649.2299999999996</v>
      </c>
      <c r="AO414" s="289">
        <f t="shared" si="100"/>
        <v>0.24097570188251635</v>
      </c>
      <c r="AP414" s="246"/>
      <c r="AQ414" s="246"/>
      <c r="AR414" s="440"/>
      <c r="AS414" s="439"/>
      <c r="AT414" s="474"/>
      <c r="AU414" s="475"/>
      <c r="AV414" s="475"/>
      <c r="AW414" s="475"/>
      <c r="AX414" s="475"/>
      <c r="AY414" s="475"/>
      <c r="AZ414" s="246"/>
      <c r="BA414" s="246"/>
      <c r="BB414" s="246"/>
      <c r="BC414" s="246"/>
      <c r="BD414" s="246"/>
      <c r="BE414" s="246"/>
      <c r="BF414" s="246"/>
      <c r="BG414" s="246"/>
      <c r="BH414" s="246"/>
      <c r="BI414" s="246"/>
    </row>
    <row r="415" spans="1:61" ht="20.25">
      <c r="A415" t="str">
        <f t="shared" si="89"/>
        <v>Intérêt de gros</v>
      </c>
      <c r="B415" s="7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246"/>
      <c r="U415" s="246"/>
      <c r="V415" s="102" t="s">
        <v>36</v>
      </c>
      <c r="W415" s="286" t="s">
        <v>224</v>
      </c>
      <c r="X415" s="279"/>
      <c r="Y415" s="287">
        <f t="shared" si="90"/>
        <v>906.96663847171067</v>
      </c>
      <c r="Z415" s="280">
        <f t="shared" si="91"/>
        <v>37185.632177340136</v>
      </c>
      <c r="AA415" s="279"/>
      <c r="AB415" s="287"/>
      <c r="AC415" s="280"/>
      <c r="AD415" s="288"/>
      <c r="AE415" s="287">
        <f>IF(AF415=0,0,AF415/(J$13+J$13))</f>
        <v>1685.2066666666667</v>
      </c>
      <c r="AF415" s="280">
        <f t="shared" si="93"/>
        <v>40444.959999999999</v>
      </c>
      <c r="AG415" s="281">
        <f t="shared" si="94"/>
        <v>778.24002819495604</v>
      </c>
      <c r="AH415" s="282">
        <f t="shared" si="94"/>
        <v>3259.3278226598632</v>
      </c>
      <c r="AI415" s="283">
        <f t="shared" si="95"/>
        <v>8.7650192609768363E-2</v>
      </c>
      <c r="AJ415" s="288"/>
      <c r="AK415" s="282">
        <f t="shared" si="96"/>
        <v>488.42476190476191</v>
      </c>
      <c r="AL415" s="280">
        <f>IFERROR(SUMIF($C:$C,$V415,Q:Q),0)</f>
        <v>20513.84</v>
      </c>
      <c r="AM415" s="284">
        <f>AE415-Y415</f>
        <v>778.24002819495604</v>
      </c>
      <c r="AN415" s="282">
        <f>AF415-AL415</f>
        <v>19931.12</v>
      </c>
      <c r="AO415" s="289">
        <f t="shared" si="100"/>
        <v>0.97159381178755411</v>
      </c>
      <c r="AP415" s="246"/>
      <c r="AQ415" s="246">
        <f>26450+13996</f>
        <v>40446</v>
      </c>
      <c r="AR415" s="13"/>
      <c r="AS415" s="482"/>
      <c r="AT415" s="246"/>
      <c r="AU415" s="475"/>
      <c r="AV415" s="475"/>
      <c r="AW415" s="475"/>
      <c r="AX415" s="475"/>
      <c r="AY415" s="475"/>
      <c r="AZ415" s="246"/>
      <c r="BA415" s="246"/>
      <c r="BB415" s="246"/>
      <c r="BC415" s="246"/>
      <c r="BD415" s="246"/>
      <c r="BE415" s="246"/>
      <c r="BF415" s="246"/>
      <c r="BG415" s="246"/>
      <c r="BH415" s="246"/>
      <c r="BI415" s="246"/>
    </row>
    <row r="416" spans="1:61" ht="20.25" hidden="1">
      <c r="A416" t="str">
        <f t="shared" si="89"/>
        <v>[...]</v>
      </c>
      <c r="B416" s="7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246"/>
      <c r="U416" s="246"/>
      <c r="V416" s="102" t="s">
        <v>19</v>
      </c>
      <c r="W416" s="286"/>
      <c r="X416" s="283"/>
      <c r="Y416" s="287">
        <f t="shared" si="90"/>
        <v>0</v>
      </c>
      <c r="Z416" s="280">
        <f>IFERROR(SUMIF($C:$C,$V416,F:F),0)</f>
        <v>0</v>
      </c>
      <c r="AA416" s="279"/>
      <c r="AB416" s="287"/>
      <c r="AC416" s="280"/>
      <c r="AD416" s="288"/>
      <c r="AE416" s="287">
        <f>IF(AF416=0,0,AF416/(J$13+J$13))</f>
        <v>0</v>
      </c>
      <c r="AF416" s="280">
        <f>IFERROR(SUMIF($C:$C,$V416,L:L),0)</f>
        <v>0</v>
      </c>
      <c r="AG416" s="281">
        <f t="shared" si="94"/>
        <v>0</v>
      </c>
      <c r="AH416" s="282">
        <f t="shared" si="94"/>
        <v>0</v>
      </c>
      <c r="AI416" s="283">
        <f t="shared" si="95"/>
        <v>0</v>
      </c>
      <c r="AJ416" s="288"/>
      <c r="AK416" s="282">
        <f t="shared" si="96"/>
        <v>0</v>
      </c>
      <c r="AL416" s="280">
        <f>IFERROR(SUMIF($C:$C,$V416,Q:Q),0)</f>
        <v>0</v>
      </c>
      <c r="AM416" s="284">
        <f>AE416-Y416</f>
        <v>0</v>
      </c>
      <c r="AN416" s="282">
        <f>AF416-AL416</f>
        <v>0</v>
      </c>
      <c r="AO416" s="289">
        <f t="shared" si="100"/>
        <v>0</v>
      </c>
      <c r="AP416" s="246"/>
      <c r="AQ416" s="246"/>
      <c r="AR416" s="13"/>
      <c r="AS416" s="246"/>
      <c r="AT416" s="246"/>
      <c r="AU416" s="475"/>
      <c r="AV416" s="475"/>
      <c r="AW416" s="475"/>
      <c r="AX416" s="475"/>
      <c r="AY416" s="475"/>
      <c r="AZ416" s="246"/>
      <c r="BA416" s="246"/>
      <c r="BB416" s="246"/>
      <c r="BC416" s="246"/>
      <c r="BD416" s="246"/>
      <c r="BE416" s="246"/>
      <c r="BF416" s="246"/>
      <c r="BG416" s="246"/>
      <c r="BH416" s="246"/>
      <c r="BI416" s="246"/>
    </row>
    <row r="417" spans="1:61" ht="20.25" hidden="1">
      <c r="A417" t="str">
        <f t="shared" si="89"/>
        <v>[...]</v>
      </c>
      <c r="B417" s="7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246"/>
      <c r="U417" s="246"/>
      <c r="V417" s="102" t="s">
        <v>19</v>
      </c>
      <c r="W417" s="286"/>
      <c r="X417" s="283"/>
      <c r="Y417" s="287">
        <f t="shared" si="90"/>
        <v>0</v>
      </c>
      <c r="Z417" s="280">
        <f>IFERROR(SUMIF($C:$C,$V417,F:F),0)</f>
        <v>0</v>
      </c>
      <c r="AA417" s="279"/>
      <c r="AB417" s="287"/>
      <c r="AC417" s="280"/>
      <c r="AD417" s="288"/>
      <c r="AE417" s="287">
        <f>IF(AF417=0,0,AF417/(J$13+J$13))</f>
        <v>0</v>
      </c>
      <c r="AF417" s="280">
        <f>IFERROR(SUMIF($C:$C,$V417,L:L),0)</f>
        <v>0</v>
      </c>
      <c r="AG417" s="281">
        <f t="shared" si="94"/>
        <v>0</v>
      </c>
      <c r="AH417" s="282">
        <f t="shared" si="94"/>
        <v>0</v>
      </c>
      <c r="AI417" s="283">
        <f t="shared" si="95"/>
        <v>0</v>
      </c>
      <c r="AJ417" s="288"/>
      <c r="AK417" s="282">
        <f t="shared" si="96"/>
        <v>0</v>
      </c>
      <c r="AL417" s="280">
        <f>IFERROR(SUMIF($C:$C,$V417,Q:Q),0)</f>
        <v>0</v>
      </c>
      <c r="AM417" s="284">
        <f>AE417-Y417</f>
        <v>0</v>
      </c>
      <c r="AN417" s="282">
        <f>AF417-AL417</f>
        <v>0</v>
      </c>
      <c r="AO417" s="289">
        <f t="shared" si="100"/>
        <v>0</v>
      </c>
      <c r="AP417" s="246"/>
      <c r="AQ417" s="246"/>
      <c r="AR417" s="13"/>
      <c r="AS417" s="246"/>
      <c r="AT417" s="246"/>
      <c r="AU417" s="475"/>
      <c r="AV417" s="475"/>
      <c r="AW417" s="475"/>
      <c r="AX417" s="475"/>
      <c r="AY417" s="475"/>
      <c r="AZ417" s="246"/>
      <c r="BA417" s="246"/>
      <c r="BB417" s="246"/>
      <c r="BC417" s="246"/>
      <c r="BD417" s="246"/>
      <c r="BE417" s="246"/>
      <c r="BF417" s="246"/>
      <c r="BG417" s="246"/>
      <c r="BH417" s="246"/>
      <c r="BI417" s="246"/>
    </row>
    <row r="418" spans="1:61" ht="20.25" hidden="1">
      <c r="A418" t="str">
        <f t="shared" si="89"/>
        <v>[...]</v>
      </c>
      <c r="B418" s="7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246"/>
      <c r="U418" s="246"/>
      <c r="V418" s="102" t="s">
        <v>19</v>
      </c>
      <c r="W418" s="286" t="s">
        <v>134</v>
      </c>
      <c r="X418" s="279"/>
      <c r="Y418" s="287">
        <f t="shared" si="90"/>
        <v>0</v>
      </c>
      <c r="Z418" s="280">
        <f>IFERROR(SUMIF($C:$C,$V418,F:F),0)</f>
        <v>0</v>
      </c>
      <c r="AA418" s="279"/>
      <c r="AB418" s="287"/>
      <c r="AC418" s="280"/>
      <c r="AD418" s="288"/>
      <c r="AE418" s="287">
        <f>IF(AF418=0,0,AF418/(J$13+J$13))</f>
        <v>0</v>
      </c>
      <c r="AF418" s="280">
        <f>IFERROR(SUMIF($C:$C,$V418,L:L),0)</f>
        <v>0</v>
      </c>
      <c r="AG418" s="281">
        <f t="shared" si="94"/>
        <v>0</v>
      </c>
      <c r="AH418" s="282">
        <f t="shared" si="94"/>
        <v>0</v>
      </c>
      <c r="AI418" s="283">
        <f t="shared" si="95"/>
        <v>0</v>
      </c>
      <c r="AJ418" s="288"/>
      <c r="AK418" s="282">
        <f t="shared" si="96"/>
        <v>0</v>
      </c>
      <c r="AL418" s="280">
        <f>IFERROR(SUMIF($C:$C,$V418,Q:Q),0)</f>
        <v>0</v>
      </c>
      <c r="AM418" s="284">
        <f>AE418-Y418</f>
        <v>0</v>
      </c>
      <c r="AN418" s="282">
        <f>AF418-AL418</f>
        <v>0</v>
      </c>
      <c r="AO418" s="289">
        <f t="shared" si="100"/>
        <v>0</v>
      </c>
      <c r="AP418" s="246"/>
      <c r="AQ418" s="246"/>
      <c r="AR418" s="13"/>
      <c r="AS418" s="246"/>
      <c r="AT418" s="246"/>
      <c r="AU418" s="475"/>
      <c r="AV418" s="475"/>
      <c r="AW418" s="475"/>
      <c r="AX418" s="475"/>
      <c r="AY418" s="475"/>
      <c r="AZ418" s="246"/>
      <c r="BA418" s="246"/>
      <c r="BB418" s="246"/>
      <c r="BC418" s="246"/>
      <c r="BD418" s="246"/>
      <c r="BE418" s="246"/>
      <c r="BF418" s="246"/>
      <c r="BG418" s="246"/>
      <c r="BH418" s="246"/>
      <c r="BI418" s="246"/>
    </row>
    <row r="419" spans="1:61" ht="20.25">
      <c r="A419" t="str">
        <f t="shared" si="89"/>
        <v>TOTAL VARIABLES</v>
      </c>
      <c r="B419" s="7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246"/>
      <c r="U419" s="246"/>
      <c r="V419" s="296" t="s">
        <v>37</v>
      </c>
      <c r="W419" s="297"/>
      <c r="X419" s="298">
        <f>Z419/Z407</f>
        <v>0.30323237351322663</v>
      </c>
      <c r="Y419" s="297"/>
      <c r="Z419" s="299">
        <f>SUM(Z409:Z418)</f>
        <v>131050.22840065672</v>
      </c>
      <c r="AA419" s="298"/>
      <c r="AB419" s="297"/>
      <c r="AC419" s="299"/>
      <c r="AD419" s="300">
        <f>AF419/AF407</f>
        <v>0.38140490927159715</v>
      </c>
      <c r="AE419" s="297"/>
      <c r="AF419" s="299">
        <f>SUM(AF409:AF418)</f>
        <v>106801.13999999998</v>
      </c>
      <c r="AG419" s="301"/>
      <c r="AH419" s="302">
        <f t="shared" si="94"/>
        <v>-24249.088400656736</v>
      </c>
      <c r="AI419" s="298">
        <f>AH419/Z419</f>
        <v>-0.18503659777318801</v>
      </c>
      <c r="AJ419" s="300">
        <f>IF($AL$407=0,0,AL419/$AL$407)</f>
        <v>0.26105813743074557</v>
      </c>
      <c r="AK419" s="297"/>
      <c r="AL419" s="299">
        <f>SUM(AL409:AL418)</f>
        <v>130055.93999999999</v>
      </c>
      <c r="AM419" s="303"/>
      <c r="AN419" s="302">
        <f t="shared" ref="AN419:AN431" si="101">AF419-AL419</f>
        <v>-23254.800000000003</v>
      </c>
      <c r="AO419" s="277">
        <f t="shared" si="100"/>
        <v>-0.1788061352676395</v>
      </c>
      <c r="AP419" s="246"/>
      <c r="AQ419" s="246"/>
      <c r="AR419" s="13"/>
      <c r="AS419" s="246"/>
      <c r="AT419" s="246"/>
      <c r="AU419" s="475"/>
      <c r="AV419" s="475"/>
      <c r="AW419" s="475"/>
      <c r="AX419" s="475"/>
      <c r="AY419" s="475"/>
      <c r="AZ419" s="246"/>
      <c r="BA419" s="246"/>
      <c r="BB419" s="246"/>
      <c r="BC419" s="246"/>
      <c r="BD419" s="246"/>
      <c r="BE419" s="246"/>
      <c r="BF419" s="246"/>
      <c r="BG419" s="246"/>
      <c r="BH419" s="246"/>
      <c r="BI419" s="246"/>
    </row>
    <row r="420" spans="1:61" ht="18">
      <c r="A420" t="str">
        <f t="shared" si="89"/>
        <v>Salaires propriétaire</v>
      </c>
      <c r="B420" s="7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304"/>
      <c r="P420" s="155"/>
      <c r="Q420" s="10"/>
      <c r="R420" s="10"/>
      <c r="S420" s="10"/>
      <c r="T420" s="246"/>
      <c r="U420" s="246"/>
      <c r="V420" s="102" t="s">
        <v>135</v>
      </c>
      <c r="W420" s="286" t="s">
        <v>137</v>
      </c>
      <c r="X420" s="279"/>
      <c r="Y420" s="279"/>
      <c r="Z420" s="280">
        <v>15086.564249363866</v>
      </c>
      <c r="AA420" s="279"/>
      <c r="AB420" s="279"/>
      <c r="AC420" s="280"/>
      <c r="AD420" s="288"/>
      <c r="AE420" s="287"/>
      <c r="AF420" s="280">
        <v>12801.15</v>
      </c>
      <c r="AG420" s="281"/>
      <c r="AH420" s="282">
        <f t="shared" si="94"/>
        <v>-2285.4142493638665</v>
      </c>
      <c r="AI420" s="283">
        <f t="shared" ref="AI420:AI432" si="102">IF(Z420=0,0,AH420/Z420)</f>
        <v>-0.15148672763318077</v>
      </c>
      <c r="AJ420" s="288"/>
      <c r="AK420" s="279"/>
      <c r="AL420" s="280">
        <v>14809.109999999901</v>
      </c>
      <c r="AM420" s="284"/>
      <c r="AN420" s="282">
        <f t="shared" si="101"/>
        <v>-2007.9599999999009</v>
      </c>
      <c r="AO420" s="289">
        <f t="shared" si="100"/>
        <v>-0.13558951213137821</v>
      </c>
      <c r="AP420" s="246"/>
      <c r="AQ420" s="246"/>
      <c r="AS420" s="246"/>
      <c r="AT420" s="246"/>
      <c r="AU420" s="475"/>
      <c r="AV420" s="475"/>
      <c r="AW420" s="475"/>
      <c r="AX420" s="475"/>
      <c r="AY420" s="475"/>
      <c r="AZ420" s="246"/>
      <c r="BA420" s="246"/>
      <c r="BB420" s="246"/>
      <c r="BC420" s="246"/>
      <c r="BD420" s="246"/>
      <c r="BE420" s="246"/>
      <c r="BF420" s="246"/>
      <c r="BG420" s="246"/>
      <c r="BH420" s="246"/>
      <c r="BI420" s="246"/>
    </row>
    <row r="421" spans="1:61" ht="18">
      <c r="A421" t="str">
        <f t="shared" si="89"/>
        <v>Salaires cadres</v>
      </c>
      <c r="B421" s="7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304"/>
      <c r="P421" s="155"/>
      <c r="Q421" s="10"/>
      <c r="R421" s="10"/>
      <c r="S421" s="10"/>
      <c r="T421" s="246"/>
      <c r="U421" s="246"/>
      <c r="V421" s="102" t="s">
        <v>40</v>
      </c>
      <c r="W421" s="286" t="s">
        <v>140</v>
      </c>
      <c r="X421" s="279"/>
      <c r="Y421" s="279"/>
      <c r="Z421" s="280">
        <f t="shared" ref="Z421:Z431" si="103">+SUMIF($C:$C,$V421,F:F)</f>
        <v>31761.585241730285</v>
      </c>
      <c r="AA421" s="279"/>
      <c r="AB421" s="279"/>
      <c r="AC421" s="280"/>
      <c r="AD421" s="288"/>
      <c r="AE421" s="287"/>
      <c r="AF421" s="280">
        <f t="shared" ref="AF421:AF432" si="104">+SUMIF($C:$C,$V421,L:L)</f>
        <v>23556.38</v>
      </c>
      <c r="AG421" s="281"/>
      <c r="AH421" s="282">
        <f t="shared" si="94"/>
        <v>-8205.2052417302839</v>
      </c>
      <c r="AI421" s="283">
        <f t="shared" si="102"/>
        <v>-0.25833739655254329</v>
      </c>
      <c r="AJ421" s="288"/>
      <c r="AK421" s="279"/>
      <c r="AL421" s="280">
        <f t="shared" ref="AL421:AL429" si="105">+SUMIF($C:$C,$V421,Q:Q)</f>
        <v>35346.1</v>
      </c>
      <c r="AM421" s="284"/>
      <c r="AN421" s="282">
        <f t="shared" si="101"/>
        <v>-11789.719999999998</v>
      </c>
      <c r="AO421" s="289">
        <f t="shared" si="100"/>
        <v>-0.33355080192722814</v>
      </c>
      <c r="AP421" s="246"/>
      <c r="AQ421" s="246"/>
      <c r="AS421" s="246"/>
      <c r="AT421" s="246"/>
      <c r="AU421" s="475"/>
      <c r="AV421" s="475"/>
      <c r="AW421" s="475"/>
      <c r="AX421" s="475"/>
      <c r="AY421" s="475"/>
      <c r="AZ421" s="246"/>
      <c r="BA421" s="246"/>
      <c r="BB421" s="246"/>
      <c r="BC421" s="246"/>
      <c r="BD421" s="246"/>
      <c r="BE421" s="246"/>
      <c r="BF421" s="246"/>
      <c r="BG421" s="246"/>
      <c r="BH421" s="246"/>
      <c r="BI421" s="246"/>
    </row>
    <row r="422" spans="1:61" ht="18">
      <c r="A422" t="str">
        <f t="shared" si="89"/>
        <v>Salaires commis</v>
      </c>
      <c r="B422" s="7"/>
      <c r="C422" s="246"/>
      <c r="D422" s="246"/>
      <c r="E422" s="246"/>
      <c r="F422" s="246"/>
      <c r="G422" s="246"/>
      <c r="H422" s="246"/>
      <c r="I422" s="246"/>
      <c r="J422" s="246"/>
      <c r="K422" s="246"/>
      <c r="L422" s="246"/>
      <c r="M422" s="246"/>
      <c r="N422" s="246"/>
      <c r="O422" s="305"/>
      <c r="P422" s="155"/>
      <c r="Q422" s="246"/>
      <c r="R422" s="246"/>
      <c r="S422" s="246"/>
      <c r="T422" s="246"/>
      <c r="U422" s="246"/>
      <c r="V422" s="103" t="s">
        <v>41</v>
      </c>
      <c r="W422" s="290" t="s">
        <v>138</v>
      </c>
      <c r="X422" s="263"/>
      <c r="Y422" s="263"/>
      <c r="Z422" s="264">
        <f t="shared" si="103"/>
        <v>19640.800890585237</v>
      </c>
      <c r="AA422" s="263"/>
      <c r="AB422" s="263"/>
      <c r="AC422" s="264"/>
      <c r="AD422" s="292"/>
      <c r="AE422" s="291"/>
      <c r="AF422" s="264">
        <f t="shared" si="104"/>
        <v>19209.16</v>
      </c>
      <c r="AG422" s="265"/>
      <c r="AH422" s="266">
        <f t="shared" si="94"/>
        <v>-431.64089058523678</v>
      </c>
      <c r="AI422" s="293">
        <f t="shared" si="102"/>
        <v>-2.1976745907145906E-2</v>
      </c>
      <c r="AJ422" s="292"/>
      <c r="AK422" s="263"/>
      <c r="AL422" s="264">
        <f t="shared" si="105"/>
        <v>19876.96</v>
      </c>
      <c r="AM422" s="268"/>
      <c r="AN422" s="266">
        <f t="shared" si="101"/>
        <v>-667.79999999999927</v>
      </c>
      <c r="AO422" s="269">
        <f t="shared" si="100"/>
        <v>-3.3596686817299992E-2</v>
      </c>
      <c r="AP422" s="246"/>
      <c r="AQ422" s="246"/>
      <c r="AS422" s="246"/>
      <c r="AT422" s="246"/>
      <c r="AU422" s="475"/>
      <c r="AV422" s="475"/>
      <c r="AW422" s="475"/>
      <c r="AX422" s="475"/>
      <c r="AY422" s="475"/>
      <c r="AZ422" s="246"/>
      <c r="BA422" s="246"/>
      <c r="BB422" s="246"/>
      <c r="BC422" s="246"/>
      <c r="BD422" s="246"/>
      <c r="BE422" s="246"/>
      <c r="BF422" s="246"/>
      <c r="BG422" s="246"/>
      <c r="BH422" s="246"/>
      <c r="BI422" s="246"/>
    </row>
    <row r="423" spans="1:61" ht="18">
      <c r="A423" t="str">
        <f t="shared" si="89"/>
        <v>Salaires autres</v>
      </c>
      <c r="B423" s="7"/>
      <c r="C423" s="246"/>
      <c r="D423" s="246"/>
      <c r="E423" s="246"/>
      <c r="F423" s="246"/>
      <c r="G423" s="246"/>
      <c r="H423" s="246"/>
      <c r="I423" s="246"/>
      <c r="J423" s="246"/>
      <c r="K423" s="246"/>
      <c r="L423" s="246"/>
      <c r="M423" s="246"/>
      <c r="N423" s="246"/>
      <c r="O423" s="305"/>
      <c r="P423" s="155"/>
      <c r="Q423" s="246"/>
      <c r="R423" s="246"/>
      <c r="S423" s="246"/>
      <c r="T423" s="246"/>
      <c r="U423" s="246"/>
      <c r="V423" s="102" t="s">
        <v>42</v>
      </c>
      <c r="W423" s="286" t="s">
        <v>139</v>
      </c>
      <c r="X423" s="279"/>
      <c r="Y423" s="279"/>
      <c r="Z423" s="280">
        <f t="shared" si="103"/>
        <v>21155.610687022901</v>
      </c>
      <c r="AA423" s="279"/>
      <c r="AB423" s="279"/>
      <c r="AC423" s="280"/>
      <c r="AD423" s="288"/>
      <c r="AE423" s="287"/>
      <c r="AF423" s="280">
        <f t="shared" si="104"/>
        <v>13289.300000000001</v>
      </c>
      <c r="AG423" s="281"/>
      <c r="AH423" s="282">
        <f t="shared" si="94"/>
        <v>-7866.3106870229003</v>
      </c>
      <c r="AI423" s="283">
        <f t="shared" si="102"/>
        <v>-0.37183094373390918</v>
      </c>
      <c r="AJ423" s="288"/>
      <c r="AK423" s="279"/>
      <c r="AL423" s="280">
        <f t="shared" si="105"/>
        <v>19593.86</v>
      </c>
      <c r="AM423" s="284"/>
      <c r="AN423" s="282">
        <f t="shared" si="101"/>
        <v>-6304.5599999999995</v>
      </c>
      <c r="AO423" s="289">
        <f t="shared" si="100"/>
        <v>-0.32176202136791826</v>
      </c>
      <c r="AP423" s="246"/>
      <c r="AQ423" s="246"/>
      <c r="AS423" s="246"/>
      <c r="AT423" s="246"/>
      <c r="AU423" s="475"/>
      <c r="AV423" s="475"/>
      <c r="AW423" s="475"/>
      <c r="AX423" s="475"/>
      <c r="AY423" s="475"/>
      <c r="AZ423" s="246"/>
      <c r="BA423" s="246"/>
      <c r="BB423" s="246"/>
      <c r="BC423" s="246"/>
      <c r="BD423" s="246"/>
      <c r="BE423" s="246"/>
      <c r="BF423" s="246"/>
      <c r="BG423" s="246"/>
      <c r="BH423" s="246"/>
      <c r="BI423" s="246"/>
    </row>
    <row r="424" spans="1:61" ht="18">
      <c r="A424" t="str">
        <f t="shared" si="89"/>
        <v>Salaires spécialistes</v>
      </c>
      <c r="B424" s="7"/>
      <c r="C424" s="246"/>
      <c r="D424" s="246"/>
      <c r="E424" s="246"/>
      <c r="F424" s="246"/>
      <c r="G424" s="246"/>
      <c r="H424" s="246"/>
      <c r="I424" s="246"/>
      <c r="J424" s="246"/>
      <c r="K424" s="246"/>
      <c r="L424" s="246"/>
      <c r="M424" s="246"/>
      <c r="N424" s="246"/>
      <c r="O424" s="305"/>
      <c r="P424" s="155"/>
      <c r="Q424" s="246"/>
      <c r="R424" s="246"/>
      <c r="S424" s="246"/>
      <c r="T424" s="246"/>
      <c r="U424" s="246"/>
      <c r="V424" s="102" t="s">
        <v>43</v>
      </c>
      <c r="W424" s="286" t="s">
        <v>225</v>
      </c>
      <c r="X424" s="279"/>
      <c r="Y424" s="279"/>
      <c r="Z424" s="280">
        <f t="shared" si="103"/>
        <v>13563.745330702255</v>
      </c>
      <c r="AA424" s="279"/>
      <c r="AB424" s="279"/>
      <c r="AC424" s="280"/>
      <c r="AD424" s="288"/>
      <c r="AE424" s="287"/>
      <c r="AF424" s="280">
        <f t="shared" si="104"/>
        <v>8653.68</v>
      </c>
      <c r="AG424" s="281"/>
      <c r="AH424" s="282">
        <f t="shared" si="94"/>
        <v>-4910.0653307022549</v>
      </c>
      <c r="AI424" s="283">
        <f t="shared" si="102"/>
        <v>-0.36199922742489588</v>
      </c>
      <c r="AJ424" s="288"/>
      <c r="AK424" s="279"/>
      <c r="AL424" s="280">
        <f t="shared" si="105"/>
        <v>9697.6200000000008</v>
      </c>
      <c r="AM424" s="284"/>
      <c r="AN424" s="282">
        <f t="shared" si="101"/>
        <v>-1043.9400000000005</v>
      </c>
      <c r="AO424" s="289">
        <f t="shared" si="100"/>
        <v>-0.10764909328268177</v>
      </c>
      <c r="AP424" s="246"/>
      <c r="AQ424" s="246"/>
      <c r="AS424" s="475"/>
      <c r="AT424" s="475"/>
      <c r="AU424" s="475"/>
      <c r="AV424" s="475"/>
      <c r="AW424" s="475"/>
      <c r="AX424" s="475"/>
      <c r="AY424" s="475"/>
      <c r="AZ424" s="246"/>
      <c r="BA424" s="246"/>
      <c r="BB424" s="246"/>
      <c r="BC424" s="246"/>
      <c r="BD424" s="246"/>
      <c r="BE424" s="246"/>
      <c r="BF424" s="246"/>
      <c r="BG424" s="246"/>
      <c r="BH424" s="246"/>
      <c r="BI424" s="246"/>
    </row>
    <row r="425" spans="1:61" ht="18" hidden="1">
      <c r="A425" t="str">
        <f t="shared" si="89"/>
        <v>[...]</v>
      </c>
      <c r="B425" s="7"/>
      <c r="C425" s="246"/>
      <c r="D425" s="246"/>
      <c r="E425" s="246"/>
      <c r="F425" s="246"/>
      <c r="G425" s="246"/>
      <c r="H425" s="246"/>
      <c r="I425" s="246"/>
      <c r="J425" s="246"/>
      <c r="K425" s="246"/>
      <c r="L425" s="246"/>
      <c r="M425" s="246"/>
      <c r="N425" s="246"/>
      <c r="O425" s="305"/>
      <c r="P425" s="155"/>
      <c r="Q425" s="246"/>
      <c r="R425" s="246"/>
      <c r="S425" s="246"/>
      <c r="T425" s="246"/>
      <c r="U425" s="246"/>
      <c r="V425" s="102" t="s">
        <v>19</v>
      </c>
      <c r="W425" s="286"/>
      <c r="X425" s="279"/>
      <c r="Y425" s="279"/>
      <c r="Z425" s="282">
        <f t="shared" si="103"/>
        <v>0</v>
      </c>
      <c r="AA425" s="279"/>
      <c r="AB425" s="279"/>
      <c r="AC425" s="282"/>
      <c r="AD425" s="288"/>
      <c r="AE425" s="287"/>
      <c r="AF425" s="280">
        <f t="shared" si="104"/>
        <v>0</v>
      </c>
      <c r="AG425" s="281"/>
      <c r="AH425" s="282">
        <f t="shared" ref="AH425:AH451" si="106">AF425-Z425</f>
        <v>0</v>
      </c>
      <c r="AI425" s="283">
        <f t="shared" si="102"/>
        <v>0</v>
      </c>
      <c r="AJ425" s="288"/>
      <c r="AK425" s="279"/>
      <c r="AL425" s="280">
        <f t="shared" si="105"/>
        <v>0</v>
      </c>
      <c r="AM425" s="284"/>
      <c r="AN425" s="282">
        <f t="shared" si="101"/>
        <v>0</v>
      </c>
      <c r="AO425" s="289">
        <f t="shared" si="100"/>
        <v>0</v>
      </c>
      <c r="AP425" s="246"/>
      <c r="AQ425" s="246"/>
      <c r="AR425" s="440"/>
      <c r="AS425" s="475"/>
      <c r="AT425" s="475"/>
      <c r="AU425" s="475"/>
      <c r="AV425" s="475"/>
      <c r="AW425" s="475"/>
      <c r="AX425" s="475"/>
      <c r="AY425" s="475"/>
      <c r="AZ425" s="246"/>
      <c r="BA425" s="246"/>
      <c r="BB425" s="246"/>
      <c r="BC425" s="246"/>
      <c r="BD425" s="246"/>
      <c r="BE425" s="246"/>
      <c r="BF425" s="246"/>
      <c r="BG425" s="246"/>
      <c r="BH425" s="246"/>
      <c r="BI425" s="246"/>
    </row>
    <row r="426" spans="1:61" ht="18" hidden="1">
      <c r="A426" t="str">
        <f t="shared" si="89"/>
        <v>[...]</v>
      </c>
      <c r="B426" s="7"/>
      <c r="C426" s="246"/>
      <c r="D426" s="246"/>
      <c r="E426" s="246"/>
      <c r="F426" s="246"/>
      <c r="G426" s="246"/>
      <c r="H426" s="246"/>
      <c r="I426" s="246"/>
      <c r="J426" s="246"/>
      <c r="K426" s="246"/>
      <c r="L426" s="246"/>
      <c r="M426" s="246"/>
      <c r="N426" s="246"/>
      <c r="O426" s="305"/>
      <c r="P426" s="155"/>
      <c r="Q426" s="246"/>
      <c r="R426" s="246"/>
      <c r="S426" s="246"/>
      <c r="T426" s="246"/>
      <c r="U426" s="246"/>
      <c r="V426" s="102" t="s">
        <v>19</v>
      </c>
      <c r="W426" s="286"/>
      <c r="X426" s="279"/>
      <c r="Y426" s="279"/>
      <c r="Z426" s="282">
        <f t="shared" si="103"/>
        <v>0</v>
      </c>
      <c r="AA426" s="279"/>
      <c r="AB426" s="279"/>
      <c r="AC426" s="282"/>
      <c r="AD426" s="288"/>
      <c r="AE426" s="287"/>
      <c r="AF426" s="280">
        <f t="shared" si="104"/>
        <v>0</v>
      </c>
      <c r="AG426" s="281"/>
      <c r="AH426" s="282">
        <f t="shared" si="106"/>
        <v>0</v>
      </c>
      <c r="AI426" s="283">
        <f t="shared" si="102"/>
        <v>0</v>
      </c>
      <c r="AJ426" s="288"/>
      <c r="AK426" s="279"/>
      <c r="AL426" s="280">
        <f t="shared" si="105"/>
        <v>0</v>
      </c>
      <c r="AM426" s="284"/>
      <c r="AN426" s="282">
        <f t="shared" si="101"/>
        <v>0</v>
      </c>
      <c r="AO426" s="289">
        <f t="shared" si="100"/>
        <v>0</v>
      </c>
      <c r="AP426" s="246"/>
      <c r="AQ426" s="246"/>
      <c r="AS426" s="475"/>
      <c r="AT426" s="475"/>
      <c r="AU426" s="475"/>
      <c r="AV426" s="475"/>
      <c r="AW426" s="475"/>
      <c r="AX426" s="475"/>
      <c r="AY426" s="475"/>
      <c r="AZ426" s="246"/>
      <c r="BA426" s="246"/>
      <c r="BB426" s="246"/>
      <c r="BC426" s="246"/>
      <c r="BD426" s="246"/>
      <c r="BE426" s="246"/>
      <c r="BF426" s="246"/>
      <c r="BG426" s="246"/>
      <c r="BH426" s="246"/>
      <c r="BI426" s="246"/>
    </row>
    <row r="427" spans="1:61" ht="18" hidden="1">
      <c r="A427" t="str">
        <f t="shared" si="89"/>
        <v>[...]</v>
      </c>
      <c r="B427" s="7"/>
      <c r="C427" s="246"/>
      <c r="D427" s="246"/>
      <c r="E427" s="246"/>
      <c r="F427" s="246"/>
      <c r="G427" s="246"/>
      <c r="H427" s="246"/>
      <c r="I427" s="246"/>
      <c r="J427" s="246"/>
      <c r="K427" s="246"/>
      <c r="L427" s="246"/>
      <c r="M427" s="246"/>
      <c r="N427" s="246"/>
      <c r="O427" s="305"/>
      <c r="P427" s="155"/>
      <c r="Q427" s="246"/>
      <c r="R427" s="246"/>
      <c r="S427" s="246"/>
      <c r="T427" s="246"/>
      <c r="U427" s="246"/>
      <c r="V427" s="102" t="s">
        <v>19</v>
      </c>
      <c r="W427" s="286"/>
      <c r="X427" s="279"/>
      <c r="Y427" s="279"/>
      <c r="Z427" s="282">
        <f t="shared" si="103"/>
        <v>0</v>
      </c>
      <c r="AA427" s="279"/>
      <c r="AB427" s="279"/>
      <c r="AC427" s="282"/>
      <c r="AD427" s="288"/>
      <c r="AE427" s="287"/>
      <c r="AF427" s="280">
        <f t="shared" si="104"/>
        <v>0</v>
      </c>
      <c r="AG427" s="281"/>
      <c r="AH427" s="282">
        <f t="shared" si="106"/>
        <v>0</v>
      </c>
      <c r="AI427" s="283">
        <f t="shared" si="102"/>
        <v>0</v>
      </c>
      <c r="AJ427" s="288"/>
      <c r="AK427" s="279"/>
      <c r="AL427" s="280">
        <f t="shared" si="105"/>
        <v>0</v>
      </c>
      <c r="AM427" s="284"/>
      <c r="AN427" s="282">
        <f t="shared" si="101"/>
        <v>0</v>
      </c>
      <c r="AO427" s="289">
        <f t="shared" si="100"/>
        <v>0</v>
      </c>
      <c r="AP427" s="246"/>
      <c r="AQ427" s="246"/>
      <c r="AS427" s="475"/>
      <c r="AT427" s="475"/>
      <c r="AU427" s="475"/>
      <c r="AV427" s="475"/>
      <c r="AW427" s="475"/>
      <c r="AX427" s="475"/>
      <c r="AY427" s="475"/>
      <c r="AZ427" s="246"/>
      <c r="BA427" s="246"/>
      <c r="BB427" s="246"/>
      <c r="BC427" s="246"/>
      <c r="BD427" s="246"/>
      <c r="BE427" s="246"/>
      <c r="BF427" s="246"/>
      <c r="BG427" s="246"/>
      <c r="BH427" s="246"/>
      <c r="BI427" s="246"/>
    </row>
    <row r="428" spans="1:61" ht="18">
      <c r="A428" t="str">
        <f t="shared" si="89"/>
        <v>Salaires en absences</v>
      </c>
      <c r="B428" s="7"/>
      <c r="C428" s="246"/>
      <c r="D428" s="246"/>
      <c r="E428" s="246"/>
      <c r="F428" s="246"/>
      <c r="G428" s="246"/>
      <c r="H428" s="246"/>
      <c r="I428" s="246"/>
      <c r="J428" s="246"/>
      <c r="K428" s="246"/>
      <c r="L428" s="246"/>
      <c r="M428" s="246"/>
      <c r="N428" s="246"/>
      <c r="O428" s="305"/>
      <c r="P428" s="155"/>
      <c r="Q428" s="246"/>
      <c r="R428" s="246"/>
      <c r="S428" s="246"/>
      <c r="T428" s="246"/>
      <c r="U428" s="246"/>
      <c r="V428" s="103" t="s">
        <v>44</v>
      </c>
      <c r="W428" s="290" t="s">
        <v>141</v>
      </c>
      <c r="X428" s="263"/>
      <c r="Y428" s="263"/>
      <c r="Z428" s="264">
        <f t="shared" si="103"/>
        <v>19676.706518925879</v>
      </c>
      <c r="AA428" s="263"/>
      <c r="AB428" s="263"/>
      <c r="AC428" s="264"/>
      <c r="AD428" s="292"/>
      <c r="AE428" s="291"/>
      <c r="AF428" s="264">
        <f t="shared" si="104"/>
        <v>16500.059999999998</v>
      </c>
      <c r="AG428" s="265"/>
      <c r="AH428" s="266">
        <f t="shared" si="106"/>
        <v>-3176.6465189258815</v>
      </c>
      <c r="AI428" s="293">
        <f t="shared" si="102"/>
        <v>-0.16144198297974563</v>
      </c>
      <c r="AJ428" s="292"/>
      <c r="AK428" s="263"/>
      <c r="AL428" s="264">
        <f t="shared" si="105"/>
        <v>16480.5</v>
      </c>
      <c r="AM428" s="268"/>
      <c r="AN428" s="266">
        <f t="shared" si="101"/>
        <v>19.559999999997672</v>
      </c>
      <c r="AO428" s="294">
        <f t="shared" si="100"/>
        <v>1.1868571948665193E-3</v>
      </c>
      <c r="AP428" s="475"/>
      <c r="AQ428" s="483"/>
      <c r="AS428" s="475"/>
      <c r="AT428" s="475"/>
      <c r="AU428" s="475"/>
      <c r="AV428" s="475"/>
      <c r="AW428" s="475"/>
      <c r="AX428" s="475"/>
      <c r="AY428" s="475"/>
      <c r="AZ428" s="246"/>
      <c r="BA428" s="246"/>
      <c r="BB428" s="246"/>
      <c r="BC428" s="246"/>
      <c r="BD428" s="246"/>
      <c r="BE428" s="246"/>
      <c r="BF428" s="246"/>
      <c r="BG428" s="246"/>
      <c r="BH428" s="246"/>
      <c r="BI428" s="246"/>
    </row>
    <row r="429" spans="1:61" ht="18">
      <c r="A429" t="str">
        <f t="shared" si="89"/>
        <v>Déduction à la source</v>
      </c>
      <c r="B429" s="7"/>
      <c r="C429" s="246"/>
      <c r="D429" s="246"/>
      <c r="E429" s="246"/>
      <c r="F429" s="246"/>
      <c r="G429" s="246"/>
      <c r="H429" s="246"/>
      <c r="I429" s="246"/>
      <c r="J429" s="246"/>
      <c r="K429" s="246"/>
      <c r="L429" s="246"/>
      <c r="M429" s="246"/>
      <c r="N429" s="246"/>
      <c r="O429" s="305"/>
      <c r="P429" s="155"/>
      <c r="Q429" s="246"/>
      <c r="R429" s="246"/>
      <c r="S429" s="246"/>
      <c r="T429" s="246"/>
      <c r="U429" s="246"/>
      <c r="V429" s="102" t="s">
        <v>45</v>
      </c>
      <c r="W429" s="286" t="s">
        <v>142</v>
      </c>
      <c r="X429" s="279"/>
      <c r="Y429" s="279"/>
      <c r="Z429" s="280">
        <f t="shared" si="103"/>
        <v>27913.224006477969</v>
      </c>
      <c r="AA429" s="279"/>
      <c r="AB429" s="279"/>
      <c r="AC429" s="280"/>
      <c r="AD429" s="288"/>
      <c r="AE429" s="287"/>
      <c r="AF429" s="280">
        <f t="shared" si="104"/>
        <v>21550.34</v>
      </c>
      <c r="AG429" s="281"/>
      <c r="AH429" s="282">
        <f t="shared" si="106"/>
        <v>-6362.8840064779688</v>
      </c>
      <c r="AI429" s="283">
        <f t="shared" si="102"/>
        <v>-0.22795231410751052</v>
      </c>
      <c r="AJ429" s="288"/>
      <c r="AK429" s="279"/>
      <c r="AL429" s="280">
        <f t="shared" si="105"/>
        <v>24248.649999999998</v>
      </c>
      <c r="AM429" s="284"/>
      <c r="AN429" s="282">
        <f t="shared" si="101"/>
        <v>-2698.3099999999977</v>
      </c>
      <c r="AO429" s="289">
        <f t="shared" si="100"/>
        <v>-0.11127671024984888</v>
      </c>
      <c r="AP429" s="475"/>
      <c r="AQ429" s="474"/>
      <c r="AR429" s="474"/>
      <c r="AS429" s="475"/>
      <c r="AT429" s="475"/>
      <c r="AU429" s="475"/>
      <c r="AV429" s="246"/>
      <c r="AW429" s="246"/>
      <c r="AX429" s="246"/>
      <c r="AY429" s="246"/>
      <c r="AZ429" s="246"/>
      <c r="BA429" s="246"/>
      <c r="BB429" s="246"/>
      <c r="BC429" s="246"/>
      <c r="BD429" s="246"/>
      <c r="BE429" s="246"/>
      <c r="BF429" s="246"/>
      <c r="BG429" s="246"/>
      <c r="BH429" s="246"/>
      <c r="BI429" s="246"/>
    </row>
    <row r="430" spans="1:61" ht="18">
      <c r="A430" t="str">
        <f t="shared" si="89"/>
        <v>Bénéfices marginaux</v>
      </c>
      <c r="B430" s="7"/>
      <c r="C430" s="246"/>
      <c r="D430" s="246"/>
      <c r="E430" s="246"/>
      <c r="F430" s="246"/>
      <c r="G430" s="246"/>
      <c r="H430" s="246"/>
      <c r="I430" s="246"/>
      <c r="J430" s="246"/>
      <c r="K430" s="246"/>
      <c r="L430" s="246"/>
      <c r="M430" s="246"/>
      <c r="N430" s="246"/>
      <c r="O430" s="305"/>
      <c r="P430" s="155"/>
      <c r="Q430" s="246"/>
      <c r="R430" s="246"/>
      <c r="S430" s="246"/>
      <c r="T430" s="246"/>
      <c r="U430" s="246"/>
      <c r="V430" s="102" t="s">
        <v>46</v>
      </c>
      <c r="W430" s="286" t="s">
        <v>226</v>
      </c>
      <c r="X430" s="279"/>
      <c r="Y430" s="279"/>
      <c r="Z430" s="280">
        <f t="shared" si="103"/>
        <v>12915.073794042044</v>
      </c>
      <c r="AA430" s="279"/>
      <c r="AB430" s="279"/>
      <c r="AC430" s="280"/>
      <c r="AD430" s="288"/>
      <c r="AE430" s="287"/>
      <c r="AF430" s="280">
        <f t="shared" si="104"/>
        <v>13480.81</v>
      </c>
      <c r="AG430" s="281"/>
      <c r="AH430" s="282">
        <f t="shared" si="106"/>
        <v>565.73620595795546</v>
      </c>
      <c r="AI430" s="283">
        <f t="shared" si="102"/>
        <v>4.380433398831525E-2</v>
      </c>
      <c r="AJ430" s="288"/>
      <c r="AK430" s="279"/>
      <c r="AL430" s="280">
        <f>IFERROR(SUMIF($C:$C,$V430,Q:Q),0)</f>
        <v>12316.59</v>
      </c>
      <c r="AM430" s="284"/>
      <c r="AN430" s="282">
        <f t="shared" si="101"/>
        <v>1164.2199999999993</v>
      </c>
      <c r="AO430" s="289">
        <f t="shared" si="100"/>
        <v>9.4524539665605437E-2</v>
      </c>
      <c r="AP430" s="475"/>
      <c r="AQ430" s="474"/>
      <c r="AR430" s="474"/>
      <c r="AS430" s="475"/>
      <c r="AT430" s="475"/>
      <c r="AU430" s="475"/>
      <c r="AV430" s="246"/>
      <c r="AW430" s="246"/>
      <c r="AX430" s="246"/>
      <c r="AY430" s="246"/>
      <c r="AZ430" s="246"/>
      <c r="BA430" s="246"/>
      <c r="BB430" s="246"/>
      <c r="BC430" s="246"/>
      <c r="BD430" s="246"/>
      <c r="BE430" s="246"/>
      <c r="BF430" s="246"/>
      <c r="BG430" s="246"/>
      <c r="BH430" s="246"/>
      <c r="BI430" s="246"/>
    </row>
    <row r="431" spans="1:61" ht="18">
      <c r="A431" t="str">
        <f t="shared" si="89"/>
        <v>Csst</v>
      </c>
      <c r="B431" s="7"/>
      <c r="C431" s="246"/>
      <c r="D431" s="246"/>
      <c r="E431" s="246"/>
      <c r="F431" s="246"/>
      <c r="G431" s="246"/>
      <c r="H431" s="246"/>
      <c r="I431" s="246"/>
      <c r="J431" s="246"/>
      <c r="K431" s="246"/>
      <c r="L431" s="246"/>
      <c r="M431" s="246"/>
      <c r="N431" s="246"/>
      <c r="O431" s="305"/>
      <c r="P431" s="155"/>
      <c r="Q431" s="246"/>
      <c r="R431" s="246"/>
      <c r="S431" s="246"/>
      <c r="T431" s="246"/>
      <c r="U431" s="246"/>
      <c r="V431" s="102" t="s">
        <v>47</v>
      </c>
      <c r="W431" s="286" t="s">
        <v>227</v>
      </c>
      <c r="X431" s="279"/>
      <c r="Y431" s="279"/>
      <c r="Z431" s="280">
        <f t="shared" si="103"/>
        <v>2916.3069857514292</v>
      </c>
      <c r="AA431" s="279"/>
      <c r="AB431" s="279"/>
      <c r="AC431" s="280"/>
      <c r="AD431" s="288"/>
      <c r="AE431" s="287"/>
      <c r="AF431" s="280">
        <f t="shared" si="104"/>
        <v>1883.07</v>
      </c>
      <c r="AG431" s="281"/>
      <c r="AH431" s="282">
        <f t="shared" si="106"/>
        <v>-1033.2369857514293</v>
      </c>
      <c r="AI431" s="306">
        <f t="shared" si="102"/>
        <v>-0.35429637236396794</v>
      </c>
      <c r="AJ431" s="288"/>
      <c r="AK431" s="279"/>
      <c r="AL431" s="280">
        <f>IFERROR(SUMIF($C:$C,$V431,Q:Q),0)</f>
        <v>1909.62</v>
      </c>
      <c r="AM431" s="284"/>
      <c r="AN431" s="282">
        <f t="shared" si="101"/>
        <v>-26.549999999999955</v>
      </c>
      <c r="AO431" s="294">
        <f t="shared" si="100"/>
        <v>-1.3903289659722854E-2</v>
      </c>
      <c r="AP431" s="475"/>
      <c r="AQ431" s="474"/>
      <c r="AR431" s="474"/>
      <c r="AS431" s="475"/>
      <c r="AT431" s="475"/>
      <c r="AU431" s="475"/>
      <c r="AV431" s="246"/>
      <c r="AW431" s="246"/>
      <c r="AX431" s="246"/>
      <c r="AY431" s="246"/>
      <c r="AZ431" s="246"/>
      <c r="BA431" s="246"/>
      <c r="BB431" s="246"/>
      <c r="BC431" s="246"/>
      <c r="BD431" s="246"/>
      <c r="BE431" s="246"/>
      <c r="BF431" s="246"/>
      <c r="BG431" s="246"/>
      <c r="BH431" s="246"/>
      <c r="BI431" s="246"/>
    </row>
    <row r="432" spans="1:61" ht="20.25" hidden="1">
      <c r="A432" t="str">
        <f t="shared" si="89"/>
        <v>[...]</v>
      </c>
      <c r="B432" s="7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246"/>
      <c r="U432" s="246"/>
      <c r="V432" s="29" t="s">
        <v>19</v>
      </c>
      <c r="W432" s="286"/>
      <c r="X432" s="279"/>
      <c r="Y432" s="287"/>
      <c r="Z432" s="282">
        <f>IFERROR(SUMIF($C:$C,$V432,F:F),0)</f>
        <v>0</v>
      </c>
      <c r="AA432" s="279"/>
      <c r="AB432" s="279"/>
      <c r="AC432" s="282"/>
      <c r="AD432" s="288"/>
      <c r="AE432" s="287"/>
      <c r="AF432" s="280">
        <f t="shared" si="104"/>
        <v>0</v>
      </c>
      <c r="AG432" s="281"/>
      <c r="AH432" s="282">
        <f t="shared" si="106"/>
        <v>0</v>
      </c>
      <c r="AI432" s="283">
        <f t="shared" si="102"/>
        <v>0</v>
      </c>
      <c r="AJ432" s="288"/>
      <c r="AK432" s="279"/>
      <c r="AL432" s="280">
        <f>IFERROR(SUMIF($C:$C,$V432,Q:Q),0)</f>
        <v>0</v>
      </c>
      <c r="AM432" s="284"/>
      <c r="AN432" s="282"/>
      <c r="AO432" s="294"/>
      <c r="AP432" s="246"/>
      <c r="AQ432" s="246"/>
      <c r="AR432" s="474"/>
      <c r="AS432" s="475"/>
      <c r="AT432" s="475"/>
      <c r="AU432" s="475"/>
      <c r="AV432" s="246"/>
      <c r="AW432" s="246"/>
      <c r="AX432" s="246"/>
      <c r="AY432" s="246"/>
      <c r="AZ432" s="246"/>
      <c r="BA432" s="246"/>
      <c r="BB432" s="246"/>
      <c r="BC432" s="246"/>
      <c r="BD432" s="246"/>
      <c r="BE432" s="246"/>
      <c r="BF432" s="246"/>
      <c r="BG432" s="246"/>
      <c r="BH432" s="246"/>
      <c r="BI432" s="246"/>
    </row>
    <row r="433" spans="1:62" ht="18">
      <c r="A433" t="str">
        <f t="shared" si="89"/>
        <v>TOTAL PERSONNEL</v>
      </c>
      <c r="B433" s="7"/>
      <c r="C433" s="246"/>
      <c r="D433" s="246"/>
      <c r="E433" s="246"/>
      <c r="F433" s="246"/>
      <c r="G433" s="246"/>
      <c r="H433" s="246"/>
      <c r="I433" s="246"/>
      <c r="J433" s="246"/>
      <c r="K433" s="246"/>
      <c r="L433" s="246"/>
      <c r="M433" s="246"/>
      <c r="R433" s="246"/>
      <c r="S433" s="246"/>
      <c r="T433" s="246"/>
      <c r="U433" s="246"/>
      <c r="V433" s="296" t="s">
        <v>48</v>
      </c>
      <c r="W433" s="297"/>
      <c r="X433" s="298">
        <f>Z433/Z407</f>
        <v>0.38093050532135792</v>
      </c>
      <c r="Y433" s="297"/>
      <c r="Z433" s="299">
        <f>SUM(Z420:Z432)</f>
        <v>164629.61770460187</v>
      </c>
      <c r="AA433" s="298"/>
      <c r="AB433" s="297"/>
      <c r="AC433" s="299"/>
      <c r="AD433" s="300">
        <f>AF433/AF407</f>
        <v>0.46755153803816263</v>
      </c>
      <c r="AE433" s="307"/>
      <c r="AF433" s="299">
        <f>SUM(AF420:AF432)</f>
        <v>130923.95000000001</v>
      </c>
      <c r="AG433" s="308"/>
      <c r="AH433" s="302">
        <f t="shared" si="106"/>
        <v>-33705.667704601859</v>
      </c>
      <c r="AI433" s="298">
        <f>AH433/Z433</f>
        <v>-0.20473635409322638</v>
      </c>
      <c r="AJ433" s="300">
        <f>IF($AL$407=0,0,AL433/$AL$407)</f>
        <v>0.30968051897713667</v>
      </c>
      <c r="AK433" s="297"/>
      <c r="AL433" s="299">
        <f>SUM(AL420:AL432)</f>
        <v>154279.00999999989</v>
      </c>
      <c r="AM433" s="309"/>
      <c r="AN433" s="302">
        <f t="shared" ref="AN433:AN447" si="107">AF433-AL433</f>
        <v>-23355.059999999881</v>
      </c>
      <c r="AO433" s="277">
        <f>IF(AL433=0,0,AN433/AL433)</f>
        <v>-0.15138196699602816</v>
      </c>
      <c r="AP433" s="246"/>
      <c r="AQ433" s="246"/>
      <c r="AR433" s="474"/>
      <c r="AS433" s="475"/>
      <c r="AT433" s="475"/>
      <c r="AU433" s="475"/>
      <c r="AV433" s="246"/>
      <c r="AW433" s="246"/>
      <c r="AX433" s="246"/>
      <c r="AY433" s="246"/>
      <c r="AZ433" s="246"/>
      <c r="BA433" s="246"/>
      <c r="BB433" s="246"/>
      <c r="BC433" s="246"/>
      <c r="BD433" s="246"/>
      <c r="BE433" s="246"/>
      <c r="BF433" s="246"/>
      <c r="BG433" s="246"/>
      <c r="BH433" s="246"/>
      <c r="BI433" s="246"/>
    </row>
    <row r="434" spans="1:62" ht="18">
      <c r="A434" t="str">
        <f t="shared" si="89"/>
        <v>Publicité 2</v>
      </c>
      <c r="B434" s="7"/>
      <c r="C434" s="246"/>
      <c r="D434" s="246"/>
      <c r="E434" s="246"/>
      <c r="F434" s="246"/>
      <c r="G434" s="246"/>
      <c r="H434" s="246"/>
      <c r="I434" s="246"/>
      <c r="J434" s="246"/>
      <c r="K434" s="246"/>
      <c r="L434" s="246"/>
      <c r="M434" s="246"/>
      <c r="N434" s="246"/>
      <c r="O434" s="246"/>
      <c r="P434" s="246"/>
      <c r="Q434" s="310"/>
      <c r="S434" s="246"/>
      <c r="T434" s="246"/>
      <c r="U434" s="246"/>
      <c r="V434" s="211" t="s">
        <v>49</v>
      </c>
      <c r="W434" s="311" t="s">
        <v>228</v>
      </c>
      <c r="X434" s="312"/>
      <c r="Y434" s="312"/>
      <c r="Z434" s="313">
        <f t="shared" ref="Z434:Z448" si="108">+SUMIF($C:$C,$V434,F:F)</f>
        <v>6467.0171988019929</v>
      </c>
      <c r="AA434" s="312"/>
      <c r="AB434" s="312"/>
      <c r="AC434" s="313"/>
      <c r="AD434" s="314"/>
      <c r="AE434" s="315"/>
      <c r="AF434" s="313">
        <f t="shared" ref="AF434:AF451" si="109">+SUMIF($C:$C,$V434,L:L)</f>
        <v>6174.5300000000007</v>
      </c>
      <c r="AG434" s="314"/>
      <c r="AH434" s="316">
        <f t="shared" si="106"/>
        <v>-292.48719880199224</v>
      </c>
      <c r="AI434" s="317">
        <f t="shared" ref="AI434:AI451" si="110">IF(Z434=0,0,AH434/Z434)</f>
        <v>-4.5227527592809735E-2</v>
      </c>
      <c r="AJ434" s="314"/>
      <c r="AK434" s="312"/>
      <c r="AL434" s="313">
        <f t="shared" ref="AL434:AL448" si="111">+SUMIF($C:$C,$V434,Q:Q)</f>
        <v>8395.2900000000009</v>
      </c>
      <c r="AM434" s="318"/>
      <c r="AN434" s="316">
        <f t="shared" si="107"/>
        <v>-2220.7600000000002</v>
      </c>
      <c r="AO434" s="285">
        <f t="shared" ref="AO434:AO447" si="112">IF(AL434=0,0,AN434/AL434)</f>
        <v>-0.2645245131496351</v>
      </c>
      <c r="AP434" s="246"/>
      <c r="AQ434" s="246">
        <v>6175</v>
      </c>
      <c r="AR434" s="246"/>
      <c r="AS434" s="484"/>
      <c r="AT434" s="475"/>
      <c r="AU434" s="475"/>
      <c r="AV434" s="246"/>
      <c r="AW434" s="246"/>
      <c r="AX434" s="246"/>
      <c r="AY434" s="246"/>
      <c r="AZ434" s="246"/>
      <c r="BA434" s="246"/>
      <c r="BB434" s="246"/>
      <c r="BC434" s="246"/>
      <c r="BD434" s="246"/>
      <c r="BE434" s="246"/>
      <c r="BF434" s="246"/>
      <c r="BG434" s="246"/>
      <c r="BH434" s="246"/>
      <c r="BI434" s="246"/>
    </row>
    <row r="435" spans="1:62" ht="18">
      <c r="A435" t="str">
        <f t="shared" si="89"/>
        <v>Service gratuit 2</v>
      </c>
      <c r="B435" s="7"/>
      <c r="C435" s="246"/>
      <c r="D435" s="246"/>
      <c r="E435" s="246"/>
      <c r="F435" s="246"/>
      <c r="G435" s="246"/>
      <c r="H435" s="246"/>
      <c r="I435" s="246"/>
      <c r="J435" s="246"/>
      <c r="K435" s="246"/>
      <c r="L435" s="246"/>
      <c r="M435" s="246"/>
      <c r="N435" s="246"/>
      <c r="O435" s="246"/>
      <c r="Q435" s="310"/>
      <c r="S435" s="246"/>
      <c r="T435" s="246"/>
      <c r="U435" s="246"/>
      <c r="V435" s="102" t="s">
        <v>50</v>
      </c>
      <c r="W435" s="286" t="s">
        <v>148</v>
      </c>
      <c r="X435" s="279"/>
      <c r="Y435" s="279"/>
      <c r="Z435" s="280">
        <f t="shared" si="108"/>
        <v>3965</v>
      </c>
      <c r="AA435" s="279"/>
      <c r="AB435" s="279"/>
      <c r="AC435" s="280"/>
      <c r="AD435" s="288"/>
      <c r="AE435" s="287"/>
      <c r="AF435" s="280">
        <f t="shared" si="109"/>
        <v>1836.89</v>
      </c>
      <c r="AG435" s="281"/>
      <c r="AH435" s="282">
        <f t="shared" si="106"/>
        <v>-2128.1099999999997</v>
      </c>
      <c r="AI435" s="283">
        <f t="shared" si="110"/>
        <v>-0.53672383354350561</v>
      </c>
      <c r="AJ435" s="288"/>
      <c r="AK435" s="279"/>
      <c r="AL435" s="280">
        <f t="shared" si="111"/>
        <v>6609.36</v>
      </c>
      <c r="AM435" s="284"/>
      <c r="AN435" s="282">
        <f t="shared" si="107"/>
        <v>-4772.4699999999993</v>
      </c>
      <c r="AO435" s="289">
        <f t="shared" si="112"/>
        <v>-0.72207747800089561</v>
      </c>
      <c r="AP435" s="246"/>
      <c r="AQ435" s="246">
        <v>1838</v>
      </c>
      <c r="AR435" s="246"/>
      <c r="AS435" s="246"/>
      <c r="AT435" s="246"/>
      <c r="AU435" s="246"/>
      <c r="AV435" s="246"/>
      <c r="AW435" s="246"/>
      <c r="AX435" s="246"/>
      <c r="AY435" s="246"/>
      <c r="AZ435" s="246"/>
      <c r="BA435" s="246"/>
      <c r="BB435" s="246"/>
      <c r="BC435" s="246"/>
      <c r="BD435" s="246"/>
      <c r="BE435" s="246"/>
      <c r="BF435" s="246"/>
      <c r="BG435" s="246"/>
      <c r="BH435" s="246"/>
      <c r="BI435" s="246"/>
    </row>
    <row r="436" spans="1:62" ht="18">
      <c r="A436" t="str">
        <f t="shared" si="89"/>
        <v>Frais véhicules de cie</v>
      </c>
      <c r="B436" s="7"/>
      <c r="C436" s="246"/>
      <c r="D436" s="246"/>
      <c r="E436" s="246"/>
      <c r="F436" s="246"/>
      <c r="G436" s="246"/>
      <c r="H436" s="246"/>
      <c r="I436" s="246"/>
      <c r="J436" s="246"/>
      <c r="K436" s="246"/>
      <c r="L436" s="246"/>
      <c r="M436" s="246"/>
      <c r="N436" s="246"/>
      <c r="O436" s="246"/>
      <c r="P436" s="246"/>
      <c r="Q436" s="310"/>
      <c r="S436" s="246"/>
      <c r="T436" s="246"/>
      <c r="U436" s="246"/>
      <c r="V436" s="103" t="s">
        <v>51</v>
      </c>
      <c r="W436" s="290" t="s">
        <v>229</v>
      </c>
      <c r="X436" s="263"/>
      <c r="Y436" s="263"/>
      <c r="Z436" s="264">
        <f t="shared" si="108"/>
        <v>15303.333333333334</v>
      </c>
      <c r="AA436" s="263"/>
      <c r="AB436" s="263"/>
      <c r="AC436" s="264"/>
      <c r="AD436" s="292"/>
      <c r="AE436" s="291"/>
      <c r="AF436" s="264">
        <f t="shared" si="109"/>
        <v>19624.740000000002</v>
      </c>
      <c r="AG436" s="265"/>
      <c r="AH436" s="266">
        <f t="shared" si="106"/>
        <v>4321.4066666666677</v>
      </c>
      <c r="AI436" s="293">
        <f t="shared" si="110"/>
        <v>0.28238335874537146</v>
      </c>
      <c r="AJ436" s="292"/>
      <c r="AK436" s="263"/>
      <c r="AL436" s="264">
        <f t="shared" si="111"/>
        <v>13590.859999999991</v>
      </c>
      <c r="AM436" s="268"/>
      <c r="AN436" s="266">
        <f t="shared" si="107"/>
        <v>6033.8800000000101</v>
      </c>
      <c r="AO436" s="269">
        <f t="shared" si="112"/>
        <v>0.44396601833879634</v>
      </c>
      <c r="AP436" s="246"/>
      <c r="AQ436" s="246">
        <v>19625</v>
      </c>
      <c r="AR436" s="485" t="s">
        <v>261</v>
      </c>
      <c r="AS436" s="246"/>
      <c r="AT436" s="246"/>
      <c r="AU436" s="246"/>
      <c r="AV436" s="246"/>
      <c r="AW436" s="246"/>
      <c r="AX436" s="246"/>
      <c r="AY436" s="246"/>
      <c r="AZ436" s="246"/>
      <c r="BA436" s="246"/>
      <c r="BB436" s="246"/>
      <c r="BC436" s="246"/>
      <c r="BD436" s="246"/>
      <c r="BE436" s="246"/>
      <c r="BF436" s="246"/>
      <c r="BG436" s="246"/>
      <c r="BH436" s="246"/>
      <c r="BI436" s="246"/>
      <c r="BJ436" s="246"/>
    </row>
    <row r="437" spans="1:62" ht="18">
      <c r="A437" t="str">
        <f t="shared" si="89"/>
        <v>Informatique</v>
      </c>
      <c r="B437" s="7"/>
      <c r="C437" s="246"/>
      <c r="D437" s="246"/>
      <c r="E437" s="246"/>
      <c r="F437" s="246"/>
      <c r="G437" s="246"/>
      <c r="H437" s="246"/>
      <c r="I437" s="246"/>
      <c r="J437" s="246"/>
      <c r="K437" s="246"/>
      <c r="L437" s="246"/>
      <c r="M437" s="246"/>
      <c r="N437" s="246"/>
      <c r="O437" s="246"/>
      <c r="P437" s="246"/>
      <c r="Q437" s="310"/>
      <c r="S437" s="246"/>
      <c r="T437" s="246"/>
      <c r="U437" s="246"/>
      <c r="V437" s="102" t="s">
        <v>52</v>
      </c>
      <c r="W437" s="286" t="s">
        <v>230</v>
      </c>
      <c r="X437" s="279"/>
      <c r="Y437" s="279"/>
      <c r="Z437" s="280">
        <f t="shared" si="108"/>
        <v>14093</v>
      </c>
      <c r="AA437" s="279"/>
      <c r="AB437" s="279"/>
      <c r="AC437" s="280"/>
      <c r="AD437" s="288"/>
      <c r="AE437" s="287"/>
      <c r="AF437" s="280">
        <f t="shared" si="109"/>
        <v>14485.61</v>
      </c>
      <c r="AG437" s="281"/>
      <c r="AH437" s="282">
        <f>AF437-Z437</f>
        <v>392.61000000000058</v>
      </c>
      <c r="AI437" s="283">
        <f t="shared" si="110"/>
        <v>2.7858511317675482E-2</v>
      </c>
      <c r="AJ437" s="288"/>
      <c r="AK437" s="279"/>
      <c r="AL437" s="280">
        <f t="shared" si="111"/>
        <v>15708.99</v>
      </c>
      <c r="AM437" s="284"/>
      <c r="AN437" s="282">
        <f t="shared" si="107"/>
        <v>-1223.3799999999992</v>
      </c>
      <c r="AO437" s="289">
        <f t="shared" si="112"/>
        <v>-7.7877699330128752E-2</v>
      </c>
      <c r="AP437" s="485"/>
      <c r="AQ437" s="246">
        <f>12150+2336</f>
        <v>14486</v>
      </c>
      <c r="AR437" s="246"/>
      <c r="AS437" s="485"/>
      <c r="AT437" s="246"/>
      <c r="AU437" s="246"/>
      <c r="AV437" s="246"/>
      <c r="AW437" s="246"/>
      <c r="AX437" s="246"/>
      <c r="AY437" s="246"/>
      <c r="AZ437" s="246"/>
      <c r="BA437" s="246"/>
      <c r="BB437" s="246"/>
      <c r="BC437" s="246"/>
      <c r="BD437" s="246"/>
      <c r="BE437" s="246"/>
      <c r="BF437" s="246"/>
      <c r="BG437" s="246"/>
      <c r="BH437" s="246"/>
      <c r="BI437" s="246"/>
      <c r="BJ437" s="246"/>
    </row>
    <row r="438" spans="1:62" ht="18">
      <c r="A438" t="str">
        <f t="shared" si="89"/>
        <v>Frais de déplacement</v>
      </c>
      <c r="B438" s="7"/>
      <c r="C438" s="246"/>
      <c r="D438" s="246"/>
      <c r="E438" s="246"/>
      <c r="F438" s="246"/>
      <c r="G438" s="246"/>
      <c r="H438" s="246"/>
      <c r="I438" s="246"/>
      <c r="J438" s="246"/>
      <c r="K438" s="246"/>
      <c r="L438" s="246"/>
      <c r="M438" s="246"/>
      <c r="N438" s="246"/>
      <c r="O438" s="246"/>
      <c r="P438" s="246"/>
      <c r="Q438" s="310"/>
      <c r="S438" s="246"/>
      <c r="T438" s="246"/>
      <c r="U438" s="246"/>
      <c r="V438" s="102" t="s">
        <v>53</v>
      </c>
      <c r="W438" s="286" t="s">
        <v>231</v>
      </c>
      <c r="X438" s="279"/>
      <c r="Y438" s="279"/>
      <c r="Z438" s="280">
        <f t="shared" si="108"/>
        <v>1828</v>
      </c>
      <c r="AA438" s="279"/>
      <c r="AB438" s="279"/>
      <c r="AC438" s="280"/>
      <c r="AD438" s="288"/>
      <c r="AE438" s="287"/>
      <c r="AF438" s="280">
        <f t="shared" si="109"/>
        <v>2081.9700000000003</v>
      </c>
      <c r="AG438" s="281"/>
      <c r="AH438" s="282">
        <f t="shared" si="106"/>
        <v>253.97000000000025</v>
      </c>
      <c r="AI438" s="283">
        <f t="shared" si="110"/>
        <v>0.13893326039387321</v>
      </c>
      <c r="AJ438" s="288"/>
      <c r="AK438" s="279"/>
      <c r="AL438" s="280">
        <f t="shared" si="111"/>
        <v>1914.5799999999997</v>
      </c>
      <c r="AM438" s="284"/>
      <c r="AN438" s="282">
        <f t="shared" si="107"/>
        <v>167.39000000000055</v>
      </c>
      <c r="AO438" s="289">
        <f t="shared" si="112"/>
        <v>8.7429096720952157E-2</v>
      </c>
      <c r="AP438" s="485"/>
      <c r="AQ438" s="246">
        <f>832+1000+250</f>
        <v>2082</v>
      </c>
      <c r="AR438" s="485"/>
      <c r="AS438" s="246"/>
      <c r="AT438" s="246"/>
      <c r="AU438" s="246"/>
      <c r="AV438" s="246"/>
      <c r="AW438" s="246"/>
      <c r="AX438" s="246"/>
      <c r="AY438" s="246"/>
      <c r="AZ438" s="246"/>
      <c r="BA438" s="246"/>
      <c r="BB438" s="246"/>
      <c r="BC438" s="246"/>
      <c r="BD438" s="246"/>
      <c r="BE438" s="246"/>
      <c r="BF438" s="246"/>
      <c r="BG438" s="246"/>
      <c r="BH438" s="246"/>
      <c r="BI438" s="246"/>
      <c r="BJ438" s="246"/>
    </row>
    <row r="439" spans="1:62" ht="18">
      <c r="A439" t="str">
        <f t="shared" si="89"/>
        <v>Services extérieurs</v>
      </c>
      <c r="B439" s="7"/>
      <c r="C439" s="246"/>
      <c r="D439" s="246"/>
      <c r="E439" s="246"/>
      <c r="F439" s="246"/>
      <c r="G439" s="246"/>
      <c r="H439" s="246"/>
      <c r="I439" s="246"/>
      <c r="J439" s="246"/>
      <c r="K439" s="246"/>
      <c r="L439" s="246"/>
      <c r="M439" s="246"/>
      <c r="N439" s="246"/>
      <c r="O439" s="246"/>
      <c r="P439" s="246"/>
      <c r="Q439" s="310"/>
      <c r="S439" s="246"/>
      <c r="T439" s="246"/>
      <c r="U439" s="246"/>
      <c r="V439" s="102" t="s">
        <v>54</v>
      </c>
      <c r="W439" s="286" t="s">
        <v>232</v>
      </c>
      <c r="X439" s="279"/>
      <c r="Y439" s="279"/>
      <c r="Z439" s="280">
        <f t="shared" si="108"/>
        <v>10966.000000000002</v>
      </c>
      <c r="AA439" s="279"/>
      <c r="AB439" s="279"/>
      <c r="AC439" s="280"/>
      <c r="AD439" s="288"/>
      <c r="AE439" s="287"/>
      <c r="AF439" s="280">
        <f t="shared" si="109"/>
        <v>11244.82</v>
      </c>
      <c r="AG439" s="281"/>
      <c r="AH439" s="282">
        <f t="shared" si="106"/>
        <v>278.81999999999789</v>
      </c>
      <c r="AI439" s="283">
        <f t="shared" si="110"/>
        <v>2.5425861754513755E-2</v>
      </c>
      <c r="AJ439" s="288"/>
      <c r="AK439" s="279"/>
      <c r="AL439" s="280">
        <f t="shared" si="111"/>
        <v>9450.4500000000007</v>
      </c>
      <c r="AM439" s="284"/>
      <c r="AN439" s="282">
        <f t="shared" si="107"/>
        <v>1794.369999999999</v>
      </c>
      <c r="AO439" s="289">
        <f t="shared" si="112"/>
        <v>0.1898713817860524</v>
      </c>
      <c r="AP439" s="246"/>
      <c r="AQ439" s="246">
        <f>11595-360-1040+1050</f>
        <v>11245</v>
      </c>
      <c r="AR439" s="246"/>
      <c r="AS439" s="246"/>
      <c r="AT439" s="246"/>
      <c r="AU439" s="246"/>
      <c r="AV439" s="246"/>
      <c r="AW439" s="246"/>
      <c r="AX439" s="246"/>
      <c r="AY439" s="246"/>
      <c r="AZ439" s="246"/>
      <c r="BA439" s="246"/>
      <c r="BB439" s="246"/>
      <c r="BC439" s="246"/>
      <c r="BD439" s="246"/>
      <c r="BE439" s="246"/>
      <c r="BF439" s="246"/>
      <c r="BG439" s="246"/>
      <c r="BH439" s="246"/>
      <c r="BI439" s="246"/>
      <c r="BJ439" s="246"/>
    </row>
    <row r="440" spans="1:62" ht="18">
      <c r="B440" s="7"/>
      <c r="C440" s="246"/>
      <c r="D440" s="246"/>
      <c r="E440" s="246"/>
      <c r="F440" s="246"/>
      <c r="G440" s="246"/>
      <c r="H440" s="246"/>
      <c r="I440" s="246"/>
      <c r="J440" s="246"/>
      <c r="K440" s="246"/>
      <c r="L440" s="246"/>
      <c r="M440" s="246"/>
      <c r="N440" s="246"/>
      <c r="O440" s="246"/>
      <c r="P440" s="246"/>
      <c r="Q440" s="310"/>
      <c r="S440" s="246"/>
      <c r="T440" s="246"/>
      <c r="U440" s="246"/>
      <c r="V440" s="212" t="s">
        <v>93</v>
      </c>
      <c r="W440" s="319"/>
      <c r="X440" s="320"/>
      <c r="Y440" s="320"/>
      <c r="Z440" s="321">
        <f t="shared" si="108"/>
        <v>0</v>
      </c>
      <c r="AA440" s="320"/>
      <c r="AB440" s="320"/>
      <c r="AC440" s="321"/>
      <c r="AD440" s="322"/>
      <c r="AE440" s="323"/>
      <c r="AF440" s="321">
        <f t="shared" si="109"/>
        <v>0</v>
      </c>
      <c r="AG440" s="324"/>
      <c r="AH440" s="325">
        <f t="shared" si="106"/>
        <v>0</v>
      </c>
      <c r="AI440" s="326">
        <f t="shared" si="110"/>
        <v>0</v>
      </c>
      <c r="AJ440" s="322"/>
      <c r="AK440" s="320"/>
      <c r="AL440" s="321">
        <f t="shared" si="111"/>
        <v>0</v>
      </c>
      <c r="AM440" s="327"/>
      <c r="AN440" s="325">
        <f>AF440-AL440</f>
        <v>0</v>
      </c>
      <c r="AO440" s="328">
        <f>IF(AL440=0,0,AN440/AL440)</f>
        <v>0</v>
      </c>
      <c r="AP440" s="246"/>
      <c r="AQ440" s="246"/>
      <c r="AR440" s="246"/>
      <c r="AS440" s="246"/>
      <c r="AT440" s="246"/>
      <c r="AU440" s="246"/>
      <c r="AV440" s="246"/>
      <c r="AW440" s="246"/>
      <c r="AX440" s="246"/>
      <c r="AY440" s="246"/>
      <c r="AZ440" s="246"/>
      <c r="BA440" s="246"/>
      <c r="BB440" s="246"/>
      <c r="BC440" s="246"/>
      <c r="BD440" s="246"/>
      <c r="BE440" s="246"/>
      <c r="BF440" s="246"/>
      <c r="BG440" s="246"/>
      <c r="BH440" s="246"/>
      <c r="BI440" s="246"/>
      <c r="BJ440" s="246"/>
    </row>
    <row r="441" spans="1:62" ht="18">
      <c r="A441" t="str">
        <f t="shared" si="89"/>
        <v>Fournitures autres</v>
      </c>
      <c r="B441" s="7"/>
      <c r="C441" s="246"/>
      <c r="D441" s="246"/>
      <c r="E441" s="246"/>
      <c r="F441" s="246"/>
      <c r="G441" s="246"/>
      <c r="H441" s="246"/>
      <c r="I441" s="246"/>
      <c r="J441" s="246"/>
      <c r="K441" s="246"/>
      <c r="L441" s="246"/>
      <c r="M441" s="246"/>
      <c r="N441" s="246"/>
      <c r="O441" s="246"/>
      <c r="P441" s="329"/>
      <c r="Q441" s="310"/>
      <c r="R441" s="246"/>
      <c r="S441" s="246"/>
      <c r="T441" s="246"/>
      <c r="U441" s="246"/>
      <c r="V441" s="102" t="s">
        <v>55</v>
      </c>
      <c r="W441" s="286" t="s">
        <v>149</v>
      </c>
      <c r="X441" s="279"/>
      <c r="Y441" s="287"/>
      <c r="Z441" s="280">
        <f t="shared" si="108"/>
        <v>1378.4470233876682</v>
      </c>
      <c r="AA441" s="279"/>
      <c r="AB441" s="287"/>
      <c r="AC441" s="280"/>
      <c r="AD441" s="288"/>
      <c r="AE441" s="287"/>
      <c r="AF441" s="280">
        <f t="shared" si="109"/>
        <v>1579.25</v>
      </c>
      <c r="AG441" s="281"/>
      <c r="AH441" s="282">
        <f t="shared" si="106"/>
        <v>200.8029766123318</v>
      </c>
      <c r="AI441" s="283">
        <f t="shared" si="110"/>
        <v>0.14567333615682879</v>
      </c>
      <c r="AJ441" s="288"/>
      <c r="AK441" s="279"/>
      <c r="AL441" s="280">
        <f t="shared" si="111"/>
        <v>1948.1200000000001</v>
      </c>
      <c r="AM441" s="284"/>
      <c r="AN441" s="282">
        <f t="shared" si="107"/>
        <v>-368.87000000000012</v>
      </c>
      <c r="AO441" s="289">
        <f t="shared" si="112"/>
        <v>-0.18934665215695137</v>
      </c>
      <c r="AP441" s="246"/>
      <c r="AQ441" s="246">
        <f>2088-509</f>
        <v>1579</v>
      </c>
      <c r="AR441" s="246"/>
      <c r="AS441" s="246"/>
      <c r="AT441" s="246"/>
      <c r="AU441" s="246"/>
      <c r="AV441" s="246"/>
      <c r="AW441" s="246"/>
      <c r="AX441" s="246"/>
      <c r="AY441" s="246"/>
      <c r="AZ441" s="246"/>
      <c r="BA441" s="246"/>
      <c r="BB441" s="246"/>
      <c r="BC441" s="246"/>
      <c r="BD441" s="246"/>
      <c r="BE441" s="246"/>
      <c r="BF441" s="246"/>
      <c r="BG441" s="246"/>
      <c r="BH441" s="246"/>
      <c r="BI441" s="246"/>
      <c r="BJ441" s="246"/>
    </row>
    <row r="442" spans="1:62" ht="18">
      <c r="A442" t="str">
        <f t="shared" si="89"/>
        <v>Uniformes</v>
      </c>
      <c r="B442" s="7"/>
      <c r="C442" s="246"/>
      <c r="D442" s="246"/>
      <c r="E442" s="246"/>
      <c r="F442" s="246"/>
      <c r="G442" s="246"/>
      <c r="H442" s="246"/>
      <c r="I442" s="246"/>
      <c r="J442" s="246"/>
      <c r="K442" s="246"/>
      <c r="L442" s="246"/>
      <c r="M442" s="246"/>
      <c r="N442" s="246"/>
      <c r="O442" s="246"/>
      <c r="Q442" s="310"/>
      <c r="S442" s="246"/>
      <c r="T442" s="246"/>
      <c r="U442" s="246"/>
      <c r="V442" s="102" t="s">
        <v>56</v>
      </c>
      <c r="W442" s="286" t="s">
        <v>145</v>
      </c>
      <c r="X442" s="279"/>
      <c r="Y442" s="279"/>
      <c r="Z442" s="280">
        <f t="shared" si="108"/>
        <v>1003</v>
      </c>
      <c r="AA442" s="279"/>
      <c r="AB442" s="279"/>
      <c r="AC442" s="280"/>
      <c r="AD442" s="288"/>
      <c r="AE442" s="287"/>
      <c r="AF442" s="280">
        <f t="shared" si="109"/>
        <v>2009.83</v>
      </c>
      <c r="AG442" s="281"/>
      <c r="AH442" s="282">
        <f t="shared" si="106"/>
        <v>1006.8299999999999</v>
      </c>
      <c r="AI442" s="306">
        <f t="shared" si="110"/>
        <v>1.0038185443668992</v>
      </c>
      <c r="AJ442" s="288"/>
      <c r="AK442" s="279"/>
      <c r="AL442" s="280">
        <f t="shared" si="111"/>
        <v>1031.8</v>
      </c>
      <c r="AM442" s="284"/>
      <c r="AN442" s="282">
        <f t="shared" si="107"/>
        <v>978.03</v>
      </c>
      <c r="AO442" s="289">
        <f t="shared" si="112"/>
        <v>0.94788718743942624</v>
      </c>
      <c r="AP442" s="246"/>
      <c r="AQ442" s="246">
        <f>910+400+700</f>
        <v>2010</v>
      </c>
      <c r="AR442" s="246"/>
      <c r="AS442" s="246"/>
      <c r="AT442" s="246"/>
      <c r="AU442" s="246"/>
      <c r="AV442" s="246"/>
      <c r="AW442" s="246"/>
      <c r="AX442" s="246"/>
      <c r="AY442" s="246"/>
      <c r="AZ442" s="246"/>
      <c r="BA442" s="246"/>
      <c r="BB442" s="246"/>
      <c r="BC442" s="246"/>
      <c r="BD442" s="246"/>
      <c r="BE442" s="246"/>
      <c r="BF442" s="246"/>
      <c r="BG442" s="246"/>
      <c r="BH442" s="246"/>
      <c r="BI442" s="246"/>
      <c r="BJ442" s="246"/>
    </row>
    <row r="443" spans="1:62" ht="18">
      <c r="A443" t="str">
        <f t="shared" si="89"/>
        <v>Papeterie</v>
      </c>
      <c r="B443" s="7"/>
      <c r="C443" s="246"/>
      <c r="D443" s="246"/>
      <c r="E443" s="246"/>
      <c r="F443" s="246"/>
      <c r="G443" s="246"/>
      <c r="H443" s="246"/>
      <c r="I443" s="246"/>
      <c r="J443" s="246"/>
      <c r="K443" s="246"/>
      <c r="L443" s="246"/>
      <c r="M443" s="246"/>
      <c r="N443" s="246"/>
      <c r="O443" s="246"/>
      <c r="P443" s="329"/>
      <c r="Q443" s="310"/>
      <c r="R443" s="246"/>
      <c r="S443" s="246"/>
      <c r="T443" s="246"/>
      <c r="U443" s="246"/>
      <c r="V443" s="102" t="s">
        <v>57</v>
      </c>
      <c r="W443" s="286" t="s">
        <v>151</v>
      </c>
      <c r="X443" s="279"/>
      <c r="Y443" s="279"/>
      <c r="Z443" s="280">
        <f t="shared" si="108"/>
        <v>1750</v>
      </c>
      <c r="AA443" s="279"/>
      <c r="AB443" s="279"/>
      <c r="AC443" s="280"/>
      <c r="AD443" s="288"/>
      <c r="AE443" s="287"/>
      <c r="AF443" s="280">
        <f t="shared" si="109"/>
        <v>1966.2300000000002</v>
      </c>
      <c r="AG443" s="281"/>
      <c r="AH443" s="282">
        <f t="shared" si="106"/>
        <v>216.23000000000025</v>
      </c>
      <c r="AI443" s="283">
        <f t="shared" si="110"/>
        <v>0.12356000000000014</v>
      </c>
      <c r="AJ443" s="288"/>
      <c r="AK443" s="279"/>
      <c r="AL443" s="280">
        <f t="shared" si="111"/>
        <v>1636.49</v>
      </c>
      <c r="AM443" s="284"/>
      <c r="AN443" s="282">
        <f t="shared" si="107"/>
        <v>329.74000000000024</v>
      </c>
      <c r="AO443" s="289">
        <f t="shared" si="112"/>
        <v>0.20149221810093568</v>
      </c>
      <c r="AP443" s="246"/>
      <c r="AQ443" s="246">
        <f>1716+250</f>
        <v>1966</v>
      </c>
      <c r="AR443" s="246"/>
      <c r="AS443" s="246"/>
      <c r="AT443" s="246"/>
      <c r="AU443" s="246"/>
      <c r="AV443" s="246"/>
      <c r="AW443" s="246"/>
      <c r="AX443" s="246"/>
      <c r="AY443" s="246"/>
      <c r="AZ443" s="246"/>
      <c r="BA443" s="246"/>
      <c r="BB443" s="246"/>
      <c r="BC443" s="246"/>
      <c r="BD443" s="246"/>
      <c r="BE443" s="246"/>
      <c r="BF443" s="246"/>
      <c r="BG443" s="246"/>
      <c r="BH443" s="246"/>
      <c r="BI443" s="246"/>
      <c r="BJ443" s="246"/>
    </row>
    <row r="444" spans="1:62" ht="18">
      <c r="A444" t="str">
        <f t="shared" si="89"/>
        <v>Téléphone</v>
      </c>
      <c r="B444" s="7"/>
      <c r="C444" s="246"/>
      <c r="D444" s="246"/>
      <c r="E444" s="246"/>
      <c r="F444" s="246"/>
      <c r="G444" s="246"/>
      <c r="H444" s="246"/>
      <c r="I444" s="246"/>
      <c r="J444" s="246"/>
      <c r="K444" s="246"/>
      <c r="L444" s="246"/>
      <c r="M444" s="246"/>
      <c r="N444" s="246"/>
      <c r="O444" s="246"/>
      <c r="P444" s="246"/>
      <c r="Q444" s="310"/>
      <c r="S444" s="246"/>
      <c r="T444" s="246"/>
      <c r="U444" s="246"/>
      <c r="V444" s="102" t="s">
        <v>58</v>
      </c>
      <c r="W444" s="286" t="s">
        <v>233</v>
      </c>
      <c r="X444" s="279"/>
      <c r="Y444" s="279"/>
      <c r="Z444" s="280">
        <f t="shared" si="108"/>
        <v>512</v>
      </c>
      <c r="AA444" s="279"/>
      <c r="AB444" s="279"/>
      <c r="AC444" s="280"/>
      <c r="AD444" s="288"/>
      <c r="AE444" s="287"/>
      <c r="AF444" s="280">
        <f t="shared" si="109"/>
        <v>457.29</v>
      </c>
      <c r="AG444" s="281"/>
      <c r="AH444" s="282">
        <f t="shared" si="106"/>
        <v>-54.70999999999998</v>
      </c>
      <c r="AI444" s="306">
        <f t="shared" si="110"/>
        <v>-0.10685546874999996</v>
      </c>
      <c r="AJ444" s="288"/>
      <c r="AK444" s="279"/>
      <c r="AL444" s="280">
        <f t="shared" si="111"/>
        <v>646.64</v>
      </c>
      <c r="AM444" s="284"/>
      <c r="AN444" s="282">
        <f t="shared" si="107"/>
        <v>-189.34999999999997</v>
      </c>
      <c r="AO444" s="289">
        <f t="shared" si="112"/>
        <v>-0.29282135345787452</v>
      </c>
      <c r="AP444" s="246"/>
      <c r="AQ444" s="246">
        <v>457</v>
      </c>
      <c r="AR444" s="246"/>
      <c r="AS444" s="246"/>
      <c r="AT444" s="246"/>
      <c r="AU444" s="246"/>
      <c r="AV444" s="246"/>
      <c r="AW444" s="246"/>
      <c r="AX444" s="246"/>
      <c r="AY444" s="246"/>
      <c r="AZ444" s="246"/>
      <c r="BA444" s="246"/>
      <c r="BB444" s="246"/>
      <c r="BC444" s="246"/>
      <c r="BD444" s="246"/>
      <c r="BE444" s="246"/>
      <c r="BF444" s="246"/>
      <c r="BG444" s="246"/>
      <c r="BH444" s="246"/>
      <c r="BI444" s="246"/>
      <c r="BJ444" s="246"/>
    </row>
    <row r="445" spans="1:62" ht="18">
      <c r="A445" t="str">
        <f t="shared" si="89"/>
        <v>Frais postaux</v>
      </c>
      <c r="B445" s="7"/>
      <c r="C445" s="246"/>
      <c r="D445" s="246"/>
      <c r="E445" s="246"/>
      <c r="F445" s="246"/>
      <c r="G445" s="246"/>
      <c r="H445" s="246"/>
      <c r="I445" s="246"/>
      <c r="J445" s="246"/>
      <c r="K445" s="246"/>
      <c r="L445" s="246"/>
      <c r="M445" s="246"/>
      <c r="N445" s="246"/>
      <c r="O445" s="246"/>
      <c r="P445" s="246"/>
      <c r="Q445" s="310"/>
      <c r="S445" s="246"/>
      <c r="T445" s="246"/>
      <c r="U445" s="246"/>
      <c r="V445" s="102" t="s">
        <v>59</v>
      </c>
      <c r="W445" s="286" t="s">
        <v>234</v>
      </c>
      <c r="X445" s="279"/>
      <c r="Y445" s="279"/>
      <c r="Z445" s="280">
        <f t="shared" si="108"/>
        <v>875</v>
      </c>
      <c r="AA445" s="279"/>
      <c r="AB445" s="279"/>
      <c r="AC445" s="280"/>
      <c r="AD445" s="288"/>
      <c r="AE445" s="287"/>
      <c r="AF445" s="280">
        <f t="shared" si="109"/>
        <v>-186.54000000000002</v>
      </c>
      <c r="AG445" s="281"/>
      <c r="AH445" s="282">
        <f t="shared" si="106"/>
        <v>-1061.54</v>
      </c>
      <c r="AI445" s="283">
        <f t="shared" si="110"/>
        <v>-1.2131885714285713</v>
      </c>
      <c r="AJ445" s="288"/>
      <c r="AK445" s="279"/>
      <c r="AL445" s="280">
        <f t="shared" si="111"/>
        <v>1008.94</v>
      </c>
      <c r="AM445" s="284"/>
      <c r="AN445" s="282">
        <f t="shared" si="107"/>
        <v>-1195.48</v>
      </c>
      <c r="AO445" s="289">
        <f t="shared" si="112"/>
        <v>-1.1848871092433644</v>
      </c>
      <c r="AP445" s="246"/>
      <c r="AQ445" s="246">
        <v>-187</v>
      </c>
      <c r="AR445" s="246"/>
      <c r="AS445" s="246"/>
      <c r="AT445" s="246"/>
      <c r="AU445" s="246"/>
      <c r="AV445" s="246"/>
      <c r="AW445" s="246"/>
      <c r="AX445" s="246"/>
      <c r="AY445" s="246"/>
      <c r="AZ445" s="246"/>
      <c r="BA445" s="246"/>
      <c r="BB445" s="246"/>
      <c r="BC445" s="246"/>
      <c r="BD445" s="246"/>
      <c r="BE445" s="246"/>
      <c r="BF445" s="246"/>
      <c r="BG445" s="246"/>
      <c r="BH445" s="246"/>
      <c r="BI445" s="246"/>
      <c r="BJ445" s="246"/>
    </row>
    <row r="446" spans="1:62" ht="18">
      <c r="A446" t="str">
        <f t="shared" si="89"/>
        <v>Divers</v>
      </c>
      <c r="B446" s="7"/>
      <c r="C446" s="246"/>
      <c r="D446" s="246"/>
      <c r="E446" s="246"/>
      <c r="F446" s="246"/>
      <c r="G446" s="246"/>
      <c r="H446" s="246"/>
      <c r="I446" s="246"/>
      <c r="J446" s="246"/>
      <c r="K446" s="246"/>
      <c r="L446" s="246"/>
      <c r="M446" s="246"/>
      <c r="N446" s="246"/>
      <c r="O446" s="246"/>
      <c r="P446" s="246"/>
      <c r="Q446" s="310"/>
      <c r="R446" s="246"/>
      <c r="S446" s="246"/>
      <c r="T446" s="246"/>
      <c r="U446" s="246"/>
      <c r="V446" s="102" t="s">
        <v>60</v>
      </c>
      <c r="W446" s="286" t="s">
        <v>235</v>
      </c>
      <c r="X446" s="279"/>
      <c r="Y446" s="287"/>
      <c r="Z446" s="280">
        <f t="shared" si="108"/>
        <v>1858</v>
      </c>
      <c r="AA446" s="279"/>
      <c r="AB446" s="287"/>
      <c r="AC446" s="280"/>
      <c r="AD446" s="288"/>
      <c r="AE446" s="287"/>
      <c r="AF446" s="280">
        <f t="shared" si="109"/>
        <v>1851</v>
      </c>
      <c r="AG446" s="281"/>
      <c r="AH446" s="282">
        <f t="shared" si="106"/>
        <v>-7</v>
      </c>
      <c r="AI446" s="306">
        <f t="shared" si="110"/>
        <v>-3.7674919268030141E-3</v>
      </c>
      <c r="AJ446" s="288"/>
      <c r="AK446" s="279"/>
      <c r="AL446" s="280">
        <f t="shared" si="111"/>
        <v>2306.5000000000005</v>
      </c>
      <c r="AM446" s="284"/>
      <c r="AN446" s="282">
        <f t="shared" si="107"/>
        <v>-455.50000000000045</v>
      </c>
      <c r="AO446" s="289">
        <f t="shared" si="112"/>
        <v>-0.19748536743984407</v>
      </c>
      <c r="AP446" s="246"/>
      <c r="AQ446" s="246">
        <v>1851</v>
      </c>
      <c r="AR446" s="246"/>
      <c r="AS446" s="246"/>
      <c r="AT446" s="246"/>
      <c r="AU446" s="246"/>
      <c r="AV446" s="246"/>
      <c r="AW446" s="246"/>
      <c r="AX446" s="246"/>
      <c r="AY446" s="246"/>
      <c r="AZ446" s="246"/>
      <c r="BA446" s="246"/>
      <c r="BB446" s="246"/>
      <c r="BC446" s="246"/>
      <c r="BD446" s="246"/>
      <c r="BE446" s="246"/>
      <c r="BF446" s="246"/>
      <c r="BG446" s="246"/>
      <c r="BH446" s="246"/>
      <c r="BI446" s="246"/>
      <c r="BJ446" s="246"/>
    </row>
    <row r="447" spans="1:62" ht="18">
      <c r="A447" t="str">
        <f t="shared" si="89"/>
        <v>Formation</v>
      </c>
      <c r="B447" s="7"/>
      <c r="C447" s="246"/>
      <c r="D447" s="246"/>
      <c r="E447" s="246"/>
      <c r="F447" s="246"/>
      <c r="G447" s="246"/>
      <c r="H447" s="246"/>
      <c r="I447" s="246"/>
      <c r="J447" s="246"/>
      <c r="K447" s="246"/>
      <c r="L447" s="246"/>
      <c r="M447" s="246"/>
      <c r="N447" s="246"/>
      <c r="O447" s="246"/>
      <c r="P447" s="246"/>
      <c r="Q447" s="310"/>
      <c r="R447" s="246"/>
      <c r="S447" s="246"/>
      <c r="T447" s="246"/>
      <c r="U447" s="246"/>
      <c r="V447" s="102" t="s">
        <v>61</v>
      </c>
      <c r="W447" s="286" t="s">
        <v>236</v>
      </c>
      <c r="X447" s="279"/>
      <c r="Y447" s="287"/>
      <c r="Z447" s="280">
        <f t="shared" si="108"/>
        <v>2609.9010666666663</v>
      </c>
      <c r="AA447" s="279"/>
      <c r="AB447" s="287"/>
      <c r="AC447" s="280"/>
      <c r="AD447" s="288"/>
      <c r="AE447" s="287"/>
      <c r="AF447" s="280">
        <f t="shared" si="109"/>
        <v>2166.61</v>
      </c>
      <c r="AG447" s="281"/>
      <c r="AH447" s="282">
        <f t="shared" si="106"/>
        <v>-443.29106666666621</v>
      </c>
      <c r="AI447" s="283">
        <f t="shared" si="110"/>
        <v>-0.16984975880056333</v>
      </c>
      <c r="AJ447" s="288"/>
      <c r="AK447" s="279"/>
      <c r="AL447" s="280">
        <f t="shared" si="111"/>
        <v>2519.7400000000002</v>
      </c>
      <c r="AM447" s="284"/>
      <c r="AN447" s="282">
        <f t="shared" si="107"/>
        <v>-353.13000000000011</v>
      </c>
      <c r="AO447" s="289">
        <f t="shared" si="112"/>
        <v>-0.14014541182820453</v>
      </c>
      <c r="AP447" s="246"/>
      <c r="AQ447" s="246">
        <v>2167</v>
      </c>
      <c r="AR447" s="246"/>
      <c r="AS447" s="246"/>
      <c r="AT447" s="246"/>
      <c r="AU447" s="246"/>
      <c r="AV447" s="246"/>
      <c r="AW447" s="246"/>
      <c r="AX447" s="246"/>
      <c r="AY447" s="246"/>
      <c r="AZ447" s="246"/>
      <c r="BA447" s="246"/>
      <c r="BB447" s="246"/>
      <c r="BC447" s="246"/>
      <c r="BD447" s="246"/>
      <c r="BE447" s="246"/>
      <c r="BF447" s="246"/>
      <c r="BG447" s="246"/>
      <c r="BH447" s="246"/>
      <c r="BI447" s="246"/>
      <c r="BJ447" s="246"/>
    </row>
    <row r="448" spans="1:62" ht="18">
      <c r="A448" t="str">
        <f t="shared" si="89"/>
        <v>Frais bancaires</v>
      </c>
      <c r="B448" s="7"/>
      <c r="C448" s="246"/>
      <c r="D448" s="246"/>
      <c r="E448" s="246"/>
      <c r="F448" s="246"/>
      <c r="G448" s="246"/>
      <c r="H448" s="246"/>
      <c r="I448" s="246"/>
      <c r="J448" s="246"/>
      <c r="K448" s="246"/>
      <c r="L448" s="246"/>
      <c r="M448" s="246"/>
      <c r="N448" s="246"/>
      <c r="O448" s="246"/>
      <c r="P448" s="246"/>
      <c r="Q448" s="310"/>
      <c r="R448" s="246"/>
      <c r="S448" s="246"/>
      <c r="T448" s="246"/>
      <c r="U448" s="246"/>
      <c r="V448" s="102" t="s">
        <v>62</v>
      </c>
      <c r="W448" s="286" t="s">
        <v>237</v>
      </c>
      <c r="X448" s="279"/>
      <c r="Y448" s="287">
        <f>Z448/Z406</f>
        <v>1.5100000000000001E-3</v>
      </c>
      <c r="Z448" s="280">
        <f t="shared" si="108"/>
        <v>6185.4364206801329</v>
      </c>
      <c r="AA448" s="279"/>
      <c r="AB448" s="287"/>
      <c r="AC448" s="280"/>
      <c r="AD448" s="288"/>
      <c r="AE448" s="287"/>
      <c r="AF448" s="280">
        <f t="shared" si="109"/>
        <v>4439.45</v>
      </c>
      <c r="AG448" s="281"/>
      <c r="AH448" s="282">
        <f t="shared" si="106"/>
        <v>-1745.9864206801331</v>
      </c>
      <c r="AI448" s="283">
        <f t="shared" si="110"/>
        <v>-0.28227376403751786</v>
      </c>
      <c r="AJ448" s="288"/>
      <c r="AK448" s="279"/>
      <c r="AL448" s="280">
        <f t="shared" si="111"/>
        <v>5844.0000000000009</v>
      </c>
      <c r="AM448" s="284"/>
      <c r="AN448" s="282">
        <f>AF448-AL448</f>
        <v>-1404.5500000000011</v>
      </c>
      <c r="AO448" s="289">
        <f>IF(AL448=0,0,AN448/AL448)</f>
        <v>-0.2403405201916497</v>
      </c>
      <c r="AP448" s="246"/>
      <c r="AQ448" s="246">
        <v>4439</v>
      </c>
      <c r="AR448" s="246"/>
      <c r="AS448" s="246"/>
      <c r="AT448" s="246"/>
      <c r="AU448" s="246"/>
      <c r="AV448" s="246"/>
      <c r="AW448" s="246"/>
      <c r="AX448" s="246"/>
      <c r="AY448" s="246"/>
      <c r="AZ448" s="246"/>
      <c r="BA448" s="246"/>
      <c r="BB448" s="246"/>
      <c r="BC448" s="246"/>
      <c r="BD448" s="246"/>
      <c r="BE448" s="246"/>
      <c r="BF448" s="246"/>
      <c r="BG448" s="246"/>
      <c r="BH448" s="246"/>
      <c r="BI448" s="246"/>
      <c r="BJ448" s="246"/>
    </row>
    <row r="449" spans="1:62" ht="18" hidden="1">
      <c r="A449" t="str">
        <f t="shared" si="89"/>
        <v>[...]</v>
      </c>
      <c r="B449" s="7"/>
      <c r="C449" s="246"/>
      <c r="D449" s="246"/>
      <c r="E449" s="246"/>
      <c r="F449" s="246"/>
      <c r="G449" s="246"/>
      <c r="H449" s="246"/>
      <c r="I449" s="246"/>
      <c r="J449" s="246"/>
      <c r="K449" s="246"/>
      <c r="L449" s="246"/>
      <c r="M449" s="246"/>
      <c r="N449" s="246"/>
      <c r="O449" s="246"/>
      <c r="P449" s="246"/>
      <c r="Q449" s="310"/>
      <c r="R449" s="246"/>
      <c r="S449" s="246"/>
      <c r="T449" s="246"/>
      <c r="U449" s="246"/>
      <c r="V449" s="102" t="s">
        <v>19</v>
      </c>
      <c r="W449" s="286"/>
      <c r="X449" s="279"/>
      <c r="Y449" s="287"/>
      <c r="Z449" s="282">
        <f>IFERROR(SUMIF($C:$C,$V449,F:F),0)</f>
        <v>0</v>
      </c>
      <c r="AA449" s="279"/>
      <c r="AB449" s="279"/>
      <c r="AC449" s="282"/>
      <c r="AD449" s="288"/>
      <c r="AE449" s="287"/>
      <c r="AF449" s="280">
        <f t="shared" si="109"/>
        <v>0</v>
      </c>
      <c r="AG449" s="281"/>
      <c r="AH449" s="282">
        <f t="shared" si="106"/>
        <v>0</v>
      </c>
      <c r="AI449" s="283">
        <f t="shared" si="110"/>
        <v>0</v>
      </c>
      <c r="AJ449" s="288"/>
      <c r="AK449" s="279"/>
      <c r="AL449" s="280">
        <f>IFERROR(SUMIF($C:$C,$V449,Q:Q),0)</f>
        <v>0</v>
      </c>
      <c r="AM449" s="284"/>
      <c r="AN449" s="282">
        <f>AF449-AL449</f>
        <v>0</v>
      </c>
      <c r="AO449" s="289">
        <f>IF(AL449=0,0,AN449/AL449)</f>
        <v>0</v>
      </c>
      <c r="AP449" s="246"/>
      <c r="AQ449" s="246"/>
      <c r="AR449" s="246"/>
      <c r="AS449" s="246"/>
      <c r="AT449" s="246"/>
      <c r="AU449" s="246"/>
      <c r="AV449" s="246"/>
      <c r="AW449" s="246"/>
      <c r="AX449" s="246"/>
      <c r="AY449" s="246"/>
      <c r="AZ449" s="246"/>
      <c r="BA449" s="246"/>
      <c r="BB449" s="246"/>
      <c r="BC449" s="246"/>
      <c r="BD449" s="246"/>
      <c r="BE449" s="246"/>
      <c r="BF449" s="246"/>
      <c r="BG449" s="246"/>
      <c r="BH449" s="246"/>
      <c r="BI449" s="246"/>
      <c r="BJ449" s="246"/>
    </row>
    <row r="450" spans="1:62" ht="18" hidden="1">
      <c r="A450" t="str">
        <f t="shared" si="89"/>
        <v>[...]</v>
      </c>
      <c r="B450" s="7"/>
      <c r="C450" s="246"/>
      <c r="D450" s="246"/>
      <c r="E450" s="246"/>
      <c r="F450" s="246"/>
      <c r="G450" s="246"/>
      <c r="H450" s="246"/>
      <c r="I450" s="246"/>
      <c r="J450" s="246"/>
      <c r="K450" s="246"/>
      <c r="L450" s="246"/>
      <c r="M450" s="246"/>
      <c r="N450" s="246"/>
      <c r="O450" s="246"/>
      <c r="P450" s="246"/>
      <c r="Q450" s="310"/>
      <c r="R450" s="246"/>
      <c r="S450" s="246"/>
      <c r="T450" s="246"/>
      <c r="U450" s="246"/>
      <c r="V450" s="102" t="s">
        <v>19</v>
      </c>
      <c r="W450" s="286"/>
      <c r="X450" s="279"/>
      <c r="Y450" s="287"/>
      <c r="Z450" s="282">
        <f>IFERROR(SUMIF($C:$C,$V450,F:F),0)</f>
        <v>0</v>
      </c>
      <c r="AA450" s="279"/>
      <c r="AB450" s="279"/>
      <c r="AC450" s="282"/>
      <c r="AD450" s="288"/>
      <c r="AE450" s="287"/>
      <c r="AF450" s="280">
        <f t="shared" si="109"/>
        <v>0</v>
      </c>
      <c r="AG450" s="281"/>
      <c r="AH450" s="282">
        <f t="shared" si="106"/>
        <v>0</v>
      </c>
      <c r="AI450" s="283">
        <f t="shared" si="110"/>
        <v>0</v>
      </c>
      <c r="AJ450" s="288"/>
      <c r="AK450" s="279"/>
      <c r="AL450" s="280">
        <f>IFERROR(SUMIF($C:$C,$V450,Q:Q),0)</f>
        <v>0</v>
      </c>
      <c r="AM450" s="284"/>
      <c r="AN450" s="282">
        <f>AF450-AL450</f>
        <v>0</v>
      </c>
      <c r="AO450" s="289">
        <f>IF(AL450=0,0,AN450/AL450)</f>
        <v>0</v>
      </c>
      <c r="AP450" s="246"/>
      <c r="AQ450" s="246"/>
      <c r="AR450" s="246"/>
      <c r="AS450" s="246"/>
      <c r="AT450" s="246"/>
      <c r="AU450" s="246"/>
      <c r="AV450" s="246"/>
      <c r="AW450" s="246"/>
      <c r="AX450" s="246"/>
      <c r="AY450" s="246"/>
      <c r="AZ450" s="246"/>
      <c r="BA450" s="246"/>
      <c r="BB450" s="246"/>
      <c r="BC450" s="246"/>
      <c r="BD450" s="246"/>
      <c r="BE450" s="246"/>
      <c r="BF450" s="246"/>
      <c r="BG450" s="246"/>
      <c r="BH450" s="246"/>
      <c r="BI450" s="246"/>
      <c r="BJ450" s="246"/>
    </row>
    <row r="451" spans="1:62" ht="18" hidden="1">
      <c r="A451" t="str">
        <f t="shared" si="89"/>
        <v>[...]</v>
      </c>
      <c r="B451" s="7"/>
      <c r="C451" s="246"/>
      <c r="D451" s="246"/>
      <c r="E451" s="246"/>
      <c r="F451" s="246"/>
      <c r="G451" s="246"/>
      <c r="H451" s="246"/>
      <c r="I451" s="246"/>
      <c r="J451" s="246"/>
      <c r="K451" s="246"/>
      <c r="L451" s="246"/>
      <c r="M451" s="246"/>
      <c r="N451" s="246"/>
      <c r="O451" s="246"/>
      <c r="P451" s="329"/>
      <c r="Q451" s="310"/>
      <c r="R451" s="246"/>
      <c r="S451" s="246"/>
      <c r="T451" s="246"/>
      <c r="U451" s="246"/>
      <c r="V451" s="102" t="s">
        <v>19</v>
      </c>
      <c r="W451" s="286"/>
      <c r="X451" s="279"/>
      <c r="Y451" s="287"/>
      <c r="Z451" s="282">
        <f>IFERROR(SUMIF($C:$C,$V451,F:F),0)</f>
        <v>0</v>
      </c>
      <c r="AA451" s="279"/>
      <c r="AB451" s="279"/>
      <c r="AC451" s="282"/>
      <c r="AD451" s="288"/>
      <c r="AE451" s="287"/>
      <c r="AF451" s="280">
        <f t="shared" si="109"/>
        <v>0</v>
      </c>
      <c r="AG451" s="281"/>
      <c r="AH451" s="282">
        <f t="shared" si="106"/>
        <v>0</v>
      </c>
      <c r="AI451" s="283">
        <f t="shared" si="110"/>
        <v>0</v>
      </c>
      <c r="AJ451" s="288"/>
      <c r="AK451" s="279"/>
      <c r="AL451" s="280">
        <f>IFERROR(SUMIF($C:$C,$V451,Q:Q),0)</f>
        <v>0</v>
      </c>
      <c r="AM451" s="284"/>
      <c r="AN451" s="282">
        <f>AF451-AL451</f>
        <v>0</v>
      </c>
      <c r="AO451" s="289">
        <f>IF(AL451=0,0,AN451/AL451)</f>
        <v>0</v>
      </c>
      <c r="AP451" s="246"/>
      <c r="AQ451" s="246"/>
      <c r="AR451" s="246"/>
      <c r="AS451" s="246"/>
      <c r="AT451" s="246"/>
      <c r="AU451" s="246"/>
      <c r="AV451" s="246"/>
      <c r="AW451" s="246"/>
      <c r="AX451" s="246"/>
      <c r="AY451" s="246"/>
      <c r="AZ451" s="246"/>
      <c r="BA451" s="246"/>
      <c r="BB451" s="246"/>
      <c r="BC451" s="246"/>
      <c r="BD451" s="246"/>
      <c r="BE451" s="246"/>
      <c r="BF451" s="246"/>
      <c r="BG451" s="246"/>
      <c r="BH451" s="246"/>
      <c r="BI451" s="246"/>
      <c r="BJ451" s="246"/>
    </row>
    <row r="452" spans="1:62" ht="18">
      <c r="A452" t="str">
        <f t="shared" si="89"/>
        <v>TOTAL SEMI-FIXES</v>
      </c>
      <c r="B452" s="7"/>
      <c r="C452" s="246"/>
      <c r="D452" s="246"/>
      <c r="E452" s="246"/>
      <c r="F452" s="246"/>
      <c r="G452" s="246"/>
      <c r="H452" s="246"/>
      <c r="I452" s="246"/>
      <c r="J452" s="246"/>
      <c r="K452" s="246"/>
      <c r="L452" s="246"/>
      <c r="M452" s="246"/>
      <c r="N452" s="246"/>
      <c r="O452" s="246"/>
      <c r="P452" s="246"/>
      <c r="Q452" s="310"/>
      <c r="R452" s="246"/>
      <c r="S452" s="246"/>
      <c r="T452" s="246"/>
      <c r="U452" s="246"/>
      <c r="V452" s="296" t="s">
        <v>63</v>
      </c>
      <c r="W452" s="330"/>
      <c r="X452" s="298">
        <f>Z452/+Z407</f>
        <v>0.15918025559682514</v>
      </c>
      <c r="Y452" s="297"/>
      <c r="Z452" s="299">
        <f>+SUM(Z434:Z451)</f>
        <v>68794.135042869806</v>
      </c>
      <c r="AA452" s="298"/>
      <c r="AB452" s="297"/>
      <c r="AC452" s="299"/>
      <c r="AD452" s="300">
        <f>AF452/AF407</f>
        <v>0.24902360671202622</v>
      </c>
      <c r="AE452" s="297"/>
      <c r="AF452" s="299">
        <f>+SUM(AF434:AF451)</f>
        <v>69731.680000000008</v>
      </c>
      <c r="AG452" s="308"/>
      <c r="AH452" s="302">
        <f>+SUM(AH434:AH451)</f>
        <v>937.54495713020742</v>
      </c>
      <c r="AI452" s="298">
        <f>AH452/Z452</f>
        <v>1.3628268696829551E-2</v>
      </c>
      <c r="AJ452" s="300">
        <f>IF($AL$407=0,0,AL452/$AL$407)</f>
        <v>0.14575182664604414</v>
      </c>
      <c r="AK452" s="298"/>
      <c r="AL452" s="299">
        <f>+SUM(AL434:AL451)</f>
        <v>72611.760000000009</v>
      </c>
      <c r="AM452" s="309"/>
      <c r="AN452" s="302">
        <f>+SUM(AN434:AN451)</f>
        <v>-2880.0799999999908</v>
      </c>
      <c r="AO452" s="331">
        <f>IF(AL452=0,0,AN452/AL452)</f>
        <v>-3.9664098487627766E-2</v>
      </c>
      <c r="AP452" s="246"/>
      <c r="AQ452" s="246"/>
      <c r="AR452" s="246"/>
      <c r="AS452" s="246"/>
      <c r="AT452" s="246"/>
      <c r="AU452" s="246"/>
      <c r="AV452" s="246"/>
      <c r="AW452" s="246"/>
      <c r="AX452" s="246"/>
      <c r="AY452" s="246"/>
      <c r="AZ452" s="246"/>
      <c r="BA452" s="246"/>
      <c r="BB452" s="246"/>
      <c r="BC452" s="246"/>
      <c r="BD452" s="246"/>
      <c r="BE452" s="246"/>
      <c r="BF452" s="246"/>
      <c r="BG452" s="246"/>
      <c r="BH452" s="246"/>
      <c r="BI452" s="246"/>
      <c r="BJ452" s="246"/>
    </row>
    <row r="453" spans="1:62" ht="18">
      <c r="A453" t="str">
        <f t="shared" si="89"/>
        <v>Loyer</v>
      </c>
      <c r="B453" s="7"/>
      <c r="C453" s="246"/>
      <c r="D453" s="246"/>
      <c r="E453" s="246"/>
      <c r="F453" s="246"/>
      <c r="G453" s="246"/>
      <c r="H453" s="246"/>
      <c r="I453" s="246"/>
      <c r="J453" s="246"/>
      <c r="K453" s="246"/>
      <c r="L453" s="246"/>
      <c r="M453" s="246"/>
      <c r="N453" s="246"/>
      <c r="O453" s="246"/>
      <c r="P453" s="246"/>
      <c r="Q453" s="246"/>
      <c r="R453" s="246"/>
      <c r="S453" s="246"/>
      <c r="T453" s="246"/>
      <c r="U453" s="246"/>
      <c r="V453" s="102" t="s">
        <v>157</v>
      </c>
      <c r="W453" s="286" t="s">
        <v>158</v>
      </c>
      <c r="X453" s="279"/>
      <c r="Y453" s="287"/>
      <c r="Z453" s="280">
        <v>50000</v>
      </c>
      <c r="AA453" s="279"/>
      <c r="AB453" s="287"/>
      <c r="AC453" s="280"/>
      <c r="AD453" s="288"/>
      <c r="AE453" s="287"/>
      <c r="AF453" s="280">
        <v>50000</v>
      </c>
      <c r="AG453" s="281"/>
      <c r="AH453" s="282">
        <f t="shared" ref="AH453:AH461" si="113">AF453-Z453</f>
        <v>0</v>
      </c>
      <c r="AI453" s="283">
        <f t="shared" ref="AI453:AI461" si="114">IF(Z453=0,0,AH453/Z453)</f>
        <v>0</v>
      </c>
      <c r="AJ453" s="288"/>
      <c r="AK453" s="279"/>
      <c r="AL453" s="280">
        <v>50000</v>
      </c>
      <c r="AM453" s="284"/>
      <c r="AN453" s="282">
        <f>AF453-AL453</f>
        <v>0</v>
      </c>
      <c r="AO453" s="289">
        <f t="shared" ref="AO453:AO461" si="115">IF(AL453=0,0,AN453/AL453)</f>
        <v>0</v>
      </c>
      <c r="AP453" s="246"/>
      <c r="AQ453" s="486">
        <v>50000</v>
      </c>
      <c r="AR453" s="310"/>
      <c r="AS453" s="246"/>
      <c r="AT453" s="246"/>
      <c r="AU453" s="246"/>
      <c r="AV453" s="246"/>
      <c r="AW453" s="246"/>
      <c r="AX453" s="246"/>
      <c r="AY453" s="246"/>
      <c r="AZ453" s="246"/>
      <c r="BA453" s="246"/>
      <c r="BB453" s="246"/>
      <c r="BC453" s="246"/>
      <c r="BD453" s="246"/>
      <c r="BE453" s="246"/>
      <c r="BF453" s="246"/>
      <c r="BG453" s="246"/>
      <c r="BH453" s="246"/>
      <c r="BI453" s="246"/>
      <c r="BJ453" s="246"/>
    </row>
    <row r="454" spans="1:62" ht="18">
      <c r="A454" t="str">
        <f t="shared" si="89"/>
        <v>Taxes foncières</v>
      </c>
      <c r="B454" s="7"/>
      <c r="C454" s="246"/>
      <c r="D454" s="246"/>
      <c r="E454" s="246"/>
      <c r="F454" s="246"/>
      <c r="G454" s="246"/>
      <c r="H454" s="246"/>
      <c r="I454" s="246"/>
      <c r="J454" s="246"/>
      <c r="K454" s="246"/>
      <c r="L454" s="246"/>
      <c r="M454" s="246"/>
      <c r="N454" s="246"/>
      <c r="O454" s="246"/>
      <c r="P454" s="246"/>
      <c r="Q454" s="246"/>
      <c r="R454" s="246"/>
      <c r="S454" s="246"/>
      <c r="T454" s="246"/>
      <c r="U454" s="246"/>
      <c r="V454" s="102" t="s">
        <v>159</v>
      </c>
      <c r="W454" s="286" t="s">
        <v>160</v>
      </c>
      <c r="X454" s="279"/>
      <c r="Y454" s="287"/>
      <c r="Z454" s="280">
        <v>5872.14</v>
      </c>
      <c r="AA454" s="279"/>
      <c r="AB454" s="287"/>
      <c r="AC454" s="280"/>
      <c r="AD454" s="288"/>
      <c r="AE454" s="287"/>
      <c r="AF454" s="280">
        <v>5535.51</v>
      </c>
      <c r="AG454" s="281"/>
      <c r="AH454" s="282">
        <f t="shared" si="113"/>
        <v>-336.63000000000011</v>
      </c>
      <c r="AI454" s="283">
        <f t="shared" si="114"/>
        <v>-5.7326630495866941E-2</v>
      </c>
      <c r="AJ454" s="288"/>
      <c r="AK454" s="279"/>
      <c r="AL454" s="280">
        <v>5619.66</v>
      </c>
      <c r="AM454" s="284"/>
      <c r="AN454" s="282">
        <f t="shared" ref="AN454:AN461" si="116">AF454-AL454</f>
        <v>-84.149999999999636</v>
      </c>
      <c r="AO454" s="289">
        <f t="shared" si="115"/>
        <v>-1.4974215521935426E-2</v>
      </c>
      <c r="AP454" s="246"/>
      <c r="AQ454" s="486">
        <v>5536</v>
      </c>
      <c r="AR454" s="310"/>
      <c r="AS454" s="246"/>
      <c r="AT454" s="246"/>
      <c r="AU454" s="246"/>
      <c r="AV454" s="246"/>
      <c r="AW454" s="246"/>
      <c r="AX454" s="246"/>
      <c r="AY454" s="246"/>
      <c r="AZ454" s="246"/>
      <c r="BA454" s="246"/>
      <c r="BB454" s="246"/>
      <c r="BC454" s="246"/>
      <c r="BD454" s="246"/>
      <c r="BE454" s="246"/>
      <c r="BF454" s="246"/>
      <c r="BG454" s="246"/>
      <c r="BH454" s="246"/>
      <c r="BI454" s="246"/>
      <c r="BJ454" s="246"/>
    </row>
    <row r="455" spans="1:62" ht="18">
      <c r="A455" t="str">
        <f t="shared" si="89"/>
        <v>Taxes d`affaires</v>
      </c>
      <c r="B455" s="7"/>
      <c r="C455" s="246"/>
      <c r="D455" s="246"/>
      <c r="E455" s="246"/>
      <c r="F455" s="246"/>
      <c r="G455" s="246"/>
      <c r="H455" s="246"/>
      <c r="I455" s="246"/>
      <c r="J455" s="246"/>
      <c r="K455" s="246"/>
      <c r="L455" s="246"/>
      <c r="M455" s="246"/>
      <c r="N455" s="246"/>
      <c r="O455" s="246"/>
      <c r="P455" s="246"/>
      <c r="Q455" s="246"/>
      <c r="R455" s="246"/>
      <c r="S455" s="246"/>
      <c r="T455" s="246"/>
      <c r="U455" s="246"/>
      <c r="V455" s="103" t="s">
        <v>161</v>
      </c>
      <c r="W455" s="290" t="s">
        <v>162</v>
      </c>
      <c r="X455" s="263"/>
      <c r="Y455" s="291"/>
      <c r="Z455" s="264">
        <v>2516.63</v>
      </c>
      <c r="AA455" s="263"/>
      <c r="AB455" s="291"/>
      <c r="AC455" s="264"/>
      <c r="AD455" s="292"/>
      <c r="AE455" s="291"/>
      <c r="AF455" s="264">
        <v>2372.3599999999997</v>
      </c>
      <c r="AG455" s="265"/>
      <c r="AH455" s="266">
        <f t="shared" si="113"/>
        <v>-144.27000000000044</v>
      </c>
      <c r="AI455" s="293">
        <f t="shared" si="114"/>
        <v>-5.7326663037474891E-2</v>
      </c>
      <c r="AJ455" s="292"/>
      <c r="AK455" s="263"/>
      <c r="AL455" s="264">
        <v>2408.4299999999998</v>
      </c>
      <c r="AM455" s="268"/>
      <c r="AN455" s="266">
        <f t="shared" si="116"/>
        <v>-36.070000000000164</v>
      </c>
      <c r="AO455" s="269">
        <f t="shared" si="115"/>
        <v>-1.4976561494417595E-2</v>
      </c>
      <c r="AP455" s="246"/>
      <c r="AQ455" s="486">
        <v>2372</v>
      </c>
      <c r="AR455" s="310"/>
      <c r="AS455" s="246"/>
      <c r="AT455" s="246"/>
      <c r="AU455" s="246"/>
      <c r="AV455" s="246"/>
      <c r="AW455" s="246"/>
      <c r="AX455" s="246"/>
      <c r="AY455" s="246"/>
      <c r="AZ455" s="246"/>
      <c r="BA455" s="246"/>
      <c r="BB455" s="246"/>
      <c r="BC455" s="246"/>
      <c r="BD455" s="246"/>
      <c r="BE455" s="246"/>
      <c r="BF455" s="246"/>
      <c r="BG455" s="246"/>
      <c r="BH455" s="246"/>
      <c r="BI455" s="246"/>
      <c r="BJ455" s="246"/>
    </row>
    <row r="456" spans="1:62" ht="18">
      <c r="A456" t="str">
        <f t="shared" si="89"/>
        <v>Taxe sur le capital</v>
      </c>
      <c r="B456" s="7"/>
      <c r="C456" s="246"/>
      <c r="D456" s="246"/>
      <c r="E456" s="246"/>
      <c r="F456" s="246"/>
      <c r="G456" s="246"/>
      <c r="H456" s="246"/>
      <c r="I456" s="246"/>
      <c r="J456" s="246"/>
      <c r="K456" s="246"/>
      <c r="L456" s="246"/>
      <c r="M456" s="246"/>
      <c r="N456" s="246"/>
      <c r="O456" s="246"/>
      <c r="P456" s="246"/>
      <c r="Q456" s="246"/>
      <c r="R456" s="246"/>
      <c r="S456" s="246"/>
      <c r="T456" s="246"/>
      <c r="U456" s="246"/>
      <c r="V456" s="102" t="s">
        <v>163</v>
      </c>
      <c r="W456" s="286"/>
      <c r="X456" s="279"/>
      <c r="Y456" s="287"/>
      <c r="Z456" s="280">
        <v>0</v>
      </c>
      <c r="AA456" s="279"/>
      <c r="AB456" s="287"/>
      <c r="AC456" s="280"/>
      <c r="AD456" s="288"/>
      <c r="AE456" s="287"/>
      <c r="AF456" s="280">
        <v>0</v>
      </c>
      <c r="AG456" s="281"/>
      <c r="AH456" s="282">
        <f t="shared" si="113"/>
        <v>0</v>
      </c>
      <c r="AI456" s="283">
        <f t="shared" si="114"/>
        <v>0</v>
      </c>
      <c r="AJ456" s="288"/>
      <c r="AK456" s="279"/>
      <c r="AL456" s="280">
        <v>0</v>
      </c>
      <c r="AM456" s="284"/>
      <c r="AN456" s="282">
        <f t="shared" si="116"/>
        <v>0</v>
      </c>
      <c r="AO456" s="289">
        <f t="shared" si="115"/>
        <v>0</v>
      </c>
      <c r="AP456" s="246"/>
      <c r="AQ456" s="246"/>
      <c r="AR456" s="310"/>
      <c r="AS456" s="246"/>
      <c r="AT456" s="246"/>
      <c r="AU456" s="246"/>
      <c r="AV456" s="246"/>
      <c r="AW456" s="246"/>
      <c r="AX456" s="246"/>
      <c r="AY456" s="246"/>
      <c r="AZ456" s="246"/>
      <c r="BA456" s="246"/>
      <c r="BB456" s="246"/>
      <c r="BC456" s="246"/>
      <c r="BD456" s="246"/>
      <c r="BE456" s="246"/>
      <c r="BF456" s="246"/>
      <c r="BG456" s="246"/>
      <c r="BH456" s="246"/>
      <c r="BI456" s="246"/>
      <c r="BJ456" s="246"/>
    </row>
    <row r="457" spans="1:62" ht="18">
      <c r="A457" t="str">
        <f t="shared" si="89"/>
        <v>Assurances</v>
      </c>
      <c r="B457" s="7"/>
      <c r="C457" s="246"/>
      <c r="D457" s="246"/>
      <c r="E457" s="246"/>
      <c r="F457" s="246"/>
      <c r="G457" s="246"/>
      <c r="H457" s="246"/>
      <c r="I457" s="246"/>
      <c r="J457" s="246"/>
      <c r="K457" s="246"/>
      <c r="L457" s="246"/>
      <c r="M457" s="246"/>
      <c r="N457" s="246"/>
      <c r="O457" s="246"/>
      <c r="P457" s="246"/>
      <c r="Q457" s="246"/>
      <c r="R457" s="246"/>
      <c r="S457" s="246"/>
      <c r="T457" s="246"/>
      <c r="U457" s="246"/>
      <c r="V457" s="103" t="s">
        <v>164</v>
      </c>
      <c r="W457" s="290" t="s">
        <v>165</v>
      </c>
      <c r="X457" s="263"/>
      <c r="Y457" s="291"/>
      <c r="Z457" s="264">
        <v>4349.75</v>
      </c>
      <c r="AA457" s="263"/>
      <c r="AB457" s="291"/>
      <c r="AC457" s="264"/>
      <c r="AD457" s="292"/>
      <c r="AE457" s="291"/>
      <c r="AF457" s="264">
        <v>4349.75</v>
      </c>
      <c r="AG457" s="265"/>
      <c r="AH457" s="266">
        <f t="shared" si="113"/>
        <v>0</v>
      </c>
      <c r="AI457" s="293">
        <f t="shared" si="114"/>
        <v>0</v>
      </c>
      <c r="AJ457" s="292"/>
      <c r="AK457" s="263"/>
      <c r="AL457" s="264">
        <v>4772</v>
      </c>
      <c r="AM457" s="268"/>
      <c r="AN457" s="266">
        <f t="shared" si="116"/>
        <v>-422.25</v>
      </c>
      <c r="AO457" s="269">
        <f t="shared" si="115"/>
        <v>-8.8484911986588435E-2</v>
      </c>
      <c r="AP457" s="246"/>
      <c r="AQ457" s="486">
        <f>4350</f>
        <v>4350</v>
      </c>
      <c r="AR457" s="310"/>
      <c r="AS457" s="246"/>
      <c r="AT457" s="246"/>
      <c r="AU457" s="246"/>
      <c r="AV457" s="246"/>
      <c r="AW457" s="246"/>
      <c r="AX457" s="246"/>
      <c r="AY457" s="246"/>
      <c r="AZ457" s="246"/>
      <c r="BA457" s="246"/>
      <c r="BB457" s="246"/>
      <c r="BC457" s="246"/>
      <c r="BD457" s="246"/>
      <c r="BE457" s="246"/>
      <c r="BF457" s="246"/>
      <c r="BG457" s="246"/>
      <c r="BH457" s="246"/>
      <c r="BI457" s="246"/>
      <c r="BJ457" s="246"/>
    </row>
    <row r="458" spans="1:62" ht="18">
      <c r="A458" t="str">
        <f t="shared" si="89"/>
        <v>Chauffage, éclairage</v>
      </c>
      <c r="B458" s="7"/>
      <c r="C458" s="246"/>
      <c r="D458" s="246"/>
      <c r="E458" s="246"/>
      <c r="F458" s="246"/>
      <c r="G458" s="246"/>
      <c r="H458" s="246"/>
      <c r="I458" s="246"/>
      <c r="J458" s="246"/>
      <c r="K458" s="246"/>
      <c r="L458" s="246"/>
      <c r="M458" s="246"/>
      <c r="N458" s="246"/>
      <c r="O458" s="246"/>
      <c r="P458" s="246"/>
      <c r="Q458" s="246"/>
      <c r="R458" s="246"/>
      <c r="S458" s="246"/>
      <c r="T458" s="246"/>
      <c r="U458" s="246"/>
      <c r="V458" s="102" t="s">
        <v>166</v>
      </c>
      <c r="W458" s="286" t="s">
        <v>167</v>
      </c>
      <c r="X458" s="332"/>
      <c r="Y458" s="333"/>
      <c r="Z458" s="280">
        <v>4600</v>
      </c>
      <c r="AA458" s="332"/>
      <c r="AB458" s="333"/>
      <c r="AC458" s="280"/>
      <c r="AD458" s="288"/>
      <c r="AE458" s="287"/>
      <c r="AF458" s="280">
        <v>4381.46</v>
      </c>
      <c r="AG458" s="281"/>
      <c r="AH458" s="282">
        <f t="shared" si="113"/>
        <v>-218.53999999999996</v>
      </c>
      <c r="AI458" s="283">
        <f t="shared" si="114"/>
        <v>-4.7508695652173902E-2</v>
      </c>
      <c r="AJ458" s="288"/>
      <c r="AK458" s="279"/>
      <c r="AL458" s="280">
        <v>4262.91</v>
      </c>
      <c r="AM458" s="284"/>
      <c r="AN458" s="282">
        <f t="shared" si="116"/>
        <v>118.55000000000018</v>
      </c>
      <c r="AO458" s="289">
        <f t="shared" si="115"/>
        <v>2.7809641770527686E-2</v>
      </c>
      <c r="AP458" s="246"/>
      <c r="AQ458" s="246">
        <f>3631+750</f>
        <v>4381</v>
      </c>
      <c r="AR458" s="310"/>
      <c r="AS458" s="246"/>
      <c r="AT458" s="246"/>
      <c r="AU458" s="246"/>
      <c r="AV458" s="246"/>
      <c r="AW458" s="246"/>
      <c r="AX458" s="246"/>
      <c r="AY458" s="246"/>
      <c r="AZ458" s="246"/>
      <c r="BA458" s="246"/>
      <c r="BB458" s="246"/>
      <c r="BC458" s="246"/>
      <c r="BD458" s="246"/>
      <c r="BE458" s="246"/>
      <c r="BF458" s="246"/>
      <c r="BG458" s="246"/>
      <c r="BH458" s="246"/>
      <c r="BI458" s="246"/>
      <c r="BJ458" s="246"/>
    </row>
    <row r="459" spans="1:62" ht="18">
      <c r="A459" t="str">
        <f t="shared" si="89"/>
        <v>Honoraires</v>
      </c>
      <c r="B459" s="7"/>
      <c r="C459" s="246"/>
      <c r="D459" s="246"/>
      <c r="E459" s="246"/>
      <c r="F459" s="246"/>
      <c r="G459" s="246"/>
      <c r="H459" s="246"/>
      <c r="I459" s="246"/>
      <c r="J459" s="246"/>
      <c r="K459" s="246"/>
      <c r="L459" s="246"/>
      <c r="M459" s="246"/>
      <c r="N459" s="246"/>
      <c r="O459" s="246"/>
      <c r="P459" s="246"/>
      <c r="Q459" s="246"/>
      <c r="R459" s="246"/>
      <c r="S459" s="246"/>
      <c r="T459" s="246"/>
      <c r="U459" s="246"/>
      <c r="V459" s="102" t="s">
        <v>168</v>
      </c>
      <c r="W459" s="286" t="s">
        <v>152</v>
      </c>
      <c r="X459" s="279"/>
      <c r="Y459" s="287"/>
      <c r="Z459" s="280">
        <v>6643</v>
      </c>
      <c r="AA459" s="279"/>
      <c r="AB459" s="287"/>
      <c r="AC459" s="280"/>
      <c r="AD459" s="288"/>
      <c r="AE459" s="287"/>
      <c r="AF459" s="280">
        <v>6307.33</v>
      </c>
      <c r="AG459" s="281"/>
      <c r="AH459" s="282">
        <f t="shared" si="113"/>
        <v>-335.67000000000007</v>
      </c>
      <c r="AI459" s="283">
        <f t="shared" si="114"/>
        <v>-5.0529881077826293E-2</v>
      </c>
      <c r="AJ459" s="288"/>
      <c r="AK459" s="279"/>
      <c r="AL459" s="280">
        <v>6307.33</v>
      </c>
      <c r="AM459" s="284"/>
      <c r="AN459" s="282">
        <f t="shared" si="116"/>
        <v>0</v>
      </c>
      <c r="AO459" s="289">
        <f t="shared" si="115"/>
        <v>0</v>
      </c>
      <c r="AP459" s="246"/>
      <c r="AQ459" s="486">
        <v>6308</v>
      </c>
      <c r="AR459" s="310"/>
      <c r="AS459" s="246"/>
      <c r="AT459" s="246"/>
      <c r="AU459" s="246"/>
      <c r="AV459" s="246"/>
      <c r="AW459" s="246"/>
      <c r="AX459" s="246"/>
      <c r="AY459" s="246"/>
      <c r="AZ459" s="246"/>
      <c r="BA459" s="246"/>
      <c r="BB459" s="246"/>
      <c r="BC459" s="246"/>
      <c r="BD459" s="246"/>
      <c r="BE459" s="246"/>
      <c r="BF459" s="246"/>
      <c r="BG459" s="246"/>
      <c r="BH459" s="246"/>
      <c r="BI459" s="246"/>
      <c r="BJ459" s="246"/>
    </row>
    <row r="460" spans="1:62" ht="18">
      <c r="A460" t="str">
        <f t="shared" si="89"/>
        <v>Réparation équipement</v>
      </c>
      <c r="B460" s="7"/>
      <c r="C460" s="246"/>
      <c r="D460" s="246"/>
      <c r="E460" s="246"/>
      <c r="F460" s="246"/>
      <c r="G460" s="246"/>
      <c r="H460" s="246"/>
      <c r="I460" s="246"/>
      <c r="J460" s="246"/>
      <c r="K460" s="246"/>
      <c r="L460" s="246"/>
      <c r="M460" s="246"/>
      <c r="N460" s="246"/>
      <c r="O460" s="246"/>
      <c r="P460" s="246"/>
      <c r="Q460" s="246"/>
      <c r="R460" s="246"/>
      <c r="S460" s="246"/>
      <c r="T460" s="246"/>
      <c r="U460" s="246"/>
      <c r="V460" s="103" t="s">
        <v>170</v>
      </c>
      <c r="W460" s="290" t="s">
        <v>238</v>
      </c>
      <c r="X460" s="263"/>
      <c r="Y460" s="291"/>
      <c r="Z460" s="264">
        <v>500</v>
      </c>
      <c r="AA460" s="263"/>
      <c r="AB460" s="291"/>
      <c r="AC460" s="264"/>
      <c r="AD460" s="292"/>
      <c r="AE460" s="291"/>
      <c r="AF460" s="264">
        <v>468.55</v>
      </c>
      <c r="AG460" s="265"/>
      <c r="AH460" s="266">
        <f t="shared" si="113"/>
        <v>-31.449999999999989</v>
      </c>
      <c r="AI460" s="293">
        <f t="shared" si="114"/>
        <v>-6.2899999999999984E-2</v>
      </c>
      <c r="AJ460" s="292"/>
      <c r="AK460" s="263"/>
      <c r="AL460" s="264">
        <v>500</v>
      </c>
      <c r="AM460" s="268"/>
      <c r="AN460" s="266">
        <f t="shared" si="116"/>
        <v>-31.449999999999989</v>
      </c>
      <c r="AO460" s="269">
        <f t="shared" si="115"/>
        <v>-6.2899999999999984E-2</v>
      </c>
      <c r="AP460" s="246"/>
      <c r="AQ460" s="246">
        <f>509+360-400</f>
        <v>469</v>
      </c>
      <c r="AR460" s="310"/>
      <c r="AS460" s="246"/>
      <c r="AT460" s="246"/>
      <c r="AU460" s="246"/>
      <c r="AV460" s="246"/>
      <c r="AW460" s="246"/>
      <c r="AX460" s="246"/>
      <c r="AY460" s="246"/>
      <c r="AZ460" s="246"/>
      <c r="BA460" s="246"/>
      <c r="BB460" s="246"/>
      <c r="BC460" s="246"/>
      <c r="BD460" s="246"/>
      <c r="BE460" s="246"/>
      <c r="BF460" s="246"/>
      <c r="BG460" s="246"/>
      <c r="BH460" s="246"/>
      <c r="BI460" s="246"/>
      <c r="BJ460" s="246"/>
    </row>
    <row r="461" spans="1:62" ht="18">
      <c r="A461" t="str">
        <f t="shared" si="89"/>
        <v>Location équipement</v>
      </c>
      <c r="B461" s="7"/>
      <c r="C461" s="246"/>
      <c r="D461" s="246"/>
      <c r="E461" s="246"/>
      <c r="F461" s="246"/>
      <c r="G461" s="246"/>
      <c r="H461" s="246"/>
      <c r="I461" s="246"/>
      <c r="J461" s="246"/>
      <c r="K461" s="246"/>
      <c r="L461" s="246"/>
      <c r="M461" s="246"/>
      <c r="N461" s="246"/>
      <c r="O461" s="246"/>
      <c r="P461" s="246"/>
      <c r="Q461" s="246"/>
      <c r="R461" s="246"/>
      <c r="S461" s="246"/>
      <c r="T461" s="246"/>
      <c r="U461" s="334"/>
      <c r="V461" s="102" t="s">
        <v>172</v>
      </c>
      <c r="W461" s="286" t="s">
        <v>173</v>
      </c>
      <c r="X461" s="279"/>
      <c r="Y461" s="287"/>
      <c r="Z461" s="280">
        <v>275</v>
      </c>
      <c r="AA461" s="279"/>
      <c r="AB461" s="287"/>
      <c r="AC461" s="280"/>
      <c r="AD461" s="288"/>
      <c r="AE461" s="287"/>
      <c r="AF461" s="280">
        <v>173.96</v>
      </c>
      <c r="AG461" s="281"/>
      <c r="AH461" s="282">
        <f t="shared" si="113"/>
        <v>-101.03999999999999</v>
      </c>
      <c r="AI461" s="335">
        <f t="shared" si="114"/>
        <v>-0.36741818181818181</v>
      </c>
      <c r="AJ461" s="279"/>
      <c r="AK461" s="279"/>
      <c r="AL461" s="280">
        <v>255.96</v>
      </c>
      <c r="AM461" s="284"/>
      <c r="AN461" s="282">
        <f t="shared" si="116"/>
        <v>-82</v>
      </c>
      <c r="AO461" s="289">
        <f t="shared" si="115"/>
        <v>-0.32036255664947649</v>
      </c>
      <c r="AP461" s="246"/>
      <c r="AQ461" s="246">
        <v>174</v>
      </c>
      <c r="AR461" s="310"/>
      <c r="AS461" s="246"/>
      <c r="AT461" s="246"/>
      <c r="AU461" s="246"/>
      <c r="AV461" s="246"/>
      <c r="AW461" s="246"/>
      <c r="AX461" s="246"/>
      <c r="AY461" s="246"/>
      <c r="AZ461" s="246"/>
      <c r="BA461" s="246"/>
      <c r="BB461" s="246"/>
      <c r="BC461" s="246"/>
      <c r="BD461" s="246"/>
      <c r="BE461" s="246"/>
      <c r="BF461" s="246"/>
      <c r="BG461" s="246"/>
      <c r="BH461" s="246"/>
      <c r="BI461" s="246"/>
      <c r="BJ461" s="246"/>
    </row>
    <row r="462" spans="1:62" ht="18">
      <c r="A462" t="str">
        <f t="shared" si="89"/>
        <v>Dons</v>
      </c>
      <c r="B462" s="7"/>
      <c r="C462" s="246"/>
      <c r="D462" s="246"/>
      <c r="E462" s="246"/>
      <c r="F462" s="246"/>
      <c r="G462" s="246"/>
      <c r="H462" s="246"/>
      <c r="I462" s="246"/>
      <c r="J462" s="246"/>
      <c r="K462" s="246"/>
      <c r="L462" s="246"/>
      <c r="M462" s="246"/>
      <c r="N462" s="246"/>
      <c r="O462" s="246"/>
      <c r="P462" s="246"/>
      <c r="Q462" s="246"/>
      <c r="R462" s="246"/>
      <c r="S462" s="246"/>
      <c r="T462" s="246"/>
      <c r="U462" s="334"/>
      <c r="V462" s="102" t="s">
        <v>174</v>
      </c>
      <c r="W462" s="286" t="s">
        <v>175</v>
      </c>
      <c r="X462" s="279"/>
      <c r="Y462" s="287"/>
      <c r="Z462" s="280">
        <v>0</v>
      </c>
      <c r="AA462" s="279"/>
      <c r="AB462" s="287"/>
      <c r="AC462" s="280"/>
      <c r="AD462" s="288"/>
      <c r="AE462" s="287"/>
      <c r="AF462" s="280">
        <v>0</v>
      </c>
      <c r="AG462" s="281"/>
      <c r="AH462" s="282">
        <v>0</v>
      </c>
      <c r="AI462" s="306">
        <v>0</v>
      </c>
      <c r="AJ462" s="279"/>
      <c r="AK462" s="279"/>
      <c r="AL462" s="280">
        <v>0</v>
      </c>
      <c r="AM462" s="284"/>
      <c r="AN462" s="282">
        <v>0</v>
      </c>
      <c r="AO462" s="289">
        <v>0</v>
      </c>
      <c r="AP462" s="246"/>
      <c r="AQ462" s="246"/>
      <c r="AR462" s="246"/>
      <c r="AS462" s="246"/>
      <c r="AT462" s="246"/>
      <c r="AU462" s="246"/>
      <c r="AV462" s="246"/>
      <c r="AW462" s="246"/>
      <c r="AX462" s="246"/>
      <c r="AY462" s="246"/>
      <c r="AZ462" s="246"/>
      <c r="BA462" s="246"/>
      <c r="BB462" s="246"/>
      <c r="BC462" s="246"/>
      <c r="BD462" s="246"/>
      <c r="BE462" s="246"/>
      <c r="BF462" s="246"/>
      <c r="BG462" s="246"/>
      <c r="BH462" s="246"/>
      <c r="BI462" s="246"/>
      <c r="BJ462" s="246"/>
    </row>
    <row r="463" spans="1:62" ht="18" hidden="1">
      <c r="A463" t="str">
        <f t="shared" si="89"/>
        <v>[...]</v>
      </c>
      <c r="B463" s="7"/>
      <c r="C463" s="246"/>
      <c r="D463" s="246"/>
      <c r="E463" s="246"/>
      <c r="F463" s="246"/>
      <c r="G463" s="246"/>
      <c r="H463" s="246"/>
      <c r="I463" s="246"/>
      <c r="J463" s="246"/>
      <c r="K463" s="246"/>
      <c r="L463" s="246"/>
      <c r="M463" s="246"/>
      <c r="N463" s="246"/>
      <c r="O463" s="246"/>
      <c r="P463" s="246"/>
      <c r="Q463" s="246"/>
      <c r="R463" s="246"/>
      <c r="S463" s="246"/>
      <c r="T463" s="246"/>
      <c r="U463" s="334"/>
      <c r="V463" s="102" t="s">
        <v>19</v>
      </c>
      <c r="W463" s="286"/>
      <c r="X463" s="279"/>
      <c r="Y463" s="287"/>
      <c r="Z463" s="282">
        <f>IFERROR(SUMIF($C:$C,$V463,F:F),0)</f>
        <v>0</v>
      </c>
      <c r="AA463" s="279"/>
      <c r="AB463" s="279"/>
      <c r="AC463" s="282"/>
      <c r="AD463" s="288"/>
      <c r="AE463" s="287"/>
      <c r="AF463" s="280">
        <f>+SUMIF($C:$C,$V463,L:L)</f>
        <v>0</v>
      </c>
      <c r="AG463" s="281"/>
      <c r="AH463" s="282">
        <f>AF463-Z463</f>
        <v>0</v>
      </c>
      <c r="AI463" s="283">
        <f>IF(Z463=0,0,AH463/Z463)</f>
        <v>0</v>
      </c>
      <c r="AJ463" s="288"/>
      <c r="AK463" s="279"/>
      <c r="AL463" s="280">
        <f>IFERROR(SUMIF($C:$C,$V463,Q:Q),0)</f>
        <v>0</v>
      </c>
      <c r="AM463" s="284"/>
      <c r="AN463" s="282">
        <v>0</v>
      </c>
      <c r="AO463" s="289">
        <v>1</v>
      </c>
      <c r="AP463" s="246"/>
      <c r="AQ463" s="246"/>
      <c r="AR463" s="246"/>
      <c r="AS463" s="246"/>
      <c r="AT463" s="246"/>
      <c r="AU463" s="246"/>
      <c r="AV463" s="246"/>
      <c r="AW463" s="246"/>
      <c r="AX463" s="246"/>
      <c r="AY463" s="246"/>
      <c r="AZ463" s="246"/>
      <c r="BA463" s="246"/>
      <c r="BB463" s="246"/>
      <c r="BC463" s="246"/>
      <c r="BD463" s="246"/>
      <c r="BE463" s="246"/>
      <c r="BF463" s="246"/>
      <c r="BG463" s="246"/>
      <c r="BH463" s="246"/>
      <c r="BI463" s="246"/>
      <c r="BJ463" s="246"/>
    </row>
    <row r="464" spans="1:62" ht="18" hidden="1">
      <c r="A464" t="str">
        <f t="shared" si="89"/>
        <v>[...]</v>
      </c>
      <c r="B464" s="7"/>
      <c r="C464" s="246"/>
      <c r="D464" s="246"/>
      <c r="E464" s="246"/>
      <c r="F464" s="246"/>
      <c r="G464" s="246"/>
      <c r="H464" s="246"/>
      <c r="I464" s="246"/>
      <c r="J464" s="246"/>
      <c r="K464" s="246"/>
      <c r="L464" s="246"/>
      <c r="M464" s="246"/>
      <c r="N464" s="246"/>
      <c r="O464" s="246"/>
      <c r="P464" s="246"/>
      <c r="Q464" s="246"/>
      <c r="R464" s="246"/>
      <c r="S464" s="246"/>
      <c r="T464" s="246"/>
      <c r="U464" s="334"/>
      <c r="V464" s="102" t="s">
        <v>19</v>
      </c>
      <c r="W464" s="286"/>
      <c r="X464" s="279"/>
      <c r="Y464" s="287"/>
      <c r="Z464" s="282">
        <f>IFERROR(SUMIF($C:$C,$V464,F:F),0)</f>
        <v>0</v>
      </c>
      <c r="AA464" s="279"/>
      <c r="AB464" s="279"/>
      <c r="AC464" s="282"/>
      <c r="AD464" s="288"/>
      <c r="AE464" s="287"/>
      <c r="AF464" s="280">
        <f>+SUMIF($C:$C,$V464,L:L)</f>
        <v>0</v>
      </c>
      <c r="AG464" s="281"/>
      <c r="AH464" s="282">
        <f>AF464-Z464</f>
        <v>0</v>
      </c>
      <c r="AI464" s="283">
        <f>IF(Z464=0,0,AH464/Z464)</f>
        <v>0</v>
      </c>
      <c r="AJ464" s="288"/>
      <c r="AK464" s="279"/>
      <c r="AL464" s="280">
        <f>IFERROR(SUMIF($C:$C,$V464,Q:Q),0)</f>
        <v>0</v>
      </c>
      <c r="AM464" s="284"/>
      <c r="AN464" s="282">
        <v>0</v>
      </c>
      <c r="AO464" s="289">
        <v>2</v>
      </c>
      <c r="AP464" s="246"/>
      <c r="AQ464" s="246"/>
      <c r="AR464" s="246"/>
      <c r="AS464" s="246"/>
      <c r="AT464" s="246"/>
      <c r="AU464" s="246"/>
      <c r="AV464" s="246"/>
      <c r="AW464" s="246"/>
      <c r="AX464" s="246"/>
      <c r="AY464" s="246"/>
      <c r="AZ464" s="246"/>
      <c r="BA464" s="246"/>
      <c r="BB464" s="246"/>
      <c r="BC464" s="246"/>
      <c r="BD464" s="246"/>
      <c r="BE464" s="246"/>
      <c r="BF464" s="246"/>
      <c r="BG464" s="246"/>
      <c r="BH464" s="246"/>
      <c r="BI464" s="246"/>
      <c r="BJ464" s="246"/>
    </row>
    <row r="465" spans="1:62" ht="18" hidden="1">
      <c r="A465" t="str">
        <f t="shared" si="89"/>
        <v>[...]</v>
      </c>
      <c r="B465" s="7"/>
      <c r="C465" s="246"/>
      <c r="D465" s="246"/>
      <c r="E465" s="246"/>
      <c r="F465" s="246"/>
      <c r="G465" s="246"/>
      <c r="H465" s="246"/>
      <c r="I465" s="246"/>
      <c r="J465" s="246"/>
      <c r="K465" s="246"/>
      <c r="L465" s="246"/>
      <c r="M465" s="246"/>
      <c r="N465" s="246"/>
      <c r="O465" s="246"/>
      <c r="P465" s="246"/>
      <c r="Q465" s="246"/>
      <c r="R465" s="246"/>
      <c r="S465" s="246"/>
      <c r="T465" s="246"/>
      <c r="U465" s="246"/>
      <c r="V465" s="102" t="s">
        <v>19</v>
      </c>
      <c r="W465" s="286"/>
      <c r="X465" s="279"/>
      <c r="Y465" s="287"/>
      <c r="Z465" s="282">
        <f>IFERROR(SUMIF($C:$C,$V465,F:F),0)</f>
        <v>0</v>
      </c>
      <c r="AA465" s="279"/>
      <c r="AB465" s="279"/>
      <c r="AC465" s="282"/>
      <c r="AD465" s="288"/>
      <c r="AE465" s="287"/>
      <c r="AF465" s="280">
        <f>+SUMIF($C:$C,$V465,L:L)</f>
        <v>0</v>
      </c>
      <c r="AG465" s="281"/>
      <c r="AH465" s="282">
        <f>AF465-Z465</f>
        <v>0</v>
      </c>
      <c r="AI465" s="283">
        <f>IF(Z465=0,0,AH465/Z465)</f>
        <v>0</v>
      </c>
      <c r="AJ465" s="288"/>
      <c r="AK465" s="279"/>
      <c r="AL465" s="280">
        <f>IFERROR(SUMIF($C:$C,$V465,Q:Q),0)</f>
        <v>0</v>
      </c>
      <c r="AM465" s="284"/>
      <c r="AN465" s="282">
        <v>0</v>
      </c>
      <c r="AO465" s="289">
        <v>3</v>
      </c>
      <c r="AP465" s="246"/>
      <c r="AQ465" s="246"/>
      <c r="AR465" s="246"/>
      <c r="AS465" s="246"/>
      <c r="AT465" s="246"/>
      <c r="AU465" s="246"/>
      <c r="AV465" s="246"/>
      <c r="AW465" s="246"/>
      <c r="AX465" s="246"/>
      <c r="AY465" s="246"/>
      <c r="AZ465" s="246"/>
      <c r="BA465" s="246"/>
      <c r="BB465" s="246"/>
      <c r="BC465" s="246"/>
      <c r="BD465" s="246"/>
      <c r="BE465" s="246"/>
      <c r="BF465" s="246"/>
      <c r="BG465" s="246"/>
      <c r="BH465" s="246"/>
      <c r="BI465" s="246"/>
      <c r="BJ465" s="246"/>
    </row>
    <row r="466" spans="1:62" ht="18">
      <c r="A466" t="str">
        <f t="shared" si="89"/>
        <v>TOTAL DÉPENSES FIXES</v>
      </c>
      <c r="B466" s="7"/>
      <c r="C466" s="246"/>
      <c r="D466" s="246"/>
      <c r="E466" s="246"/>
      <c r="F466" s="246"/>
      <c r="G466" s="246"/>
      <c r="H466" s="246"/>
      <c r="I466" s="246"/>
      <c r="J466" s="246"/>
      <c r="K466" s="246"/>
      <c r="L466" s="246"/>
      <c r="M466" s="246"/>
      <c r="N466" s="246"/>
      <c r="O466" s="246"/>
      <c r="P466" s="246"/>
      <c r="Q466" s="246"/>
      <c r="R466" s="246"/>
      <c r="S466" s="246"/>
      <c r="T466" s="246"/>
      <c r="U466" s="246"/>
      <c r="V466" s="296" t="s">
        <v>176</v>
      </c>
      <c r="W466" s="297"/>
      <c r="X466" s="298">
        <f>Z466/+Z407</f>
        <v>0.17297640203941372</v>
      </c>
      <c r="Y466" s="297"/>
      <c r="Z466" s="299">
        <f>SUM(Z453:Z465)</f>
        <v>74756.51999999999</v>
      </c>
      <c r="AA466" s="298"/>
      <c r="AB466" s="297"/>
      <c r="AC466" s="299"/>
      <c r="AD466" s="300">
        <f>AF466/AF407</f>
        <v>0.26279846222610387</v>
      </c>
      <c r="AE466" s="297"/>
      <c r="AF466" s="299">
        <f>SUM(AF453:AF465)</f>
        <v>73588.920000000013</v>
      </c>
      <c r="AG466" s="308"/>
      <c r="AH466" s="302">
        <f>SUM(AH453:AH465)</f>
        <v>-1167.6000000000006</v>
      </c>
      <c r="AI466" s="298">
        <f>IF(Z466=0,0,AH466/Z466)</f>
        <v>-1.5618704562491682E-2</v>
      </c>
      <c r="AJ466" s="300">
        <f>IF($AL$407=0,0,AL466/$AL$407)</f>
        <v>0.14879190602175729</v>
      </c>
      <c r="AK466" s="298"/>
      <c r="AL466" s="299">
        <f>SUM(AL453:AL465)</f>
        <v>74126.290000000008</v>
      </c>
      <c r="AM466" s="309"/>
      <c r="AN466" s="302">
        <f>SUM(AN453:AN465)</f>
        <v>-537.36999999999966</v>
      </c>
      <c r="AO466" s="331">
        <f t="shared" ref="AO466:AO483" si="117">IF(AL466=0,0,AN466/AL466)</f>
        <v>-7.249384799913763E-3</v>
      </c>
      <c r="AP466" s="246"/>
      <c r="AQ466" s="246"/>
      <c r="AR466" s="246"/>
      <c r="AS466" s="246"/>
      <c r="AT466" s="246"/>
      <c r="AU466" s="246"/>
      <c r="AV466" s="246"/>
      <c r="AW466" s="246"/>
      <c r="AX466" s="246"/>
      <c r="AY466" s="246"/>
      <c r="AZ466" s="246"/>
      <c r="BA466" s="246"/>
      <c r="BB466" s="246"/>
      <c r="BC466" s="246"/>
      <c r="BD466" s="246"/>
      <c r="BE466" s="246"/>
      <c r="BF466" s="246"/>
      <c r="BG466" s="246"/>
      <c r="BH466" s="246"/>
      <c r="BI466" s="246"/>
      <c r="BJ466" s="246"/>
    </row>
    <row r="467" spans="1:62" ht="18">
      <c r="A467" t="str">
        <f t="shared" si="89"/>
        <v/>
      </c>
      <c r="B467" s="7"/>
      <c r="C467" s="246"/>
      <c r="D467" s="246"/>
      <c r="E467" s="246"/>
      <c r="F467" s="246"/>
      <c r="G467" s="246"/>
      <c r="H467" s="246"/>
      <c r="I467" s="246"/>
      <c r="J467" s="246"/>
      <c r="K467" s="246"/>
      <c r="L467" s="246"/>
      <c r="M467" s="246"/>
      <c r="N467" s="246"/>
      <c r="O467" s="246"/>
      <c r="P467" s="246"/>
      <c r="Q467" s="246"/>
      <c r="R467" s="246"/>
      <c r="S467" s="246"/>
      <c r="T467" s="246"/>
      <c r="U467" s="246"/>
      <c r="V467" s="102"/>
      <c r="W467" s="279"/>
      <c r="X467" s="279"/>
      <c r="Y467" s="279"/>
      <c r="Z467" s="336"/>
      <c r="AA467" s="279"/>
      <c r="AB467" s="279"/>
      <c r="AC467" s="336"/>
      <c r="AD467" s="288"/>
      <c r="AE467" s="279"/>
      <c r="AF467" s="336"/>
      <c r="AG467" s="288"/>
      <c r="AH467" s="282">
        <f t="shared" ref="AH467:AH481" si="118">AF467-Z467</f>
        <v>0</v>
      </c>
      <c r="AI467" s="283"/>
      <c r="AJ467" s="288"/>
      <c r="AK467" s="279"/>
      <c r="AL467" s="336"/>
      <c r="AM467" s="337"/>
      <c r="AN467" s="282">
        <f t="shared" ref="AN467:AN483" si="119">AF467-AL467</f>
        <v>0</v>
      </c>
      <c r="AO467" s="338">
        <f t="shared" si="117"/>
        <v>0</v>
      </c>
      <c r="AP467" s="246"/>
      <c r="AQ467" s="246"/>
      <c r="AR467" s="246"/>
      <c r="AS467" s="246"/>
      <c r="AT467" s="246"/>
      <c r="AU467" s="246"/>
      <c r="AV467" s="246"/>
      <c r="AW467" s="246"/>
      <c r="AX467" s="246"/>
      <c r="AY467" s="246"/>
      <c r="AZ467" s="246"/>
      <c r="BA467" s="246"/>
      <c r="BB467" s="246"/>
      <c r="BC467" s="246"/>
      <c r="BD467" s="246"/>
      <c r="BE467" s="246"/>
      <c r="BF467" s="246"/>
      <c r="BG467" s="246"/>
      <c r="BH467" s="246"/>
      <c r="BI467" s="246"/>
      <c r="BJ467" s="246"/>
    </row>
    <row r="468" spans="1:62" ht="18">
      <c r="A468" t="str">
        <f t="shared" si="89"/>
        <v>TOTAL DES DÉPENSES</v>
      </c>
      <c r="B468" s="7"/>
      <c r="C468" s="246"/>
      <c r="D468" s="246"/>
      <c r="E468" s="246"/>
      <c r="F468" s="246"/>
      <c r="G468" s="246"/>
      <c r="H468" s="246"/>
      <c r="I468" s="246"/>
      <c r="J468" s="246"/>
      <c r="K468" s="246"/>
      <c r="L468" s="246"/>
      <c r="M468" s="246"/>
      <c r="N468" s="246"/>
      <c r="O468" s="246"/>
      <c r="P468" s="246"/>
      <c r="Q468" s="246"/>
      <c r="R468" s="246"/>
      <c r="S468" s="246"/>
      <c r="T468" s="246"/>
      <c r="U468" s="246"/>
      <c r="V468" s="296" t="s">
        <v>64</v>
      </c>
      <c r="W468" s="297"/>
      <c r="X468" s="298">
        <f>Z468/+Z407</f>
        <v>1.0163195364708235</v>
      </c>
      <c r="Y468" s="297"/>
      <c r="Z468" s="299">
        <f>Z419+Z433+Z452+Z466</f>
        <v>439230.50114812842</v>
      </c>
      <c r="AA468" s="298"/>
      <c r="AB468" s="297"/>
      <c r="AC468" s="299"/>
      <c r="AD468" s="300">
        <f>AF468/AF407</f>
        <v>1.36077851624789</v>
      </c>
      <c r="AE468" s="297"/>
      <c r="AF468" s="299">
        <f>AF419+AF433+AF452+AF466</f>
        <v>381045.69000000006</v>
      </c>
      <c r="AG468" s="308"/>
      <c r="AH468" s="302">
        <f t="shared" si="118"/>
        <v>-58184.811148128356</v>
      </c>
      <c r="AI468" s="298">
        <f>AH468/Z468</f>
        <v>-0.13246987856270437</v>
      </c>
      <c r="AJ468" s="300">
        <f>IF($AL$407=0,0,AL468/$AL$407)</f>
        <v>0.86528238907568367</v>
      </c>
      <c r="AK468" s="298"/>
      <c r="AL468" s="299">
        <f>AL419+AL433+AL452+AL466</f>
        <v>431072.99999999988</v>
      </c>
      <c r="AM468" s="309"/>
      <c r="AN468" s="302">
        <f t="shared" si="119"/>
        <v>-50027.309999999823</v>
      </c>
      <c r="AO468" s="277">
        <f t="shared" si="117"/>
        <v>-0.11605298870492894</v>
      </c>
      <c r="AP468" s="310">
        <f>AF468+AF491+AF492+AF493+AF494+AF495+AF496</f>
        <v>398267.16000000003</v>
      </c>
      <c r="AQ468" s="246" t="s">
        <v>221</v>
      </c>
      <c r="AR468" s="246">
        <f>354476+51591</f>
        <v>406067</v>
      </c>
      <c r="AS468" s="310">
        <f>AP468-AR468</f>
        <v>-7799.8399999999674</v>
      </c>
      <c r="AT468" s="246"/>
      <c r="AU468" s="246"/>
      <c r="AV468" s="246"/>
      <c r="AW468" s="246"/>
      <c r="AX468" s="246"/>
      <c r="AY468" s="246"/>
      <c r="AZ468" s="246"/>
      <c r="BA468" s="246"/>
      <c r="BB468" s="246"/>
      <c r="BC468" s="246"/>
      <c r="BD468" s="246"/>
      <c r="BE468" s="246"/>
      <c r="BF468" s="246"/>
      <c r="BG468" s="246"/>
      <c r="BH468" s="246"/>
      <c r="BI468" s="246"/>
      <c r="BJ468" s="246"/>
    </row>
    <row r="469" spans="1:62" ht="18">
      <c r="A469" t="str">
        <f t="shared" si="89"/>
        <v>Revenus autres</v>
      </c>
      <c r="B469" s="7"/>
      <c r="C469" s="246"/>
      <c r="D469" s="246"/>
      <c r="E469" s="246"/>
      <c r="F469" s="246"/>
      <c r="G469" s="246"/>
      <c r="H469" s="246"/>
      <c r="I469" s="246"/>
      <c r="J469" s="246"/>
      <c r="K469" s="246"/>
      <c r="L469" s="246"/>
      <c r="M469" s="246"/>
      <c r="N469" s="246"/>
      <c r="O469" s="246"/>
      <c r="P469" s="246"/>
      <c r="Q469" s="246"/>
      <c r="R469" s="246"/>
      <c r="S469" s="246"/>
      <c r="T469" s="246"/>
      <c r="U469" s="246"/>
      <c r="V469" s="102" t="s">
        <v>177</v>
      </c>
      <c r="W469" s="333"/>
      <c r="X469" s="333"/>
      <c r="Y469" s="279"/>
      <c r="Z469" s="313">
        <v>900</v>
      </c>
      <c r="AA469" s="339"/>
      <c r="AB469" s="340"/>
      <c r="AC469" s="313"/>
      <c r="AD469" s="341"/>
      <c r="AE469" s="340"/>
      <c r="AF469" s="280">
        <v>10884.85</v>
      </c>
      <c r="AG469" s="342"/>
      <c r="AH469" s="282">
        <f t="shared" si="118"/>
        <v>9984.85</v>
      </c>
      <c r="AI469" s="335">
        <f>IF(AH469=0,0,AH469/Z469)</f>
        <v>11.094277777777778</v>
      </c>
      <c r="AJ469" s="341"/>
      <c r="AK469" s="339"/>
      <c r="AL469" s="343">
        <v>6566.37</v>
      </c>
      <c r="AM469" s="344"/>
      <c r="AN469" s="282">
        <f t="shared" si="119"/>
        <v>4318.4800000000005</v>
      </c>
      <c r="AO469" s="289">
        <f t="shared" si="117"/>
        <v>0.65766626004931195</v>
      </c>
      <c r="AP469" s="246"/>
      <c r="AQ469" s="246">
        <v>10885</v>
      </c>
      <c r="AR469" s="246" t="s">
        <v>242</v>
      </c>
      <c r="AS469" s="246"/>
      <c r="AT469" s="246"/>
      <c r="AU469" s="246"/>
      <c r="AV469" s="246"/>
      <c r="AW469" s="246"/>
      <c r="AX469" s="246"/>
      <c r="AY469" s="246"/>
      <c r="AZ469" s="246"/>
      <c r="BA469" s="246"/>
      <c r="BB469" s="246"/>
      <c r="BC469" s="246"/>
      <c r="BD469" s="246"/>
      <c r="BE469" s="246"/>
      <c r="BF469" s="246"/>
      <c r="BG469" s="246"/>
      <c r="BH469" s="246"/>
      <c r="BI469" s="246"/>
      <c r="BJ469" s="246"/>
    </row>
    <row r="470" spans="1:62" ht="18">
      <c r="A470" t="str">
        <f t="shared" si="89"/>
        <v>Holdbacks</v>
      </c>
      <c r="B470" s="7"/>
      <c r="C470" s="246"/>
      <c r="D470" s="246"/>
      <c r="E470" s="246"/>
      <c r="F470" s="246"/>
      <c r="G470" s="246"/>
      <c r="H470" s="246"/>
      <c r="I470" s="246"/>
      <c r="J470" s="246"/>
      <c r="K470" s="246"/>
      <c r="L470" s="246"/>
      <c r="M470" s="246"/>
      <c r="N470" s="246"/>
      <c r="O470" s="246"/>
      <c r="P470" s="246"/>
      <c r="Q470" s="246"/>
      <c r="R470" s="246"/>
      <c r="S470" s="246"/>
      <c r="T470" s="246"/>
      <c r="U470" s="246"/>
      <c r="V470" s="102" t="s">
        <v>66</v>
      </c>
      <c r="W470" s="279"/>
      <c r="X470" s="279"/>
      <c r="Y470" s="279"/>
      <c r="Z470" s="280">
        <f t="shared" ref="Z470:Z476" si="120">+SUMIF($C:$C,$V470,F:F)</f>
        <v>36609.110153846166</v>
      </c>
      <c r="AA470" s="332"/>
      <c r="AB470" s="333"/>
      <c r="AC470" s="280"/>
      <c r="AD470" s="345"/>
      <c r="AE470" s="333"/>
      <c r="AF470" s="280">
        <f t="shared" ref="AF470:AF476" si="121">+SUMIF($C:$C,$V470,L:L)</f>
        <v>31297.599999999999</v>
      </c>
      <c r="AG470" s="346"/>
      <c r="AH470" s="282">
        <f t="shared" si="118"/>
        <v>-5311.5101538461677</v>
      </c>
      <c r="AI470" s="306">
        <f>IF(Z470=0,0,AH470/Z470)</f>
        <v>-0.14508711442384345</v>
      </c>
      <c r="AJ470" s="345"/>
      <c r="AK470" s="332"/>
      <c r="AL470" s="347">
        <f t="shared" ref="AL470:AL479" si="122">+SUMIF($C:$C,$V470,Q:Q)</f>
        <v>43027.7</v>
      </c>
      <c r="AM470" s="348"/>
      <c r="AN470" s="282">
        <f t="shared" si="119"/>
        <v>-11730.099999999999</v>
      </c>
      <c r="AO470" s="289">
        <f t="shared" si="117"/>
        <v>-0.27261740692623587</v>
      </c>
      <c r="AP470" s="246"/>
      <c r="AQ470" s="246">
        <v>31298</v>
      </c>
      <c r="AR470" s="246">
        <v>16800</v>
      </c>
      <c r="AS470" s="246" t="s">
        <v>262</v>
      </c>
      <c r="AT470" s="246"/>
      <c r="AU470" s="246"/>
      <c r="AV470" s="246"/>
      <c r="AW470" s="246"/>
      <c r="AX470" s="246"/>
      <c r="AY470" s="246"/>
      <c r="AZ470" s="246"/>
      <c r="BA470" s="246"/>
      <c r="BB470" s="246"/>
      <c r="BC470" s="246"/>
      <c r="BD470" s="246"/>
      <c r="BE470" s="246"/>
      <c r="BF470" s="246"/>
      <c r="BG470" s="246"/>
      <c r="BH470" s="246"/>
      <c r="BI470" s="246"/>
      <c r="BJ470" s="246"/>
    </row>
    <row r="471" spans="1:62" ht="18">
      <c r="A471" t="str">
        <f t="shared" si="89"/>
        <v>RBSC neuf</v>
      </c>
      <c r="B471" s="7"/>
      <c r="C471" s="246"/>
      <c r="D471" s="246"/>
      <c r="E471" s="246"/>
      <c r="F471" s="246"/>
      <c r="G471" s="246"/>
      <c r="H471" s="246"/>
      <c r="I471" s="246"/>
      <c r="J471" s="246"/>
      <c r="K471" s="246"/>
      <c r="L471" s="246"/>
      <c r="M471" s="246"/>
      <c r="N471" s="246"/>
      <c r="O471" s="246"/>
      <c r="P471" s="246"/>
      <c r="Q471" s="246"/>
      <c r="R471" s="246"/>
      <c r="S471" s="246"/>
      <c r="T471" s="246"/>
      <c r="U471" s="246"/>
      <c r="V471" s="102" t="s">
        <v>216</v>
      </c>
      <c r="W471" s="279"/>
      <c r="X471" s="279"/>
      <c r="Y471" s="279"/>
      <c r="Z471" s="280">
        <f t="shared" si="120"/>
        <v>32032.971384615397</v>
      </c>
      <c r="AA471" s="332"/>
      <c r="AB471" s="333"/>
      <c r="AC471" s="280"/>
      <c r="AD471" s="345"/>
      <c r="AE471" s="333"/>
      <c r="AF471" s="280">
        <f t="shared" si="121"/>
        <v>19618.689999999999</v>
      </c>
      <c r="AG471" s="346"/>
      <c r="AH471" s="282">
        <f t="shared" si="118"/>
        <v>-12414.281384615399</v>
      </c>
      <c r="AI471" s="306">
        <f t="shared" ref="AI471:AI480" si="123">IF(AH471=0,0,AH471/Z471)</f>
        <v>-0.38754698200047888</v>
      </c>
      <c r="AJ471" s="345"/>
      <c r="AK471" s="332"/>
      <c r="AL471" s="347">
        <f>+SUMIF($C:$C,$V471,Q:Q)</f>
        <v>44929.74</v>
      </c>
      <c r="AM471" s="348"/>
      <c r="AN471" s="282">
        <f t="shared" si="119"/>
        <v>-25311.05</v>
      </c>
      <c r="AO471" s="289">
        <f t="shared" si="117"/>
        <v>-0.56334735077478748</v>
      </c>
      <c r="AP471" s="246"/>
      <c r="AQ471" s="246">
        <v>19619</v>
      </c>
      <c r="AR471" s="246">
        <v>17610</v>
      </c>
      <c r="AS471" s="246" t="s">
        <v>263</v>
      </c>
      <c r="AT471" s="246"/>
      <c r="AU471" s="246"/>
      <c r="AV471" s="246"/>
      <c r="AW471" s="246"/>
      <c r="AX471" s="246"/>
      <c r="AY471" s="246"/>
      <c r="AZ471" s="246"/>
      <c r="BA471" s="246"/>
      <c r="BB471" s="246"/>
      <c r="BC471" s="246"/>
      <c r="BD471" s="246"/>
      <c r="BE471" s="246"/>
      <c r="BF471" s="246"/>
      <c r="BG471" s="246"/>
      <c r="BH471" s="246"/>
      <c r="BI471" s="246"/>
      <c r="BJ471" s="246"/>
    </row>
    <row r="472" spans="1:62" ht="18" hidden="1">
      <c r="A472" t="str">
        <f t="shared" si="89"/>
        <v>Programme neuf 2</v>
      </c>
      <c r="B472" s="7"/>
      <c r="C472" s="246"/>
      <c r="D472" s="246"/>
      <c r="E472" s="246"/>
      <c r="F472" s="246"/>
      <c r="G472" s="246"/>
      <c r="H472" s="246"/>
      <c r="I472" s="246"/>
      <c r="J472" s="246"/>
      <c r="K472" s="246"/>
      <c r="L472" s="246"/>
      <c r="M472" s="246"/>
      <c r="N472" s="246"/>
      <c r="O472" s="246"/>
      <c r="P472" s="246"/>
      <c r="Q472" s="246"/>
      <c r="R472" s="246"/>
      <c r="S472" s="246"/>
      <c r="T472" s="246"/>
      <c r="U472" s="246"/>
      <c r="V472" s="102" t="s">
        <v>188</v>
      </c>
      <c r="W472" s="279"/>
      <c r="X472" s="279"/>
      <c r="Y472" s="279"/>
      <c r="Z472" s="280">
        <f t="shared" si="120"/>
        <v>0</v>
      </c>
      <c r="AA472" s="332"/>
      <c r="AB472" s="333"/>
      <c r="AC472" s="280"/>
      <c r="AD472" s="345"/>
      <c r="AE472" s="333"/>
      <c r="AF472" s="280">
        <f t="shared" si="121"/>
        <v>0</v>
      </c>
      <c r="AG472" s="346"/>
      <c r="AH472" s="282">
        <f t="shared" si="118"/>
        <v>0</v>
      </c>
      <c r="AI472" s="306">
        <f t="shared" si="123"/>
        <v>0</v>
      </c>
      <c r="AJ472" s="345"/>
      <c r="AK472" s="332"/>
      <c r="AL472" s="347">
        <f t="shared" si="122"/>
        <v>0</v>
      </c>
      <c r="AM472" s="348"/>
      <c r="AN472" s="282">
        <f t="shared" si="119"/>
        <v>0</v>
      </c>
      <c r="AO472" s="289">
        <f t="shared" si="117"/>
        <v>0</v>
      </c>
      <c r="AP472" s="246"/>
      <c r="AQ472" s="246"/>
      <c r="AR472" s="246"/>
      <c r="AS472" s="246"/>
      <c r="AT472" s="246"/>
      <c r="AU472" s="246"/>
      <c r="AV472" s="246"/>
      <c r="AW472" s="246"/>
      <c r="AX472" s="246"/>
      <c r="AY472" s="246"/>
      <c r="AZ472" s="246"/>
      <c r="BA472" s="246"/>
      <c r="BB472" s="246"/>
      <c r="BC472" s="246"/>
      <c r="BD472" s="246"/>
      <c r="BE472" s="246"/>
      <c r="BF472" s="246"/>
      <c r="BG472" s="246"/>
      <c r="BH472" s="246"/>
      <c r="BI472" s="246"/>
      <c r="BJ472" s="246"/>
    </row>
    <row r="473" spans="1:62" ht="18" hidden="1">
      <c r="A473" t="str">
        <f t="shared" si="89"/>
        <v>Programme neuf 3</v>
      </c>
      <c r="B473" s="7"/>
      <c r="C473" s="246"/>
      <c r="D473" s="246"/>
      <c r="E473" s="246"/>
      <c r="F473" s="246"/>
      <c r="G473" s="246"/>
      <c r="H473" s="246"/>
      <c r="I473" s="246"/>
      <c r="J473" s="246"/>
      <c r="K473" s="246"/>
      <c r="L473" s="246"/>
      <c r="M473" s="246"/>
      <c r="N473" s="246"/>
      <c r="O473" s="246"/>
      <c r="P473" s="246"/>
      <c r="Q473" s="246"/>
      <c r="R473" s="246"/>
      <c r="S473" s="246"/>
      <c r="T473" s="246"/>
      <c r="U473" s="246"/>
      <c r="V473" s="102" t="s">
        <v>65</v>
      </c>
      <c r="W473" s="279"/>
      <c r="X473" s="279"/>
      <c r="Y473" s="279"/>
      <c r="Z473" s="280">
        <f t="shared" si="120"/>
        <v>0</v>
      </c>
      <c r="AA473" s="332"/>
      <c r="AB473" s="333"/>
      <c r="AC473" s="280"/>
      <c r="AD473" s="345"/>
      <c r="AE473" s="333"/>
      <c r="AF473" s="280">
        <f t="shared" si="121"/>
        <v>0</v>
      </c>
      <c r="AG473" s="346"/>
      <c r="AH473" s="282">
        <f t="shared" si="118"/>
        <v>0</v>
      </c>
      <c r="AI473" s="306">
        <f t="shared" si="123"/>
        <v>0</v>
      </c>
      <c r="AJ473" s="345"/>
      <c r="AK473" s="332"/>
      <c r="AL473" s="347">
        <f t="shared" si="122"/>
        <v>0</v>
      </c>
      <c r="AM473" s="348"/>
      <c r="AN473" s="282">
        <f t="shared" si="119"/>
        <v>0</v>
      </c>
      <c r="AO473" s="289">
        <f t="shared" si="117"/>
        <v>0</v>
      </c>
      <c r="AP473" s="246"/>
      <c r="AQ473" s="246"/>
      <c r="AR473" s="246"/>
      <c r="AS473" s="246"/>
      <c r="AT473" s="246"/>
      <c r="AU473" s="246"/>
      <c r="AV473" s="246"/>
      <c r="AW473" s="246"/>
      <c r="AX473" s="246"/>
      <c r="AY473" s="246"/>
      <c r="AZ473" s="246"/>
      <c r="BA473" s="246"/>
      <c r="BB473" s="246"/>
      <c r="BC473" s="246"/>
      <c r="BD473" s="246"/>
      <c r="BE473" s="246"/>
      <c r="BF473" s="246"/>
      <c r="BG473" s="246"/>
      <c r="BH473" s="246"/>
      <c r="BI473" s="246"/>
      <c r="BJ473" s="246"/>
    </row>
    <row r="474" spans="1:62" ht="18">
      <c r="A474" t="str">
        <f t="shared" si="89"/>
        <v>RBSC used</v>
      </c>
      <c r="B474" s="7"/>
      <c r="C474" s="246"/>
      <c r="D474" s="246"/>
      <c r="E474" s="246"/>
      <c r="F474" s="246"/>
      <c r="G474" s="246"/>
      <c r="H474" s="246"/>
      <c r="I474" s="246"/>
      <c r="J474" s="246"/>
      <c r="K474" s="246"/>
      <c r="L474" s="246"/>
      <c r="M474" s="246"/>
      <c r="N474" s="246"/>
      <c r="O474" s="246"/>
      <c r="P474" s="246"/>
      <c r="Q474" s="246"/>
      <c r="R474" s="246"/>
      <c r="S474" s="246"/>
      <c r="T474" s="246"/>
      <c r="U474" s="246"/>
      <c r="V474" s="102" t="s">
        <v>218</v>
      </c>
      <c r="W474" s="279"/>
      <c r="X474" s="279"/>
      <c r="Y474" s="279"/>
      <c r="Z474" s="280">
        <f t="shared" si="120"/>
        <v>2625</v>
      </c>
      <c r="AA474" s="332"/>
      <c r="AB474" s="333"/>
      <c r="AC474" s="280"/>
      <c r="AD474" s="345"/>
      <c r="AE474" s="333"/>
      <c r="AF474" s="280">
        <f t="shared" si="121"/>
        <v>0</v>
      </c>
      <c r="AG474" s="346"/>
      <c r="AH474" s="282">
        <f t="shared" si="118"/>
        <v>-2625</v>
      </c>
      <c r="AI474" s="306">
        <f t="shared" si="123"/>
        <v>-1</v>
      </c>
      <c r="AJ474" s="345"/>
      <c r="AK474" s="332"/>
      <c r="AL474" s="347">
        <f t="shared" si="122"/>
        <v>6000</v>
      </c>
      <c r="AM474" s="348"/>
      <c r="AN474" s="282">
        <f t="shared" si="119"/>
        <v>-6000</v>
      </c>
      <c r="AO474" s="289">
        <f t="shared" si="117"/>
        <v>-1</v>
      </c>
      <c r="AP474" s="246"/>
      <c r="AQ474" s="246">
        <v>0</v>
      </c>
      <c r="AR474" s="246">
        <v>3750</v>
      </c>
      <c r="AS474" s="246"/>
      <c r="AT474" s="246"/>
      <c r="AU474" s="246"/>
      <c r="AV474" s="246"/>
      <c r="AW474" s="246"/>
      <c r="AX474" s="246"/>
      <c r="AY474" s="246"/>
      <c r="AZ474" s="246"/>
      <c r="BA474" s="246"/>
      <c r="BB474" s="246"/>
      <c r="BC474" s="246"/>
      <c r="BD474" s="246"/>
      <c r="BE474" s="246"/>
      <c r="BF474" s="246"/>
      <c r="BG474" s="246"/>
      <c r="BH474" s="246"/>
      <c r="BI474" s="246"/>
      <c r="BJ474" s="246"/>
    </row>
    <row r="475" spans="1:62" ht="18">
      <c r="A475" t="str">
        <f t="shared" si="89"/>
        <v>Programme 360</v>
      </c>
      <c r="B475" s="7"/>
      <c r="C475" s="246"/>
      <c r="D475" s="246"/>
      <c r="E475" s="246"/>
      <c r="F475" s="246"/>
      <c r="G475" s="246"/>
      <c r="H475" s="246"/>
      <c r="I475" s="246"/>
      <c r="J475" s="246"/>
      <c r="K475" s="246"/>
      <c r="L475" s="246"/>
      <c r="M475" s="246"/>
      <c r="N475" s="246"/>
      <c r="O475" s="246"/>
      <c r="P475" s="246"/>
      <c r="Q475" s="246"/>
      <c r="R475" s="246"/>
      <c r="S475" s="246"/>
      <c r="T475" s="246"/>
      <c r="U475" s="246"/>
      <c r="V475" s="102" t="s">
        <v>219</v>
      </c>
      <c r="W475" s="279"/>
      <c r="X475" s="279"/>
      <c r="Y475" s="279"/>
      <c r="Z475" s="280">
        <f t="shared" si="120"/>
        <v>1822.0588235294119</v>
      </c>
      <c r="AA475" s="332"/>
      <c r="AB475" s="333"/>
      <c r="AC475" s="280"/>
      <c r="AD475" s="345"/>
      <c r="AE475" s="333"/>
      <c r="AF475" s="280">
        <f t="shared" si="121"/>
        <v>0</v>
      </c>
      <c r="AG475" s="346"/>
      <c r="AH475" s="282">
        <f t="shared" si="118"/>
        <v>-1822.0588235294119</v>
      </c>
      <c r="AI475" s="306">
        <f t="shared" si="123"/>
        <v>-1</v>
      </c>
      <c r="AJ475" s="345"/>
      <c r="AK475" s="332"/>
      <c r="AL475" s="347">
        <f t="shared" si="122"/>
        <v>0</v>
      </c>
      <c r="AM475" s="348"/>
      <c r="AN475" s="282">
        <f t="shared" si="119"/>
        <v>0</v>
      </c>
      <c r="AO475" s="289">
        <f t="shared" si="117"/>
        <v>0</v>
      </c>
      <c r="AP475" s="246"/>
      <c r="AQ475" s="246">
        <v>0</v>
      </c>
      <c r="AR475" s="246"/>
      <c r="AS475" s="246"/>
      <c r="AT475" s="246"/>
      <c r="AU475" s="246"/>
      <c r="AV475" s="246"/>
      <c r="AW475" s="246"/>
      <c r="AX475" s="246"/>
      <c r="AY475" s="246"/>
      <c r="AZ475" s="246"/>
      <c r="BA475" s="246"/>
      <c r="BB475" s="246"/>
      <c r="BC475" s="246"/>
      <c r="BD475" s="246"/>
      <c r="BE475" s="246"/>
      <c r="BF475" s="246"/>
      <c r="BG475" s="246"/>
      <c r="BH475" s="246"/>
      <c r="BI475" s="246"/>
      <c r="BJ475" s="246"/>
    </row>
    <row r="476" spans="1:62" ht="18" hidden="1">
      <c r="A476" t="str">
        <f t="shared" si="89"/>
        <v>Programme used 3</v>
      </c>
      <c r="B476" s="7"/>
      <c r="C476" s="246"/>
      <c r="D476" s="246"/>
      <c r="E476" s="246"/>
      <c r="F476" s="246"/>
      <c r="G476" s="246"/>
      <c r="H476" s="246"/>
      <c r="I476" s="246"/>
      <c r="J476" s="246"/>
      <c r="K476" s="246"/>
      <c r="L476" s="246"/>
      <c r="M476" s="246"/>
      <c r="N476" s="246"/>
      <c r="O476" s="246"/>
      <c r="P476" s="246"/>
      <c r="Q476" s="246"/>
      <c r="R476" s="246"/>
      <c r="S476" s="246"/>
      <c r="T476" s="246"/>
      <c r="U476" s="246"/>
      <c r="V476" s="102" t="s">
        <v>77</v>
      </c>
      <c r="W476" s="279"/>
      <c r="X476" s="279"/>
      <c r="Y476" s="279"/>
      <c r="Z476" s="280">
        <f t="shared" si="120"/>
        <v>0</v>
      </c>
      <c r="AA476" s="332"/>
      <c r="AB476" s="333"/>
      <c r="AC476" s="280"/>
      <c r="AD476" s="345"/>
      <c r="AE476" s="333"/>
      <c r="AF476" s="280">
        <f t="shared" si="121"/>
        <v>0</v>
      </c>
      <c r="AG476" s="346"/>
      <c r="AH476" s="282">
        <f t="shared" si="118"/>
        <v>0</v>
      </c>
      <c r="AI476" s="306">
        <f t="shared" si="123"/>
        <v>0</v>
      </c>
      <c r="AJ476" s="345"/>
      <c r="AK476" s="332"/>
      <c r="AL476" s="347">
        <f t="shared" si="122"/>
        <v>0</v>
      </c>
      <c r="AM476" s="348"/>
      <c r="AN476" s="282">
        <f t="shared" si="119"/>
        <v>0</v>
      </c>
      <c r="AO476" s="289">
        <f t="shared" si="117"/>
        <v>0</v>
      </c>
      <c r="AP476" s="246"/>
      <c r="AQ476" s="246"/>
      <c r="AR476" s="246"/>
      <c r="AS476" s="246"/>
      <c r="AT476" s="246"/>
      <c r="AU476" s="246"/>
      <c r="AV476" s="246"/>
      <c r="AW476" s="246"/>
      <c r="AX476" s="246"/>
      <c r="AY476" s="246"/>
      <c r="AZ476" s="246"/>
      <c r="BA476" s="246"/>
      <c r="BB476" s="246"/>
      <c r="BC476" s="246"/>
      <c r="BD476" s="246"/>
      <c r="BE476" s="246"/>
      <c r="BF476" s="246"/>
      <c r="BG476" s="246"/>
      <c r="BH476" s="246"/>
      <c r="BI476" s="246"/>
      <c r="BJ476" s="246"/>
    </row>
    <row r="477" spans="1:62" ht="18">
      <c r="A477" t="str">
        <f t="shared" si="89"/>
        <v>Facility Fund</v>
      </c>
      <c r="B477" s="7"/>
      <c r="C477" s="246"/>
      <c r="D477" s="246"/>
      <c r="E477" s="246"/>
      <c r="F477" s="246"/>
      <c r="G477" s="246"/>
      <c r="H477" s="246"/>
      <c r="I477" s="246"/>
      <c r="J477" s="246"/>
      <c r="K477" s="246"/>
      <c r="L477" s="246"/>
      <c r="M477" s="246"/>
      <c r="N477" s="246"/>
      <c r="O477" s="246"/>
      <c r="P477" s="246"/>
      <c r="Q477" s="246"/>
      <c r="R477" s="246"/>
      <c r="S477" s="246"/>
      <c r="T477" s="246"/>
      <c r="U477" s="246"/>
      <c r="V477" s="102" t="s">
        <v>189</v>
      </c>
      <c r="W477" s="279"/>
      <c r="X477" s="279"/>
      <c r="Y477" s="279"/>
      <c r="Z477" s="280">
        <v>19219.782830769236</v>
      </c>
      <c r="AA477" s="332"/>
      <c r="AB477" s="333"/>
      <c r="AC477" s="280"/>
      <c r="AD477" s="345"/>
      <c r="AE477" s="333"/>
      <c r="AF477" s="280">
        <v>12484.82</v>
      </c>
      <c r="AG477" s="346"/>
      <c r="AH477" s="282">
        <f t="shared" si="118"/>
        <v>-6734.9628307692365</v>
      </c>
      <c r="AI477" s="306">
        <f t="shared" si="123"/>
        <v>-0.35041825862814302</v>
      </c>
      <c r="AJ477" s="345"/>
      <c r="AK477" s="332"/>
      <c r="AL477" s="347">
        <v>24032.18</v>
      </c>
      <c r="AM477" s="348"/>
      <c r="AN477" s="282">
        <f t="shared" si="119"/>
        <v>-11547.36</v>
      </c>
      <c r="AO477" s="289">
        <f t="shared" si="117"/>
        <v>-0.48049573530158313</v>
      </c>
      <c r="AP477" s="246"/>
      <c r="AQ477" s="246">
        <v>12485</v>
      </c>
      <c r="AR477" s="246">
        <v>8820</v>
      </c>
      <c r="AS477" s="246" t="s">
        <v>263</v>
      </c>
      <c r="AT477" s="246"/>
      <c r="AU477" s="246"/>
      <c r="AV477" s="246"/>
      <c r="AW477" s="246"/>
      <c r="AX477" s="246"/>
      <c r="AY477" s="246"/>
      <c r="AZ477" s="246"/>
      <c r="BA477" s="246"/>
      <c r="BB477" s="246"/>
      <c r="BC477" s="246"/>
      <c r="BD477" s="246"/>
      <c r="BE477" s="246"/>
      <c r="BF477" s="246"/>
      <c r="BG477" s="246"/>
      <c r="BH477" s="246"/>
      <c r="BI477" s="246"/>
      <c r="BJ477" s="246"/>
    </row>
    <row r="478" spans="1:62" ht="18" hidden="1">
      <c r="A478" t="str">
        <f t="shared" si="89"/>
        <v>[...]</v>
      </c>
      <c r="B478" s="7"/>
      <c r="C478" s="246"/>
      <c r="D478" s="246"/>
      <c r="E478" s="246"/>
      <c r="F478" s="246"/>
      <c r="G478" s="246"/>
      <c r="H478" s="246"/>
      <c r="I478" s="246"/>
      <c r="J478" s="246"/>
      <c r="K478" s="246"/>
      <c r="L478" s="246"/>
      <c r="M478" s="246"/>
      <c r="N478" s="246"/>
      <c r="O478" s="246"/>
      <c r="P478" s="246"/>
      <c r="Q478" s="246"/>
      <c r="R478" s="246"/>
      <c r="S478" s="246"/>
      <c r="T478" s="246"/>
      <c r="U478" s="246"/>
      <c r="V478" s="102" t="s">
        <v>19</v>
      </c>
      <c r="W478" s="279"/>
      <c r="X478" s="279"/>
      <c r="Y478" s="279"/>
      <c r="Z478" s="282">
        <f>IFERROR(SUMIF($C:$C,$V478,F:F),0)</f>
        <v>0</v>
      </c>
      <c r="AA478" s="279"/>
      <c r="AB478" s="279"/>
      <c r="AC478" s="282"/>
      <c r="AD478" s="288"/>
      <c r="AE478" s="287"/>
      <c r="AF478" s="280">
        <f>+SUMIF($C:$C,$V478,L:L)</f>
        <v>0</v>
      </c>
      <c r="AG478" s="281"/>
      <c r="AH478" s="282">
        <f t="shared" si="118"/>
        <v>0</v>
      </c>
      <c r="AI478" s="283">
        <f t="shared" si="123"/>
        <v>0</v>
      </c>
      <c r="AJ478" s="288"/>
      <c r="AK478" s="279"/>
      <c r="AL478" s="280">
        <f t="shared" si="122"/>
        <v>0</v>
      </c>
      <c r="AM478" s="348"/>
      <c r="AN478" s="282">
        <f t="shared" si="119"/>
        <v>0</v>
      </c>
      <c r="AO478" s="289">
        <f t="shared" si="117"/>
        <v>0</v>
      </c>
      <c r="AP478" s="246"/>
      <c r="AQ478" s="246"/>
      <c r="AR478" s="246"/>
      <c r="AS478" s="246"/>
      <c r="AT478" s="246"/>
      <c r="AU478" s="246"/>
      <c r="AV478" s="246"/>
      <c r="AW478" s="246"/>
      <c r="AX478" s="246"/>
      <c r="AY478" s="246"/>
      <c r="AZ478" s="246"/>
      <c r="BA478" s="246"/>
      <c r="BB478" s="246"/>
      <c r="BC478" s="246"/>
      <c r="BD478" s="246"/>
      <c r="BE478" s="246"/>
      <c r="BF478" s="246"/>
      <c r="BG478" s="246"/>
      <c r="BH478" s="246"/>
      <c r="BI478" s="246"/>
      <c r="BJ478" s="246"/>
    </row>
    <row r="479" spans="1:62" ht="18" hidden="1">
      <c r="A479" t="str">
        <f t="shared" si="89"/>
        <v>[...]</v>
      </c>
      <c r="B479" s="7"/>
      <c r="C479" s="246"/>
      <c r="D479" s="246"/>
      <c r="E479" s="246"/>
      <c r="F479" s="246"/>
      <c r="G479" s="246"/>
      <c r="H479" s="246"/>
      <c r="I479" s="246"/>
      <c r="J479" s="246"/>
      <c r="K479" s="246"/>
      <c r="L479" s="246"/>
      <c r="M479" s="246"/>
      <c r="N479" s="246"/>
      <c r="O479" s="246"/>
      <c r="P479" s="246"/>
      <c r="Q479" s="246"/>
      <c r="R479" s="246"/>
      <c r="S479" s="246"/>
      <c r="T479" s="246"/>
      <c r="U479" s="246"/>
      <c r="V479" s="102" t="s">
        <v>19</v>
      </c>
      <c r="W479" s="279"/>
      <c r="X479" s="279"/>
      <c r="Y479" s="279"/>
      <c r="Z479" s="282">
        <f>IFERROR(SUMIF($C:$C,$V479,F:F),0)</f>
        <v>0</v>
      </c>
      <c r="AA479" s="279"/>
      <c r="AB479" s="279"/>
      <c r="AC479" s="282"/>
      <c r="AD479" s="288"/>
      <c r="AE479" s="287"/>
      <c r="AF479" s="280">
        <f>+SUMIF($C:$C,$V479,L:L)</f>
        <v>0</v>
      </c>
      <c r="AG479" s="281"/>
      <c r="AH479" s="282">
        <f t="shared" si="118"/>
        <v>0</v>
      </c>
      <c r="AI479" s="283">
        <f t="shared" si="123"/>
        <v>0</v>
      </c>
      <c r="AJ479" s="288"/>
      <c r="AK479" s="279"/>
      <c r="AL479" s="280">
        <f t="shared" si="122"/>
        <v>0</v>
      </c>
      <c r="AM479" s="348"/>
      <c r="AN479" s="282">
        <f t="shared" si="119"/>
        <v>0</v>
      </c>
      <c r="AO479" s="289">
        <f t="shared" si="117"/>
        <v>0</v>
      </c>
      <c r="AP479" s="246"/>
      <c r="AQ479" s="246"/>
      <c r="AR479" s="246"/>
      <c r="AS479" s="246"/>
      <c r="AT479" s="246"/>
      <c r="AU479" s="246"/>
      <c r="AV479" s="246"/>
      <c r="AW479" s="246"/>
      <c r="AX479" s="246"/>
      <c r="AY479" s="246"/>
      <c r="AZ479" s="246"/>
      <c r="BA479" s="246"/>
      <c r="BB479" s="246"/>
      <c r="BC479" s="246"/>
      <c r="BD479" s="246"/>
      <c r="BE479" s="246"/>
      <c r="BF479" s="246"/>
      <c r="BG479" s="246"/>
      <c r="BH479" s="246"/>
      <c r="BI479" s="246"/>
      <c r="BJ479" s="246"/>
    </row>
    <row r="480" spans="1:62" ht="18">
      <c r="A480" t="str">
        <f t="shared" si="89"/>
        <v>Frais administration</v>
      </c>
      <c r="B480" s="7"/>
      <c r="C480" s="246"/>
      <c r="D480" s="246"/>
      <c r="E480" s="246"/>
      <c r="F480" s="246"/>
      <c r="G480" s="246"/>
      <c r="H480" s="246"/>
      <c r="I480" s="246"/>
      <c r="J480" s="246"/>
      <c r="K480" s="246"/>
      <c r="L480" s="246"/>
      <c r="M480" s="246"/>
      <c r="N480" s="246"/>
      <c r="O480" s="246"/>
      <c r="P480" s="246"/>
      <c r="Q480" s="246"/>
      <c r="R480" s="246"/>
      <c r="S480" s="246"/>
      <c r="T480" s="246"/>
      <c r="U480" s="246"/>
      <c r="V480" s="103" t="s">
        <v>67</v>
      </c>
      <c r="W480" s="279"/>
      <c r="X480" s="279"/>
      <c r="Y480" s="279"/>
      <c r="Z480" s="280">
        <f>+SUMIF($C:$C,$V480,F:F)</f>
        <v>23579.85</v>
      </c>
      <c r="AA480" s="332"/>
      <c r="AB480" s="333"/>
      <c r="AC480" s="280"/>
      <c r="AD480" s="345"/>
      <c r="AE480" s="333"/>
      <c r="AF480" s="280">
        <f>+SUMIF($C:$C,$V480,L:L)</f>
        <v>19635</v>
      </c>
      <c r="AG480" s="346"/>
      <c r="AH480" s="282">
        <f t="shared" si="118"/>
        <v>-3944.8499999999985</v>
      </c>
      <c r="AI480" s="306">
        <f t="shared" si="123"/>
        <v>-0.16729750189250561</v>
      </c>
      <c r="AJ480" s="345"/>
      <c r="AK480" s="332"/>
      <c r="AL480" s="347">
        <v>25585</v>
      </c>
      <c r="AM480" s="348"/>
      <c r="AN480" s="282">
        <f t="shared" si="119"/>
        <v>-5950</v>
      </c>
      <c r="AO480" s="289">
        <f t="shared" si="117"/>
        <v>-0.23255813953488372</v>
      </c>
      <c r="AP480" s="246"/>
      <c r="AQ480" s="246">
        <v>19635</v>
      </c>
      <c r="AR480" s="246">
        <v>17184</v>
      </c>
      <c r="AS480" s="246"/>
      <c r="AT480" s="246"/>
      <c r="AU480" s="246"/>
      <c r="AV480" s="246"/>
      <c r="AW480" s="246"/>
      <c r="AX480" s="246"/>
      <c r="AY480" s="246"/>
      <c r="AZ480" s="246"/>
      <c r="BA480" s="246"/>
      <c r="BB480" s="246"/>
      <c r="BC480" s="246"/>
      <c r="BD480" s="246"/>
      <c r="BE480" s="246"/>
      <c r="BF480" s="246"/>
      <c r="BG480" s="246"/>
      <c r="BH480" s="246"/>
      <c r="BI480" s="246"/>
      <c r="BJ480" s="246"/>
    </row>
    <row r="481" spans="1:62" ht="18">
      <c r="A481" t="str">
        <f t="shared" si="89"/>
        <v>TOTAL AUTRES REVENUS</v>
      </c>
      <c r="B481" s="7"/>
      <c r="C481" s="246"/>
      <c r="D481" s="246"/>
      <c r="E481" s="246"/>
      <c r="F481" s="246"/>
      <c r="G481" s="246"/>
      <c r="H481" s="246"/>
      <c r="I481" s="246"/>
      <c r="J481" s="246"/>
      <c r="K481" s="246"/>
      <c r="L481" s="246"/>
      <c r="M481" s="246"/>
      <c r="N481" s="246"/>
      <c r="O481" s="246"/>
      <c r="P481" s="246"/>
      <c r="Q481" s="246"/>
      <c r="R481" s="246"/>
      <c r="S481" s="246"/>
      <c r="T481" s="246"/>
      <c r="U481" s="246"/>
      <c r="V481" s="296" t="s">
        <v>178</v>
      </c>
      <c r="W481" s="297"/>
      <c r="X481" s="298">
        <f>Z481/+Z407</f>
        <v>0.27023330922146721</v>
      </c>
      <c r="Y481" s="330"/>
      <c r="Z481" s="299">
        <f>SUM(Z469:Z480)</f>
        <v>116788.77319276021</v>
      </c>
      <c r="AA481" s="298"/>
      <c r="AB481" s="330"/>
      <c r="AC481" s="299"/>
      <c r="AD481" s="298">
        <f>AF481/+AF407</f>
        <v>0.33540761107513745</v>
      </c>
      <c r="AE481" s="330"/>
      <c r="AF481" s="299">
        <f>SUM(AF469:AF480)</f>
        <v>93920.959999999992</v>
      </c>
      <c r="AG481" s="308"/>
      <c r="AH481" s="302">
        <f t="shared" si="118"/>
        <v>-22867.813192760223</v>
      </c>
      <c r="AI481" s="298">
        <f>AH481/Z481</f>
        <v>-0.19580489260741551</v>
      </c>
      <c r="AJ481" s="349"/>
      <c r="AK481" s="350"/>
      <c r="AL481" s="299">
        <f>SUM(AL469:AL480)</f>
        <v>150140.99</v>
      </c>
      <c r="AM481" s="351"/>
      <c r="AN481" s="302">
        <f t="shared" si="119"/>
        <v>-56220.03</v>
      </c>
      <c r="AO481" s="331">
        <f t="shared" si="117"/>
        <v>-0.37444824361421891</v>
      </c>
      <c r="AP481" s="246"/>
      <c r="AQ481" s="246" t="s">
        <v>221</v>
      </c>
      <c r="AR481" s="246">
        <v>55000</v>
      </c>
      <c r="AS481" s="310">
        <f>AF481-AR481</f>
        <v>38920.959999999992</v>
      </c>
      <c r="AT481" s="246"/>
      <c r="AU481" s="246"/>
      <c r="AV481" s="246"/>
      <c r="AW481" s="246"/>
      <c r="AX481" s="246"/>
      <c r="AY481" s="246"/>
      <c r="AZ481" s="246"/>
      <c r="BA481" s="246"/>
      <c r="BB481" s="246"/>
      <c r="BC481" s="246"/>
      <c r="BD481" s="246"/>
      <c r="BE481" s="246"/>
      <c r="BF481" s="246"/>
      <c r="BG481" s="246"/>
      <c r="BH481" s="246"/>
      <c r="BI481" s="246"/>
      <c r="BJ481" s="246"/>
    </row>
    <row r="482" spans="1:62" ht="18.75" thickBot="1">
      <c r="A482" t="str">
        <f t="shared" si="89"/>
        <v/>
      </c>
      <c r="B482" s="7"/>
      <c r="C482" s="246"/>
      <c r="D482" s="246"/>
      <c r="E482" s="246"/>
      <c r="F482" s="246"/>
      <c r="G482" s="246"/>
      <c r="H482" s="246"/>
      <c r="I482" s="246"/>
      <c r="J482" s="246"/>
      <c r="K482" s="246"/>
      <c r="L482" s="246"/>
      <c r="M482" s="246"/>
      <c r="N482" s="246"/>
      <c r="O482" s="246"/>
      <c r="P482" s="246"/>
      <c r="Q482" s="246"/>
      <c r="R482" s="246"/>
      <c r="S482" s="246"/>
      <c r="T482" s="246"/>
      <c r="U482" s="246"/>
      <c r="V482" s="352"/>
      <c r="W482" s="353"/>
      <c r="X482" s="353"/>
      <c r="Y482" s="354"/>
      <c r="Z482" s="355"/>
      <c r="AA482" s="353"/>
      <c r="AB482" s="356"/>
      <c r="AC482" s="355"/>
      <c r="AD482" s="353"/>
      <c r="AE482" s="356"/>
      <c r="AF482" s="357"/>
      <c r="AG482" s="358"/>
      <c r="AH482" s="359"/>
      <c r="AI482" s="360"/>
      <c r="AJ482" s="361"/>
      <c r="AK482" s="362"/>
      <c r="AL482" s="357"/>
      <c r="AM482" s="363"/>
      <c r="AN482" s="359">
        <f t="shared" si="119"/>
        <v>0</v>
      </c>
      <c r="AO482" s="364">
        <f t="shared" si="117"/>
        <v>0</v>
      </c>
      <c r="AP482" s="246"/>
      <c r="AQ482" s="246"/>
      <c r="AR482" s="246"/>
      <c r="AS482" s="246"/>
      <c r="AT482" s="246"/>
      <c r="AU482" s="246"/>
      <c r="AV482" s="246"/>
      <c r="AW482" s="246"/>
      <c r="AX482" s="246"/>
      <c r="AY482" s="246"/>
      <c r="AZ482" s="246"/>
      <c r="BA482" s="246"/>
      <c r="BB482" s="246"/>
      <c r="BC482" s="246"/>
      <c r="BD482" s="246"/>
      <c r="BE482" s="246"/>
      <c r="BF482" s="246"/>
      <c r="BG482" s="246"/>
      <c r="BH482" s="246"/>
      <c r="BI482" s="246"/>
      <c r="BJ482" s="246"/>
    </row>
    <row r="483" spans="1:62" ht="19.5" thickTop="1" thickBot="1">
      <c r="A483" t="str">
        <f t="shared" si="89"/>
        <v>BAIIA OPÉRATIONNEL</v>
      </c>
      <c r="B483" s="7"/>
      <c r="C483" s="246"/>
      <c r="D483" s="246"/>
      <c r="E483" s="246"/>
      <c r="F483" s="246"/>
      <c r="G483" s="246"/>
      <c r="H483" s="246"/>
      <c r="I483" s="246"/>
      <c r="J483" s="246"/>
      <c r="K483" s="246"/>
      <c r="L483" s="246"/>
      <c r="M483" s="246"/>
      <c r="N483" s="246"/>
      <c r="O483" s="246"/>
      <c r="P483" s="246"/>
      <c r="Q483" s="246"/>
      <c r="R483" s="246"/>
      <c r="S483" s="246"/>
      <c r="T483" s="246"/>
      <c r="U483" s="246"/>
      <c r="V483" s="365" t="s">
        <v>179</v>
      </c>
      <c r="W483" s="366"/>
      <c r="X483" s="367" t="s">
        <v>180</v>
      </c>
      <c r="Y483" s="368">
        <f>Z483/Z406</f>
        <v>2.6788911987599983E-2</v>
      </c>
      <c r="Z483" s="369">
        <f>Z407-Z468+Z481</f>
        <v>109735.83568112287</v>
      </c>
      <c r="AA483" s="367"/>
      <c r="AB483" s="368"/>
      <c r="AC483" s="369"/>
      <c r="AD483" s="367" t="s">
        <v>180</v>
      </c>
      <c r="AE483" s="368">
        <f>AF483/AF406</f>
        <v>-2.4412061280566616E-3</v>
      </c>
      <c r="AF483" s="370">
        <f>AF407-AF468+AF481</f>
        <v>-7104.3700000000244</v>
      </c>
      <c r="AG483" s="371"/>
      <c r="AH483" s="370">
        <f>AF483-Z483</f>
        <v>-116840.2056811229</v>
      </c>
      <c r="AI483" s="487">
        <f>AH483/Z483</f>
        <v>-1.0647406561029373</v>
      </c>
      <c r="AJ483" s="373" t="s">
        <v>180</v>
      </c>
      <c r="AK483" s="368">
        <f>IF($AL$406=0,0,AL483/$AL$406)</f>
        <v>4.1852035064934179E-2</v>
      </c>
      <c r="AL483" s="370">
        <f>AL407-AL468+AL481</f>
        <v>217255.63999999937</v>
      </c>
      <c r="AM483" s="374"/>
      <c r="AN483" s="370">
        <f t="shared" si="119"/>
        <v>-224360.0099999994</v>
      </c>
      <c r="AO483" s="375">
        <f t="shared" si="117"/>
        <v>-1.0327005089488128</v>
      </c>
      <c r="AP483" s="246"/>
      <c r="AQ483" s="246"/>
      <c r="AR483" s="310">
        <f>AR407-AR468+AR481</f>
        <v>-56895</v>
      </c>
      <c r="AS483" s="246"/>
      <c r="AT483" s="246"/>
      <c r="AU483" s="246"/>
      <c r="AV483" s="246"/>
      <c r="AW483" s="246"/>
      <c r="AX483" s="246"/>
      <c r="AY483" s="246"/>
      <c r="AZ483" s="246"/>
      <c r="BA483" s="246"/>
      <c r="BB483" s="246"/>
      <c r="BC483" s="246"/>
      <c r="BD483" s="246"/>
      <c r="BE483" s="246"/>
      <c r="BF483" s="246"/>
      <c r="BG483" s="246"/>
      <c r="BH483" s="246"/>
      <c r="BI483" s="246"/>
      <c r="BJ483" s="246"/>
    </row>
    <row r="484" spans="1:62" ht="36" thickTop="1">
      <c r="A484" t="str">
        <f t="shared" si="89"/>
        <v/>
      </c>
      <c r="B484" s="7"/>
      <c r="C484" s="246"/>
      <c r="D484" s="246"/>
      <c r="E484" s="246"/>
      <c r="F484" s="246"/>
      <c r="G484" s="246"/>
      <c r="H484" s="246"/>
      <c r="I484" s="246"/>
      <c r="J484" s="246"/>
      <c r="K484" s="246"/>
      <c r="L484" s="246"/>
      <c r="M484" s="246"/>
      <c r="N484" s="246"/>
      <c r="O484" s="246"/>
      <c r="P484" s="246"/>
      <c r="Q484" s="246"/>
      <c r="R484" s="246"/>
      <c r="S484" s="246"/>
      <c r="T484" s="246"/>
      <c r="U484" s="246"/>
      <c r="V484" s="6"/>
      <c r="W484" s="6"/>
      <c r="X484" s="6"/>
      <c r="Y484" s="6"/>
      <c r="Z484" s="82"/>
      <c r="AA484" s="13"/>
      <c r="AB484" s="13"/>
      <c r="AC484" s="82"/>
      <c r="AD484" s="13"/>
      <c r="AE484" s="13"/>
      <c r="AF484" s="376">
        <f>AF477/0.7*1.05</f>
        <v>18727.230000000003</v>
      </c>
      <c r="AG484" s="13"/>
      <c r="AH484" s="13"/>
      <c r="AI484" s="13"/>
      <c r="AJ484" s="13"/>
      <c r="AK484" s="13"/>
      <c r="AL484" s="82"/>
      <c r="AM484" s="13"/>
      <c r="AN484" s="13"/>
      <c r="AO484" s="13"/>
      <c r="AP484" s="246"/>
      <c r="AQ484" s="246"/>
      <c r="AR484" s="246"/>
      <c r="AS484" s="246"/>
      <c r="AT484" s="246"/>
      <c r="AU484" s="246"/>
      <c r="AV484" s="246"/>
      <c r="AW484" s="246"/>
      <c r="AX484" s="246"/>
      <c r="AY484" s="246"/>
      <c r="AZ484" s="246"/>
      <c r="BA484" s="246"/>
      <c r="BB484" s="246"/>
      <c r="BC484" s="246"/>
      <c r="BD484" s="246"/>
      <c r="BE484" s="246"/>
      <c r="BF484" s="246"/>
      <c r="BG484" s="246"/>
      <c r="BH484" s="246"/>
      <c r="BI484" s="246"/>
      <c r="BJ484" s="246"/>
    </row>
    <row r="485" spans="1:62" ht="35.25">
      <c r="A485" t="str">
        <f t="shared" ref="A485:A498" si="124">+U485&amp;V485</f>
        <v>BMW Sherbrooke</v>
      </c>
      <c r="B485" s="7"/>
      <c r="C485" s="246"/>
      <c r="D485" s="246"/>
      <c r="E485" s="246"/>
      <c r="F485" s="246"/>
      <c r="G485" s="246"/>
      <c r="H485" s="246"/>
      <c r="I485" s="246"/>
      <c r="J485" s="246"/>
      <c r="K485" s="246"/>
      <c r="L485" s="246"/>
      <c r="M485" s="246"/>
      <c r="N485" s="246"/>
      <c r="O485" s="246"/>
      <c r="P485" s="246"/>
      <c r="Q485" s="246"/>
      <c r="R485" s="246"/>
      <c r="S485" s="246"/>
      <c r="T485" s="246"/>
      <c r="U485" s="246"/>
      <c r="V485" s="6" t="str">
        <f>C1</f>
        <v>BMW Sherbrooke</v>
      </c>
      <c r="W485" s="6"/>
      <c r="X485" s="6"/>
      <c r="Y485" s="6"/>
      <c r="Z485" s="1"/>
      <c r="AA485" s="1"/>
      <c r="AB485" s="6"/>
      <c r="AC485" s="6"/>
      <c r="AD485" s="1"/>
      <c r="AE485" s="3" t="s">
        <v>181</v>
      </c>
      <c r="AF485" s="6"/>
      <c r="AG485" s="6"/>
      <c r="AH485" s="1"/>
      <c r="AI485" s="1"/>
      <c r="AJ485" s="255"/>
      <c r="AK485" s="2"/>
      <c r="AL485" s="1"/>
      <c r="AM485" s="6"/>
      <c r="AN485" s="6"/>
      <c r="AO485" s="5" t="str">
        <f>$S$1</f>
        <v>Réalisé, Août 2024</v>
      </c>
      <c r="AP485" s="246"/>
      <c r="AQ485" s="246"/>
      <c r="AR485" s="246"/>
      <c r="AS485" s="246"/>
      <c r="AT485" s="246"/>
      <c r="AU485" s="246"/>
      <c r="AV485" s="246"/>
      <c r="AW485" s="246"/>
      <c r="AX485" s="246"/>
      <c r="AY485" s="246"/>
      <c r="AZ485" s="246"/>
      <c r="BA485" s="246"/>
      <c r="BB485" s="246"/>
      <c r="BC485" s="246"/>
      <c r="BD485" s="246"/>
      <c r="BE485" s="246"/>
      <c r="BF485" s="246"/>
      <c r="BG485" s="246"/>
      <c r="BH485" s="246"/>
      <c r="BI485" s="246"/>
      <c r="BJ485" s="246"/>
    </row>
    <row r="486" spans="1:62" ht="35.25">
      <c r="A486" t="str">
        <f t="shared" si="124"/>
        <v/>
      </c>
      <c r="B486" s="7"/>
      <c r="C486" s="246"/>
      <c r="D486" s="246"/>
      <c r="E486" s="246"/>
      <c r="F486" s="246"/>
      <c r="G486" s="246"/>
      <c r="H486" s="246"/>
      <c r="I486" s="246"/>
      <c r="J486" s="246"/>
      <c r="K486" s="246"/>
      <c r="L486" s="246"/>
      <c r="M486" s="246"/>
      <c r="N486" s="246"/>
      <c r="O486" s="246"/>
      <c r="P486" s="246"/>
      <c r="Q486" s="246"/>
      <c r="R486" s="246"/>
      <c r="S486" s="246"/>
      <c r="T486" s="246"/>
      <c r="U486" s="246"/>
      <c r="V486" s="6"/>
      <c r="W486" s="6"/>
      <c r="X486" s="6"/>
      <c r="Y486" s="6"/>
      <c r="Z486" s="82"/>
      <c r="AA486" s="13"/>
      <c r="AB486" s="13"/>
      <c r="AC486" s="82"/>
      <c r="AD486" s="13"/>
      <c r="AE486" s="13"/>
      <c r="AF486" s="376"/>
      <c r="AG486" s="13"/>
      <c r="AH486" s="13"/>
      <c r="AI486" s="13"/>
      <c r="AJ486" s="13"/>
      <c r="AK486" s="13"/>
      <c r="AL486" s="82"/>
      <c r="AM486" s="13"/>
      <c r="AN486" s="13"/>
      <c r="AO486" s="13"/>
      <c r="AP486" s="246"/>
      <c r="AQ486" s="246"/>
      <c r="AR486" s="246"/>
      <c r="AS486" s="246"/>
      <c r="AT486" s="246"/>
      <c r="AU486" s="246"/>
      <c r="AV486" s="246"/>
      <c r="AW486" s="246"/>
      <c r="AX486" s="246"/>
      <c r="AY486" s="246"/>
      <c r="AZ486" s="246"/>
      <c r="BA486" s="246"/>
      <c r="BB486" s="246"/>
      <c r="BC486" s="246"/>
      <c r="BD486" s="246"/>
      <c r="BE486" s="246"/>
      <c r="BF486" s="246"/>
      <c r="BG486" s="246"/>
      <c r="BH486" s="246"/>
      <c r="BI486" s="246"/>
      <c r="BJ486" s="246"/>
    </row>
    <row r="487" spans="1:62" ht="36" thickBot="1">
      <c r="A487" t="str">
        <f t="shared" si="124"/>
        <v/>
      </c>
      <c r="B487" s="7"/>
      <c r="C487" s="246"/>
      <c r="D487" s="246"/>
      <c r="E487" s="246"/>
      <c r="F487" s="246"/>
      <c r="G487" s="246"/>
      <c r="H487" s="246"/>
      <c r="I487" s="246"/>
      <c r="J487" s="246"/>
      <c r="K487" s="246"/>
      <c r="L487" s="246"/>
      <c r="M487" s="246"/>
      <c r="N487" s="246"/>
      <c r="O487" s="246"/>
      <c r="P487" s="246"/>
      <c r="Q487" s="246"/>
      <c r="R487" s="246"/>
      <c r="S487" s="246"/>
      <c r="T487" s="246"/>
      <c r="U487" s="246"/>
      <c r="V487" s="6"/>
      <c r="W487" s="6"/>
      <c r="X487" s="6"/>
      <c r="Y487" s="6"/>
      <c r="Z487" s="82"/>
      <c r="AA487" s="13"/>
      <c r="AB487" s="13"/>
      <c r="AC487" s="82"/>
      <c r="AD487" s="13"/>
      <c r="AE487" s="13"/>
      <c r="AF487" s="376"/>
      <c r="AG487" s="13"/>
      <c r="AH487" s="13"/>
      <c r="AI487" s="13"/>
      <c r="AJ487" s="13"/>
      <c r="AK487" s="13"/>
      <c r="AL487" s="82"/>
      <c r="AM487" s="13"/>
      <c r="AN487" s="13"/>
      <c r="AO487" s="13"/>
      <c r="AP487" s="246"/>
      <c r="AQ487" s="246"/>
      <c r="AR487" s="246"/>
      <c r="AS487" s="246"/>
      <c r="AT487" s="246"/>
      <c r="AU487" s="246"/>
      <c r="AV487" s="246"/>
      <c r="AW487" s="246"/>
      <c r="AX487" s="246"/>
      <c r="AY487" s="246"/>
      <c r="AZ487" s="246"/>
      <c r="BA487" s="246"/>
      <c r="BB487" s="246"/>
      <c r="BC487" s="246"/>
      <c r="BD487" s="246"/>
      <c r="BE487" s="246"/>
      <c r="BF487" s="246"/>
      <c r="BG487" s="246"/>
      <c r="BH487" s="246"/>
      <c r="BI487" s="246"/>
      <c r="BJ487" s="246"/>
    </row>
    <row r="488" spans="1:62" ht="19.5" thickTop="1" thickBot="1">
      <c r="A488" t="e">
        <f>+U488&amp;#REF!</f>
        <v>#REF!</v>
      </c>
      <c r="B488" s="7"/>
      <c r="C488" s="246"/>
      <c r="D488" s="246"/>
      <c r="E488" s="246"/>
      <c r="F488" s="246"/>
      <c r="G488" s="246"/>
      <c r="H488" s="246"/>
      <c r="I488" s="246"/>
      <c r="J488" s="246"/>
      <c r="K488" s="246"/>
      <c r="L488" s="246"/>
      <c r="M488" s="246"/>
      <c r="N488" s="246"/>
      <c r="O488" s="246"/>
      <c r="P488" s="246"/>
      <c r="Q488" s="246"/>
      <c r="R488" s="246"/>
      <c r="S488" s="246"/>
      <c r="T488" s="246"/>
      <c r="U488" s="246"/>
      <c r="V488" s="444" t="s">
        <v>209</v>
      </c>
      <c r="W488" s="445"/>
      <c r="X488" s="446" t="s">
        <v>180</v>
      </c>
      <c r="Y488" s="447">
        <f>Z488/Z406</f>
        <v>3.5866736213559687E-2</v>
      </c>
      <c r="Z488" s="449">
        <f>Z489+Z415</f>
        <v>146921.467858463</v>
      </c>
      <c r="AA488" s="446"/>
      <c r="AB488" s="447"/>
      <c r="AC488" s="448"/>
      <c r="AD488" s="446" t="s">
        <v>180</v>
      </c>
      <c r="AE488" s="447">
        <f>AF488/AF406</f>
        <v>1.1456505308848541E-2</v>
      </c>
      <c r="AF488" s="449">
        <f>AF489+AF415</f>
        <v>33340.589999999975</v>
      </c>
      <c r="AG488" s="450"/>
      <c r="AH488" s="450">
        <f t="shared" ref="AH488" si="125">AF488-Z488</f>
        <v>-113580.87785846303</v>
      </c>
      <c r="AI488" s="451">
        <f>AH488/Z488</f>
        <v>-0.77307203306654493</v>
      </c>
      <c r="AJ488" s="446" t="s">
        <v>180</v>
      </c>
      <c r="AK488" s="447">
        <f>IF($AL$406=0,0,AL488/$AL$406)</f>
        <v>4.5803812569980548E-2</v>
      </c>
      <c r="AL488" s="449">
        <f>AL489+AL415</f>
        <v>237769.47999999937</v>
      </c>
      <c r="AM488" s="452"/>
      <c r="AN488" s="449">
        <f t="shared" ref="AN488" si="126">AF488-AL488</f>
        <v>-204428.8899999994</v>
      </c>
      <c r="AO488" s="453">
        <f t="shared" ref="AO488" si="127">IF(AL488=0,0,AN488/AL488)</f>
        <v>-0.85977767205446198</v>
      </c>
      <c r="AP488" s="246"/>
      <c r="AQ488" s="246"/>
      <c r="AR488" s="246"/>
      <c r="AS488" s="246"/>
      <c r="AT488" s="246"/>
      <c r="AU488" s="246"/>
      <c r="AV488" s="246"/>
      <c r="AW488" s="246"/>
      <c r="AX488" s="246"/>
      <c r="AY488" s="246"/>
      <c r="AZ488" s="246"/>
      <c r="BA488" s="246"/>
      <c r="BB488" s="246"/>
      <c r="BC488" s="246"/>
      <c r="BD488" s="246"/>
      <c r="BE488" s="246"/>
      <c r="BF488" s="246"/>
      <c r="BG488" s="246"/>
      <c r="BH488" s="246"/>
      <c r="BI488" s="246"/>
      <c r="BJ488" s="246"/>
    </row>
    <row r="489" spans="1:62" ht="19.5" hidden="1" thickTop="1" thickBot="1">
      <c r="A489" t="str">
        <f t="shared" si="124"/>
        <v>BAIIA OPÉRATIONNEL</v>
      </c>
      <c r="B489" s="7"/>
      <c r="C489" s="246"/>
      <c r="D489" s="246"/>
      <c r="E489" s="246"/>
      <c r="F489" s="246"/>
      <c r="G489" s="246"/>
      <c r="H489" s="246"/>
      <c r="I489" s="246"/>
      <c r="J489" s="246"/>
      <c r="K489" s="246"/>
      <c r="L489" s="246"/>
      <c r="M489" s="246"/>
      <c r="N489" s="246"/>
      <c r="O489" s="246"/>
      <c r="P489" s="246"/>
      <c r="Q489" s="246"/>
      <c r="R489" s="246"/>
      <c r="S489" s="246"/>
      <c r="T489" s="246"/>
      <c r="U489" s="246"/>
      <c r="V489" s="377" t="s">
        <v>179</v>
      </c>
      <c r="W489" s="378"/>
      <c r="X489" s="379" t="s">
        <v>180</v>
      </c>
      <c r="Y489" s="380">
        <f>Z489/Z406</f>
        <v>2.6788911987599983E-2</v>
      </c>
      <c r="Z489" s="381">
        <f>Z483</f>
        <v>109735.83568112287</v>
      </c>
      <c r="AA489" s="379"/>
      <c r="AB489" s="380"/>
      <c r="AC489" s="381"/>
      <c r="AD489" s="379" t="s">
        <v>180</v>
      </c>
      <c r="AE489" s="380">
        <f>AF489/AF406</f>
        <v>-2.4412061280566616E-3</v>
      </c>
      <c r="AF489" s="381">
        <f>AF483</f>
        <v>-7104.3700000000244</v>
      </c>
      <c r="AG489" s="382"/>
      <c r="AH489" s="370">
        <f>AF489-Z489</f>
        <v>-116840.2056811229</v>
      </c>
      <c r="AI489" s="487">
        <f>AH489/Z489</f>
        <v>-1.0647406561029373</v>
      </c>
      <c r="AJ489" s="379" t="s">
        <v>180</v>
      </c>
      <c r="AK489" s="380">
        <f>IF($AL$406=0,0,AL489/$AL$406)</f>
        <v>4.1852035064934179E-2</v>
      </c>
      <c r="AL489" s="383">
        <f>AL483</f>
        <v>217255.63999999937</v>
      </c>
      <c r="AM489" s="384"/>
      <c r="AN489" s="385">
        <f>AF489-AL489</f>
        <v>-224360.0099999994</v>
      </c>
      <c r="AO489" s="386">
        <f>IF(AL489=0,0,AN489/AL489)</f>
        <v>-1.0327005089488128</v>
      </c>
      <c r="AP489" s="246"/>
      <c r="AQ489" s="246"/>
      <c r="AR489" s="246"/>
      <c r="AS489" s="246"/>
      <c r="AT489" s="246"/>
      <c r="AU489" s="246"/>
      <c r="AV489" s="246"/>
      <c r="AW489" s="246"/>
      <c r="AX489" s="246"/>
      <c r="AY489" s="246"/>
      <c r="AZ489" s="246"/>
      <c r="BA489" s="246"/>
      <c r="BB489" s="246"/>
      <c r="BC489" s="246"/>
      <c r="BD489" s="246"/>
      <c r="BE489" s="246"/>
      <c r="BF489" s="246"/>
      <c r="BG489" s="246"/>
      <c r="BH489" s="246"/>
      <c r="BI489" s="246"/>
      <c r="BJ489" s="246"/>
    </row>
    <row r="490" spans="1:62" ht="16.5" thickTop="1">
      <c r="A490" t="str">
        <f t="shared" si="124"/>
        <v/>
      </c>
      <c r="B490" s="7"/>
      <c r="C490" s="246"/>
      <c r="D490" s="246"/>
      <c r="E490" s="246"/>
      <c r="F490" s="310"/>
      <c r="G490" s="246"/>
      <c r="H490" s="246"/>
      <c r="I490" s="310"/>
      <c r="J490" s="246"/>
      <c r="K490" s="246"/>
      <c r="L490" s="246"/>
      <c r="M490" s="310"/>
      <c r="N490" s="246"/>
      <c r="O490" s="246"/>
      <c r="P490" s="246"/>
      <c r="Q490" s="310"/>
      <c r="R490" s="310"/>
      <c r="S490" s="310"/>
      <c r="T490" s="334"/>
      <c r="U490" s="334"/>
      <c r="V490" s="387"/>
      <c r="W490" s="246"/>
      <c r="X490" s="246"/>
      <c r="Y490" s="246"/>
      <c r="Z490" s="388"/>
      <c r="AA490" s="246"/>
      <c r="AB490" s="246"/>
      <c r="AC490" s="389"/>
      <c r="AD490" s="246"/>
      <c r="AE490" s="246"/>
      <c r="AF490" s="389"/>
      <c r="AG490" s="246"/>
      <c r="AH490" s="246"/>
      <c r="AI490" s="389"/>
      <c r="AJ490" s="246"/>
      <c r="AK490" s="246"/>
      <c r="AL490" s="390"/>
      <c r="AM490" s="391"/>
      <c r="AN490" s="246"/>
      <c r="AO490" s="392"/>
      <c r="AP490" s="246"/>
      <c r="AQ490" s="246"/>
      <c r="AR490" s="246"/>
      <c r="AS490" s="246"/>
      <c r="AT490" s="246"/>
      <c r="AU490" s="246"/>
      <c r="AV490" s="246"/>
      <c r="AW490" s="246"/>
      <c r="AX490" s="246"/>
      <c r="AY490" s="246"/>
      <c r="AZ490" s="246"/>
      <c r="BA490" s="246"/>
      <c r="BB490" s="246"/>
      <c r="BC490" s="246"/>
      <c r="BD490" s="246"/>
      <c r="BE490" s="246"/>
      <c r="BF490" s="246"/>
      <c r="BG490" s="246"/>
      <c r="BH490" s="246"/>
      <c r="BI490" s="246"/>
      <c r="BJ490" s="246"/>
    </row>
    <row r="491" spans="1:62" ht="18">
      <c r="A491" t="str">
        <f t="shared" si="124"/>
        <v>Amortissement</v>
      </c>
      <c r="B491" s="7"/>
      <c r="C491" s="246"/>
      <c r="D491" s="246"/>
      <c r="E491" s="246"/>
      <c r="F491" s="246"/>
      <c r="G491" s="246"/>
      <c r="H491" s="246"/>
      <c r="I491" s="246"/>
      <c r="J491" s="246"/>
      <c r="K491" s="246"/>
      <c r="L491" s="246"/>
      <c r="M491" s="246"/>
      <c r="N491" s="246"/>
      <c r="O491" s="246"/>
      <c r="P491" s="246"/>
      <c r="Q491" s="246"/>
      <c r="R491" s="246"/>
      <c r="S491" s="246"/>
      <c r="T491" s="246"/>
      <c r="U491" s="246"/>
      <c r="V491" s="102" t="s">
        <v>182</v>
      </c>
      <c r="W491" s="286"/>
      <c r="X491" s="279"/>
      <c r="Y491" s="287"/>
      <c r="Z491" s="280">
        <v>20970</v>
      </c>
      <c r="AA491" s="279"/>
      <c r="AB491" s="287"/>
      <c r="AC491" s="280"/>
      <c r="AD491" s="279"/>
      <c r="AE491" s="287"/>
      <c r="AF491" s="280">
        <v>20970</v>
      </c>
      <c r="AG491" s="279"/>
      <c r="AH491" s="282">
        <f t="shared" ref="AH491:AH498" si="128">AF491-Z491</f>
        <v>0</v>
      </c>
      <c r="AI491" s="306">
        <f t="shared" ref="AI491:AI497" si="129">IF(Z491=0,0,AH491/Z491)</f>
        <v>0</v>
      </c>
      <c r="AJ491" s="279"/>
      <c r="AK491" s="279"/>
      <c r="AL491" s="280">
        <v>19520</v>
      </c>
      <c r="AM491" s="284"/>
      <c r="AN491" s="282">
        <f t="shared" ref="AN491:AN498" si="130">AF491-AL491</f>
        <v>1450</v>
      </c>
      <c r="AO491" s="289">
        <f t="shared" ref="AO491:AO498" si="131">IF(AL491=0,0,AN491/AL491)</f>
        <v>7.4282786885245908E-2</v>
      </c>
      <c r="AP491" s="246"/>
      <c r="AQ491" s="486">
        <v>20970</v>
      </c>
      <c r="AR491" s="246"/>
      <c r="AS491" s="246"/>
      <c r="AT491" s="246"/>
      <c r="AU491" s="246"/>
      <c r="AV491" s="246"/>
      <c r="AW491" s="246"/>
      <c r="AX491" s="246"/>
      <c r="AY491" s="246"/>
      <c r="AZ491" s="246"/>
      <c r="BA491" s="246"/>
      <c r="BB491" s="246"/>
      <c r="BC491" s="246"/>
      <c r="BD491" s="246"/>
      <c r="BE491" s="246"/>
      <c r="BF491" s="246"/>
      <c r="BG491" s="246"/>
      <c r="BH491" s="246"/>
      <c r="BI491" s="246"/>
      <c r="BJ491" s="246"/>
    </row>
    <row r="492" spans="1:62" ht="20.25">
      <c r="A492" t="str">
        <f t="shared" si="124"/>
        <v>Intérêts sur marge</v>
      </c>
      <c r="B492" s="7"/>
      <c r="C492" s="246"/>
      <c r="D492" s="246"/>
      <c r="E492" s="246"/>
      <c r="F492" s="310"/>
      <c r="G492" s="246"/>
      <c r="H492" s="246"/>
      <c r="I492" s="310"/>
      <c r="J492" s="246"/>
      <c r="K492" s="246"/>
      <c r="L492" s="246"/>
      <c r="M492" s="310"/>
      <c r="N492" s="246"/>
      <c r="O492" s="246"/>
      <c r="P492" s="246"/>
      <c r="Q492" s="310"/>
      <c r="R492" s="310"/>
      <c r="S492" s="310"/>
      <c r="T492" s="246"/>
      <c r="U492" s="246"/>
      <c r="V492" s="102" t="s">
        <v>183</v>
      </c>
      <c r="W492" s="10"/>
      <c r="X492" s="10"/>
      <c r="Y492" s="10"/>
      <c r="Z492" s="280">
        <v>0</v>
      </c>
      <c r="AA492" s="10"/>
      <c r="AB492" s="10"/>
      <c r="AC492" s="280"/>
      <c r="AD492" s="10"/>
      <c r="AE492" s="13"/>
      <c r="AF492" s="280">
        <v>0</v>
      </c>
      <c r="AG492" s="10"/>
      <c r="AH492" s="282">
        <f t="shared" si="128"/>
        <v>0</v>
      </c>
      <c r="AI492" s="306">
        <f t="shared" si="129"/>
        <v>0</v>
      </c>
      <c r="AJ492" s="10"/>
      <c r="AK492" s="10"/>
      <c r="AL492" s="280">
        <v>0</v>
      </c>
      <c r="AM492" s="393"/>
      <c r="AN492" s="282">
        <f t="shared" si="130"/>
        <v>0</v>
      </c>
      <c r="AO492" s="289">
        <f t="shared" si="131"/>
        <v>0</v>
      </c>
      <c r="AP492" s="246"/>
      <c r="AQ492" s="246"/>
      <c r="AR492" s="246"/>
      <c r="AS492" s="246"/>
      <c r="AT492" s="246"/>
      <c r="AU492" s="246"/>
      <c r="AV492" s="246"/>
      <c r="AW492" s="246"/>
      <c r="AX492" s="246"/>
      <c r="AY492" s="246"/>
      <c r="AZ492" s="246"/>
      <c r="BA492" s="246"/>
      <c r="BB492" s="246"/>
      <c r="BC492" s="246"/>
      <c r="BD492" s="246"/>
      <c r="BE492" s="246"/>
      <c r="BF492" s="246"/>
      <c r="BG492" s="246"/>
      <c r="BH492" s="246"/>
      <c r="BI492" s="246"/>
      <c r="BJ492" s="246"/>
    </row>
    <row r="493" spans="1:62" ht="20.25">
      <c r="A493" t="str">
        <f t="shared" si="124"/>
        <v>Intérêts sur prêt</v>
      </c>
      <c r="B493" s="7"/>
      <c r="C493" s="246"/>
      <c r="D493" s="246"/>
      <c r="E493" s="246"/>
      <c r="F493" s="310"/>
      <c r="G493" s="246"/>
      <c r="H493" s="246"/>
      <c r="I493" s="310"/>
      <c r="J493" s="246"/>
      <c r="K493" s="246"/>
      <c r="L493" s="246"/>
      <c r="M493" s="310"/>
      <c r="N493" s="246"/>
      <c r="O493" s="246"/>
      <c r="P493" s="246"/>
      <c r="Q493" s="310"/>
      <c r="R493" s="310"/>
      <c r="S493" s="310"/>
      <c r="T493" s="246"/>
      <c r="U493" s="246"/>
      <c r="V493" s="102" t="s">
        <v>184</v>
      </c>
      <c r="W493" s="13"/>
      <c r="X493" s="13"/>
      <c r="Y493" s="13"/>
      <c r="Z493" s="280">
        <v>0</v>
      </c>
      <c r="AA493" s="10"/>
      <c r="AB493" s="10"/>
      <c r="AC493" s="280"/>
      <c r="AD493" s="10"/>
      <c r="AE493" s="13"/>
      <c r="AF493" s="280">
        <v>0</v>
      </c>
      <c r="AG493" s="10"/>
      <c r="AH493" s="282">
        <f t="shared" si="128"/>
        <v>0</v>
      </c>
      <c r="AI493" s="306">
        <f t="shared" si="129"/>
        <v>0</v>
      </c>
      <c r="AJ493" s="10"/>
      <c r="AK493" s="10"/>
      <c r="AL493" s="280">
        <v>0</v>
      </c>
      <c r="AM493" s="393"/>
      <c r="AN493" s="282">
        <f t="shared" si="130"/>
        <v>0</v>
      </c>
      <c r="AO493" s="289">
        <f t="shared" si="131"/>
        <v>0</v>
      </c>
      <c r="AP493" s="246"/>
      <c r="AQ493" s="246"/>
      <c r="AR493" s="246"/>
      <c r="AS493" s="246"/>
      <c r="AT493" s="246"/>
      <c r="AU493" s="246"/>
      <c r="AV493" s="246"/>
      <c r="AW493" s="246"/>
      <c r="AX493" s="246"/>
      <c r="AY493" s="246"/>
      <c r="AZ493" s="246"/>
      <c r="BA493" s="246"/>
      <c r="BB493" s="246"/>
      <c r="BC493" s="246"/>
      <c r="BD493" s="246"/>
      <c r="BE493" s="246"/>
      <c r="BF493" s="246"/>
      <c r="BG493" s="246"/>
      <c r="BH493" s="246"/>
      <c r="BI493" s="246"/>
      <c r="BJ493" s="246"/>
    </row>
    <row r="494" spans="1:62" ht="20.25">
      <c r="A494" t="str">
        <f t="shared" si="124"/>
        <v>Intérêts sur avance</v>
      </c>
      <c r="B494" s="7"/>
      <c r="C494" s="246"/>
      <c r="D494" s="246"/>
      <c r="E494" s="246"/>
      <c r="F494" s="310"/>
      <c r="G494" s="246"/>
      <c r="H494" s="246"/>
      <c r="I494" s="310"/>
      <c r="J494" s="246"/>
      <c r="K494" s="246"/>
      <c r="L494" s="246"/>
      <c r="M494" s="310"/>
      <c r="N494" s="246"/>
      <c r="O494" s="246"/>
      <c r="P494" s="246"/>
      <c r="Q494" s="310"/>
      <c r="R494" s="310"/>
      <c r="S494" s="310"/>
      <c r="T494" s="246"/>
      <c r="U494" s="246"/>
      <c r="V494" s="102" t="s">
        <v>185</v>
      </c>
      <c r="W494" s="13"/>
      <c r="X494" s="13"/>
      <c r="Y494" s="13"/>
      <c r="Z494" s="280">
        <v>0</v>
      </c>
      <c r="AA494" s="10"/>
      <c r="AB494" s="10"/>
      <c r="AC494" s="280"/>
      <c r="AD494" s="10"/>
      <c r="AE494" s="13"/>
      <c r="AF494" s="280">
        <v>0</v>
      </c>
      <c r="AG494" s="10"/>
      <c r="AH494" s="282">
        <f t="shared" si="128"/>
        <v>0</v>
      </c>
      <c r="AI494" s="306">
        <f t="shared" si="129"/>
        <v>0</v>
      </c>
      <c r="AJ494" s="10"/>
      <c r="AK494" s="10"/>
      <c r="AL494" s="280">
        <v>0</v>
      </c>
      <c r="AM494" s="393"/>
      <c r="AN494" s="282">
        <f t="shared" si="130"/>
        <v>0</v>
      </c>
      <c r="AO494" s="289">
        <f t="shared" si="131"/>
        <v>0</v>
      </c>
      <c r="AP494" s="246"/>
      <c r="AQ494" s="246"/>
      <c r="AR494" s="246"/>
      <c r="AS494" s="246"/>
      <c r="AT494" s="246"/>
      <c r="AU494" s="246"/>
      <c r="AV494" s="246"/>
      <c r="AW494" s="246"/>
      <c r="AX494" s="246"/>
      <c r="AY494" s="246"/>
      <c r="AZ494" s="246"/>
      <c r="BA494" s="246"/>
      <c r="BB494" s="246"/>
      <c r="BC494" s="246"/>
      <c r="BD494" s="246"/>
      <c r="BE494" s="246"/>
      <c r="BF494" s="246"/>
      <c r="BG494" s="246"/>
      <c r="BH494" s="246"/>
      <c r="BI494" s="246"/>
      <c r="BJ494" s="246"/>
    </row>
    <row r="495" spans="1:62" ht="20.25" hidden="1">
      <c r="A495" t="str">
        <f t="shared" si="124"/>
        <v>[...]</v>
      </c>
      <c r="B495" s="7"/>
      <c r="C495" s="246"/>
      <c r="D495" s="246"/>
      <c r="E495" s="246"/>
      <c r="F495" s="310"/>
      <c r="G495" s="246"/>
      <c r="H495" s="246"/>
      <c r="I495" s="310"/>
      <c r="J495" s="246"/>
      <c r="K495" s="246"/>
      <c r="L495" s="246"/>
      <c r="M495" s="310"/>
      <c r="N495" s="246"/>
      <c r="O495" s="246"/>
      <c r="P495" s="246"/>
      <c r="Q495" s="310"/>
      <c r="R495" s="310"/>
      <c r="S495" s="310"/>
      <c r="T495" s="246"/>
      <c r="U495" s="246"/>
      <c r="V495" s="102" t="s">
        <v>19</v>
      </c>
      <c r="W495" s="13"/>
      <c r="X495" s="13"/>
      <c r="Y495" s="13"/>
      <c r="Z495" s="282">
        <f>IFERROR(SUMIF($C:$C,$V495,F:F),0)</f>
        <v>0</v>
      </c>
      <c r="AA495" s="279"/>
      <c r="AB495" s="279"/>
      <c r="AC495" s="282"/>
      <c r="AD495" s="288"/>
      <c r="AE495" s="287"/>
      <c r="AF495" s="280">
        <v>0</v>
      </c>
      <c r="AG495" s="281"/>
      <c r="AH495" s="282">
        <f t="shared" si="128"/>
        <v>0</v>
      </c>
      <c r="AI495" s="283">
        <f t="shared" si="129"/>
        <v>0</v>
      </c>
      <c r="AJ495" s="288"/>
      <c r="AK495" s="279"/>
      <c r="AL495" s="280">
        <v>0</v>
      </c>
      <c r="AM495" s="393"/>
      <c r="AN495" s="282">
        <f t="shared" si="130"/>
        <v>0</v>
      </c>
      <c r="AO495" s="289">
        <f t="shared" si="131"/>
        <v>0</v>
      </c>
      <c r="AP495" s="246"/>
      <c r="AQ495" s="246"/>
      <c r="AR495" s="246"/>
      <c r="AS495" s="246"/>
      <c r="AT495" s="246"/>
      <c r="AU495" s="246"/>
      <c r="AV495" s="246"/>
      <c r="AW495" s="246"/>
      <c r="AX495" s="246"/>
      <c r="AY495" s="246"/>
      <c r="AZ495" s="246"/>
      <c r="BA495" s="246"/>
      <c r="BB495" s="246"/>
      <c r="BC495" s="246"/>
      <c r="BD495" s="246"/>
      <c r="BE495" s="246"/>
      <c r="BF495" s="246"/>
      <c r="BG495" s="246"/>
      <c r="BH495" s="246"/>
      <c r="BI495" s="246"/>
      <c r="BJ495" s="246"/>
    </row>
    <row r="496" spans="1:62" ht="21" thickBot="1">
      <c r="A496" t="str">
        <f t="shared" si="124"/>
        <v>Revenus d'intérêts floor plan</v>
      </c>
      <c r="B496" s="7"/>
      <c r="C496" s="246"/>
      <c r="D496" s="246"/>
      <c r="E496" s="246"/>
      <c r="F496" s="310"/>
      <c r="G496" s="246"/>
      <c r="H496" s="246"/>
      <c r="I496" s="310"/>
      <c r="J496" s="246"/>
      <c r="K496" s="246"/>
      <c r="L496" s="246"/>
      <c r="M496" s="310"/>
      <c r="N496" s="246"/>
      <c r="O496" s="246"/>
      <c r="P496" s="246"/>
      <c r="Q496" s="310"/>
      <c r="R496" s="310"/>
      <c r="S496" s="310"/>
      <c r="T496" s="246"/>
      <c r="U496" s="246"/>
      <c r="V496" s="102" t="s">
        <v>239</v>
      </c>
      <c r="W496" s="13"/>
      <c r="X496" s="13"/>
      <c r="Y496" s="13"/>
      <c r="Z496" s="282">
        <v>-9189.890710382515</v>
      </c>
      <c r="AA496" s="279"/>
      <c r="AB496" s="279"/>
      <c r="AC496" s="282"/>
      <c r="AD496" s="288"/>
      <c r="AE496" s="287"/>
      <c r="AF496" s="280">
        <v>-3748.53</v>
      </c>
      <c r="AG496" s="281"/>
      <c r="AH496" s="282">
        <f t="shared" si="128"/>
        <v>5441.3607103825143</v>
      </c>
      <c r="AI496" s="283">
        <f t="shared" si="129"/>
        <v>-0.59210287498141811</v>
      </c>
      <c r="AJ496" s="288"/>
      <c r="AK496" s="279"/>
      <c r="AL496" s="280">
        <v>0</v>
      </c>
      <c r="AM496" s="393"/>
      <c r="AN496" s="282">
        <f t="shared" si="130"/>
        <v>-3748.53</v>
      </c>
      <c r="AO496" s="289">
        <f t="shared" si="131"/>
        <v>0</v>
      </c>
      <c r="AP496" s="246"/>
      <c r="AQ496" s="246">
        <v>-3749</v>
      </c>
      <c r="AR496" s="246"/>
      <c r="AS496" s="246"/>
      <c r="AT496" s="246"/>
      <c r="AU496" s="246"/>
      <c r="AV496" s="246"/>
      <c r="AW496" s="246"/>
      <c r="AX496" s="246"/>
      <c r="AY496" s="246"/>
      <c r="AZ496" s="246"/>
      <c r="BA496" s="246"/>
      <c r="BB496" s="246"/>
      <c r="BC496" s="246"/>
      <c r="BD496" s="246"/>
      <c r="BE496" s="246"/>
      <c r="BF496" s="246"/>
      <c r="BG496" s="246"/>
      <c r="BH496" s="246"/>
      <c r="BI496" s="246"/>
      <c r="BJ496" s="246"/>
    </row>
    <row r="497" spans="1:62" ht="21" hidden="1" thickBot="1">
      <c r="A497" t="str">
        <f t="shared" si="124"/>
        <v>[...]</v>
      </c>
      <c r="B497" s="7"/>
      <c r="C497" s="246"/>
      <c r="D497" s="246"/>
      <c r="E497" s="246"/>
      <c r="F497" s="310"/>
      <c r="G497" s="246"/>
      <c r="H497" s="246"/>
      <c r="I497" s="310"/>
      <c r="J497" s="246"/>
      <c r="K497" s="246"/>
      <c r="L497" s="246"/>
      <c r="M497" s="310"/>
      <c r="N497" s="246"/>
      <c r="O497" s="246"/>
      <c r="P497" s="246"/>
      <c r="Q497" s="310"/>
      <c r="R497" s="310"/>
      <c r="S497" s="310"/>
      <c r="T497" s="246"/>
      <c r="U497" s="246"/>
      <c r="V497" s="102" t="s">
        <v>19</v>
      </c>
      <c r="W497" s="13"/>
      <c r="X497" s="246"/>
      <c r="Y497" s="13"/>
      <c r="Z497" s="282">
        <f>IFERROR(SUMIF($C:$C,$V497,F:F),0)</f>
        <v>0</v>
      </c>
      <c r="AA497" s="279"/>
      <c r="AB497" s="279"/>
      <c r="AC497" s="282"/>
      <c r="AD497" s="288"/>
      <c r="AE497" s="287"/>
      <c r="AF497" s="280">
        <v>0</v>
      </c>
      <c r="AG497" s="281"/>
      <c r="AH497" s="282">
        <f t="shared" si="128"/>
        <v>0</v>
      </c>
      <c r="AI497" s="283">
        <f t="shared" si="129"/>
        <v>0</v>
      </c>
      <c r="AJ497" s="288"/>
      <c r="AK497" s="279"/>
      <c r="AL497" s="280">
        <v>0</v>
      </c>
      <c r="AM497" s="393"/>
      <c r="AN497" s="282">
        <f t="shared" si="130"/>
        <v>0</v>
      </c>
      <c r="AO497" s="289">
        <f t="shared" si="131"/>
        <v>0</v>
      </c>
      <c r="AP497" s="246"/>
      <c r="AQ497" s="246"/>
      <c r="AR497" s="246"/>
      <c r="AS497" s="246"/>
      <c r="AT497" s="246"/>
      <c r="AU497" s="246"/>
      <c r="AV497" s="246"/>
      <c r="AW497" s="246"/>
      <c r="AX497" s="246"/>
      <c r="AY497" s="246"/>
      <c r="AZ497" s="246"/>
      <c r="BA497" s="246"/>
      <c r="BB497" s="246"/>
      <c r="BC497" s="246"/>
      <c r="BD497" s="246"/>
      <c r="BE497" s="246"/>
      <c r="BF497" s="246"/>
      <c r="BG497" s="246"/>
      <c r="BH497" s="246"/>
      <c r="BI497" s="246"/>
      <c r="BJ497" s="246"/>
    </row>
    <row r="498" spans="1:62" ht="19.5" thickTop="1" thickBot="1">
      <c r="A498" t="str">
        <f t="shared" si="124"/>
        <v>Profit Net</v>
      </c>
      <c r="B498" s="7"/>
      <c r="C498" s="246"/>
      <c r="D498" s="246"/>
      <c r="E498" s="246"/>
      <c r="F498" s="310"/>
      <c r="G498" s="246"/>
      <c r="H498" s="246"/>
      <c r="I498" s="310"/>
      <c r="J498" s="246"/>
      <c r="K498" s="246"/>
      <c r="L498" s="246"/>
      <c r="M498" s="310"/>
      <c r="N498" s="246"/>
      <c r="O498" s="246"/>
      <c r="P498" s="246"/>
      <c r="Q498" s="310"/>
      <c r="R498" s="310"/>
      <c r="S498" s="310"/>
      <c r="T498" s="246"/>
      <c r="U498" s="246"/>
      <c r="V498" s="365" t="s">
        <v>186</v>
      </c>
      <c r="W498" s="366"/>
      <c r="X498" s="367" t="s">
        <v>180</v>
      </c>
      <c r="Y498" s="368">
        <f>Z498/Z406</f>
        <v>2.391313026137435E-2</v>
      </c>
      <c r="Z498" s="369">
        <f>Z489-Z491-Z492-Z493-Z497-Z496-Z494-Z495</f>
        <v>97955.726391505392</v>
      </c>
      <c r="AA498" s="367"/>
      <c r="AB498" s="368"/>
      <c r="AC498" s="369"/>
      <c r="AD498" s="367" t="s">
        <v>180</v>
      </c>
      <c r="AE498" s="368">
        <f>AF498/AF406</f>
        <v>-8.358853730608868E-3</v>
      </c>
      <c r="AF498" s="370">
        <f>AF489-AF491-AF492-AF493-AF497-AF496-AF494-AF495</f>
        <v>-24325.840000000026</v>
      </c>
      <c r="AG498" s="371"/>
      <c r="AH498" s="370">
        <f t="shared" si="128"/>
        <v>-122281.56639150542</v>
      </c>
      <c r="AI498" s="487">
        <f>AH498/Z498</f>
        <v>-1.2483350478437116</v>
      </c>
      <c r="AJ498" s="373" t="s">
        <v>180</v>
      </c>
      <c r="AK498" s="368">
        <f>IF($AL$406=0,0,AL498/$AL$406)</f>
        <v>3.8091710479263963E-2</v>
      </c>
      <c r="AL498" s="370">
        <f>AL489-AL491-AL492-AL493-AL497-AL496-AL494-AL495</f>
        <v>197735.63999999937</v>
      </c>
      <c r="AM498" s="374"/>
      <c r="AN498" s="370">
        <f t="shared" si="130"/>
        <v>-222061.4799999994</v>
      </c>
      <c r="AO498" s="394">
        <f t="shared" si="131"/>
        <v>-1.1230220308286363</v>
      </c>
      <c r="AP498" s="246"/>
      <c r="AQ498" s="246"/>
      <c r="AR498" s="246"/>
      <c r="AS498" s="246"/>
      <c r="AT498" s="246"/>
      <c r="AU498" s="246"/>
      <c r="AV498" s="246"/>
      <c r="AW498" s="246"/>
      <c r="AX498" s="246"/>
      <c r="AY498" s="246"/>
      <c r="AZ498" s="246"/>
      <c r="BA498" s="246"/>
      <c r="BB498" s="246"/>
      <c r="BC498" s="246"/>
      <c r="BD498" s="246"/>
      <c r="BE498" s="246"/>
      <c r="BF498" s="246"/>
      <c r="BG498" s="246"/>
      <c r="BH498" s="246"/>
      <c r="BI498" s="246"/>
      <c r="BJ498" s="246"/>
    </row>
    <row r="499" spans="1:62" ht="16.5" thickTop="1">
      <c r="A499" t="str">
        <f>+U499&amp;V488</f>
        <v>BAIIA Corpo</v>
      </c>
      <c r="B499" s="7"/>
      <c r="C499" s="246"/>
      <c r="D499" s="246"/>
      <c r="E499" s="246"/>
      <c r="F499" s="310"/>
      <c r="G499" s="246"/>
      <c r="H499" s="246"/>
      <c r="I499" s="310"/>
      <c r="J499" s="246"/>
      <c r="K499" s="246"/>
      <c r="L499" s="246"/>
      <c r="M499" s="310"/>
      <c r="N499" s="246"/>
      <c r="O499" s="246"/>
      <c r="P499" s="246"/>
      <c r="Q499" s="310"/>
      <c r="R499" s="310"/>
      <c r="S499" s="310"/>
      <c r="T499" s="246"/>
      <c r="U499" s="246"/>
      <c r="AP499" s="246"/>
      <c r="AQ499" s="246"/>
      <c r="AR499" s="246"/>
      <c r="AS499" s="246"/>
      <c r="AT499" s="246"/>
      <c r="AU499" s="246"/>
      <c r="AV499" s="246"/>
      <c r="AW499" s="246"/>
      <c r="AX499" s="246"/>
      <c r="AY499" s="246"/>
      <c r="AZ499" s="246"/>
      <c r="BA499" s="246"/>
      <c r="BB499" s="246"/>
      <c r="BC499" s="246"/>
      <c r="BD499" s="246"/>
      <c r="BE499" s="246"/>
      <c r="BF499" s="246"/>
      <c r="BG499" s="246"/>
      <c r="BH499" s="246"/>
      <c r="BI499" s="246"/>
      <c r="BJ499" s="246"/>
    </row>
    <row r="500" spans="1:62" ht="15.75" customHeight="1" outlineLevel="1">
      <c r="B500" s="7"/>
      <c r="C500" s="246"/>
      <c r="D500" s="246"/>
      <c r="E500" s="246"/>
      <c r="F500" s="310"/>
      <c r="G500" s="246"/>
      <c r="H500" s="246"/>
      <c r="I500" s="310"/>
      <c r="J500" s="246"/>
      <c r="K500" s="246"/>
      <c r="L500" s="246"/>
      <c r="M500" s="310"/>
      <c r="N500" s="246"/>
      <c r="O500" s="246"/>
      <c r="P500" s="246"/>
      <c r="Q500" s="310"/>
      <c r="R500" s="310"/>
      <c r="S500" s="310"/>
      <c r="T500" s="246"/>
      <c r="U500" s="246"/>
      <c r="V500" s="246" t="s">
        <v>240</v>
      </c>
      <c r="W500" s="246"/>
      <c r="X500" s="246"/>
      <c r="Y500" s="246"/>
      <c r="Z500" s="246"/>
      <c r="AA500" s="246"/>
      <c r="AB500" s="246"/>
      <c r="AC500" s="246"/>
      <c r="AD500" s="246"/>
      <c r="AE500" s="395"/>
      <c r="AF500" s="280">
        <v>-6324.76</v>
      </c>
      <c r="AG500" s="246"/>
      <c r="AH500" s="246"/>
      <c r="AI500" s="246"/>
      <c r="AJ500" s="246"/>
      <c r="AK500" s="246"/>
      <c r="AL500" s="246"/>
      <c r="AM500" s="246"/>
      <c r="AN500" s="246"/>
      <c r="AO500" s="246"/>
      <c r="AP500" s="246"/>
      <c r="AQ500" s="246"/>
      <c r="AR500" s="246"/>
      <c r="AS500" s="246"/>
      <c r="AT500" s="246"/>
      <c r="AU500" s="246"/>
      <c r="AV500" s="246"/>
      <c r="AW500" s="246"/>
      <c r="AX500" s="246"/>
      <c r="AY500" s="246"/>
      <c r="AZ500" s="246"/>
      <c r="BA500" s="246"/>
      <c r="BB500" s="246"/>
      <c r="BC500" s="246"/>
      <c r="BD500" s="246"/>
      <c r="BE500" s="246"/>
      <c r="BF500" s="246"/>
      <c r="BG500" s="246"/>
      <c r="BH500" s="246"/>
      <c r="BI500" s="246"/>
      <c r="BJ500" s="246"/>
    </row>
    <row r="501" spans="1:62" ht="15.75" customHeight="1" outlineLevel="1" thickBot="1">
      <c r="B501" s="7"/>
      <c r="C501" s="246"/>
      <c r="D501" s="246"/>
      <c r="E501" s="246"/>
      <c r="F501" s="310"/>
      <c r="G501" s="246"/>
      <c r="H501" s="246"/>
      <c r="I501" s="310"/>
      <c r="J501" s="246"/>
      <c r="K501" s="246"/>
      <c r="L501" s="246"/>
      <c r="M501" s="310"/>
      <c r="N501" s="246"/>
      <c r="O501" s="246"/>
      <c r="P501" s="246"/>
      <c r="Q501" s="310"/>
      <c r="R501" s="310"/>
      <c r="S501" s="310"/>
      <c r="T501" s="246"/>
      <c r="U501" s="246"/>
      <c r="V501" s="246"/>
      <c r="W501" s="246"/>
      <c r="X501" s="246"/>
      <c r="Y501" s="246"/>
      <c r="Z501" s="246"/>
      <c r="AA501" s="246"/>
      <c r="AB501" s="246"/>
      <c r="AC501" s="246"/>
      <c r="AD501" s="246"/>
      <c r="AE501" s="395"/>
      <c r="AF501" s="396"/>
      <c r="AG501" s="246"/>
      <c r="AH501" s="246"/>
      <c r="AI501" s="246"/>
      <c r="AJ501" s="246"/>
      <c r="AK501" s="246"/>
      <c r="AL501" s="246"/>
      <c r="AM501" s="246"/>
      <c r="AN501" s="246"/>
      <c r="AO501" s="246"/>
      <c r="AP501" s="246"/>
      <c r="AQ501" s="246"/>
      <c r="AR501" s="246"/>
      <c r="AS501" s="246"/>
      <c r="AT501" s="246"/>
      <c r="AU501" s="246"/>
      <c r="AV501" s="246"/>
      <c r="AW501" s="246"/>
      <c r="AX501" s="246"/>
      <c r="AY501" s="246"/>
      <c r="AZ501" s="246"/>
      <c r="BA501" s="246"/>
      <c r="BB501" s="246"/>
      <c r="BC501" s="246"/>
      <c r="BD501" s="246"/>
      <c r="BE501" s="246"/>
      <c r="BF501" s="246"/>
      <c r="BG501" s="246"/>
      <c r="BH501" s="246"/>
      <c r="BI501" s="246"/>
      <c r="BJ501" s="246"/>
    </row>
    <row r="502" spans="1:62" ht="15.75" customHeight="1" outlineLevel="1" thickTop="1" thickBot="1">
      <c r="B502" s="7"/>
      <c r="C502" s="246"/>
      <c r="D502" s="246"/>
      <c r="E502" s="246"/>
      <c r="F502" s="310"/>
      <c r="G502" s="246"/>
      <c r="H502" s="246"/>
      <c r="I502" s="310"/>
      <c r="J502" s="246"/>
      <c r="K502" s="246"/>
      <c r="L502" s="246"/>
      <c r="M502" s="310"/>
      <c r="N502" s="246"/>
      <c r="O502" s="246"/>
      <c r="P502" s="246"/>
      <c r="Q502" s="310"/>
      <c r="R502" s="310"/>
      <c r="S502" s="310"/>
      <c r="T502" s="246"/>
      <c r="U502" s="246"/>
      <c r="V502" s="365" t="s">
        <v>241</v>
      </c>
      <c r="W502" s="366"/>
      <c r="X502" s="367"/>
      <c r="Y502" s="368"/>
      <c r="Z502" s="369"/>
      <c r="AA502" s="367"/>
      <c r="AB502" s="368"/>
      <c r="AC502" s="369"/>
      <c r="AD502" s="367"/>
      <c r="AE502" s="368"/>
      <c r="AF502" s="370">
        <f>+AF498-AF500</f>
        <v>-18001.080000000024</v>
      </c>
      <c r="AG502" s="371"/>
      <c r="AH502" s="371"/>
      <c r="AI502" s="372"/>
      <c r="AJ502" s="373"/>
      <c r="AK502" s="368"/>
      <c r="AL502" s="370"/>
      <c r="AM502" s="374"/>
      <c r="AN502" s="370"/>
      <c r="AO502" s="394"/>
      <c r="AP502" s="246"/>
      <c r="AQ502" s="246"/>
      <c r="AR502" s="310"/>
      <c r="AS502" s="246"/>
      <c r="AT502" s="246"/>
      <c r="AU502" s="246"/>
      <c r="AV502" s="246"/>
      <c r="AW502" s="246"/>
      <c r="AX502" s="246"/>
      <c r="AY502" s="246"/>
      <c r="AZ502" s="246"/>
      <c r="BA502" s="246"/>
      <c r="BB502" s="246"/>
      <c r="BC502" s="246"/>
      <c r="BD502" s="246"/>
      <c r="BE502" s="246"/>
      <c r="BF502" s="246"/>
      <c r="BG502" s="246"/>
      <c r="BH502" s="246"/>
      <c r="BI502" s="246"/>
      <c r="BJ502" s="246"/>
    </row>
    <row r="503" spans="1:62" ht="16.5" thickTop="1">
      <c r="B503" s="7"/>
      <c r="C503" s="246"/>
      <c r="D503" s="246"/>
      <c r="E503" s="246"/>
      <c r="F503" s="310"/>
      <c r="G503" s="246"/>
      <c r="H503" s="246"/>
      <c r="I503" s="310"/>
      <c r="J503" s="246"/>
      <c r="K503" s="246"/>
      <c r="L503" s="246"/>
      <c r="M503" s="310"/>
      <c r="N503" s="246"/>
      <c r="O503" s="246"/>
      <c r="P503" s="246"/>
      <c r="Q503" s="310"/>
      <c r="R503" s="310"/>
      <c r="S503" s="310"/>
      <c r="T503" s="246"/>
      <c r="U503" s="246"/>
      <c r="V503" s="246"/>
      <c r="W503" s="246"/>
      <c r="X503" s="246"/>
      <c r="Y503" s="246"/>
      <c r="Z503" s="246"/>
      <c r="AA503" s="246"/>
      <c r="AB503" s="246"/>
      <c r="AC503" s="246"/>
      <c r="AD503" s="246"/>
      <c r="AE503" s="395"/>
      <c r="AF503" s="396"/>
      <c r="AG503" s="246"/>
      <c r="AH503" s="310"/>
      <c r="AI503" s="246"/>
      <c r="AJ503" s="246"/>
      <c r="AK503" s="246"/>
      <c r="AL503" s="246"/>
      <c r="AM503" s="246"/>
      <c r="AN503" s="246"/>
      <c r="AO503" s="246"/>
      <c r="AP503" s="246"/>
      <c r="AQ503" s="246"/>
      <c r="AR503" s="246"/>
      <c r="AS503" s="246"/>
      <c r="AT503" s="246"/>
      <c r="AU503" s="246"/>
      <c r="AV503" s="246"/>
      <c r="AW503" s="246"/>
      <c r="AX503" s="246"/>
      <c r="AY503" s="246"/>
      <c r="AZ503" s="246"/>
      <c r="BA503" s="246"/>
      <c r="BB503" s="246"/>
      <c r="BC503" s="246"/>
      <c r="BD503" s="246"/>
      <c r="BE503" s="246"/>
      <c r="BF503" s="246"/>
      <c r="BG503" s="246"/>
      <c r="BH503" s="246"/>
      <c r="BI503" s="246"/>
      <c r="BJ503" s="246"/>
    </row>
    <row r="504" spans="1:62" ht="18">
      <c r="B504" s="7"/>
      <c r="C504" s="246"/>
      <c r="D504" s="246"/>
      <c r="E504" s="246"/>
      <c r="F504" s="310"/>
      <c r="G504" s="246"/>
      <c r="H504" s="246"/>
      <c r="I504" s="310"/>
      <c r="J504" s="246"/>
      <c r="K504" s="246"/>
      <c r="L504" s="246"/>
      <c r="M504" s="310"/>
      <c r="N504" s="246"/>
      <c r="O504" s="246"/>
      <c r="P504" s="246"/>
      <c r="Q504" s="310"/>
      <c r="R504" s="310"/>
      <c r="S504" s="310"/>
      <c r="T504" s="246"/>
      <c r="U504" s="246"/>
      <c r="V504" s="246"/>
      <c r="W504" s="246"/>
      <c r="X504" s="246"/>
      <c r="Y504" s="246"/>
      <c r="Z504" s="310"/>
      <c r="AA504" s="246"/>
      <c r="AB504" s="246"/>
      <c r="AC504" s="246"/>
      <c r="AD504" s="246"/>
      <c r="AE504" s="246"/>
      <c r="AF504" s="488">
        <f>AF500/AF498</f>
        <v>0.26000171011566275</v>
      </c>
      <c r="AG504" s="246"/>
      <c r="AH504" s="246"/>
      <c r="AI504" s="246"/>
      <c r="AJ504" s="246"/>
      <c r="AK504" s="246"/>
      <c r="AL504" s="246"/>
      <c r="AM504" s="246"/>
      <c r="AN504" s="246"/>
      <c r="AO504" s="246"/>
      <c r="AP504" s="246"/>
      <c r="AQ504" s="246"/>
      <c r="AR504" s="246"/>
      <c r="AS504" s="246"/>
      <c r="AT504" s="246"/>
      <c r="AU504" s="246"/>
      <c r="AV504" s="246"/>
      <c r="AW504" s="246"/>
      <c r="AX504" s="246"/>
      <c r="AY504" s="246"/>
      <c r="AZ504" s="246"/>
      <c r="BA504" s="246"/>
      <c r="BB504" s="246"/>
      <c r="BC504" s="246"/>
      <c r="BD504" s="246"/>
      <c r="BE504" s="246"/>
      <c r="BF504" s="246"/>
      <c r="BG504" s="246"/>
      <c r="BH504" s="246"/>
      <c r="BI504" s="246"/>
      <c r="BJ504" s="246"/>
    </row>
    <row r="505" spans="1:62" ht="15.75">
      <c r="B505" s="7"/>
      <c r="C505" s="246"/>
      <c r="D505" s="246"/>
      <c r="E505" s="246"/>
      <c r="F505" s="310"/>
      <c r="G505" s="246"/>
      <c r="H505" s="246"/>
      <c r="I505" s="310"/>
      <c r="J505" s="246"/>
      <c r="K505" s="246"/>
      <c r="L505" s="246"/>
      <c r="M505" s="310"/>
      <c r="N505" s="246"/>
      <c r="O505" s="246"/>
      <c r="P505" s="246"/>
      <c r="Q505" s="310"/>
      <c r="R505" s="310"/>
      <c r="S505" s="310"/>
      <c r="T505" s="334"/>
      <c r="U505" s="334"/>
      <c r="V505" s="246"/>
      <c r="W505" s="246"/>
      <c r="X505" s="246"/>
      <c r="Y505" s="246"/>
      <c r="Z505" s="310"/>
      <c r="AA505" s="246"/>
      <c r="AB505" s="246"/>
      <c r="AC505" s="246"/>
      <c r="AD505" s="246" t="s">
        <v>242</v>
      </c>
      <c r="AE505" s="246"/>
      <c r="AF505" s="246">
        <v>-56894</v>
      </c>
      <c r="AG505" s="246"/>
      <c r="AH505" s="246"/>
      <c r="AI505" s="246"/>
      <c r="AJ505" s="246"/>
      <c r="AK505" s="246"/>
      <c r="AL505" s="246"/>
      <c r="AM505" s="246"/>
      <c r="AN505" s="246"/>
      <c r="AO505" s="246"/>
      <c r="AP505" s="246"/>
      <c r="AQ505" s="246"/>
      <c r="AR505" s="246"/>
      <c r="AS505" s="246"/>
      <c r="AT505" s="246"/>
      <c r="AU505" s="246"/>
      <c r="AV505" s="246"/>
      <c r="AW505" s="246"/>
      <c r="AX505" s="246"/>
      <c r="AY505" s="246"/>
      <c r="AZ505" s="246"/>
      <c r="BA505" s="246"/>
      <c r="BB505" s="246"/>
      <c r="BC505" s="246"/>
      <c r="BD505" s="246"/>
      <c r="BE505" s="246"/>
      <c r="BF505" s="246"/>
      <c r="BG505" s="246"/>
      <c r="BH505" s="246"/>
      <c r="BI505" s="246"/>
      <c r="BJ505" s="246"/>
    </row>
    <row r="506" spans="1:62" ht="18">
      <c r="B506" s="7"/>
      <c r="C506" s="246"/>
      <c r="D506" s="246"/>
      <c r="E506" s="246"/>
      <c r="F506" s="310"/>
      <c r="G506" s="246"/>
      <c r="H506" s="246"/>
      <c r="I506" s="310"/>
      <c r="J506" s="246"/>
      <c r="K506" s="246"/>
      <c r="L506" s="246"/>
      <c r="M506" s="310"/>
      <c r="N506" s="246"/>
      <c r="O506" s="246"/>
      <c r="P506" s="246"/>
      <c r="Q506" s="310"/>
      <c r="R506" s="310"/>
      <c r="S506" s="310"/>
      <c r="T506" s="334"/>
      <c r="U506" s="334"/>
      <c r="V506" s="246"/>
      <c r="W506" s="246"/>
      <c r="X506" s="246"/>
      <c r="Y506" s="246"/>
      <c r="Z506" s="310"/>
      <c r="AA506" s="246"/>
      <c r="AB506" s="246"/>
      <c r="AC506" s="246"/>
      <c r="AD506" s="246"/>
      <c r="AE506" s="246"/>
      <c r="AF506" s="397"/>
      <c r="AG506" s="246"/>
      <c r="AH506" s="246"/>
      <c r="AI506" s="246"/>
      <c r="AJ506" s="246"/>
      <c r="AK506" s="246"/>
      <c r="AL506" s="246"/>
      <c r="AM506" s="246"/>
      <c r="AN506" s="246"/>
      <c r="AO506" s="246"/>
      <c r="AP506" s="246"/>
      <c r="AQ506" s="246"/>
      <c r="AR506" s="246"/>
      <c r="AS506" s="246"/>
      <c r="AT506" s="246"/>
      <c r="AU506" s="246"/>
      <c r="AV506" s="246"/>
      <c r="AW506" s="246"/>
      <c r="AX506" s="246"/>
      <c r="AY506" s="246"/>
      <c r="AZ506" s="246"/>
      <c r="BA506" s="246"/>
      <c r="BB506" s="246"/>
      <c r="BC506" s="246"/>
      <c r="BD506" s="246"/>
      <c r="BE506" s="246"/>
      <c r="BF506" s="246"/>
      <c r="BG506" s="246"/>
      <c r="BH506" s="246"/>
      <c r="BI506" s="246"/>
      <c r="BJ506" s="246"/>
    </row>
    <row r="507" spans="1:62" ht="15.75">
      <c r="B507" s="7"/>
      <c r="C507" s="246"/>
      <c r="D507" s="246"/>
      <c r="E507" s="246"/>
      <c r="F507" s="310"/>
      <c r="G507" s="246"/>
      <c r="H507" s="246"/>
      <c r="I507" s="310"/>
      <c r="J507" s="246"/>
      <c r="K507" s="246"/>
      <c r="L507" s="246"/>
      <c r="M507" s="310"/>
      <c r="N507" s="246"/>
      <c r="O507" s="246"/>
      <c r="P507" s="246"/>
      <c r="Q507" s="310"/>
      <c r="R507" s="310"/>
      <c r="S507" s="310"/>
      <c r="T507" s="334"/>
      <c r="U507" s="334"/>
      <c r="V507" s="246"/>
      <c r="W507" s="246"/>
      <c r="X507" s="246"/>
      <c r="Y507" s="246"/>
      <c r="Z507" s="246"/>
      <c r="AA507" s="246"/>
      <c r="AB507" s="246"/>
      <c r="AC507" s="246"/>
      <c r="AD507" s="246"/>
      <c r="AE507" s="246"/>
      <c r="AF507" s="310">
        <f>AF498-AF505</f>
        <v>32568.159999999974</v>
      </c>
      <c r="AG507" s="246"/>
      <c r="AH507" s="246"/>
      <c r="AI507" s="246"/>
      <c r="AJ507" s="246"/>
      <c r="AK507" s="246"/>
      <c r="AL507" s="246"/>
      <c r="AM507" s="246"/>
      <c r="AN507" s="246"/>
      <c r="AO507" s="246"/>
      <c r="AP507" s="246"/>
      <c r="AQ507" s="246"/>
      <c r="AR507" s="246"/>
      <c r="AS507" s="246"/>
      <c r="AT507" s="246"/>
      <c r="AU507" s="246"/>
      <c r="AV507" s="246"/>
      <c r="AW507" s="246"/>
      <c r="AX507" s="246"/>
      <c r="AY507" s="246"/>
      <c r="AZ507" s="246"/>
      <c r="BA507" s="246"/>
      <c r="BB507" s="246"/>
      <c r="BC507" s="246"/>
      <c r="BD507" s="246"/>
      <c r="BE507" s="246"/>
      <c r="BF507" s="246"/>
      <c r="BG507" s="246"/>
      <c r="BH507" s="246"/>
      <c r="BI507" s="246"/>
      <c r="BJ507" s="246"/>
    </row>
    <row r="508" spans="1:62" ht="15.75">
      <c r="B508" s="7"/>
      <c r="C508" s="246"/>
      <c r="D508" s="246"/>
      <c r="E508" s="246"/>
      <c r="F508" s="310"/>
      <c r="G508" s="246"/>
      <c r="H508" s="246"/>
      <c r="I508" s="310"/>
      <c r="J508" s="246"/>
      <c r="K508" s="246"/>
      <c r="L508" s="246"/>
      <c r="M508" s="310"/>
      <c r="N508" s="246"/>
      <c r="O508" s="246"/>
      <c r="P508" s="246"/>
      <c r="Q508" s="310"/>
      <c r="R508" s="310"/>
      <c r="S508" s="310"/>
      <c r="T508" s="334"/>
      <c r="U508" s="334"/>
      <c r="V508" s="246"/>
      <c r="W508" s="246"/>
      <c r="X508" s="246"/>
      <c r="Y508" s="246"/>
      <c r="Z508" s="246"/>
      <c r="AA508" s="246"/>
      <c r="AB508" s="246"/>
      <c r="AC508" s="246"/>
      <c r="AD508" s="246"/>
      <c r="AE508" s="246"/>
      <c r="AF508" s="246"/>
      <c r="AG508" s="246"/>
      <c r="AH508" s="246"/>
      <c r="AI508" s="246"/>
      <c r="AJ508" s="246"/>
      <c r="AK508" s="246"/>
      <c r="AL508" s="246"/>
      <c r="AM508" s="246"/>
      <c r="AN508" s="246"/>
      <c r="AO508" s="246"/>
      <c r="AP508" s="246"/>
      <c r="AQ508" s="246"/>
      <c r="AR508" s="246"/>
      <c r="AS508" s="246"/>
      <c r="AT508" s="246"/>
      <c r="AU508" s="246"/>
      <c r="AV508" s="246"/>
      <c r="AW508" s="246"/>
      <c r="AX508" s="246"/>
      <c r="AY508" s="246"/>
      <c r="AZ508" s="246"/>
      <c r="BA508" s="246"/>
      <c r="BB508" s="246"/>
      <c r="BC508" s="246"/>
      <c r="BD508" s="246"/>
      <c r="BE508" s="246"/>
      <c r="BF508" s="246"/>
      <c r="BG508" s="246"/>
      <c r="BH508" s="246"/>
      <c r="BI508" s="246"/>
      <c r="BJ508" s="246"/>
    </row>
    <row r="509" spans="1:62" ht="15.75">
      <c r="B509" s="7"/>
      <c r="C509" s="246"/>
      <c r="D509" s="246"/>
      <c r="E509" s="246"/>
      <c r="F509" s="310"/>
      <c r="G509" s="246"/>
      <c r="H509" s="246"/>
      <c r="I509" s="310"/>
      <c r="J509" s="246"/>
      <c r="K509" s="246"/>
      <c r="L509" s="246"/>
      <c r="M509" s="310"/>
      <c r="N509" s="246"/>
      <c r="O509" s="246"/>
      <c r="P509" s="246"/>
      <c r="Q509" s="310"/>
      <c r="R509" s="310"/>
      <c r="S509" s="310"/>
      <c r="T509" s="334"/>
      <c r="U509" s="334"/>
      <c r="V509" s="246"/>
      <c r="W509" s="246"/>
      <c r="X509" s="246"/>
      <c r="Y509" s="246"/>
      <c r="Z509" s="246"/>
      <c r="AA509" s="246"/>
      <c r="AB509" s="246"/>
      <c r="AC509" s="246"/>
      <c r="AD509" s="246"/>
      <c r="AE509" s="246"/>
      <c r="AF509" s="246"/>
      <c r="AG509" s="246"/>
      <c r="AH509" s="246"/>
      <c r="AI509" s="246"/>
      <c r="AJ509" s="246"/>
      <c r="AK509" s="246"/>
      <c r="AL509" s="246"/>
      <c r="AM509" s="246"/>
      <c r="AN509" s="246"/>
      <c r="AO509" s="246"/>
      <c r="AP509" s="246"/>
      <c r="AQ509" s="246"/>
      <c r="AR509" s="246"/>
      <c r="AS509" s="246"/>
      <c r="AT509" s="246"/>
      <c r="AU509" s="246"/>
      <c r="AV509" s="246"/>
      <c r="AW509" s="246"/>
      <c r="AX509" s="246"/>
      <c r="AY509" s="246"/>
      <c r="AZ509" s="246"/>
      <c r="BA509" s="246"/>
      <c r="BB509" s="246"/>
      <c r="BC509" s="246"/>
      <c r="BD509" s="246"/>
      <c r="BE509" s="246"/>
      <c r="BF509" s="246"/>
      <c r="BG509" s="246"/>
      <c r="BH509" s="246"/>
      <c r="BI509" s="246"/>
      <c r="BJ509" s="246"/>
    </row>
    <row r="510" spans="1:62" ht="15.75">
      <c r="B510" s="7"/>
      <c r="C510" s="246"/>
      <c r="D510" s="246"/>
      <c r="E510" s="246"/>
      <c r="F510" s="310"/>
      <c r="G510" s="246"/>
      <c r="H510" s="246"/>
      <c r="I510" s="310"/>
      <c r="J510" s="246"/>
      <c r="K510" s="246"/>
      <c r="L510" s="246"/>
      <c r="M510" s="310"/>
      <c r="N510" s="246"/>
      <c r="O510" s="246"/>
      <c r="P510" s="246"/>
      <c r="Q510" s="310"/>
      <c r="R510" s="310"/>
      <c r="S510" s="310"/>
      <c r="T510" s="334"/>
      <c r="U510" s="334"/>
      <c r="V510" s="246"/>
      <c r="W510" s="246"/>
      <c r="X510" s="246"/>
      <c r="Y510" s="246"/>
      <c r="Z510" s="246"/>
      <c r="AA510" s="246"/>
      <c r="AB510" s="246"/>
      <c r="AC510" s="246"/>
      <c r="AD510" s="246"/>
      <c r="AE510" s="246"/>
      <c r="AF510" s="246"/>
      <c r="AG510" s="246"/>
      <c r="AH510" s="246"/>
      <c r="AI510" s="246"/>
      <c r="AJ510" s="246"/>
      <c r="AK510" s="246"/>
      <c r="AL510" s="246"/>
      <c r="AM510" s="246"/>
      <c r="AN510" s="246"/>
      <c r="AO510" s="246"/>
      <c r="AP510" s="246"/>
      <c r="AQ510" s="246"/>
      <c r="AR510" s="246"/>
      <c r="AS510" s="246"/>
      <c r="AT510" s="246"/>
      <c r="AU510" s="246"/>
      <c r="AV510" s="246"/>
      <c r="AW510" s="246"/>
      <c r="AX510" s="246"/>
      <c r="AY510" s="246"/>
      <c r="AZ510" s="246"/>
      <c r="BA510" s="246"/>
      <c r="BB510" s="246"/>
      <c r="BC510" s="246"/>
      <c r="BD510" s="246"/>
      <c r="BE510" s="246"/>
      <c r="BF510" s="246"/>
      <c r="BG510" s="246"/>
      <c r="BH510" s="246"/>
      <c r="BI510" s="246"/>
      <c r="BJ510" s="246"/>
    </row>
    <row r="511" spans="1:62" ht="15.75">
      <c r="B511" s="7"/>
      <c r="C511" s="246"/>
      <c r="D511" s="246"/>
      <c r="E511" s="246"/>
      <c r="F511" s="310"/>
      <c r="G511" s="246"/>
      <c r="H511" s="246"/>
      <c r="I511" s="310"/>
      <c r="J511" s="246"/>
      <c r="K511" s="246"/>
      <c r="L511" s="246"/>
      <c r="M511" s="310"/>
      <c r="N511" s="246"/>
      <c r="O511" s="246"/>
      <c r="P511" s="246"/>
      <c r="Q511" s="310"/>
      <c r="R511" s="310"/>
      <c r="S511" s="310"/>
      <c r="T511" s="334"/>
      <c r="U511" s="334"/>
      <c r="V511" s="246"/>
      <c r="W511" s="246"/>
      <c r="X511" s="246"/>
      <c r="Y511" s="246"/>
      <c r="Z511" s="246"/>
      <c r="AA511" s="246"/>
      <c r="AB511" s="246"/>
      <c r="AC511" s="246"/>
      <c r="AD511" s="246"/>
      <c r="AE511" s="246"/>
      <c r="AF511" s="246"/>
      <c r="AG511" s="246"/>
      <c r="AH511" s="246"/>
      <c r="AI511" s="246"/>
      <c r="AJ511" s="246"/>
      <c r="AK511" s="246"/>
      <c r="AL511" s="246"/>
      <c r="AM511" s="246"/>
      <c r="AN511" s="246"/>
      <c r="AO511" s="246"/>
      <c r="AP511" s="246"/>
      <c r="AQ511" s="246"/>
      <c r="AR511" s="246"/>
      <c r="AS511" s="246"/>
      <c r="AT511" s="246"/>
      <c r="AU511" s="246"/>
      <c r="AV511" s="246"/>
      <c r="AW511" s="246"/>
      <c r="AX511" s="246"/>
      <c r="AY511" s="246"/>
      <c r="AZ511" s="246"/>
      <c r="BA511" s="246"/>
      <c r="BB511" s="246"/>
      <c r="BC511" s="246"/>
      <c r="BD511" s="246"/>
      <c r="BE511" s="246"/>
      <c r="BF511" s="246"/>
      <c r="BG511" s="246"/>
      <c r="BH511" s="246"/>
      <c r="BI511" s="246"/>
      <c r="BJ511" s="246"/>
    </row>
    <row r="512" spans="1:62" ht="15.75">
      <c r="B512" s="7"/>
      <c r="C512" s="246"/>
      <c r="D512" s="246"/>
      <c r="E512" s="246"/>
      <c r="F512" s="310"/>
      <c r="G512" s="246"/>
      <c r="H512" s="246"/>
      <c r="I512" s="310"/>
      <c r="J512" s="246"/>
      <c r="K512" s="246"/>
      <c r="L512" s="246"/>
      <c r="M512" s="310"/>
      <c r="N512" s="246"/>
      <c r="O512" s="246"/>
      <c r="P512" s="246"/>
      <c r="Q512" s="310"/>
      <c r="R512" s="310"/>
      <c r="S512" s="310"/>
      <c r="T512" s="334"/>
      <c r="U512" s="334"/>
      <c r="V512" s="246"/>
      <c r="W512" s="334"/>
      <c r="X512" s="334"/>
      <c r="Y512" s="246"/>
      <c r="Z512" s="246"/>
      <c r="AA512" s="246"/>
      <c r="AB512" s="246"/>
      <c r="AC512" s="246"/>
      <c r="AD512" s="246"/>
      <c r="AE512" s="246"/>
      <c r="AF512" s="310"/>
      <c r="AG512" s="246"/>
      <c r="AH512" s="246"/>
      <c r="AI512" s="246"/>
      <c r="AJ512" s="246"/>
      <c r="AK512" s="246"/>
      <c r="AL512" s="246"/>
      <c r="AM512" s="246"/>
      <c r="AN512" s="246"/>
      <c r="AO512" s="246"/>
      <c r="AP512" s="246"/>
      <c r="AQ512" s="246"/>
      <c r="AR512" s="246"/>
      <c r="AS512" s="246"/>
      <c r="AT512" s="246"/>
      <c r="AU512" s="246"/>
      <c r="AV512" s="246"/>
      <c r="AW512" s="246"/>
      <c r="AX512" s="246"/>
      <c r="AY512" s="246"/>
      <c r="AZ512" s="246"/>
      <c r="BA512" s="246"/>
      <c r="BB512" s="246"/>
      <c r="BC512" s="246"/>
      <c r="BD512" s="246"/>
      <c r="BE512" s="246"/>
      <c r="BF512" s="246"/>
      <c r="BG512" s="246"/>
      <c r="BH512" s="246"/>
      <c r="BI512" s="246"/>
      <c r="BJ512" s="246"/>
    </row>
    <row r="513" spans="2:62" ht="15.75">
      <c r="B513" s="7"/>
      <c r="C513" s="246"/>
      <c r="D513" s="246"/>
      <c r="E513" s="246"/>
      <c r="F513" s="310"/>
      <c r="G513" s="246"/>
      <c r="H513" s="246"/>
      <c r="I513" s="310"/>
      <c r="J513" s="246"/>
      <c r="K513" s="246"/>
      <c r="L513" s="246"/>
      <c r="M513" s="310"/>
      <c r="N513" s="246"/>
      <c r="O513" s="246"/>
      <c r="P513" s="246"/>
      <c r="Q513" s="310"/>
      <c r="R513" s="310"/>
      <c r="S513" s="310"/>
      <c r="T513" s="334"/>
      <c r="U513" s="334"/>
      <c r="V513" s="246"/>
      <c r="W513" s="334"/>
      <c r="X513" s="334"/>
      <c r="Y513" s="246"/>
      <c r="Z513" s="246"/>
      <c r="AA513" s="246"/>
      <c r="AB513" s="246"/>
      <c r="AC513" s="246"/>
      <c r="AD513" s="246"/>
      <c r="AE513" s="246"/>
      <c r="AF513" s="246"/>
      <c r="AG513" s="246"/>
      <c r="AH513" s="246"/>
      <c r="AI513" s="246"/>
      <c r="AJ513" s="246"/>
      <c r="AK513" s="246"/>
      <c r="AL513" s="246"/>
      <c r="AM513" s="246"/>
      <c r="AN513" s="246"/>
      <c r="AO513" s="246"/>
      <c r="AP513" s="246"/>
      <c r="AQ513" s="246"/>
      <c r="AR513" s="246"/>
      <c r="AS513" s="246"/>
      <c r="AT513" s="246"/>
      <c r="AU513" s="246"/>
      <c r="AV513" s="246"/>
      <c r="AW513" s="246"/>
      <c r="AX513" s="246"/>
      <c r="AY513" s="246"/>
      <c r="AZ513" s="246"/>
      <c r="BA513" s="246"/>
      <c r="BB513" s="246"/>
      <c r="BC513" s="246"/>
      <c r="BD513" s="246"/>
      <c r="BE513" s="246"/>
      <c r="BF513" s="246"/>
      <c r="BG513" s="246"/>
      <c r="BH513" s="246"/>
      <c r="BI513" s="246"/>
      <c r="BJ513" s="246"/>
    </row>
    <row r="514" spans="2:62" ht="15.75">
      <c r="B514" s="7"/>
      <c r="C514" s="246"/>
      <c r="D514" s="246"/>
      <c r="E514" s="246"/>
      <c r="F514" s="310"/>
      <c r="G514" s="246"/>
      <c r="H514" s="246"/>
      <c r="I514" s="310"/>
      <c r="J514" s="246"/>
      <c r="K514" s="246"/>
      <c r="L514" s="246"/>
      <c r="M514" s="310"/>
      <c r="N514" s="246"/>
      <c r="O514" s="246"/>
      <c r="P514" s="246"/>
      <c r="Q514" s="310"/>
      <c r="R514" s="310"/>
      <c r="S514" s="310"/>
      <c r="T514" s="334"/>
      <c r="U514" s="334"/>
      <c r="V514" s="246"/>
      <c r="W514" s="334"/>
      <c r="X514" s="334"/>
      <c r="Y514" s="246"/>
      <c r="Z514" s="246"/>
      <c r="AA514" s="246"/>
      <c r="AB514" s="246"/>
      <c r="AC514" s="246"/>
      <c r="AD514" s="246"/>
      <c r="AE514" s="246"/>
      <c r="AF514" s="246"/>
      <c r="AG514" s="246"/>
      <c r="AH514" s="246"/>
      <c r="AI514" s="246"/>
      <c r="AJ514" s="246"/>
      <c r="AK514" s="246"/>
      <c r="AL514" s="246"/>
      <c r="AM514" s="246"/>
      <c r="AN514" s="246"/>
      <c r="AO514" s="246"/>
      <c r="AP514" s="246"/>
      <c r="AQ514" s="246"/>
      <c r="AR514" s="246"/>
      <c r="AS514" s="246"/>
      <c r="AT514" s="246"/>
      <c r="AU514" s="246"/>
      <c r="AV514" s="246"/>
      <c r="AW514" s="246"/>
      <c r="AX514" s="246"/>
      <c r="AY514" s="246"/>
      <c r="AZ514" s="246"/>
      <c r="BA514" s="246"/>
      <c r="BB514" s="246"/>
      <c r="BC514" s="246"/>
      <c r="BD514" s="246"/>
      <c r="BE514" s="246"/>
      <c r="BF514" s="246"/>
      <c r="BG514" s="246"/>
      <c r="BH514" s="246"/>
      <c r="BI514" s="246"/>
      <c r="BJ514" s="246"/>
    </row>
    <row r="515" spans="2:62" ht="15.75">
      <c r="B515" s="7"/>
      <c r="C515" s="246"/>
      <c r="D515" s="246"/>
      <c r="E515" s="246"/>
      <c r="F515" s="310"/>
      <c r="G515" s="246"/>
      <c r="H515" s="246"/>
      <c r="I515" s="310"/>
      <c r="J515" s="246"/>
      <c r="K515" s="246"/>
      <c r="L515" s="246"/>
      <c r="M515" s="310"/>
      <c r="N515" s="246"/>
      <c r="O515" s="246"/>
      <c r="P515" s="246"/>
      <c r="Q515" s="310"/>
      <c r="R515" s="310"/>
      <c r="S515" s="310"/>
      <c r="T515" s="334"/>
      <c r="U515" s="334"/>
      <c r="V515" s="246"/>
      <c r="W515" s="334"/>
      <c r="X515" s="334"/>
      <c r="Y515" s="246"/>
      <c r="Z515" s="246"/>
      <c r="AA515" s="246"/>
      <c r="AB515" s="246"/>
      <c r="AC515" s="246"/>
      <c r="AD515" s="246"/>
      <c r="AE515" s="246"/>
      <c r="AF515" s="246"/>
      <c r="AG515" s="246"/>
      <c r="AH515" s="246"/>
      <c r="AI515" s="246"/>
      <c r="AJ515" s="246"/>
      <c r="AK515" s="246"/>
      <c r="AL515" s="246"/>
      <c r="AM515" s="246"/>
      <c r="AN515" s="246"/>
      <c r="AO515" s="246"/>
      <c r="AP515" s="246"/>
      <c r="AQ515" s="246"/>
      <c r="AR515" s="246"/>
      <c r="AS515" s="246"/>
      <c r="AT515" s="246"/>
      <c r="AU515" s="246"/>
      <c r="AV515" s="246"/>
      <c r="AW515" s="246"/>
      <c r="AX515" s="246"/>
      <c r="AY515" s="246"/>
      <c r="AZ515" s="246"/>
      <c r="BA515" s="246"/>
      <c r="BB515" s="246"/>
      <c r="BC515" s="246"/>
      <c r="BD515" s="246"/>
      <c r="BE515" s="246"/>
      <c r="BF515" s="246"/>
      <c r="BG515" s="246"/>
      <c r="BH515" s="246"/>
      <c r="BI515" s="246"/>
      <c r="BJ515" s="246"/>
    </row>
    <row r="516" spans="2:62" ht="15.75">
      <c r="B516" s="7"/>
      <c r="C516" s="246"/>
      <c r="D516" s="246"/>
      <c r="E516" s="246"/>
      <c r="F516" s="310"/>
      <c r="G516" s="246"/>
      <c r="H516" s="246"/>
      <c r="I516" s="310"/>
      <c r="J516" s="246"/>
      <c r="K516" s="246"/>
      <c r="L516" s="246"/>
      <c r="M516" s="310"/>
      <c r="N516" s="246"/>
      <c r="O516" s="246"/>
      <c r="P516" s="246"/>
      <c r="Q516" s="310"/>
      <c r="R516" s="310"/>
      <c r="S516" s="310"/>
      <c r="T516" s="334"/>
      <c r="U516" s="334"/>
      <c r="V516" s="246"/>
      <c r="W516" s="334"/>
      <c r="X516" s="334"/>
      <c r="Y516" s="246"/>
      <c r="Z516" s="246"/>
      <c r="AA516" s="246"/>
      <c r="AB516" s="246"/>
      <c r="AC516" s="246"/>
      <c r="AD516" s="246"/>
      <c r="AE516" s="246"/>
      <c r="AF516" s="310"/>
      <c r="AG516" s="310"/>
      <c r="AH516" s="310"/>
      <c r="AI516" s="246"/>
      <c r="AJ516" s="246"/>
      <c r="AK516" s="246"/>
      <c r="AL516" s="246"/>
      <c r="AM516" s="246"/>
      <c r="AN516" s="246"/>
      <c r="AO516" s="246"/>
      <c r="AP516" s="246"/>
      <c r="AQ516" s="246"/>
      <c r="AR516" s="246"/>
      <c r="AS516" s="246"/>
      <c r="AT516" s="246"/>
      <c r="AU516" s="246"/>
      <c r="AV516" s="246"/>
      <c r="AW516" s="246"/>
      <c r="AX516" s="246"/>
      <c r="AY516" s="246"/>
      <c r="AZ516" s="246"/>
      <c r="BA516" s="246"/>
      <c r="BB516" s="246"/>
      <c r="BC516" s="246"/>
      <c r="BD516" s="246"/>
      <c r="BE516" s="246"/>
      <c r="BF516" s="246"/>
      <c r="BG516" s="246"/>
      <c r="BH516" s="246"/>
      <c r="BI516" s="246"/>
      <c r="BJ516" s="246"/>
    </row>
    <row r="517" spans="2:62" ht="15.75">
      <c r="B517" s="7"/>
      <c r="C517" s="246"/>
      <c r="D517" s="246"/>
      <c r="E517" s="246"/>
      <c r="F517" s="310"/>
      <c r="G517" s="246"/>
      <c r="H517" s="246"/>
      <c r="I517" s="310"/>
      <c r="J517" s="246"/>
      <c r="K517" s="246"/>
      <c r="L517" s="246"/>
      <c r="M517" s="310"/>
      <c r="N517" s="246"/>
      <c r="O517" s="246"/>
      <c r="P517" s="246"/>
      <c r="Q517" s="310"/>
      <c r="R517" s="310"/>
      <c r="S517" s="310"/>
      <c r="T517" s="334"/>
      <c r="U517" s="334"/>
      <c r="V517" s="334"/>
      <c r="W517" s="334"/>
      <c r="X517" s="334"/>
      <c r="Y517" s="246"/>
      <c r="Z517" s="246"/>
      <c r="AA517" s="246"/>
      <c r="AB517" s="246"/>
      <c r="AC517" s="246"/>
      <c r="AD517" s="246"/>
      <c r="AE517" s="246"/>
      <c r="AF517" s="246"/>
      <c r="AG517" s="246"/>
      <c r="AH517" s="246"/>
      <c r="AI517" s="246"/>
      <c r="AJ517" s="246"/>
      <c r="AK517" s="246"/>
      <c r="AL517" s="246"/>
      <c r="AM517" s="246"/>
      <c r="AN517" s="246"/>
      <c r="AO517" s="246"/>
      <c r="AP517" s="246"/>
      <c r="AQ517" s="246"/>
      <c r="AR517" s="246"/>
      <c r="AS517" s="246"/>
      <c r="AT517" s="246"/>
      <c r="AU517" s="246"/>
      <c r="AV517" s="246"/>
      <c r="AW517" s="246"/>
      <c r="AX517" s="246"/>
      <c r="AY517" s="246"/>
      <c r="AZ517" s="246"/>
      <c r="BA517" s="246"/>
      <c r="BB517" s="246"/>
      <c r="BC517" s="246"/>
      <c r="BD517" s="246"/>
      <c r="BE517" s="246"/>
      <c r="BF517" s="246"/>
      <c r="BG517" s="246"/>
      <c r="BH517" s="246"/>
      <c r="BI517" s="246"/>
      <c r="BJ517" s="246"/>
    </row>
    <row r="518" spans="2:62" ht="15.75">
      <c r="B518" s="7"/>
      <c r="C518" s="398"/>
      <c r="D518" s="334"/>
      <c r="E518" s="334"/>
      <c r="F518" s="399"/>
      <c r="G518" s="334"/>
      <c r="H518" s="334"/>
      <c r="I518" s="399"/>
      <c r="J518" s="334"/>
      <c r="K518" s="334"/>
      <c r="L518" s="334"/>
      <c r="M518" s="399"/>
      <c r="N518" s="334"/>
      <c r="O518" s="334"/>
      <c r="P518" s="334"/>
      <c r="Q518" s="399"/>
      <c r="R518" s="399"/>
      <c r="S518" s="399"/>
      <c r="T518" s="334"/>
      <c r="U518" s="334"/>
      <c r="V518" s="334"/>
      <c r="W518" s="334"/>
      <c r="X518" s="334"/>
      <c r="Y518" s="246"/>
      <c r="Z518" s="246"/>
      <c r="AA518" s="246"/>
      <c r="AB518" s="246"/>
      <c r="AC518" s="246"/>
      <c r="AD518" s="246"/>
      <c r="AE518" s="246"/>
      <c r="AF518" s="310"/>
      <c r="AG518" s="246"/>
      <c r="AH518" s="246"/>
      <c r="AI518" s="246"/>
      <c r="AJ518" s="246"/>
      <c r="AK518" s="246"/>
      <c r="AL518" s="246"/>
      <c r="AM518" s="246"/>
      <c r="AN518" s="246"/>
      <c r="AO518" s="246"/>
      <c r="AP518" s="246"/>
      <c r="AQ518" s="246"/>
      <c r="AR518" s="246"/>
      <c r="AS518" s="246"/>
      <c r="AT518" s="246"/>
      <c r="AU518" s="246"/>
      <c r="AV518" s="246"/>
      <c r="AW518" s="246"/>
      <c r="AX518" s="246"/>
      <c r="AY518" s="246"/>
      <c r="AZ518" s="246"/>
      <c r="BA518" s="246"/>
      <c r="BB518" s="246"/>
      <c r="BC518" s="246"/>
      <c r="BD518" s="246"/>
      <c r="BE518" s="246"/>
      <c r="BF518" s="246"/>
      <c r="BG518" s="246"/>
      <c r="BH518" s="246"/>
      <c r="BI518" s="246"/>
      <c r="BJ518" s="246"/>
    </row>
    <row r="519" spans="2:62" ht="15.75">
      <c r="B519" s="7"/>
      <c r="C519" s="400"/>
      <c r="D519" s="334"/>
      <c r="E519" s="334"/>
      <c r="F519" s="399"/>
      <c r="G519" s="334"/>
      <c r="H519" s="334"/>
      <c r="I519" s="399"/>
      <c r="J519" s="334"/>
      <c r="K519" s="334"/>
      <c r="L519" s="334"/>
      <c r="M519" s="399"/>
      <c r="N519" s="334"/>
      <c r="O519" s="334"/>
      <c r="P519" s="334"/>
      <c r="Q519" s="399"/>
      <c r="R519" s="399"/>
      <c r="S519" s="399"/>
      <c r="T519" s="334"/>
      <c r="U519" s="334"/>
      <c r="V519" s="334"/>
      <c r="W519" s="334"/>
      <c r="X519" s="334"/>
      <c r="Y519" s="246"/>
      <c r="Z519" s="246"/>
      <c r="AA519" s="246"/>
      <c r="AB519" s="246"/>
      <c r="AC519" s="246"/>
      <c r="AD519" s="246"/>
      <c r="AE519" s="246"/>
      <c r="AF519" s="310"/>
      <c r="AG519" s="246"/>
      <c r="AH519" s="246"/>
      <c r="AI519" s="246"/>
      <c r="AJ519" s="246"/>
      <c r="AK519" s="246"/>
      <c r="AL519" s="246"/>
      <c r="AM519" s="246"/>
      <c r="AN519" s="246"/>
      <c r="AO519" s="246"/>
      <c r="AP519" s="246"/>
      <c r="AQ519" s="246"/>
      <c r="AR519" s="246"/>
      <c r="AS519" s="246"/>
      <c r="AT519" s="246"/>
      <c r="AU519" s="246"/>
      <c r="AV519" s="246"/>
      <c r="AW519" s="246"/>
      <c r="AX519" s="246"/>
      <c r="AY519" s="246"/>
      <c r="AZ519" s="246"/>
      <c r="BA519" s="246"/>
      <c r="BB519" s="246"/>
      <c r="BC519" s="246"/>
      <c r="BD519" s="246"/>
      <c r="BE519" s="246"/>
      <c r="BF519" s="246"/>
      <c r="BG519" s="246"/>
      <c r="BH519" s="246"/>
      <c r="BI519" s="246"/>
      <c r="BJ519" s="246"/>
    </row>
    <row r="520" spans="2:62" ht="15.75">
      <c r="B520" s="7"/>
      <c r="C520" s="334"/>
      <c r="D520" s="334"/>
      <c r="E520" s="334"/>
      <c r="F520" s="399"/>
      <c r="G520" s="334"/>
      <c r="H520" s="334"/>
      <c r="I520" s="399"/>
      <c r="J520" s="334"/>
      <c r="K520" s="334"/>
      <c r="L520" s="334"/>
      <c r="M520" s="399"/>
      <c r="N520" s="334"/>
      <c r="O520" s="334"/>
      <c r="P520" s="334"/>
      <c r="Q520" s="399"/>
      <c r="R520" s="399"/>
      <c r="S520" s="399"/>
      <c r="T520" s="334"/>
      <c r="U520" s="334"/>
      <c r="V520" s="334"/>
      <c r="W520" s="334"/>
      <c r="X520" s="334"/>
      <c r="Y520" s="246"/>
      <c r="Z520" s="246"/>
      <c r="AA520" s="246"/>
      <c r="AB520" s="246"/>
      <c r="AC520" s="246"/>
      <c r="AD520" s="246"/>
      <c r="AE520" s="246"/>
      <c r="AF520" s="246"/>
      <c r="AG520" s="246"/>
      <c r="AH520" s="246"/>
      <c r="AI520" s="246"/>
      <c r="AJ520" s="246"/>
      <c r="AK520" s="246"/>
      <c r="AL520" s="246"/>
      <c r="AM520" s="246"/>
      <c r="AN520" s="246"/>
      <c r="AO520" s="246"/>
      <c r="AP520" s="246"/>
      <c r="AQ520" s="246"/>
      <c r="AR520" s="246"/>
      <c r="AS520" s="246"/>
      <c r="AT520" s="246"/>
      <c r="AU520" s="246"/>
      <c r="AV520" s="246"/>
      <c r="AW520" s="246"/>
      <c r="AX520" s="246"/>
      <c r="AY520" s="246"/>
      <c r="AZ520" s="246"/>
      <c r="BA520" s="246"/>
      <c r="BB520" s="246"/>
      <c r="BC520" s="246"/>
      <c r="BD520" s="246"/>
      <c r="BE520" s="246"/>
      <c r="BF520" s="246"/>
      <c r="BG520" s="246"/>
      <c r="BH520" s="246"/>
      <c r="BI520" s="246"/>
      <c r="BJ520" s="246"/>
    </row>
    <row r="521" spans="2:62" ht="15.75">
      <c r="B521" s="7"/>
      <c r="C521" s="334"/>
      <c r="D521" s="334"/>
      <c r="E521" s="334"/>
      <c r="F521" s="334"/>
      <c r="G521" s="334"/>
      <c r="H521" s="334"/>
      <c r="I521" s="334"/>
      <c r="J521" s="398"/>
      <c r="K521" s="398"/>
      <c r="L521" s="398"/>
      <c r="M521" s="399"/>
      <c r="N521" s="334"/>
      <c r="O521" s="334"/>
      <c r="P521" s="334"/>
      <c r="Q521" s="334"/>
      <c r="R521" s="334"/>
      <c r="S521" s="399"/>
      <c r="T521" s="334"/>
      <c r="U521" s="334"/>
      <c r="V521" s="334"/>
      <c r="W521" s="334"/>
      <c r="X521" s="334"/>
      <c r="Y521" s="246"/>
      <c r="Z521" s="246"/>
      <c r="AA521" s="246"/>
      <c r="AB521" s="246"/>
      <c r="AC521" s="246"/>
      <c r="AD521" s="246"/>
      <c r="AE521" s="246"/>
      <c r="AF521" s="310"/>
      <c r="AG521" s="246"/>
      <c r="AH521" s="246"/>
      <c r="AI521" s="246"/>
      <c r="AJ521" s="246"/>
      <c r="AK521" s="246"/>
      <c r="AL521" s="246"/>
      <c r="AM521" s="246"/>
      <c r="AN521" s="246"/>
      <c r="AO521" s="246"/>
      <c r="AP521" s="246"/>
      <c r="AQ521" s="246"/>
      <c r="AR521" s="246"/>
      <c r="AS521" s="246"/>
      <c r="AT521" s="246"/>
      <c r="AU521" s="246"/>
      <c r="AV521" s="246"/>
      <c r="AW521" s="246"/>
      <c r="AX521" s="246"/>
      <c r="AY521" s="246"/>
      <c r="AZ521" s="246"/>
      <c r="BA521" s="246"/>
      <c r="BB521" s="246"/>
      <c r="BC521" s="246"/>
      <c r="BD521" s="246"/>
      <c r="BE521" s="246"/>
      <c r="BF521" s="246"/>
      <c r="BG521" s="246"/>
      <c r="BH521" s="246"/>
      <c r="BI521" s="246"/>
      <c r="BJ521" s="246"/>
    </row>
    <row r="522" spans="2:62" ht="15.75">
      <c r="B522" s="7"/>
      <c r="C522" s="334"/>
      <c r="D522" s="334"/>
      <c r="E522" s="334"/>
      <c r="F522" s="334"/>
      <c r="G522" s="334"/>
      <c r="H522" s="334"/>
      <c r="I522" s="334"/>
      <c r="J522" s="334"/>
      <c r="K522" s="334"/>
      <c r="L522" s="334"/>
      <c r="M522" s="399"/>
      <c r="N522" s="334"/>
      <c r="O522" s="334"/>
      <c r="P522" s="334"/>
      <c r="Q522" s="334"/>
      <c r="R522" s="334"/>
      <c r="S522" s="399"/>
      <c r="T522" s="334"/>
      <c r="U522" s="334"/>
      <c r="V522" s="334"/>
      <c r="W522" s="334"/>
      <c r="X522" s="334"/>
      <c r="Y522" s="246"/>
      <c r="Z522" s="246"/>
      <c r="AA522" s="246"/>
      <c r="AB522" s="246"/>
      <c r="AC522" s="246"/>
      <c r="AD522" s="246"/>
      <c r="AE522" s="246"/>
      <c r="AF522" s="246"/>
      <c r="AG522" s="246"/>
      <c r="AH522" s="246"/>
      <c r="AI522" s="246"/>
      <c r="AJ522" s="246"/>
      <c r="AK522" s="246"/>
      <c r="AL522" s="246"/>
      <c r="AM522" s="246"/>
      <c r="AN522" s="246"/>
      <c r="AO522" s="246"/>
      <c r="AP522" s="246"/>
      <c r="AQ522" s="246"/>
      <c r="AR522" s="246"/>
      <c r="AS522" s="246"/>
      <c r="AT522" s="246"/>
      <c r="AU522" s="246"/>
      <c r="AV522" s="246"/>
      <c r="AW522" s="246"/>
      <c r="AX522" s="246"/>
      <c r="AY522" s="246"/>
      <c r="AZ522" s="246"/>
      <c r="BA522" s="246"/>
      <c r="BB522" s="246"/>
      <c r="BC522" s="246"/>
      <c r="BD522" s="246"/>
      <c r="BE522" s="246"/>
      <c r="BF522" s="246"/>
      <c r="BG522" s="246"/>
      <c r="BH522" s="246"/>
      <c r="BI522" s="246"/>
      <c r="BJ522" s="246"/>
    </row>
    <row r="523" spans="2:62" ht="15.75">
      <c r="B523" s="7"/>
      <c r="C523" s="334"/>
      <c r="D523" s="334"/>
      <c r="E523" s="334"/>
      <c r="F523" s="334"/>
      <c r="G523" s="334"/>
      <c r="H523" s="334"/>
      <c r="I523" s="334"/>
      <c r="J523" s="334"/>
      <c r="K523" s="334"/>
      <c r="L523" s="334"/>
      <c r="M523" s="399"/>
      <c r="N523" s="334"/>
      <c r="O523" s="334"/>
      <c r="P523" s="334"/>
      <c r="Q523" s="334"/>
      <c r="R523" s="334"/>
      <c r="S523" s="399"/>
      <c r="T523" s="334"/>
      <c r="U523" s="334"/>
      <c r="V523" s="334"/>
      <c r="W523" s="334"/>
      <c r="X523" s="334"/>
      <c r="Y523" s="246"/>
      <c r="Z523" s="246"/>
      <c r="AA523" s="246"/>
      <c r="AB523" s="246"/>
      <c r="AC523" s="246"/>
      <c r="AD523" s="246"/>
      <c r="AE523" s="246"/>
      <c r="AF523" s="246"/>
      <c r="AG523" s="246"/>
      <c r="AH523" s="246"/>
      <c r="AI523" s="246"/>
      <c r="AJ523" s="246"/>
      <c r="AK523" s="246"/>
      <c r="AL523" s="246"/>
      <c r="AM523" s="246"/>
      <c r="AN523" s="246"/>
      <c r="AO523" s="246"/>
      <c r="AP523" s="246"/>
      <c r="AQ523" s="246"/>
      <c r="AR523" s="246"/>
      <c r="AS523" s="246"/>
      <c r="AT523" s="246"/>
      <c r="AU523" s="246"/>
      <c r="AV523" s="246"/>
      <c r="AW523" s="246"/>
      <c r="AX523" s="246"/>
      <c r="AY523" s="246"/>
      <c r="AZ523" s="246"/>
      <c r="BA523" s="246"/>
      <c r="BB523" s="246"/>
      <c r="BC523" s="246"/>
      <c r="BD523" s="246"/>
      <c r="BE523" s="246"/>
      <c r="BF523" s="246"/>
      <c r="BG523" s="246"/>
      <c r="BH523" s="246"/>
      <c r="BI523" s="246"/>
      <c r="BJ523" s="246"/>
    </row>
    <row r="524" spans="2:62" ht="15.75">
      <c r="B524" s="7"/>
      <c r="C524" s="334"/>
      <c r="D524" s="334"/>
      <c r="E524" s="334"/>
      <c r="F524" s="334"/>
      <c r="G524" s="334"/>
      <c r="H524" s="334"/>
      <c r="I524" s="334"/>
      <c r="J524" s="334"/>
      <c r="K524" s="334"/>
      <c r="L524" s="334"/>
      <c r="M524" s="399"/>
      <c r="N524" s="334"/>
      <c r="O524" s="334"/>
      <c r="P524" s="334"/>
      <c r="Q524" s="334"/>
      <c r="R524" s="334"/>
      <c r="S524" s="399"/>
      <c r="T524" s="334"/>
      <c r="U524" s="334"/>
      <c r="V524" s="334"/>
      <c r="W524" s="334"/>
      <c r="X524" s="334"/>
      <c r="Y524" s="246"/>
      <c r="Z524" s="246"/>
      <c r="AA524" s="246"/>
      <c r="AB524" s="246"/>
      <c r="AC524" s="246"/>
      <c r="AD524" s="246"/>
      <c r="AE524" s="246"/>
      <c r="AF524" s="246"/>
      <c r="AG524" s="246"/>
      <c r="AH524" s="246"/>
      <c r="AI524" s="246"/>
      <c r="AJ524" s="246"/>
      <c r="AK524" s="246"/>
      <c r="AL524" s="246"/>
      <c r="AM524" s="246"/>
      <c r="AN524" s="246"/>
      <c r="AO524" s="246"/>
      <c r="AP524" s="246"/>
      <c r="AQ524" s="246"/>
      <c r="AR524" s="246"/>
      <c r="AS524" s="246"/>
      <c r="AT524" s="246"/>
      <c r="AU524" s="246"/>
      <c r="AV524" s="246"/>
      <c r="AW524" s="246"/>
      <c r="AX524" s="246"/>
      <c r="AY524" s="246"/>
      <c r="AZ524" s="246"/>
      <c r="BA524" s="246"/>
      <c r="BB524" s="246"/>
      <c r="BC524" s="246"/>
      <c r="BD524" s="246"/>
      <c r="BE524" s="246"/>
      <c r="BF524" s="246"/>
      <c r="BG524" s="246"/>
      <c r="BH524" s="246"/>
      <c r="BI524" s="246"/>
      <c r="BJ524" s="246"/>
    </row>
    <row r="525" spans="2:62" ht="15.75">
      <c r="B525" s="7"/>
      <c r="C525" s="334"/>
      <c r="D525" s="334"/>
      <c r="E525" s="334"/>
      <c r="F525" s="334"/>
      <c r="G525" s="334"/>
      <c r="H525" s="334"/>
      <c r="I525" s="334"/>
      <c r="J525" s="334"/>
      <c r="K525" s="334"/>
      <c r="L525" s="334"/>
      <c r="M525" s="399"/>
      <c r="N525" s="334"/>
      <c r="O525" s="334"/>
      <c r="P525" s="334"/>
      <c r="Q525" s="334"/>
      <c r="R525" s="334"/>
      <c r="S525" s="334"/>
      <c r="T525" s="334"/>
      <c r="U525" s="334"/>
      <c r="V525" s="334"/>
      <c r="W525" s="334"/>
      <c r="X525" s="334"/>
      <c r="Y525" s="246"/>
      <c r="Z525" s="246"/>
      <c r="AA525" s="246"/>
      <c r="AB525" s="246"/>
      <c r="AC525" s="246"/>
      <c r="AD525" s="246"/>
      <c r="AE525" s="246"/>
      <c r="AF525" s="246"/>
      <c r="AG525" s="246"/>
      <c r="AH525" s="246"/>
      <c r="AI525" s="246"/>
      <c r="AJ525" s="246"/>
      <c r="AK525" s="246"/>
      <c r="AL525" s="246"/>
      <c r="AM525" s="246"/>
      <c r="AN525" s="246"/>
      <c r="AO525" s="246"/>
      <c r="AP525" s="246"/>
      <c r="AQ525" s="246"/>
      <c r="AR525" s="246"/>
      <c r="AS525" s="246"/>
      <c r="AT525" s="246"/>
      <c r="AU525" s="246"/>
      <c r="AV525" s="246"/>
      <c r="AW525" s="246"/>
      <c r="AX525" s="246"/>
      <c r="AY525" s="246"/>
      <c r="AZ525" s="246"/>
      <c r="BA525" s="246"/>
      <c r="BB525" s="246"/>
      <c r="BC525" s="246"/>
      <c r="BD525" s="246"/>
      <c r="BE525" s="246"/>
      <c r="BF525" s="246"/>
      <c r="BG525" s="246"/>
      <c r="BH525" s="246"/>
      <c r="BI525" s="246"/>
      <c r="BJ525" s="246"/>
    </row>
    <row r="526" spans="2:62" ht="15.75">
      <c r="B526" s="7"/>
      <c r="C526" s="334"/>
      <c r="D526" s="334"/>
      <c r="E526" s="334"/>
      <c r="F526" s="334"/>
      <c r="G526" s="334"/>
      <c r="H526" s="334"/>
      <c r="I526" s="334"/>
      <c r="J526" s="398"/>
      <c r="K526" s="398"/>
      <c r="L526" s="398"/>
      <c r="M526" s="401"/>
      <c r="N526" s="398"/>
      <c r="O526" s="398"/>
      <c r="P526" s="398"/>
      <c r="Q526" s="334"/>
      <c r="R526" s="334"/>
      <c r="S526" s="398"/>
      <c r="T526" s="334"/>
      <c r="U526" s="334"/>
      <c r="V526" s="334"/>
      <c r="W526" s="334"/>
      <c r="X526" s="334"/>
      <c r="Y526" s="246"/>
      <c r="Z526" s="246"/>
      <c r="AA526" s="246"/>
      <c r="AB526" s="246"/>
      <c r="AC526" s="246"/>
      <c r="AD526" s="246"/>
      <c r="AE526" s="246"/>
      <c r="AF526" s="246"/>
      <c r="AG526" s="246"/>
      <c r="AH526" s="246"/>
      <c r="AI526" s="246"/>
      <c r="AJ526" s="246"/>
      <c r="AK526" s="246"/>
      <c r="AL526" s="246"/>
      <c r="AM526" s="246"/>
      <c r="AN526" s="246"/>
      <c r="AO526" s="246"/>
      <c r="AP526" s="246"/>
      <c r="AQ526" s="246"/>
      <c r="AR526" s="246"/>
      <c r="AS526" s="246"/>
      <c r="AT526" s="246"/>
      <c r="AU526" s="246"/>
      <c r="AV526" s="246"/>
      <c r="AW526" s="246"/>
      <c r="AX526" s="246"/>
      <c r="AY526" s="246"/>
      <c r="AZ526" s="246"/>
      <c r="BA526" s="246"/>
      <c r="BB526" s="246"/>
      <c r="BC526" s="246"/>
      <c r="BD526" s="246"/>
      <c r="BE526" s="246"/>
      <c r="BF526" s="246"/>
      <c r="BG526" s="246"/>
      <c r="BH526" s="246"/>
      <c r="BI526" s="246"/>
      <c r="BJ526" s="246"/>
    </row>
    <row r="527" spans="2:62" ht="15.75">
      <c r="B527" s="7"/>
      <c r="C527" s="334"/>
      <c r="D527" s="334"/>
      <c r="E527" s="334"/>
      <c r="F527" s="334"/>
      <c r="G527" s="334"/>
      <c r="H527" s="334"/>
      <c r="I527" s="334"/>
      <c r="J527" s="334"/>
      <c r="K527" s="334"/>
      <c r="L527" s="334"/>
      <c r="M527" s="334"/>
      <c r="N527" s="334"/>
      <c r="O527" s="334"/>
      <c r="P527" s="334"/>
      <c r="Q527" s="334"/>
      <c r="R527" s="334"/>
      <c r="S527" s="334"/>
      <c r="T527" s="334"/>
      <c r="U527" s="334"/>
      <c r="V527" s="334"/>
      <c r="W527" s="334"/>
      <c r="X527" s="334"/>
      <c r="Y527" s="246"/>
      <c r="Z527" s="246"/>
      <c r="AA527" s="246"/>
      <c r="AB527" s="246"/>
      <c r="AC527" s="246"/>
      <c r="AD527" s="246"/>
      <c r="AE527" s="246"/>
      <c r="AF527" s="246"/>
      <c r="AG527" s="246"/>
      <c r="AH527" s="246"/>
      <c r="AI527" s="246"/>
      <c r="AJ527" s="246"/>
      <c r="AK527" s="246"/>
      <c r="AL527" s="246"/>
      <c r="AM527" s="246"/>
      <c r="AN527" s="246"/>
      <c r="AO527" s="246"/>
      <c r="AP527" s="246"/>
      <c r="AQ527" s="246"/>
      <c r="AR527" s="246"/>
      <c r="AS527" s="246"/>
      <c r="AT527" s="246"/>
      <c r="AU527" s="246"/>
      <c r="AV527" s="246"/>
      <c r="AW527" s="246"/>
      <c r="AX527" s="246"/>
      <c r="AY527" s="246"/>
      <c r="AZ527" s="246"/>
      <c r="BA527" s="246"/>
      <c r="BB527" s="246"/>
      <c r="BC527" s="246"/>
      <c r="BD527" s="246"/>
      <c r="BE527" s="246"/>
      <c r="BF527" s="246"/>
      <c r="BG527" s="246"/>
      <c r="BH527" s="246"/>
      <c r="BI527" s="246"/>
      <c r="BJ527" s="246"/>
    </row>
    <row r="528" spans="2:62" ht="15.75">
      <c r="B528" s="7"/>
      <c r="C528" s="334"/>
      <c r="D528" s="334"/>
      <c r="E528" s="334"/>
      <c r="F528" s="334"/>
      <c r="G528" s="334"/>
      <c r="H528" s="334"/>
      <c r="I528" s="334"/>
      <c r="J528" s="334"/>
      <c r="K528" s="334"/>
      <c r="L528" s="334"/>
      <c r="M528" s="334"/>
      <c r="N528" s="334"/>
      <c r="O528" s="334"/>
      <c r="P528" s="334"/>
      <c r="Q528" s="334"/>
      <c r="R528" s="334"/>
      <c r="S528" s="334"/>
      <c r="T528" s="334"/>
      <c r="U528" s="334"/>
      <c r="V528" s="334"/>
      <c r="W528" s="334"/>
      <c r="X528" s="334"/>
      <c r="Y528" s="246"/>
      <c r="Z528" s="246"/>
      <c r="AA528" s="246"/>
      <c r="AB528" s="246"/>
      <c r="AC528" s="246"/>
      <c r="AD528" s="246"/>
      <c r="AE528" s="246"/>
      <c r="AF528" s="246"/>
      <c r="AG528" s="246"/>
      <c r="AH528" s="246"/>
      <c r="AI528" s="246"/>
      <c r="AJ528" s="246"/>
      <c r="AK528" s="246"/>
      <c r="AL528" s="246"/>
      <c r="AM528" s="246"/>
      <c r="AN528" s="246"/>
      <c r="AO528" s="246"/>
      <c r="AP528" s="246"/>
      <c r="AQ528" s="246"/>
      <c r="AR528" s="246"/>
      <c r="AS528" s="246"/>
      <c r="AT528" s="246"/>
      <c r="AU528" s="246"/>
      <c r="AV528" s="246"/>
      <c r="AW528" s="246"/>
      <c r="AX528" s="246"/>
      <c r="AY528" s="246"/>
      <c r="AZ528" s="246"/>
      <c r="BA528" s="246"/>
      <c r="BB528" s="246"/>
      <c r="BC528" s="246"/>
      <c r="BD528" s="246"/>
      <c r="BE528" s="246"/>
      <c r="BF528" s="246"/>
      <c r="BG528" s="246"/>
      <c r="BH528" s="246"/>
      <c r="BI528" s="246"/>
      <c r="BJ528" s="246"/>
    </row>
    <row r="529" spans="2:62" ht="15.75">
      <c r="B529" s="7"/>
      <c r="C529" s="334"/>
      <c r="D529" s="334"/>
      <c r="E529" s="334"/>
      <c r="F529" s="334"/>
      <c r="G529" s="334"/>
      <c r="H529" s="334"/>
      <c r="I529" s="334"/>
      <c r="J529" s="334"/>
      <c r="K529" s="334"/>
      <c r="L529" s="334"/>
      <c r="M529" s="334"/>
      <c r="N529" s="334"/>
      <c r="O529" s="334"/>
      <c r="P529" s="334"/>
      <c r="Q529" s="334"/>
      <c r="R529" s="334"/>
      <c r="S529" s="334"/>
      <c r="T529" s="334"/>
      <c r="U529" s="334"/>
      <c r="V529" s="334"/>
      <c r="W529" s="334"/>
      <c r="X529" s="334"/>
      <c r="Y529" s="246"/>
      <c r="Z529" s="246"/>
      <c r="AA529" s="246"/>
      <c r="AB529" s="246"/>
      <c r="AC529" s="246"/>
      <c r="AD529" s="246"/>
      <c r="AE529" s="246"/>
      <c r="AF529" s="246"/>
      <c r="AG529" s="246"/>
      <c r="AH529" s="246"/>
      <c r="AI529" s="246"/>
      <c r="AJ529" s="246"/>
      <c r="AK529" s="246"/>
      <c r="AL529" s="246"/>
      <c r="AM529" s="246"/>
      <c r="AN529" s="246"/>
      <c r="AO529" s="246"/>
      <c r="AP529" s="246"/>
      <c r="AQ529" s="246"/>
      <c r="AR529" s="246"/>
      <c r="AS529" s="246"/>
      <c r="AT529" s="246"/>
      <c r="AU529" s="246"/>
      <c r="AV529" s="246"/>
      <c r="AW529" s="246"/>
      <c r="AX529" s="246"/>
      <c r="AY529" s="246"/>
      <c r="AZ529" s="246"/>
      <c r="BA529" s="246"/>
      <c r="BB529" s="246"/>
      <c r="BC529" s="246"/>
      <c r="BD529" s="246"/>
      <c r="BE529" s="246"/>
      <c r="BF529" s="246"/>
      <c r="BG529" s="246"/>
      <c r="BH529" s="246"/>
      <c r="BI529" s="246"/>
      <c r="BJ529" s="246"/>
    </row>
    <row r="530" spans="2:62" ht="18.75">
      <c r="B530" s="7"/>
      <c r="C530" s="402"/>
      <c r="D530" s="403"/>
      <c r="E530" s="403"/>
      <c r="F530" s="403"/>
      <c r="G530" s="403"/>
      <c r="H530" s="403"/>
      <c r="I530" s="403"/>
      <c r="J530" s="403"/>
      <c r="K530" s="403"/>
      <c r="L530" s="403"/>
      <c r="M530" s="403"/>
      <c r="N530" s="403"/>
      <c r="O530" s="403"/>
      <c r="P530" s="403"/>
      <c r="Q530" s="403"/>
      <c r="R530" s="403"/>
      <c r="S530" s="403"/>
      <c r="T530" s="334"/>
      <c r="U530" s="334"/>
      <c r="V530" s="334"/>
      <c r="W530" s="334"/>
      <c r="X530" s="334"/>
      <c r="Y530" s="246"/>
      <c r="Z530" s="246"/>
      <c r="AA530" s="246"/>
      <c r="AB530" s="246"/>
      <c r="AC530" s="246"/>
      <c r="AD530" s="246"/>
      <c r="AE530" s="246"/>
      <c r="AF530" s="246"/>
      <c r="AG530" s="246"/>
      <c r="AH530" s="246"/>
      <c r="AI530" s="246"/>
      <c r="AJ530" s="246"/>
      <c r="AK530" s="246"/>
      <c r="AL530" s="246"/>
      <c r="AM530" s="246"/>
      <c r="AN530" s="246"/>
      <c r="AO530" s="246"/>
      <c r="AP530" s="246"/>
      <c r="AQ530" s="246"/>
      <c r="AR530" s="246"/>
      <c r="AS530" s="246"/>
      <c r="AT530" s="246"/>
      <c r="AU530" s="246"/>
      <c r="AV530" s="246"/>
      <c r="AW530" s="246"/>
      <c r="AX530" s="246"/>
      <c r="AY530" s="246"/>
      <c r="AZ530" s="246"/>
      <c r="BA530" s="246"/>
      <c r="BB530" s="246"/>
      <c r="BC530" s="246"/>
      <c r="BD530" s="246"/>
      <c r="BE530" s="246"/>
      <c r="BF530" s="246"/>
      <c r="BG530" s="246"/>
      <c r="BH530" s="246"/>
      <c r="BI530" s="246"/>
      <c r="BJ530" s="246"/>
    </row>
    <row r="531" spans="2:62" ht="15.75">
      <c r="B531" s="7"/>
      <c r="C531" s="334"/>
      <c r="D531" s="334"/>
      <c r="E531" s="334"/>
      <c r="F531" s="334"/>
      <c r="G531" s="334"/>
      <c r="H531" s="334"/>
      <c r="I531" s="334"/>
      <c r="J531" s="334"/>
      <c r="K531" s="334"/>
      <c r="L531" s="334"/>
      <c r="M531" s="334"/>
      <c r="N531" s="334"/>
      <c r="O531" s="334"/>
      <c r="P531" s="334"/>
      <c r="Q531" s="404"/>
      <c r="R531" s="334"/>
      <c r="S531" s="334"/>
      <c r="T531" s="334"/>
      <c r="U531" s="334"/>
      <c r="V531" s="334"/>
      <c r="W531" s="334"/>
      <c r="X531" s="334"/>
      <c r="Y531" s="246"/>
      <c r="Z531" s="246"/>
      <c r="AA531" s="246"/>
      <c r="AB531" s="246"/>
      <c r="AC531" s="246"/>
      <c r="AD531" s="246"/>
      <c r="AE531" s="246"/>
      <c r="AF531" s="246"/>
      <c r="AG531" s="246"/>
      <c r="AH531" s="246"/>
      <c r="AI531" s="246"/>
      <c r="AJ531" s="246"/>
      <c r="AK531" s="246"/>
      <c r="AL531" s="246"/>
      <c r="AM531" s="246"/>
      <c r="AN531" s="246"/>
      <c r="AO531" s="246"/>
      <c r="AP531" s="246"/>
      <c r="AQ531" s="246"/>
      <c r="AR531" s="246"/>
      <c r="AS531" s="246"/>
      <c r="AT531" s="246"/>
      <c r="AU531" s="246"/>
      <c r="AV531" s="246"/>
      <c r="AW531" s="246"/>
      <c r="AX531" s="246"/>
      <c r="AY531" s="246"/>
      <c r="AZ531" s="246"/>
      <c r="BA531" s="246"/>
      <c r="BB531" s="246"/>
      <c r="BC531" s="246"/>
      <c r="BD531" s="246"/>
      <c r="BE531" s="246"/>
      <c r="BF531" s="246"/>
      <c r="BG531" s="246"/>
      <c r="BH531" s="246"/>
      <c r="BI531" s="246"/>
      <c r="BJ531" s="246"/>
    </row>
    <row r="532" spans="2:62" ht="15.75">
      <c r="B532" s="7"/>
      <c r="C532" s="334"/>
      <c r="D532" s="334"/>
      <c r="E532" s="334"/>
      <c r="F532" s="334"/>
      <c r="G532" s="334"/>
      <c r="H532" s="334"/>
      <c r="I532" s="334"/>
      <c r="J532" s="334"/>
      <c r="K532" s="334"/>
      <c r="L532" s="405"/>
      <c r="M532" s="406"/>
      <c r="N532" s="406"/>
      <c r="O532" s="334"/>
      <c r="P532" s="405"/>
      <c r="Q532" s="406"/>
      <c r="R532" s="406"/>
      <c r="S532" s="405"/>
      <c r="T532" s="334"/>
      <c r="U532" s="334"/>
      <c r="V532" s="334"/>
      <c r="W532" s="334"/>
      <c r="X532" s="334"/>
      <c r="Y532" s="246"/>
      <c r="Z532" s="246"/>
      <c r="AA532" s="246"/>
      <c r="AB532" s="246"/>
      <c r="AC532" s="246"/>
      <c r="AD532" s="246"/>
      <c r="AE532" s="246"/>
      <c r="AF532" s="246"/>
      <c r="AG532" s="246"/>
      <c r="AH532" s="246"/>
      <c r="AI532" s="246"/>
      <c r="AJ532" s="246"/>
      <c r="AK532" s="246"/>
      <c r="AL532" s="246"/>
      <c r="AM532" s="246"/>
      <c r="AN532" s="246"/>
      <c r="AO532" s="246"/>
      <c r="AP532" s="246"/>
      <c r="AQ532" s="246"/>
      <c r="AR532" s="246"/>
      <c r="AS532" s="246"/>
      <c r="AT532" s="246"/>
      <c r="AU532" s="246"/>
      <c r="AV532" s="246"/>
      <c r="AW532" s="246"/>
      <c r="AX532" s="246"/>
      <c r="AY532" s="246"/>
      <c r="AZ532" s="246"/>
      <c r="BA532" s="246"/>
      <c r="BB532" s="246"/>
      <c r="BC532" s="246"/>
      <c r="BD532" s="246"/>
      <c r="BE532" s="246"/>
      <c r="BF532" s="246"/>
      <c r="BG532" s="246"/>
      <c r="BH532" s="246"/>
      <c r="BI532" s="246"/>
      <c r="BJ532" s="246"/>
    </row>
    <row r="533" spans="2:62" ht="15.75">
      <c r="B533" s="7"/>
      <c r="C533" s="334"/>
      <c r="D533" s="334"/>
      <c r="E533" s="405"/>
      <c r="F533" s="407"/>
      <c r="G533" s="334"/>
      <c r="H533" s="405"/>
      <c r="I533" s="407"/>
      <c r="J533" s="406"/>
      <c r="K533" s="398"/>
      <c r="L533" s="405"/>
      <c r="M533" s="406"/>
      <c r="N533" s="406"/>
      <c r="O533" s="398"/>
      <c r="P533" s="405"/>
      <c r="Q533" s="406"/>
      <c r="R533" s="406"/>
      <c r="S533" s="405"/>
      <c r="T533" s="334"/>
      <c r="U533" s="334"/>
      <c r="V533" s="334"/>
      <c r="W533" s="334"/>
      <c r="X533" s="334"/>
      <c r="Y533" s="246"/>
      <c r="Z533" s="246"/>
      <c r="AA533" s="246"/>
      <c r="AB533" s="246"/>
      <c r="AC533" s="246"/>
      <c r="AD533" s="246"/>
      <c r="AE533" s="246"/>
      <c r="AF533" s="246"/>
      <c r="AG533" s="246"/>
      <c r="AH533" s="246"/>
      <c r="AI533" s="246"/>
      <c r="AJ533" s="246"/>
      <c r="AK533" s="246"/>
      <c r="AL533" s="246"/>
      <c r="AM533" s="246"/>
      <c r="AN533" s="246"/>
      <c r="AO533" s="246"/>
      <c r="AP533" s="246"/>
      <c r="AQ533" s="246"/>
      <c r="AR533" s="246"/>
      <c r="AS533" s="246"/>
      <c r="AT533" s="246"/>
      <c r="AU533" s="246"/>
      <c r="AV533" s="246"/>
      <c r="AW533" s="246"/>
      <c r="AX533" s="246"/>
      <c r="AY533" s="246"/>
      <c r="AZ533" s="246"/>
      <c r="BA533" s="246"/>
      <c r="BB533" s="246"/>
      <c r="BC533" s="246"/>
      <c r="BD533" s="246"/>
      <c r="BE533" s="246"/>
      <c r="BF533" s="246"/>
      <c r="BG533" s="246"/>
      <c r="BH533" s="246"/>
      <c r="BI533" s="246"/>
      <c r="BJ533" s="246"/>
    </row>
    <row r="534" spans="2:62" ht="15.75">
      <c r="B534" s="7"/>
      <c r="C534" s="334"/>
      <c r="D534" s="408"/>
      <c r="E534" s="407"/>
      <c r="F534" s="407"/>
      <c r="G534" s="408"/>
      <c r="H534" s="407"/>
      <c r="I534" s="407"/>
      <c r="J534" s="407"/>
      <c r="K534" s="407"/>
      <c r="L534" s="407"/>
      <c r="M534" s="407"/>
      <c r="N534" s="407"/>
      <c r="O534" s="407"/>
      <c r="P534" s="407"/>
      <c r="Q534" s="407"/>
      <c r="R534" s="407"/>
      <c r="S534" s="407"/>
      <c r="T534" s="334"/>
      <c r="U534" s="334"/>
      <c r="V534" s="334"/>
      <c r="W534" s="334"/>
      <c r="X534" s="334"/>
      <c r="Y534" s="246"/>
      <c r="Z534" s="246"/>
      <c r="AA534" s="246"/>
      <c r="AB534" s="246"/>
      <c r="AC534" s="246"/>
      <c r="AD534" s="246"/>
      <c r="AE534" s="246"/>
      <c r="AF534" s="246"/>
      <c r="AG534" s="246"/>
      <c r="AH534" s="246"/>
      <c r="AI534" s="246"/>
      <c r="AJ534" s="246"/>
      <c r="AK534" s="246"/>
      <c r="AL534" s="246"/>
      <c r="AM534" s="246"/>
      <c r="AN534" s="246"/>
      <c r="AO534" s="246"/>
      <c r="AP534" s="246"/>
      <c r="AQ534" s="246"/>
      <c r="AR534" s="246"/>
      <c r="AS534" s="246"/>
      <c r="AT534" s="246"/>
      <c r="AU534" s="246"/>
      <c r="AV534" s="246"/>
      <c r="AW534" s="246"/>
      <c r="AX534" s="246"/>
      <c r="AY534" s="246"/>
      <c r="AZ534" s="246"/>
      <c r="BA534" s="246"/>
      <c r="BB534" s="246"/>
      <c r="BC534" s="246"/>
      <c r="BD534" s="246"/>
      <c r="BE534" s="246"/>
      <c r="BF534" s="246"/>
      <c r="BG534" s="246"/>
      <c r="BH534" s="246"/>
      <c r="BI534" s="246"/>
      <c r="BJ534" s="246"/>
    </row>
    <row r="535" spans="2:62" ht="15.75">
      <c r="B535" s="7"/>
      <c r="C535" s="398"/>
      <c r="D535" s="334"/>
      <c r="E535" s="334"/>
      <c r="F535" s="334"/>
      <c r="G535" s="334"/>
      <c r="H535" s="334"/>
      <c r="I535" s="334"/>
      <c r="J535" s="334"/>
      <c r="K535" s="334"/>
      <c r="L535" s="334"/>
      <c r="M535" s="334"/>
      <c r="N535" s="334"/>
      <c r="O535" s="334"/>
      <c r="P535" s="334"/>
      <c r="Q535" s="334"/>
      <c r="R535" s="334"/>
      <c r="S535" s="334"/>
      <c r="T535" s="334"/>
      <c r="U535" s="334"/>
      <c r="V535" s="334"/>
      <c r="W535" s="334"/>
      <c r="X535" s="334"/>
      <c r="Y535" s="246"/>
      <c r="Z535" s="246"/>
      <c r="AA535" s="246"/>
      <c r="AB535" s="246"/>
      <c r="AC535" s="246"/>
      <c r="AD535" s="246"/>
      <c r="AE535" s="246"/>
      <c r="AF535" s="246"/>
      <c r="AG535" s="246"/>
      <c r="AH535" s="246"/>
      <c r="AI535" s="246"/>
      <c r="AJ535" s="246"/>
      <c r="AK535" s="246"/>
      <c r="AL535" s="246"/>
      <c r="AM535" s="246"/>
      <c r="AN535" s="246"/>
      <c r="AO535" s="246"/>
      <c r="AP535" s="246"/>
      <c r="AQ535" s="246"/>
      <c r="AR535" s="246"/>
      <c r="AS535" s="246"/>
      <c r="AT535" s="246"/>
      <c r="AU535" s="246"/>
      <c r="AV535" s="246"/>
      <c r="AW535" s="246"/>
      <c r="AX535" s="246"/>
      <c r="AY535" s="246"/>
      <c r="AZ535" s="246"/>
      <c r="BA535" s="246"/>
      <c r="BB535" s="246"/>
      <c r="BC535" s="246"/>
      <c r="BD535" s="246"/>
      <c r="BE535" s="246"/>
      <c r="BF535" s="246"/>
      <c r="BG535" s="246"/>
      <c r="BH535" s="246"/>
      <c r="BI535" s="246"/>
      <c r="BJ535" s="246"/>
    </row>
    <row r="536" spans="2:62" ht="15.75">
      <c r="B536" s="7"/>
      <c r="C536" s="334"/>
      <c r="D536" s="334"/>
      <c r="E536" s="334"/>
      <c r="F536" s="334"/>
      <c r="G536" s="334"/>
      <c r="H536" s="334"/>
      <c r="I536" s="334"/>
      <c r="J536" s="334"/>
      <c r="K536" s="334"/>
      <c r="L536" s="334"/>
      <c r="M536" s="334"/>
      <c r="N536" s="334"/>
      <c r="O536" s="334"/>
      <c r="P536" s="334"/>
      <c r="Q536" s="334"/>
      <c r="R536" s="334"/>
      <c r="S536" s="334"/>
      <c r="T536" s="334"/>
      <c r="U536" s="334"/>
      <c r="V536" s="334"/>
      <c r="W536" s="334"/>
      <c r="X536" s="334"/>
      <c r="Y536" s="246"/>
      <c r="Z536" s="246"/>
      <c r="AA536" s="246"/>
      <c r="AB536" s="246"/>
      <c r="AC536" s="246"/>
      <c r="AD536" s="246"/>
      <c r="AE536" s="246"/>
      <c r="AF536" s="246"/>
      <c r="AG536" s="246"/>
      <c r="AH536" s="246"/>
      <c r="AI536" s="246"/>
      <c r="AJ536" s="246"/>
      <c r="AK536" s="246"/>
      <c r="AL536" s="246"/>
      <c r="AM536" s="246"/>
      <c r="AN536" s="246"/>
      <c r="AO536" s="246"/>
      <c r="AP536" s="246"/>
      <c r="AQ536" s="246"/>
      <c r="AR536" s="246"/>
      <c r="AS536" s="246"/>
      <c r="AT536" s="246"/>
      <c r="AU536" s="246"/>
      <c r="AV536" s="246"/>
      <c r="AW536" s="246"/>
      <c r="AX536" s="246"/>
      <c r="AY536" s="246"/>
      <c r="AZ536" s="246"/>
      <c r="BA536" s="246"/>
      <c r="BB536" s="246"/>
      <c r="BC536" s="246"/>
      <c r="BD536" s="246"/>
      <c r="BE536" s="246"/>
      <c r="BF536" s="246"/>
      <c r="BG536" s="246"/>
      <c r="BH536" s="246"/>
      <c r="BI536" s="246"/>
      <c r="BJ536" s="246"/>
    </row>
    <row r="537" spans="2:62" ht="15.75">
      <c r="B537" s="7"/>
      <c r="C537" s="334"/>
      <c r="D537" s="334"/>
      <c r="E537" s="399"/>
      <c r="F537" s="409"/>
      <c r="G537" s="334"/>
      <c r="H537" s="399"/>
      <c r="I537" s="409"/>
      <c r="J537" s="409"/>
      <c r="K537" s="399"/>
      <c r="L537" s="409"/>
      <c r="M537" s="399"/>
      <c r="N537" s="409"/>
      <c r="O537" s="399"/>
      <c r="P537" s="409"/>
      <c r="Q537" s="399"/>
      <c r="R537" s="399"/>
      <c r="S537" s="399"/>
      <c r="T537" s="334"/>
      <c r="U537" s="334"/>
      <c r="V537" s="334"/>
      <c r="W537" s="334"/>
      <c r="X537" s="334"/>
      <c r="Y537" s="246"/>
      <c r="Z537" s="246"/>
      <c r="AA537" s="246"/>
      <c r="AB537" s="246"/>
      <c r="AC537" s="246"/>
      <c r="AD537" s="246"/>
      <c r="AE537" s="246"/>
      <c r="AF537" s="246"/>
      <c r="AG537" s="246"/>
      <c r="AH537" s="246"/>
      <c r="AI537" s="246"/>
      <c r="AJ537" s="246"/>
      <c r="AK537" s="246"/>
      <c r="AL537" s="246"/>
      <c r="AM537" s="246"/>
      <c r="AN537" s="246"/>
      <c r="AO537" s="246"/>
      <c r="AP537" s="246"/>
      <c r="AQ537" s="246"/>
      <c r="AR537" s="246"/>
      <c r="AS537" s="246"/>
      <c r="AT537" s="246"/>
      <c r="AU537" s="246"/>
      <c r="AV537" s="246"/>
      <c r="AW537" s="246"/>
      <c r="AX537" s="246"/>
      <c r="AY537" s="246"/>
      <c r="AZ537" s="246"/>
      <c r="BA537" s="246"/>
      <c r="BB537" s="246"/>
      <c r="BC537" s="246"/>
      <c r="BD537" s="246"/>
      <c r="BE537" s="246"/>
      <c r="BF537" s="246"/>
      <c r="BG537" s="246"/>
      <c r="BH537" s="246"/>
      <c r="BI537" s="246"/>
      <c r="BJ537" s="246"/>
    </row>
    <row r="538" spans="2:62" ht="15.75">
      <c r="B538" s="7"/>
      <c r="C538" s="334"/>
      <c r="D538" s="334"/>
      <c r="E538" s="399"/>
      <c r="F538" s="409"/>
      <c r="G538" s="334"/>
      <c r="H538" s="399"/>
      <c r="I538" s="409"/>
      <c r="J538" s="409"/>
      <c r="K538" s="399"/>
      <c r="L538" s="409"/>
      <c r="M538" s="399"/>
      <c r="N538" s="409"/>
      <c r="O538" s="399"/>
      <c r="P538" s="409"/>
      <c r="Q538" s="399"/>
      <c r="R538" s="399"/>
      <c r="S538" s="399"/>
      <c r="T538" s="334"/>
      <c r="U538" s="334"/>
      <c r="V538" s="334"/>
      <c r="W538" s="334"/>
      <c r="X538" s="334"/>
      <c r="Y538" s="246"/>
      <c r="Z538" s="246"/>
      <c r="AA538" s="246"/>
      <c r="AB538" s="246"/>
      <c r="AC538" s="246"/>
      <c r="AD538" s="246"/>
      <c r="AE538" s="246"/>
      <c r="AF538" s="246"/>
      <c r="AG538" s="246"/>
      <c r="AH538" s="246"/>
      <c r="AI538" s="246"/>
      <c r="AJ538" s="246"/>
      <c r="AK538" s="246"/>
      <c r="AL538" s="246"/>
      <c r="AM538" s="246"/>
      <c r="AN538" s="246"/>
      <c r="AO538" s="246"/>
      <c r="AP538" s="246"/>
      <c r="AQ538" s="246"/>
      <c r="AR538" s="246"/>
      <c r="AS538" s="246"/>
      <c r="AT538" s="246"/>
      <c r="AU538" s="246"/>
      <c r="AV538" s="246"/>
      <c r="AW538" s="246"/>
      <c r="AX538" s="246"/>
      <c r="AY538" s="246"/>
      <c r="AZ538" s="246"/>
      <c r="BA538" s="246"/>
      <c r="BB538" s="246"/>
      <c r="BC538" s="246"/>
      <c r="BD538" s="246"/>
      <c r="BE538" s="246"/>
      <c r="BF538" s="246"/>
      <c r="BG538" s="246"/>
      <c r="BH538" s="246"/>
      <c r="BI538" s="246"/>
      <c r="BJ538" s="246"/>
    </row>
    <row r="539" spans="2:62" ht="15.75">
      <c r="B539" s="7"/>
      <c r="C539" s="334"/>
      <c r="D539" s="334"/>
      <c r="E539" s="399"/>
      <c r="F539" s="409"/>
      <c r="G539" s="334"/>
      <c r="H539" s="399"/>
      <c r="I539" s="409"/>
      <c r="J539" s="409"/>
      <c r="K539" s="399"/>
      <c r="L539" s="409"/>
      <c r="M539" s="399"/>
      <c r="N539" s="409"/>
      <c r="O539" s="399"/>
      <c r="P539" s="409"/>
      <c r="Q539" s="399"/>
      <c r="R539" s="399"/>
      <c r="S539" s="399"/>
      <c r="T539" s="334"/>
      <c r="U539" s="334"/>
      <c r="V539" s="334"/>
      <c r="W539" s="334"/>
      <c r="X539" s="334"/>
      <c r="Y539" s="246"/>
      <c r="Z539" s="246"/>
      <c r="AA539" s="246"/>
      <c r="AB539" s="246"/>
      <c r="AC539" s="246"/>
      <c r="AD539" s="246"/>
      <c r="AE539" s="246"/>
      <c r="AF539" s="246"/>
      <c r="AG539" s="246"/>
      <c r="AH539" s="246"/>
      <c r="AI539" s="246"/>
      <c r="AJ539" s="246"/>
      <c r="AK539" s="246"/>
      <c r="AL539" s="246"/>
      <c r="AM539" s="246"/>
      <c r="AN539" s="246"/>
      <c r="AO539" s="246"/>
      <c r="AP539" s="246"/>
      <c r="AQ539" s="246"/>
      <c r="AR539" s="246"/>
      <c r="AS539" s="246"/>
      <c r="AT539" s="246"/>
      <c r="AU539" s="246"/>
      <c r="AV539" s="246"/>
      <c r="AW539" s="246"/>
      <c r="AX539" s="246"/>
      <c r="AY539" s="246"/>
      <c r="AZ539" s="246"/>
      <c r="BA539" s="246"/>
      <c r="BB539" s="246"/>
      <c r="BC539" s="246"/>
      <c r="BD539" s="246"/>
      <c r="BE539" s="246"/>
      <c r="BF539" s="246"/>
      <c r="BG539" s="246"/>
      <c r="BH539" s="246"/>
      <c r="BI539" s="246"/>
      <c r="BJ539" s="246"/>
    </row>
    <row r="540" spans="2:62" ht="15.75">
      <c r="B540" s="7"/>
      <c r="C540" s="334"/>
      <c r="D540" s="334"/>
      <c r="E540" s="399"/>
      <c r="F540" s="409"/>
      <c r="G540" s="334"/>
      <c r="H540" s="399"/>
      <c r="I540" s="409"/>
      <c r="J540" s="409"/>
      <c r="K540" s="399"/>
      <c r="L540" s="409"/>
      <c r="M540" s="399"/>
      <c r="N540" s="409"/>
      <c r="O540" s="399"/>
      <c r="P540" s="409"/>
      <c r="Q540" s="399"/>
      <c r="R540" s="399"/>
      <c r="S540" s="399"/>
      <c r="T540" s="334"/>
      <c r="U540" s="334"/>
      <c r="V540" s="334"/>
      <c r="W540" s="334"/>
      <c r="X540" s="334"/>
      <c r="Y540" s="246"/>
      <c r="Z540" s="246"/>
      <c r="AA540" s="246"/>
      <c r="AB540" s="246"/>
      <c r="AC540" s="246"/>
      <c r="AD540" s="246"/>
      <c r="AE540" s="246"/>
      <c r="AF540" s="246"/>
      <c r="AG540" s="246"/>
      <c r="AH540" s="246"/>
      <c r="AI540" s="246"/>
      <c r="AJ540" s="246"/>
      <c r="AK540" s="246"/>
      <c r="AL540" s="246"/>
      <c r="AM540" s="246"/>
      <c r="AN540" s="246"/>
      <c r="AO540" s="246"/>
      <c r="AP540" s="246"/>
      <c r="AQ540" s="246"/>
      <c r="AR540" s="246"/>
      <c r="AS540" s="246"/>
      <c r="AT540" s="246"/>
      <c r="AU540" s="246"/>
      <c r="AV540" s="246"/>
      <c r="AW540" s="246"/>
      <c r="AX540" s="246"/>
      <c r="AY540" s="246"/>
      <c r="AZ540" s="246"/>
      <c r="BA540" s="246"/>
      <c r="BB540" s="246"/>
      <c r="BC540" s="246"/>
      <c r="BD540" s="246"/>
      <c r="BE540" s="246"/>
      <c r="BF540" s="246"/>
      <c r="BG540" s="246"/>
      <c r="BH540" s="246"/>
      <c r="BI540" s="246"/>
      <c r="BJ540" s="246"/>
    </row>
    <row r="541" spans="2:62" ht="15.75">
      <c r="B541" s="7"/>
      <c r="C541" s="334"/>
      <c r="D541" s="334"/>
      <c r="E541" s="399"/>
      <c r="F541" s="409"/>
      <c r="G541" s="334"/>
      <c r="H541" s="399"/>
      <c r="I541" s="409"/>
      <c r="J541" s="409"/>
      <c r="K541" s="399"/>
      <c r="L541" s="409"/>
      <c r="M541" s="399"/>
      <c r="N541" s="409"/>
      <c r="O541" s="399"/>
      <c r="P541" s="409"/>
      <c r="Q541" s="399"/>
      <c r="R541" s="399"/>
      <c r="S541" s="334"/>
      <c r="T541" s="334"/>
      <c r="U541" s="334"/>
      <c r="V541" s="334"/>
      <c r="W541" s="334"/>
      <c r="X541" s="334"/>
      <c r="Y541" s="246"/>
      <c r="Z541" s="246"/>
      <c r="AA541" s="246"/>
      <c r="AB541" s="246"/>
      <c r="AC541" s="246"/>
      <c r="AD541" s="246"/>
      <c r="AE541" s="246"/>
      <c r="AF541" s="246"/>
      <c r="AG541" s="246"/>
      <c r="AH541" s="246"/>
      <c r="AI541" s="246"/>
      <c r="AJ541" s="246"/>
      <c r="AK541" s="246"/>
      <c r="AL541" s="246"/>
      <c r="AM541" s="246"/>
      <c r="AN541" s="246"/>
      <c r="AO541" s="246"/>
      <c r="AP541" s="246"/>
      <c r="AQ541" s="246"/>
      <c r="AR541" s="246"/>
      <c r="AS541" s="246"/>
      <c r="AT541" s="246"/>
      <c r="AU541" s="246"/>
      <c r="AV541" s="246"/>
      <c r="AW541" s="246"/>
      <c r="AX541" s="246"/>
      <c r="AY541" s="246"/>
      <c r="AZ541" s="246"/>
      <c r="BA541" s="246"/>
      <c r="BB541" s="246"/>
      <c r="BC541" s="246"/>
      <c r="BD541" s="246"/>
      <c r="BE541" s="246"/>
      <c r="BF541" s="246"/>
      <c r="BG541" s="246"/>
      <c r="BH541" s="246"/>
      <c r="BI541" s="246"/>
      <c r="BJ541" s="246"/>
    </row>
    <row r="542" spans="2:62" ht="15.75">
      <c r="B542" s="7"/>
      <c r="C542" s="334"/>
      <c r="D542" s="334"/>
      <c r="E542" s="399"/>
      <c r="F542" s="409"/>
      <c r="G542" s="334"/>
      <c r="H542" s="399"/>
      <c r="I542" s="409"/>
      <c r="J542" s="409"/>
      <c r="K542" s="399"/>
      <c r="L542" s="409"/>
      <c r="M542" s="399"/>
      <c r="N542" s="409"/>
      <c r="O542" s="399"/>
      <c r="P542" s="409"/>
      <c r="Q542" s="399"/>
      <c r="R542" s="399"/>
      <c r="S542" s="399"/>
      <c r="T542" s="334"/>
      <c r="U542" s="334"/>
      <c r="V542" s="334"/>
      <c r="W542" s="334"/>
      <c r="X542" s="334"/>
      <c r="Y542" s="246"/>
      <c r="Z542" s="246"/>
      <c r="AA542" s="246"/>
      <c r="AB542" s="246"/>
      <c r="AC542" s="246"/>
      <c r="AD542" s="246"/>
      <c r="AE542" s="246"/>
      <c r="AF542" s="246"/>
      <c r="AG542" s="246"/>
      <c r="AH542" s="246"/>
      <c r="AI542" s="246"/>
      <c r="AJ542" s="246"/>
      <c r="AK542" s="246"/>
      <c r="AL542" s="246"/>
      <c r="AM542" s="246"/>
      <c r="AN542" s="246"/>
      <c r="AO542" s="246"/>
      <c r="AP542" s="246"/>
      <c r="AQ542" s="246"/>
      <c r="AR542" s="246"/>
      <c r="AS542" s="246"/>
      <c r="AT542" s="246"/>
      <c r="AU542" s="246"/>
      <c r="AV542" s="246"/>
      <c r="AW542" s="246"/>
      <c r="AX542" s="246"/>
      <c r="AY542" s="246"/>
      <c r="AZ542" s="246"/>
      <c r="BA542" s="246"/>
      <c r="BB542" s="246"/>
      <c r="BC542" s="246"/>
      <c r="BD542" s="246"/>
      <c r="BE542" s="246"/>
      <c r="BF542" s="246"/>
      <c r="BG542" s="246"/>
      <c r="BH542" s="246"/>
      <c r="BI542" s="246"/>
      <c r="BJ542" s="246"/>
    </row>
    <row r="543" spans="2:62" ht="15.75">
      <c r="B543" s="7"/>
      <c r="C543" s="334"/>
      <c r="D543" s="334"/>
      <c r="E543" s="399"/>
      <c r="F543" s="410"/>
      <c r="G543" s="334"/>
      <c r="H543" s="399"/>
      <c r="I543" s="410"/>
      <c r="J543" s="409"/>
      <c r="K543" s="399"/>
      <c r="L543" s="409"/>
      <c r="M543" s="399"/>
      <c r="N543" s="409"/>
      <c r="O543" s="399"/>
      <c r="P543" s="334"/>
      <c r="Q543" s="334"/>
      <c r="R543" s="399"/>
      <c r="S543" s="399"/>
      <c r="T543" s="334"/>
      <c r="U543" s="334"/>
      <c r="V543" s="334"/>
      <c r="W543" s="334"/>
      <c r="X543" s="334"/>
      <c r="Y543" s="246"/>
      <c r="Z543" s="246"/>
      <c r="AA543" s="246"/>
      <c r="AB543" s="246"/>
      <c r="AC543" s="246"/>
      <c r="AD543" s="246"/>
      <c r="AE543" s="246"/>
      <c r="AF543" s="246"/>
      <c r="AG543" s="246"/>
      <c r="AH543" s="246"/>
      <c r="AI543" s="246"/>
      <c r="AJ543" s="246"/>
      <c r="AK543" s="246"/>
      <c r="AL543" s="246"/>
      <c r="AM543" s="246"/>
      <c r="AN543" s="246"/>
      <c r="AO543" s="246"/>
      <c r="AP543" s="246"/>
      <c r="AQ543" s="246"/>
      <c r="AR543" s="246"/>
      <c r="AS543" s="246"/>
      <c r="AT543" s="246"/>
      <c r="AU543" s="246"/>
      <c r="AV543" s="246"/>
      <c r="AW543" s="246"/>
      <c r="AX543" s="246"/>
      <c r="AY543" s="246"/>
      <c r="AZ543" s="246"/>
      <c r="BA543" s="246"/>
      <c r="BB543" s="246"/>
      <c r="BC543" s="246"/>
      <c r="BD543" s="246"/>
      <c r="BE543" s="246"/>
      <c r="BF543" s="246"/>
      <c r="BG543" s="246"/>
      <c r="BH543" s="246"/>
      <c r="BI543" s="246"/>
      <c r="BJ543" s="246"/>
    </row>
    <row r="544" spans="2:62" ht="15.75">
      <c r="B544" s="7"/>
      <c r="C544" s="398"/>
      <c r="D544" s="398"/>
      <c r="E544" s="401"/>
      <c r="F544" s="411"/>
      <c r="G544" s="398"/>
      <c r="H544" s="401"/>
      <c r="I544" s="411"/>
      <c r="J544" s="411"/>
      <c r="K544" s="401"/>
      <c r="L544" s="411"/>
      <c r="M544" s="401"/>
      <c r="N544" s="411"/>
      <c r="O544" s="401"/>
      <c r="P544" s="411"/>
      <c r="Q544" s="401"/>
      <c r="R544" s="401"/>
      <c r="S544" s="398"/>
      <c r="T544" s="334"/>
      <c r="U544" s="334"/>
      <c r="V544" s="334"/>
      <c r="W544" s="334"/>
      <c r="X544" s="334"/>
      <c r="Y544" s="246"/>
      <c r="Z544" s="246"/>
      <c r="AA544" s="246"/>
      <c r="AB544" s="246"/>
      <c r="AC544" s="246"/>
      <c r="AD544" s="246"/>
      <c r="AE544" s="246"/>
      <c r="AF544" s="246"/>
      <c r="AG544" s="246"/>
      <c r="AH544" s="246"/>
      <c r="AI544" s="246"/>
      <c r="AJ544" s="246"/>
      <c r="AK544" s="246"/>
      <c r="AL544" s="246"/>
      <c r="AM544" s="246"/>
      <c r="AN544" s="246"/>
      <c r="AO544" s="246"/>
      <c r="AP544" s="246"/>
      <c r="AQ544" s="246"/>
      <c r="AR544" s="246"/>
      <c r="AS544" s="246"/>
      <c r="AT544" s="246"/>
      <c r="AU544" s="246"/>
      <c r="AV544" s="246"/>
      <c r="AW544" s="246"/>
      <c r="AX544" s="246"/>
      <c r="AY544" s="246"/>
      <c r="AZ544" s="246"/>
      <c r="BA544" s="246"/>
      <c r="BB544" s="246"/>
      <c r="BC544" s="246"/>
      <c r="BD544" s="246"/>
      <c r="BE544" s="246"/>
      <c r="BF544" s="246"/>
      <c r="BG544" s="246"/>
      <c r="BH544" s="246"/>
      <c r="BI544" s="246"/>
      <c r="BJ544" s="246"/>
    </row>
    <row r="545" spans="2:62" ht="15.75">
      <c r="B545" s="7"/>
      <c r="C545" s="334"/>
      <c r="D545" s="334"/>
      <c r="E545" s="399"/>
      <c r="F545" s="334"/>
      <c r="G545" s="334"/>
      <c r="H545" s="399"/>
      <c r="I545" s="334"/>
      <c r="J545" s="409"/>
      <c r="K545" s="399"/>
      <c r="L545" s="409"/>
      <c r="M545" s="399"/>
      <c r="N545" s="409"/>
      <c r="O545" s="399"/>
      <c r="P545" s="398"/>
      <c r="Q545" s="411"/>
      <c r="R545" s="411"/>
      <c r="S545" s="334"/>
      <c r="T545" s="334"/>
      <c r="U545" s="334"/>
      <c r="V545" s="334"/>
      <c r="W545" s="334"/>
      <c r="X545" s="334"/>
      <c r="Y545" s="246"/>
      <c r="Z545" s="246"/>
      <c r="AA545" s="246"/>
      <c r="AB545" s="246"/>
      <c r="AC545" s="246"/>
      <c r="AD545" s="246"/>
      <c r="AE545" s="246"/>
      <c r="AF545" s="246"/>
      <c r="AG545" s="246"/>
      <c r="AH545" s="246"/>
      <c r="AI545" s="246"/>
      <c r="AJ545" s="246"/>
      <c r="AK545" s="246"/>
      <c r="AL545" s="246"/>
      <c r="AM545" s="246"/>
      <c r="AN545" s="246"/>
      <c r="AO545" s="246"/>
      <c r="AP545" s="246"/>
      <c r="AQ545" s="246"/>
      <c r="AR545" s="246"/>
      <c r="AS545" s="246"/>
      <c r="AT545" s="246"/>
      <c r="AU545" s="246"/>
      <c r="AV545" s="246"/>
      <c r="AW545" s="246"/>
      <c r="AX545" s="246"/>
      <c r="AY545" s="246"/>
      <c r="AZ545" s="246"/>
      <c r="BA545" s="246"/>
      <c r="BB545" s="246"/>
      <c r="BC545" s="246"/>
      <c r="BD545" s="246"/>
      <c r="BE545" s="246"/>
      <c r="BF545" s="246"/>
      <c r="BG545" s="246"/>
      <c r="BH545" s="246"/>
      <c r="BI545" s="246"/>
      <c r="BJ545" s="246"/>
    </row>
    <row r="546" spans="2:62" ht="15.75">
      <c r="B546" s="7"/>
      <c r="C546" s="334"/>
      <c r="D546" s="334"/>
      <c r="E546" s="399"/>
      <c r="F546" s="334"/>
      <c r="G546" s="334"/>
      <c r="H546" s="399"/>
      <c r="I546" s="334"/>
      <c r="J546" s="409"/>
      <c r="K546" s="399"/>
      <c r="L546" s="409"/>
      <c r="M546" s="399"/>
      <c r="N546" s="409"/>
      <c r="O546" s="399"/>
      <c r="P546" s="334"/>
      <c r="Q546" s="334"/>
      <c r="R546" s="399"/>
      <c r="S546" s="334"/>
      <c r="T546" s="334"/>
      <c r="U546" s="334"/>
      <c r="V546" s="334"/>
      <c r="W546" s="334"/>
      <c r="X546" s="334"/>
      <c r="Y546" s="246"/>
      <c r="Z546" s="246"/>
      <c r="AA546" s="246"/>
      <c r="AB546" s="246"/>
      <c r="AC546" s="246"/>
      <c r="AD546" s="246"/>
      <c r="AE546" s="246"/>
      <c r="AF546" s="246"/>
      <c r="AG546" s="246"/>
      <c r="AH546" s="246"/>
      <c r="AI546" s="246"/>
      <c r="AJ546" s="246"/>
      <c r="AK546" s="246"/>
      <c r="AL546" s="246"/>
      <c r="AM546" s="246"/>
      <c r="AN546" s="246"/>
      <c r="AO546" s="246"/>
      <c r="AP546" s="246"/>
      <c r="AQ546" s="246"/>
      <c r="AR546" s="246"/>
      <c r="AS546" s="246"/>
      <c r="AT546" s="246"/>
      <c r="AU546" s="246"/>
      <c r="AV546" s="246"/>
      <c r="AW546" s="246"/>
      <c r="AX546" s="246"/>
      <c r="AY546" s="246"/>
      <c r="AZ546" s="246"/>
      <c r="BA546" s="246"/>
      <c r="BB546" s="246"/>
      <c r="BC546" s="246"/>
      <c r="BD546" s="246"/>
      <c r="BE546" s="246"/>
      <c r="BF546" s="246"/>
      <c r="BG546" s="246"/>
      <c r="BH546" s="246"/>
      <c r="BI546" s="246"/>
      <c r="BJ546" s="246"/>
    </row>
    <row r="547" spans="2:62" ht="15.75">
      <c r="B547" s="7"/>
      <c r="C547" s="398"/>
      <c r="D547" s="334"/>
      <c r="E547" s="399"/>
      <c r="F547" s="334"/>
      <c r="G547" s="334"/>
      <c r="H547" s="399"/>
      <c r="I547" s="334"/>
      <c r="J547" s="409"/>
      <c r="K547" s="399"/>
      <c r="L547" s="409"/>
      <c r="M547" s="399"/>
      <c r="N547" s="409"/>
      <c r="O547" s="399"/>
      <c r="P547" s="334"/>
      <c r="Q547" s="334"/>
      <c r="R547" s="399"/>
      <c r="S547" s="334"/>
      <c r="T547" s="334"/>
      <c r="U547" s="334"/>
      <c r="V547" s="334"/>
      <c r="W547" s="334"/>
      <c r="X547" s="334"/>
      <c r="Y547" s="246"/>
      <c r="Z547" s="246"/>
      <c r="AA547" s="246"/>
      <c r="AB547" s="246"/>
      <c r="AC547" s="246"/>
      <c r="AD547" s="246"/>
      <c r="AE547" s="246"/>
      <c r="AF547" s="246"/>
      <c r="AG547" s="246"/>
      <c r="AH547" s="246"/>
      <c r="AI547" s="246"/>
      <c r="AJ547" s="246"/>
      <c r="AK547" s="246"/>
      <c r="AL547" s="246"/>
      <c r="AM547" s="246"/>
      <c r="AN547" s="246"/>
      <c r="AO547" s="246"/>
      <c r="AP547" s="246"/>
      <c r="AQ547" s="246"/>
      <c r="AR547" s="246"/>
      <c r="AS547" s="246"/>
      <c r="AT547" s="246"/>
      <c r="AU547" s="246"/>
      <c r="AV547" s="246"/>
      <c r="AW547" s="246"/>
      <c r="AX547" s="246"/>
      <c r="AY547" s="246"/>
      <c r="AZ547" s="246"/>
      <c r="BA547" s="246"/>
      <c r="BB547" s="246"/>
      <c r="BC547" s="246"/>
      <c r="BD547" s="246"/>
      <c r="BE547" s="246"/>
      <c r="BF547" s="246"/>
      <c r="BG547" s="246"/>
      <c r="BH547" s="246"/>
      <c r="BI547" s="246"/>
      <c r="BJ547" s="246"/>
    </row>
    <row r="548" spans="2:62" ht="15.75">
      <c r="B548" s="7"/>
      <c r="C548" s="334"/>
      <c r="D548" s="334"/>
      <c r="E548" s="334"/>
      <c r="F548" s="334"/>
      <c r="G548" s="334"/>
      <c r="H548" s="334"/>
      <c r="I548" s="334"/>
      <c r="J548" s="334"/>
      <c r="K548" s="334"/>
      <c r="L548" s="334"/>
      <c r="M548" s="334"/>
      <c r="N548" s="334"/>
      <c r="O548" s="334"/>
      <c r="P548" s="334"/>
      <c r="Q548" s="334"/>
      <c r="R548" s="334"/>
      <c r="S548" s="334"/>
      <c r="T548" s="334"/>
      <c r="U548" s="334"/>
      <c r="V548" s="334"/>
      <c r="W548" s="334"/>
      <c r="X548" s="334"/>
      <c r="Y548" s="246"/>
      <c r="Z548" s="246"/>
      <c r="AA548" s="246"/>
      <c r="AB548" s="246"/>
      <c r="AC548" s="246"/>
      <c r="AD548" s="246"/>
      <c r="AE548" s="246"/>
      <c r="AF548" s="246"/>
      <c r="AG548" s="246"/>
      <c r="AH548" s="246"/>
      <c r="AI548" s="246"/>
      <c r="AJ548" s="246"/>
      <c r="AK548" s="246"/>
      <c r="AL548" s="246"/>
      <c r="AM548" s="246"/>
      <c r="AN548" s="246"/>
      <c r="AO548" s="246"/>
      <c r="AP548" s="246"/>
      <c r="AQ548" s="246"/>
      <c r="AR548" s="246"/>
      <c r="AS548" s="246"/>
      <c r="AT548" s="246"/>
      <c r="AU548" s="246"/>
      <c r="AV548" s="246"/>
      <c r="AW548" s="246"/>
      <c r="AX548" s="246"/>
      <c r="AY548" s="246"/>
      <c r="AZ548" s="246"/>
      <c r="BA548" s="246"/>
      <c r="BB548" s="246"/>
      <c r="BC548" s="246"/>
      <c r="BD548" s="246"/>
      <c r="BE548" s="246"/>
      <c r="BF548" s="246"/>
      <c r="BG548" s="246"/>
      <c r="BH548" s="246"/>
      <c r="BI548" s="246"/>
      <c r="BJ548" s="246"/>
    </row>
    <row r="549" spans="2:62" ht="15.75">
      <c r="B549" s="7"/>
      <c r="C549" s="334"/>
      <c r="D549" s="334"/>
      <c r="E549" s="399"/>
      <c r="F549" s="409"/>
      <c r="G549" s="334"/>
      <c r="H549" s="399"/>
      <c r="I549" s="409"/>
      <c r="J549" s="409"/>
      <c r="K549" s="334"/>
      <c r="L549" s="409"/>
      <c r="M549" s="334"/>
      <c r="N549" s="409"/>
      <c r="O549" s="334"/>
      <c r="P549" s="409"/>
      <c r="Q549" s="399"/>
      <c r="R549" s="399"/>
      <c r="S549" s="334"/>
      <c r="T549" s="334"/>
      <c r="U549" s="334"/>
      <c r="V549" s="334"/>
      <c r="W549" s="334"/>
      <c r="X549" s="334"/>
      <c r="Y549" s="246"/>
      <c r="Z549" s="246"/>
      <c r="AA549" s="246"/>
      <c r="AB549" s="246"/>
      <c r="AC549" s="246"/>
      <c r="AD549" s="246"/>
      <c r="AE549" s="246"/>
      <c r="AF549" s="246"/>
      <c r="AG549" s="246"/>
      <c r="AH549" s="246"/>
      <c r="AI549" s="246"/>
      <c r="AJ549" s="246"/>
      <c r="AK549" s="246"/>
      <c r="AL549" s="246"/>
      <c r="AM549" s="246"/>
      <c r="AN549" s="246"/>
      <c r="AO549" s="246"/>
      <c r="AP549" s="246"/>
      <c r="AQ549" s="246"/>
      <c r="AR549" s="246"/>
      <c r="AS549" s="246"/>
      <c r="AT549" s="246"/>
      <c r="AU549" s="246"/>
      <c r="AV549" s="246"/>
      <c r="AW549" s="246"/>
      <c r="AX549" s="246"/>
      <c r="AY549" s="246"/>
      <c r="AZ549" s="246"/>
      <c r="BA549" s="246"/>
      <c r="BB549" s="246"/>
      <c r="BC549" s="246"/>
      <c r="BD549" s="246"/>
      <c r="BE549" s="246"/>
      <c r="BF549" s="246"/>
      <c r="BG549" s="246"/>
      <c r="BH549" s="246"/>
      <c r="BI549" s="246"/>
      <c r="BJ549" s="246"/>
    </row>
    <row r="550" spans="2:62" ht="15.75">
      <c r="B550" s="7"/>
      <c r="C550" s="334"/>
      <c r="D550" s="334"/>
      <c r="E550" s="399"/>
      <c r="F550" s="410"/>
      <c r="G550" s="334"/>
      <c r="H550" s="399"/>
      <c r="I550" s="410"/>
      <c r="J550" s="409"/>
      <c r="K550" s="399"/>
      <c r="L550" s="409"/>
      <c r="M550" s="399"/>
      <c r="N550" s="409"/>
      <c r="O550" s="399"/>
      <c r="P550" s="334"/>
      <c r="Q550" s="409"/>
      <c r="R550" s="409"/>
      <c r="S550" s="399"/>
      <c r="T550" s="334"/>
      <c r="U550" s="334"/>
      <c r="V550" s="334"/>
      <c r="W550" s="334"/>
      <c r="X550" s="334"/>
      <c r="Y550" s="246"/>
      <c r="Z550" s="246"/>
      <c r="AA550" s="246"/>
      <c r="AB550" s="246"/>
      <c r="AC550" s="246"/>
      <c r="AD550" s="246"/>
      <c r="AE550" s="246"/>
      <c r="AF550" s="246"/>
      <c r="AG550" s="246"/>
      <c r="AH550" s="246"/>
      <c r="AI550" s="246"/>
      <c r="AJ550" s="246"/>
      <c r="AK550" s="246"/>
      <c r="AL550" s="246"/>
      <c r="AM550" s="246"/>
      <c r="AN550" s="246"/>
      <c r="AO550" s="246"/>
      <c r="AP550" s="246"/>
      <c r="AQ550" s="246"/>
      <c r="AR550" s="246"/>
      <c r="AS550" s="246"/>
      <c r="AT550" s="246"/>
      <c r="AU550" s="246"/>
      <c r="AV550" s="246"/>
      <c r="AW550" s="246"/>
      <c r="AX550" s="246"/>
      <c r="AY550" s="246"/>
      <c r="AZ550" s="246"/>
      <c r="BA550" s="246"/>
      <c r="BB550" s="246"/>
      <c r="BC550" s="246"/>
      <c r="BD550" s="246"/>
      <c r="BE550" s="246"/>
      <c r="BF550" s="246"/>
      <c r="BG550" s="246"/>
      <c r="BH550" s="246"/>
      <c r="BI550" s="246"/>
      <c r="BJ550" s="246"/>
    </row>
    <row r="551" spans="2:62" ht="15.75">
      <c r="B551" s="7"/>
      <c r="C551" s="334"/>
      <c r="D551" s="334"/>
      <c r="E551" s="399"/>
      <c r="F551" s="410"/>
      <c r="G551" s="334"/>
      <c r="H551" s="399"/>
      <c r="I551" s="410"/>
      <c r="J551" s="409"/>
      <c r="K551" s="399"/>
      <c r="L551" s="409"/>
      <c r="M551" s="399"/>
      <c r="N551" s="409"/>
      <c r="O551" s="399"/>
      <c r="P551" s="334"/>
      <c r="Q551" s="334"/>
      <c r="R551" s="399"/>
      <c r="S551" s="399"/>
      <c r="T551" s="334"/>
      <c r="U551" s="334"/>
      <c r="V551" s="334"/>
      <c r="W551" s="334"/>
      <c r="X551" s="334"/>
      <c r="Y551" s="246"/>
      <c r="Z551" s="246"/>
      <c r="AA551" s="246"/>
      <c r="AB551" s="246"/>
      <c r="AC551" s="246"/>
      <c r="AD551" s="246"/>
      <c r="AE551" s="246"/>
      <c r="AF551" s="246"/>
      <c r="AG551" s="246"/>
      <c r="AH551" s="246"/>
      <c r="AI551" s="246"/>
      <c r="AJ551" s="246"/>
      <c r="AK551" s="246"/>
      <c r="AL551" s="246"/>
      <c r="AM551" s="246"/>
      <c r="AN551" s="246"/>
      <c r="AO551" s="246"/>
      <c r="AP551" s="246"/>
      <c r="AQ551" s="246"/>
      <c r="AR551" s="246"/>
      <c r="AS551" s="246"/>
      <c r="AT551" s="246"/>
      <c r="AU551" s="246"/>
      <c r="AV551" s="246"/>
      <c r="AW551" s="246"/>
      <c r="AX551" s="246"/>
      <c r="AY551" s="246"/>
      <c r="AZ551" s="246"/>
      <c r="BA551" s="246"/>
      <c r="BB551" s="246"/>
      <c r="BC551" s="246"/>
      <c r="BD551" s="246"/>
      <c r="BE551" s="246"/>
      <c r="BF551" s="246"/>
      <c r="BG551" s="246"/>
      <c r="BH551" s="246"/>
      <c r="BI551" s="246"/>
      <c r="BJ551" s="246"/>
    </row>
    <row r="552" spans="2:62" ht="15.75">
      <c r="B552" s="7"/>
      <c r="C552" s="334"/>
      <c r="D552" s="334"/>
      <c r="E552" s="399"/>
      <c r="F552" s="409"/>
      <c r="G552" s="334"/>
      <c r="H552" s="399"/>
      <c r="I552" s="409"/>
      <c r="J552" s="409"/>
      <c r="K552" s="399"/>
      <c r="L552" s="409"/>
      <c r="M552" s="399"/>
      <c r="N552" s="409"/>
      <c r="O552" s="399"/>
      <c r="P552" s="334"/>
      <c r="Q552" s="334"/>
      <c r="R552" s="399"/>
      <c r="S552" s="334"/>
      <c r="T552" s="334"/>
      <c r="U552" s="334"/>
      <c r="V552" s="334"/>
      <c r="W552" s="334"/>
      <c r="X552" s="334"/>
      <c r="Y552" s="246"/>
      <c r="Z552" s="246"/>
      <c r="AA552" s="246"/>
      <c r="AB552" s="246"/>
      <c r="AC552" s="246"/>
      <c r="AD552" s="246"/>
      <c r="AE552" s="246"/>
      <c r="AF552" s="246"/>
      <c r="AG552" s="246"/>
      <c r="AH552" s="246"/>
      <c r="AI552" s="246"/>
      <c r="AJ552" s="246"/>
      <c r="AK552" s="246"/>
      <c r="AL552" s="246"/>
      <c r="AM552" s="246"/>
      <c r="AN552" s="246"/>
      <c r="AO552" s="246"/>
      <c r="AP552" s="246"/>
      <c r="AQ552" s="246"/>
      <c r="AR552" s="246"/>
      <c r="AS552" s="246"/>
      <c r="AT552" s="246"/>
      <c r="AU552" s="246"/>
      <c r="AV552" s="246"/>
      <c r="AW552" s="246"/>
      <c r="AX552" s="246"/>
      <c r="AY552" s="246"/>
      <c r="AZ552" s="246"/>
      <c r="BA552" s="246"/>
      <c r="BB552" s="246"/>
      <c r="BC552" s="246"/>
      <c r="BD552" s="246"/>
      <c r="BE552" s="246"/>
      <c r="BF552" s="246"/>
      <c r="BG552" s="246"/>
      <c r="BH552" s="246"/>
      <c r="BI552" s="246"/>
      <c r="BJ552" s="246"/>
    </row>
    <row r="553" spans="2:62" ht="15.75">
      <c r="B553" s="7"/>
      <c r="C553" s="398"/>
      <c r="D553" s="398"/>
      <c r="E553" s="401"/>
      <c r="F553" s="411"/>
      <c r="G553" s="398"/>
      <c r="H553" s="401"/>
      <c r="I553" s="411"/>
      <c r="J553" s="411"/>
      <c r="K553" s="401"/>
      <c r="L553" s="411"/>
      <c r="M553" s="401"/>
      <c r="N553" s="411"/>
      <c r="O553" s="401"/>
      <c r="P553" s="411"/>
      <c r="Q553" s="398"/>
      <c r="R553" s="401"/>
      <c r="S553" s="398"/>
      <c r="T553" s="334"/>
      <c r="U553" s="334"/>
      <c r="V553" s="334"/>
      <c r="W553" s="334"/>
      <c r="X553" s="334"/>
      <c r="Y553" s="246"/>
      <c r="Z553" s="246"/>
      <c r="AA553" s="246"/>
      <c r="AB553" s="246"/>
      <c r="AC553" s="246"/>
      <c r="AD553" s="246"/>
      <c r="AE553" s="246"/>
      <c r="AF553" s="246"/>
      <c r="AG553" s="246"/>
      <c r="AH553" s="246"/>
      <c r="AI553" s="246"/>
      <c r="AJ553" s="246"/>
      <c r="AK553" s="246"/>
      <c r="AL553" s="246"/>
      <c r="AM553" s="246"/>
      <c r="AN553" s="246"/>
      <c r="AO553" s="246"/>
      <c r="AP553" s="246"/>
      <c r="AQ553" s="246"/>
      <c r="AR553" s="246"/>
      <c r="AS553" s="246"/>
      <c r="AT553" s="246"/>
      <c r="AU553" s="246"/>
      <c r="AV553" s="246"/>
      <c r="AW553" s="246"/>
      <c r="AX553" s="246"/>
      <c r="AY553" s="246"/>
      <c r="AZ553" s="246"/>
      <c r="BA553" s="246"/>
      <c r="BB553" s="246"/>
      <c r="BC553" s="246"/>
      <c r="BD553" s="246"/>
      <c r="BE553" s="246"/>
      <c r="BF553" s="246"/>
      <c r="BG553" s="246"/>
      <c r="BH553" s="246"/>
      <c r="BI553" s="246"/>
      <c r="BJ553" s="246"/>
    </row>
    <row r="554" spans="2:62" ht="15.75">
      <c r="B554" s="7"/>
      <c r="C554" s="334"/>
      <c r="D554" s="334"/>
      <c r="E554" s="334"/>
      <c r="F554" s="334"/>
      <c r="G554" s="334"/>
      <c r="H554" s="334"/>
      <c r="I554" s="334"/>
      <c r="J554" s="334"/>
      <c r="K554" s="334"/>
      <c r="L554" s="334"/>
      <c r="M554" s="334"/>
      <c r="N554" s="334"/>
      <c r="O554" s="334"/>
      <c r="P554" s="398"/>
      <c r="Q554" s="411"/>
      <c r="R554" s="411"/>
      <c r="S554" s="334"/>
      <c r="T554" s="334"/>
      <c r="U554" s="334"/>
      <c r="V554" s="334"/>
      <c r="W554" s="334"/>
      <c r="X554" s="334"/>
      <c r="Y554" s="246"/>
      <c r="Z554" s="246"/>
      <c r="AA554" s="246"/>
      <c r="AB554" s="246"/>
      <c r="AC554" s="246"/>
      <c r="AD554" s="246"/>
      <c r="AE554" s="246"/>
      <c r="AF554" s="246"/>
      <c r="AG554" s="246"/>
      <c r="AH554" s="246"/>
      <c r="AI554" s="246"/>
      <c r="AJ554" s="246"/>
      <c r="AK554" s="246"/>
      <c r="AL554" s="246"/>
      <c r="AM554" s="246"/>
      <c r="AN554" s="246"/>
      <c r="AO554" s="246"/>
      <c r="AP554" s="246"/>
      <c r="AQ554" s="246"/>
      <c r="AR554" s="246"/>
      <c r="AS554" s="246"/>
      <c r="AT554" s="246"/>
      <c r="AU554" s="246"/>
      <c r="AV554" s="246"/>
      <c r="AW554" s="246"/>
      <c r="AX554" s="246"/>
      <c r="AY554" s="246"/>
      <c r="AZ554" s="246"/>
      <c r="BA554" s="246"/>
      <c r="BB554" s="246"/>
      <c r="BC554" s="246"/>
      <c r="BD554" s="246"/>
      <c r="BE554" s="246"/>
      <c r="BF554" s="246"/>
      <c r="BG554" s="246"/>
      <c r="BH554" s="246"/>
      <c r="BI554" s="246"/>
      <c r="BJ554" s="246"/>
    </row>
    <row r="555" spans="2:62" ht="15.75">
      <c r="B555" s="7"/>
      <c r="C555" s="334"/>
      <c r="D555" s="334"/>
      <c r="E555" s="399"/>
      <c r="F555" s="409"/>
      <c r="G555" s="334"/>
      <c r="H555" s="399"/>
      <c r="I555" s="409"/>
      <c r="J555" s="409"/>
      <c r="K555" s="399"/>
      <c r="L555" s="409"/>
      <c r="M555" s="399"/>
      <c r="N555" s="409"/>
      <c r="O555" s="399"/>
      <c r="P555" s="334"/>
      <c r="Q555" s="334"/>
      <c r="R555" s="399"/>
      <c r="S555" s="334"/>
      <c r="T555" s="334"/>
      <c r="U555" s="334"/>
      <c r="V555" s="334"/>
      <c r="W555" s="334"/>
      <c r="X555" s="334"/>
      <c r="Y555" s="246"/>
      <c r="Z555" s="246"/>
      <c r="AA555" s="246"/>
      <c r="AB555" s="246"/>
      <c r="AC555" s="246"/>
      <c r="AD555" s="246"/>
      <c r="AE555" s="246"/>
      <c r="AF555" s="246"/>
      <c r="AG555" s="246"/>
      <c r="AH555" s="246"/>
      <c r="AI555" s="246"/>
      <c r="AJ555" s="246"/>
      <c r="AK555" s="246"/>
      <c r="AL555" s="246"/>
      <c r="AM555" s="246"/>
      <c r="AN555" s="246"/>
      <c r="AO555" s="246"/>
      <c r="AP555" s="246"/>
      <c r="AQ555" s="246"/>
      <c r="AR555" s="246"/>
      <c r="AS555" s="246"/>
      <c r="AT555" s="246"/>
      <c r="AU555" s="246"/>
      <c r="AV555" s="246"/>
      <c r="AW555" s="246"/>
      <c r="AX555" s="246"/>
      <c r="AY555" s="246"/>
      <c r="AZ555" s="246"/>
      <c r="BA555" s="246"/>
      <c r="BB555" s="246"/>
      <c r="BC555" s="246"/>
      <c r="BD555" s="246"/>
      <c r="BE555" s="246"/>
      <c r="BF555" s="246"/>
      <c r="BG555" s="246"/>
      <c r="BH555" s="246"/>
      <c r="BI555" s="246"/>
      <c r="BJ555" s="246"/>
    </row>
    <row r="556" spans="2:62" ht="15.75">
      <c r="B556" s="7"/>
      <c r="C556" s="398"/>
      <c r="D556" s="334"/>
      <c r="E556" s="399"/>
      <c r="F556" s="409"/>
      <c r="G556" s="334"/>
      <c r="H556" s="399"/>
      <c r="I556" s="409"/>
      <c r="J556" s="409"/>
      <c r="K556" s="399"/>
      <c r="L556" s="409"/>
      <c r="M556" s="399"/>
      <c r="N556" s="409"/>
      <c r="O556" s="399"/>
      <c r="P556" s="334"/>
      <c r="Q556" s="334"/>
      <c r="R556" s="399"/>
      <c r="S556" s="334"/>
      <c r="T556" s="334"/>
      <c r="U556" s="334"/>
      <c r="V556" s="334"/>
      <c r="W556" s="334"/>
      <c r="X556" s="334"/>
      <c r="Y556" s="246"/>
      <c r="Z556" s="246"/>
      <c r="AA556" s="246"/>
      <c r="AB556" s="246"/>
      <c r="AC556" s="246"/>
      <c r="AD556" s="246"/>
      <c r="AE556" s="246"/>
      <c r="AF556" s="246"/>
      <c r="AG556" s="246"/>
      <c r="AH556" s="246"/>
      <c r="AI556" s="246"/>
      <c r="AJ556" s="246"/>
      <c r="AK556" s="246"/>
      <c r="AL556" s="246"/>
      <c r="AM556" s="246"/>
      <c r="AN556" s="246"/>
      <c r="AO556" s="246"/>
      <c r="AP556" s="246"/>
      <c r="AQ556" s="246"/>
      <c r="AR556" s="246"/>
      <c r="AS556" s="246"/>
      <c r="AT556" s="246"/>
      <c r="AU556" s="246"/>
      <c r="AV556" s="246"/>
      <c r="AW556" s="246"/>
      <c r="AX556" s="246"/>
      <c r="AY556" s="246"/>
      <c r="AZ556" s="246"/>
      <c r="BA556" s="246"/>
      <c r="BB556" s="246"/>
      <c r="BC556" s="246"/>
      <c r="BD556" s="246"/>
      <c r="BE556" s="246"/>
      <c r="BF556" s="246"/>
      <c r="BG556" s="246"/>
      <c r="BH556" s="246"/>
      <c r="BI556" s="246"/>
      <c r="BJ556" s="246"/>
    </row>
    <row r="557" spans="2:62" ht="15.75">
      <c r="B557" s="7"/>
      <c r="C557" s="334"/>
      <c r="D557" s="334"/>
      <c r="E557" s="399"/>
      <c r="F557" s="409"/>
      <c r="G557" s="334"/>
      <c r="H557" s="399"/>
      <c r="I557" s="409"/>
      <c r="J557" s="409"/>
      <c r="K557" s="399"/>
      <c r="L557" s="409"/>
      <c r="M557" s="399"/>
      <c r="N557" s="409"/>
      <c r="O557" s="399"/>
      <c r="P557" s="334"/>
      <c r="Q557" s="334"/>
      <c r="R557" s="399"/>
      <c r="S557" s="334"/>
      <c r="T557" s="334"/>
      <c r="U557" s="334"/>
      <c r="V557" s="334"/>
      <c r="W557" s="334"/>
      <c r="X557" s="334"/>
      <c r="Y557" s="246"/>
      <c r="Z557" s="246"/>
      <c r="AA557" s="246"/>
      <c r="AB557" s="246"/>
      <c r="AC557" s="246"/>
      <c r="AD557" s="246"/>
      <c r="AE557" s="246"/>
      <c r="AF557" s="246"/>
      <c r="AG557" s="246"/>
      <c r="AH557" s="246"/>
      <c r="AI557" s="246"/>
      <c r="AJ557" s="246"/>
      <c r="AK557" s="246"/>
      <c r="AL557" s="246"/>
      <c r="AM557" s="246"/>
      <c r="AN557" s="246"/>
      <c r="AO557" s="246"/>
      <c r="AP557" s="246"/>
      <c r="AQ557" s="246"/>
      <c r="AR557" s="246"/>
      <c r="AS557" s="246"/>
      <c r="AT557" s="246"/>
      <c r="AU557" s="246"/>
      <c r="AV557" s="246"/>
      <c r="AW557" s="246"/>
      <c r="AX557" s="246"/>
      <c r="AY557" s="246"/>
      <c r="AZ557" s="246"/>
      <c r="BA557" s="246"/>
      <c r="BB557" s="246"/>
      <c r="BC557" s="246"/>
      <c r="BD557" s="246"/>
      <c r="BE557" s="246"/>
      <c r="BF557" s="246"/>
      <c r="BG557" s="246"/>
      <c r="BH557" s="246"/>
      <c r="BI557" s="246"/>
      <c r="BJ557" s="246"/>
    </row>
    <row r="558" spans="2:62" ht="15.75">
      <c r="B558" s="7"/>
      <c r="C558" s="334"/>
      <c r="D558" s="334"/>
      <c r="E558" s="334"/>
      <c r="F558" s="334"/>
      <c r="G558" s="334"/>
      <c r="H558" s="334"/>
      <c r="I558" s="334"/>
      <c r="J558" s="334"/>
      <c r="K558" s="334"/>
      <c r="L558" s="334"/>
      <c r="M558" s="334"/>
      <c r="N558" s="334"/>
      <c r="O558" s="334"/>
      <c r="P558" s="409"/>
      <c r="Q558" s="399"/>
      <c r="R558" s="334"/>
      <c r="S558" s="399"/>
      <c r="T558" s="334"/>
      <c r="U558" s="334"/>
      <c r="V558" s="334"/>
      <c r="W558" s="334"/>
      <c r="X558" s="334"/>
      <c r="Y558" s="246"/>
      <c r="Z558" s="246"/>
      <c r="AA558" s="246"/>
      <c r="AB558" s="246"/>
      <c r="AC558" s="246"/>
      <c r="AD558" s="246"/>
      <c r="AE558" s="246"/>
      <c r="AF558" s="246"/>
      <c r="AG558" s="246"/>
      <c r="AH558" s="246"/>
      <c r="AI558" s="246"/>
      <c r="AJ558" s="246"/>
      <c r="AK558" s="246"/>
      <c r="AL558" s="246"/>
      <c r="AM558" s="246"/>
      <c r="AN558" s="246"/>
      <c r="AO558" s="246"/>
      <c r="AP558" s="246"/>
      <c r="AQ558" s="246"/>
      <c r="AR558" s="246"/>
      <c r="AS558" s="246"/>
      <c r="AT558" s="246"/>
      <c r="AU558" s="246"/>
      <c r="AV558" s="246"/>
      <c r="AW558" s="246"/>
      <c r="AX558" s="246"/>
      <c r="AY558" s="246"/>
      <c r="AZ558" s="246"/>
      <c r="BA558" s="246"/>
      <c r="BB558" s="246"/>
      <c r="BC558" s="246"/>
      <c r="BD558" s="246"/>
      <c r="BE558" s="246"/>
      <c r="BF558" s="246"/>
      <c r="BG558" s="246"/>
      <c r="BH558" s="246"/>
      <c r="BI558" s="246"/>
      <c r="BJ558" s="246"/>
    </row>
    <row r="559" spans="2:62" ht="15.75">
      <c r="B559" s="7"/>
      <c r="C559" s="334"/>
      <c r="D559" s="334"/>
      <c r="E559" s="334"/>
      <c r="F559" s="334"/>
      <c r="G559" s="334"/>
      <c r="H559" s="334"/>
      <c r="I559" s="334"/>
      <c r="J559" s="334"/>
      <c r="K559" s="334"/>
      <c r="L559" s="334"/>
      <c r="M559" s="334"/>
      <c r="N559" s="334"/>
      <c r="O559" s="334"/>
      <c r="P559" s="409"/>
      <c r="Q559" s="399"/>
      <c r="R559" s="334"/>
      <c r="S559" s="399"/>
      <c r="T559" s="334"/>
      <c r="U559" s="334"/>
      <c r="V559" s="334"/>
      <c r="W559" s="334"/>
      <c r="X559" s="334"/>
      <c r="Y559" s="246"/>
      <c r="Z559" s="246"/>
      <c r="AA559" s="246"/>
      <c r="AB559" s="246"/>
      <c r="AC559" s="246"/>
      <c r="AD559" s="246"/>
      <c r="AE559" s="246"/>
      <c r="AF559" s="246"/>
      <c r="AG559" s="246"/>
      <c r="AH559" s="246"/>
      <c r="AI559" s="246"/>
      <c r="AJ559" s="246"/>
      <c r="AK559" s="246"/>
      <c r="AL559" s="246"/>
      <c r="AM559" s="246"/>
      <c r="AN559" s="246"/>
      <c r="AO559" s="246"/>
      <c r="AP559" s="246"/>
      <c r="AQ559" s="246"/>
      <c r="AR559" s="246"/>
      <c r="AS559" s="246"/>
      <c r="AT559" s="246"/>
      <c r="AU559" s="246"/>
      <c r="AV559" s="246"/>
      <c r="AW559" s="246"/>
      <c r="AX559" s="246"/>
      <c r="AY559" s="246"/>
      <c r="AZ559" s="246"/>
      <c r="BA559" s="246"/>
      <c r="BB559" s="246"/>
      <c r="BC559" s="246"/>
      <c r="BD559" s="246"/>
      <c r="BE559" s="246"/>
      <c r="BF559" s="246"/>
      <c r="BG559" s="246"/>
      <c r="BH559" s="246"/>
      <c r="BI559" s="246"/>
      <c r="BJ559" s="246"/>
    </row>
    <row r="560" spans="2:62" ht="15.75">
      <c r="B560" s="7"/>
      <c r="C560" s="334"/>
      <c r="D560" s="334"/>
      <c r="E560" s="334"/>
      <c r="F560" s="334"/>
      <c r="G560" s="334"/>
      <c r="H560" s="334"/>
      <c r="I560" s="334"/>
      <c r="J560" s="334"/>
      <c r="K560" s="334"/>
      <c r="L560" s="334"/>
      <c r="M560" s="334"/>
      <c r="N560" s="334"/>
      <c r="O560" s="334"/>
      <c r="P560" s="409"/>
      <c r="Q560" s="399"/>
      <c r="R560" s="334"/>
      <c r="S560" s="399"/>
      <c r="T560" s="334"/>
      <c r="U560" s="334"/>
      <c r="V560" s="334"/>
      <c r="W560" s="334"/>
      <c r="X560" s="334"/>
      <c r="Y560" s="246"/>
      <c r="Z560" s="246"/>
      <c r="AA560" s="246"/>
      <c r="AB560" s="246"/>
      <c r="AC560" s="246"/>
      <c r="AD560" s="246"/>
      <c r="AE560" s="246"/>
      <c r="AF560" s="246"/>
      <c r="AG560" s="246"/>
      <c r="AH560" s="246"/>
      <c r="AI560" s="246"/>
      <c r="AJ560" s="246"/>
      <c r="AK560" s="246"/>
      <c r="AL560" s="246"/>
      <c r="AM560" s="246"/>
      <c r="AN560" s="246"/>
      <c r="AO560" s="246"/>
      <c r="AP560" s="246"/>
      <c r="AQ560" s="246"/>
      <c r="AR560" s="246"/>
      <c r="AS560" s="246"/>
      <c r="AT560" s="246"/>
      <c r="AU560" s="246"/>
      <c r="AV560" s="246"/>
      <c r="AW560" s="246"/>
      <c r="AX560" s="246"/>
      <c r="AY560" s="246"/>
      <c r="AZ560" s="246"/>
      <c r="BA560" s="246"/>
      <c r="BB560" s="246"/>
      <c r="BC560" s="246"/>
      <c r="BD560" s="246"/>
      <c r="BE560" s="246"/>
      <c r="BF560" s="246"/>
      <c r="BG560" s="246"/>
      <c r="BH560" s="246"/>
      <c r="BI560" s="246"/>
      <c r="BJ560" s="246"/>
    </row>
    <row r="561" spans="2:62" ht="15.75">
      <c r="B561" s="7"/>
      <c r="C561" s="334"/>
      <c r="D561" s="334"/>
      <c r="E561" s="334"/>
      <c r="F561" s="334"/>
      <c r="G561" s="334"/>
      <c r="H561" s="334"/>
      <c r="I561" s="334"/>
      <c r="J561" s="334"/>
      <c r="K561" s="334"/>
      <c r="L561" s="334"/>
      <c r="M561" s="334"/>
      <c r="N561" s="334"/>
      <c r="O561" s="334"/>
      <c r="P561" s="409"/>
      <c r="Q561" s="399"/>
      <c r="R561" s="334"/>
      <c r="S561" s="399"/>
      <c r="T561" s="334"/>
      <c r="U561" s="334"/>
      <c r="V561" s="334"/>
      <c r="W561" s="334"/>
      <c r="X561" s="334"/>
      <c r="Y561" s="246"/>
      <c r="Z561" s="246"/>
      <c r="AA561" s="246"/>
      <c r="AB561" s="246"/>
      <c r="AC561" s="246"/>
      <c r="AD561" s="246"/>
      <c r="AE561" s="246"/>
      <c r="AF561" s="246"/>
      <c r="AG561" s="246"/>
      <c r="AH561" s="246"/>
      <c r="AI561" s="246"/>
      <c r="AJ561" s="246"/>
      <c r="AK561" s="246"/>
      <c r="AL561" s="246"/>
      <c r="AM561" s="246"/>
      <c r="AN561" s="246"/>
      <c r="AO561" s="246"/>
      <c r="AP561" s="246"/>
      <c r="AQ561" s="246"/>
      <c r="AR561" s="246"/>
      <c r="AS561" s="246"/>
      <c r="AT561" s="246"/>
      <c r="AU561" s="246"/>
      <c r="AV561" s="246"/>
      <c r="AW561" s="246"/>
      <c r="AX561" s="246"/>
      <c r="AY561" s="246"/>
      <c r="AZ561" s="246"/>
      <c r="BA561" s="246"/>
      <c r="BB561" s="246"/>
      <c r="BC561" s="246"/>
      <c r="BD561" s="246"/>
      <c r="BE561" s="246"/>
      <c r="BF561" s="246"/>
      <c r="BG561" s="246"/>
      <c r="BH561" s="246"/>
      <c r="BI561" s="246"/>
      <c r="BJ561" s="246"/>
    </row>
    <row r="562" spans="2:62" ht="15.75">
      <c r="B562" s="7"/>
      <c r="C562" s="334"/>
      <c r="D562" s="334"/>
      <c r="E562" s="334"/>
      <c r="F562" s="334"/>
      <c r="G562" s="334"/>
      <c r="H562" s="334"/>
      <c r="I562" s="334"/>
      <c r="J562" s="334"/>
      <c r="K562" s="334"/>
      <c r="L562" s="334"/>
      <c r="M562" s="334"/>
      <c r="N562" s="334"/>
      <c r="O562" s="334"/>
      <c r="P562" s="409"/>
      <c r="Q562" s="399"/>
      <c r="R562" s="334"/>
      <c r="S562" s="399"/>
      <c r="T562" s="334"/>
      <c r="U562" s="334"/>
      <c r="V562" s="334"/>
      <c r="W562" s="334"/>
      <c r="X562" s="334"/>
      <c r="Y562" s="246"/>
      <c r="Z562" s="246"/>
      <c r="AA562" s="246"/>
      <c r="AB562" s="246"/>
      <c r="AC562" s="246"/>
      <c r="AD562" s="246"/>
      <c r="AE562" s="246"/>
      <c r="AF562" s="246"/>
      <c r="AG562" s="246"/>
      <c r="AH562" s="246"/>
      <c r="AI562" s="246"/>
      <c r="AJ562" s="246"/>
      <c r="AK562" s="246"/>
      <c r="AL562" s="246"/>
      <c r="AM562" s="246"/>
      <c r="AN562" s="246"/>
      <c r="AO562" s="246"/>
      <c r="AP562" s="246"/>
      <c r="AQ562" s="246"/>
      <c r="AR562" s="246"/>
      <c r="AS562" s="246"/>
      <c r="AT562" s="246"/>
      <c r="AU562" s="246"/>
      <c r="AV562" s="246"/>
      <c r="AW562" s="246"/>
      <c r="AX562" s="246"/>
      <c r="AY562" s="246"/>
      <c r="AZ562" s="246"/>
      <c r="BA562" s="246"/>
      <c r="BB562" s="246"/>
      <c r="BC562" s="246"/>
      <c r="BD562" s="246"/>
      <c r="BE562" s="246"/>
      <c r="BF562" s="246"/>
      <c r="BG562" s="246"/>
      <c r="BH562" s="246"/>
      <c r="BI562" s="246"/>
      <c r="BJ562" s="246"/>
    </row>
    <row r="563" spans="2:62" ht="15.75">
      <c r="B563" s="7"/>
      <c r="C563" s="334"/>
      <c r="D563" s="334"/>
      <c r="E563" s="334"/>
      <c r="F563" s="334"/>
      <c r="G563" s="334"/>
      <c r="H563" s="334"/>
      <c r="I563" s="334"/>
      <c r="J563" s="334"/>
      <c r="K563" s="334"/>
      <c r="L563" s="334"/>
      <c r="M563" s="334"/>
      <c r="N563" s="334"/>
      <c r="O563" s="334"/>
      <c r="P563" s="409"/>
      <c r="Q563" s="399"/>
      <c r="R563" s="334"/>
      <c r="S563" s="399"/>
      <c r="T563" s="334"/>
      <c r="U563" s="334"/>
      <c r="V563" s="334"/>
      <c r="W563" s="334"/>
      <c r="X563" s="334"/>
      <c r="Y563" s="246"/>
      <c r="Z563" s="246"/>
      <c r="AA563" s="246"/>
      <c r="AB563" s="246"/>
      <c r="AC563" s="246"/>
      <c r="AD563" s="246"/>
      <c r="AE563" s="246"/>
      <c r="AF563" s="246"/>
      <c r="AG563" s="246"/>
      <c r="AH563" s="246"/>
      <c r="AI563" s="246"/>
      <c r="AJ563" s="246"/>
      <c r="AK563" s="246"/>
      <c r="AL563" s="246"/>
      <c r="AM563" s="246"/>
      <c r="AN563" s="246"/>
      <c r="AO563" s="246"/>
      <c r="AP563" s="246"/>
      <c r="AQ563" s="246"/>
      <c r="AR563" s="246"/>
      <c r="AS563" s="246"/>
      <c r="AT563" s="246"/>
      <c r="AU563" s="246"/>
      <c r="AV563" s="246"/>
      <c r="AW563" s="246"/>
      <c r="AX563" s="246"/>
      <c r="AY563" s="246"/>
      <c r="AZ563" s="246"/>
      <c r="BA563" s="246"/>
      <c r="BB563" s="246"/>
      <c r="BC563" s="246"/>
      <c r="BD563" s="246"/>
      <c r="BE563" s="246"/>
      <c r="BF563" s="246"/>
      <c r="BG563" s="246"/>
      <c r="BH563" s="246"/>
      <c r="BI563" s="246"/>
      <c r="BJ563" s="246"/>
    </row>
    <row r="564" spans="2:62" ht="15.75">
      <c r="B564" s="7"/>
      <c r="C564" s="334"/>
      <c r="D564" s="334"/>
      <c r="E564" s="334"/>
      <c r="F564" s="334"/>
      <c r="G564" s="334"/>
      <c r="H564" s="334"/>
      <c r="I564" s="334"/>
      <c r="J564" s="334"/>
      <c r="K564" s="334"/>
      <c r="L564" s="334"/>
      <c r="M564" s="334"/>
      <c r="N564" s="334"/>
      <c r="O564" s="334"/>
      <c r="P564" s="409"/>
      <c r="Q564" s="399"/>
      <c r="R564" s="334"/>
      <c r="S564" s="399"/>
      <c r="T564" s="334"/>
      <c r="U564" s="334"/>
      <c r="V564" s="334"/>
      <c r="W564" s="334"/>
      <c r="X564" s="334"/>
      <c r="Y564" s="246"/>
      <c r="Z564" s="246"/>
      <c r="AA564" s="246"/>
      <c r="AB564" s="246"/>
      <c r="AC564" s="246"/>
      <c r="AD564" s="246"/>
      <c r="AE564" s="246"/>
      <c r="AF564" s="246"/>
      <c r="AG564" s="246"/>
      <c r="AH564" s="246"/>
      <c r="AI564" s="246"/>
      <c r="AJ564" s="246"/>
      <c r="AK564" s="246"/>
      <c r="AL564" s="246"/>
      <c r="AM564" s="246"/>
      <c r="AN564" s="246"/>
      <c r="AO564" s="246"/>
      <c r="AP564" s="246"/>
      <c r="AQ564" s="246"/>
      <c r="AR564" s="246"/>
      <c r="AS564" s="246"/>
      <c r="AT564" s="246"/>
      <c r="AU564" s="246"/>
      <c r="AV564" s="246"/>
      <c r="AW564" s="246"/>
      <c r="AX564" s="246"/>
      <c r="AY564" s="246"/>
      <c r="AZ564" s="246"/>
      <c r="BA564" s="246"/>
      <c r="BB564" s="246"/>
      <c r="BC564" s="246"/>
      <c r="BD564" s="246"/>
      <c r="BE564" s="246"/>
      <c r="BF564" s="246"/>
      <c r="BG564" s="246"/>
      <c r="BH564" s="246"/>
      <c r="BI564" s="246"/>
      <c r="BJ564" s="246"/>
    </row>
    <row r="565" spans="2:62" ht="15.75">
      <c r="B565" s="7"/>
      <c r="C565" s="334"/>
      <c r="D565" s="334"/>
      <c r="E565" s="334"/>
      <c r="F565" s="334"/>
      <c r="G565" s="334"/>
      <c r="H565" s="334"/>
      <c r="I565" s="334"/>
      <c r="J565" s="334"/>
      <c r="K565" s="334"/>
      <c r="L565" s="334"/>
      <c r="M565" s="334"/>
      <c r="N565" s="334"/>
      <c r="O565" s="334"/>
      <c r="P565" s="409"/>
      <c r="Q565" s="399"/>
      <c r="R565" s="334"/>
      <c r="S565" s="399"/>
      <c r="T565" s="334"/>
      <c r="U565" s="334"/>
      <c r="V565" s="334"/>
      <c r="W565" s="334"/>
      <c r="X565" s="334"/>
      <c r="Y565" s="246"/>
      <c r="Z565" s="246"/>
      <c r="AA565" s="246"/>
      <c r="AB565" s="246"/>
      <c r="AC565" s="246"/>
      <c r="AD565" s="246"/>
      <c r="AE565" s="246"/>
      <c r="AF565" s="246"/>
      <c r="AG565" s="246"/>
      <c r="AH565" s="246"/>
      <c r="AI565" s="246"/>
      <c r="AJ565" s="246"/>
      <c r="AK565" s="246"/>
      <c r="AL565" s="246"/>
      <c r="AM565" s="246"/>
      <c r="AN565" s="246"/>
      <c r="AO565" s="246"/>
      <c r="AP565" s="246"/>
      <c r="AQ565" s="246"/>
      <c r="AR565" s="246"/>
      <c r="AS565" s="246"/>
      <c r="AT565" s="246"/>
      <c r="AU565" s="246"/>
      <c r="AV565" s="246"/>
      <c r="AW565" s="246"/>
      <c r="AX565" s="246"/>
      <c r="AY565" s="246"/>
      <c r="AZ565" s="246"/>
      <c r="BA565" s="246"/>
      <c r="BB565" s="246"/>
      <c r="BC565" s="246"/>
      <c r="BD565" s="246"/>
      <c r="BE565" s="246"/>
      <c r="BF565" s="246"/>
      <c r="BG565" s="246"/>
      <c r="BH565" s="246"/>
      <c r="BI565" s="246"/>
      <c r="BJ565" s="246"/>
    </row>
    <row r="566" spans="2:62" ht="15.75">
      <c r="B566" s="7"/>
      <c r="C566" s="398"/>
      <c r="D566" s="398"/>
      <c r="E566" s="334"/>
      <c r="F566" s="334"/>
      <c r="G566" s="398"/>
      <c r="H566" s="334"/>
      <c r="I566" s="334"/>
      <c r="J566" s="334"/>
      <c r="K566" s="334"/>
      <c r="L566" s="334"/>
      <c r="M566" s="334"/>
      <c r="N566" s="334"/>
      <c r="O566" s="334"/>
      <c r="P566" s="411"/>
      <c r="Q566" s="401"/>
      <c r="R566" s="334"/>
      <c r="S566" s="401"/>
      <c r="T566" s="334"/>
      <c r="U566" s="334"/>
      <c r="V566" s="334"/>
      <c r="W566" s="334"/>
      <c r="X566" s="334"/>
      <c r="Y566" s="246"/>
      <c r="Z566" s="246"/>
      <c r="AA566" s="246"/>
      <c r="AB566" s="246"/>
      <c r="AC566" s="246"/>
      <c r="AD566" s="246"/>
      <c r="AE566" s="246"/>
      <c r="AF566" s="246"/>
      <c r="AG566" s="246"/>
      <c r="AH566" s="246"/>
      <c r="AI566" s="246"/>
      <c r="AJ566" s="246"/>
      <c r="AK566" s="246"/>
      <c r="AL566" s="246"/>
      <c r="AM566" s="246"/>
      <c r="AN566" s="246"/>
      <c r="AO566" s="246"/>
      <c r="AP566" s="246"/>
      <c r="AQ566" s="246"/>
      <c r="AR566" s="246"/>
      <c r="AS566" s="246"/>
      <c r="AT566" s="246"/>
      <c r="AU566" s="246"/>
      <c r="AV566" s="246"/>
      <c r="AW566" s="246"/>
      <c r="AX566" s="246"/>
      <c r="AY566" s="246"/>
      <c r="AZ566" s="246"/>
      <c r="BA566" s="246"/>
      <c r="BB566" s="246"/>
      <c r="BC566" s="246"/>
      <c r="BD566" s="246"/>
      <c r="BE566" s="246"/>
      <c r="BF566" s="246"/>
      <c r="BG566" s="246"/>
      <c r="BH566" s="246"/>
      <c r="BI566" s="246"/>
      <c r="BJ566" s="246"/>
    </row>
    <row r="567" spans="2:62" ht="15.75">
      <c r="B567" s="7"/>
      <c r="C567" s="334"/>
      <c r="D567" s="334"/>
      <c r="E567" s="334"/>
      <c r="F567" s="334"/>
      <c r="G567" s="334"/>
      <c r="H567" s="334"/>
      <c r="I567" s="334"/>
      <c r="J567" s="334"/>
      <c r="K567" s="334"/>
      <c r="L567" s="334"/>
      <c r="M567" s="334"/>
      <c r="N567" s="334"/>
      <c r="O567" s="334"/>
      <c r="P567" s="411"/>
      <c r="Q567" s="411"/>
      <c r="R567" s="334"/>
      <c r="S567" s="334"/>
      <c r="T567" s="334"/>
      <c r="U567" s="334"/>
      <c r="V567" s="334"/>
      <c r="W567" s="334"/>
      <c r="X567" s="334"/>
      <c r="Y567" s="246"/>
      <c r="Z567" s="246"/>
      <c r="AA567" s="246"/>
      <c r="AB567" s="246"/>
      <c r="AC567" s="246"/>
      <c r="AD567" s="246"/>
      <c r="AE567" s="246"/>
      <c r="AF567" s="246"/>
      <c r="AG567" s="246"/>
      <c r="AH567" s="246"/>
      <c r="AI567" s="246"/>
      <c r="AJ567" s="246"/>
      <c r="AK567" s="246"/>
      <c r="AL567" s="246"/>
      <c r="AM567" s="246"/>
      <c r="AN567" s="246"/>
      <c r="AO567" s="246"/>
      <c r="AP567" s="246"/>
      <c r="AQ567" s="246"/>
      <c r="AR567" s="246"/>
      <c r="AS567" s="246"/>
      <c r="AT567" s="246"/>
      <c r="AU567" s="246"/>
      <c r="AV567" s="246"/>
      <c r="AW567" s="246"/>
      <c r="AX567" s="246"/>
      <c r="AY567" s="246"/>
      <c r="AZ567" s="246"/>
      <c r="BA567" s="246"/>
      <c r="BB567" s="246"/>
      <c r="BC567" s="246"/>
      <c r="BD567" s="246"/>
      <c r="BE567" s="246"/>
      <c r="BF567" s="246"/>
      <c r="BG567" s="246"/>
      <c r="BH567" s="246"/>
      <c r="BI567" s="246"/>
      <c r="BJ567" s="246"/>
    </row>
    <row r="568" spans="2:62" ht="15.75">
      <c r="B568" s="7"/>
      <c r="C568" s="334"/>
      <c r="D568" s="334"/>
      <c r="E568" s="334"/>
      <c r="F568" s="334"/>
      <c r="G568" s="334"/>
      <c r="H568" s="334"/>
      <c r="I568" s="334"/>
      <c r="J568" s="334"/>
      <c r="K568" s="334"/>
      <c r="L568" s="334"/>
      <c r="M568" s="334"/>
      <c r="N568" s="334"/>
      <c r="O568" s="334"/>
      <c r="P568" s="409"/>
      <c r="Q568" s="399"/>
      <c r="R568" s="334"/>
      <c r="S568" s="399"/>
      <c r="T568" s="334"/>
      <c r="U568" s="334"/>
      <c r="V568" s="334"/>
      <c r="W568" s="334"/>
      <c r="X568" s="334"/>
      <c r="Y568" s="246"/>
      <c r="Z568" s="246"/>
      <c r="AA568" s="246"/>
      <c r="AB568" s="246"/>
      <c r="AC568" s="246"/>
      <c r="AD568" s="246"/>
      <c r="AE568" s="246"/>
      <c r="AF568" s="246"/>
      <c r="AG568" s="246"/>
      <c r="AH568" s="246"/>
      <c r="AI568" s="246"/>
      <c r="AJ568" s="246"/>
      <c r="AK568" s="246"/>
      <c r="AL568" s="246"/>
      <c r="AM568" s="246"/>
      <c r="AN568" s="246"/>
      <c r="AO568" s="246"/>
      <c r="AP568" s="246"/>
      <c r="AQ568" s="246"/>
      <c r="AR568" s="246"/>
      <c r="AS568" s="246"/>
      <c r="AT568" s="246"/>
      <c r="AU568" s="246"/>
      <c r="AV568" s="246"/>
      <c r="AW568" s="246"/>
      <c r="AX568" s="246"/>
      <c r="AY568" s="246"/>
      <c r="AZ568" s="246"/>
      <c r="BA568" s="246"/>
      <c r="BB568" s="246"/>
      <c r="BC568" s="246"/>
      <c r="BD568" s="246"/>
      <c r="BE568" s="246"/>
      <c r="BF568" s="246"/>
      <c r="BG568" s="246"/>
      <c r="BH568" s="246"/>
      <c r="BI568" s="246"/>
      <c r="BJ568" s="246"/>
    </row>
    <row r="569" spans="2:62" ht="15.75">
      <c r="B569" s="7"/>
      <c r="C569" s="334"/>
      <c r="D569" s="334"/>
      <c r="E569" s="334"/>
      <c r="F569" s="334"/>
      <c r="G569" s="334"/>
      <c r="H569" s="334"/>
      <c r="I569" s="334"/>
      <c r="J569" s="334"/>
      <c r="K569" s="334"/>
      <c r="L569" s="334"/>
      <c r="M569" s="334"/>
      <c r="N569" s="334"/>
      <c r="O569" s="334"/>
      <c r="P569" s="409"/>
      <c r="Q569" s="399"/>
      <c r="R569" s="334"/>
      <c r="S569" s="399"/>
      <c r="T569" s="334"/>
      <c r="U569" s="334"/>
      <c r="V569" s="334"/>
      <c r="W569" s="334"/>
      <c r="X569" s="334"/>
      <c r="Y569" s="246"/>
      <c r="Z569" s="246"/>
      <c r="AA569" s="246"/>
      <c r="AB569" s="246"/>
      <c r="AC569" s="246"/>
      <c r="AD569" s="246"/>
      <c r="AE569" s="246"/>
      <c r="AF569" s="246"/>
      <c r="AG569" s="246"/>
      <c r="AH569" s="246"/>
      <c r="AI569" s="246"/>
      <c r="AJ569" s="246"/>
      <c r="AK569" s="246"/>
      <c r="AL569" s="246"/>
      <c r="AM569" s="246"/>
      <c r="AN569" s="246"/>
      <c r="AO569" s="246"/>
      <c r="AP569" s="246"/>
      <c r="AQ569" s="246"/>
      <c r="AR569" s="246"/>
      <c r="AS569" s="246"/>
      <c r="AT569" s="246"/>
      <c r="AU569" s="246"/>
      <c r="AV569" s="246"/>
      <c r="AW569" s="246"/>
      <c r="AX569" s="246"/>
      <c r="AY569" s="246"/>
      <c r="AZ569" s="246"/>
      <c r="BA569" s="246"/>
      <c r="BB569" s="246"/>
      <c r="BC569" s="246"/>
      <c r="BD569" s="246"/>
      <c r="BE569" s="246"/>
      <c r="BF569" s="246"/>
      <c r="BG569" s="246"/>
      <c r="BH569" s="246"/>
      <c r="BI569" s="246"/>
      <c r="BJ569" s="246"/>
    </row>
    <row r="570" spans="2:62" ht="15.75">
      <c r="B570" s="7"/>
      <c r="C570" s="398"/>
      <c r="D570" s="334"/>
      <c r="E570" s="334"/>
      <c r="F570" s="334"/>
      <c r="G570" s="334"/>
      <c r="H570" s="334"/>
      <c r="I570" s="334"/>
      <c r="J570" s="334"/>
      <c r="K570" s="334"/>
      <c r="L570" s="334"/>
      <c r="M570" s="334"/>
      <c r="N570" s="334"/>
      <c r="O570" s="334"/>
      <c r="P570" s="411"/>
      <c r="Q570" s="401"/>
      <c r="R570" s="334"/>
      <c r="S570" s="401"/>
      <c r="T570" s="334"/>
      <c r="U570" s="334"/>
      <c r="V570" s="334"/>
      <c r="W570" s="334"/>
      <c r="X570" s="334"/>
      <c r="Y570" s="246"/>
      <c r="Z570" s="246"/>
      <c r="AA570" s="246"/>
      <c r="AB570" s="246"/>
      <c r="AC570" s="246"/>
      <c r="AD570" s="246"/>
      <c r="AE570" s="246"/>
      <c r="AF570" s="246"/>
      <c r="AG570" s="246"/>
      <c r="AH570" s="246"/>
      <c r="AI570" s="246"/>
      <c r="AJ570" s="246"/>
      <c r="AK570" s="246"/>
      <c r="AL570" s="246"/>
      <c r="AM570" s="246"/>
      <c r="AN570" s="246"/>
      <c r="AO570" s="246"/>
      <c r="AP570" s="246"/>
      <c r="AQ570" s="246"/>
      <c r="AR570" s="246"/>
      <c r="AS570" s="246"/>
      <c r="AT570" s="246"/>
      <c r="AU570" s="246"/>
      <c r="AV570" s="246"/>
      <c r="AW570" s="246"/>
      <c r="AX570" s="246"/>
      <c r="AY570" s="246"/>
      <c r="AZ570" s="246"/>
      <c r="BA570" s="246"/>
      <c r="BB570" s="246"/>
      <c r="BC570" s="246"/>
      <c r="BD570" s="246"/>
      <c r="BE570" s="246"/>
      <c r="BF570" s="246"/>
      <c r="BG570" s="246"/>
      <c r="BH570" s="246"/>
      <c r="BI570" s="246"/>
      <c r="BJ570" s="246"/>
    </row>
    <row r="571" spans="2:62" ht="15.75">
      <c r="B571" s="7"/>
      <c r="C571" s="334"/>
      <c r="D571" s="334"/>
      <c r="E571" s="334"/>
      <c r="F571" s="334"/>
      <c r="G571" s="334"/>
      <c r="H571" s="334"/>
      <c r="I571" s="334"/>
      <c r="J571" s="334"/>
      <c r="K571" s="334"/>
      <c r="L571" s="334"/>
      <c r="M571" s="334"/>
      <c r="N571" s="334"/>
      <c r="O571" s="334"/>
      <c r="P571" s="411"/>
      <c r="Q571" s="411"/>
      <c r="R571" s="334"/>
      <c r="S571" s="334"/>
      <c r="T571" s="334"/>
      <c r="U571" s="334"/>
      <c r="V571" s="334"/>
      <c r="W571" s="334"/>
      <c r="X571" s="334"/>
      <c r="Y571" s="246"/>
      <c r="Z571" s="246"/>
      <c r="AA571" s="246"/>
      <c r="AB571" s="246"/>
      <c r="AC571" s="246"/>
      <c r="AD571" s="246"/>
      <c r="AE571" s="246"/>
      <c r="AF571" s="246"/>
      <c r="AG571" s="246"/>
      <c r="AH571" s="246"/>
      <c r="AI571" s="246"/>
      <c r="AJ571" s="246"/>
      <c r="AK571" s="246"/>
      <c r="AL571" s="246"/>
      <c r="AM571" s="246"/>
      <c r="AN571" s="246"/>
      <c r="AO571" s="246"/>
      <c r="AP571" s="246"/>
      <c r="AQ571" s="246"/>
      <c r="AR571" s="246"/>
      <c r="AS571" s="246"/>
      <c r="AT571" s="246"/>
      <c r="AU571" s="246"/>
      <c r="AV571" s="246"/>
      <c r="AW571" s="246"/>
      <c r="AX571" s="246"/>
      <c r="AY571" s="246"/>
      <c r="AZ571" s="246"/>
      <c r="BA571" s="246"/>
      <c r="BB571" s="246"/>
      <c r="BC571" s="246"/>
      <c r="BD571" s="246"/>
      <c r="BE571" s="246"/>
      <c r="BF571" s="246"/>
      <c r="BG571" s="246"/>
      <c r="BH571" s="246"/>
      <c r="BI571" s="246"/>
      <c r="BJ571" s="246"/>
    </row>
    <row r="572" spans="2:62" ht="15.75">
      <c r="B572" s="7"/>
      <c r="C572" s="334"/>
      <c r="D572" s="334"/>
      <c r="E572" s="334"/>
      <c r="F572" s="334"/>
      <c r="G572" s="334"/>
      <c r="H572" s="334"/>
      <c r="I572" s="334"/>
      <c r="J572" s="334"/>
      <c r="K572" s="334"/>
      <c r="L572" s="334"/>
      <c r="M572" s="334"/>
      <c r="N572" s="334"/>
      <c r="O572" s="334"/>
      <c r="P572" s="409"/>
      <c r="Q572" s="399"/>
      <c r="R572" s="334"/>
      <c r="S572" s="399"/>
      <c r="T572" s="334"/>
      <c r="U572" s="334"/>
      <c r="V572" s="334"/>
      <c r="W572" s="334"/>
      <c r="X572" s="334"/>
      <c r="Y572" s="246"/>
      <c r="Z572" s="246"/>
      <c r="AA572" s="246"/>
      <c r="AB572" s="246"/>
      <c r="AC572" s="246"/>
      <c r="AD572" s="246"/>
      <c r="AE572" s="246"/>
      <c r="AF572" s="246"/>
      <c r="AG572" s="246"/>
      <c r="AH572" s="246"/>
      <c r="AI572" s="246"/>
      <c r="AJ572" s="246"/>
      <c r="AK572" s="246"/>
      <c r="AL572" s="246"/>
      <c r="AM572" s="246"/>
      <c r="AN572" s="246"/>
      <c r="AO572" s="246"/>
      <c r="AP572" s="246"/>
      <c r="AQ572" s="246"/>
      <c r="AR572" s="246"/>
      <c r="AS572" s="246"/>
      <c r="AT572" s="246"/>
      <c r="AU572" s="246"/>
      <c r="AV572" s="246"/>
      <c r="AW572" s="246"/>
      <c r="AX572" s="246"/>
      <c r="AY572" s="246"/>
      <c r="AZ572" s="246"/>
      <c r="BA572" s="246"/>
      <c r="BB572" s="246"/>
      <c r="BC572" s="246"/>
      <c r="BD572" s="246"/>
      <c r="BE572" s="246"/>
      <c r="BF572" s="246"/>
      <c r="BG572" s="246"/>
      <c r="BH572" s="246"/>
      <c r="BI572" s="246"/>
      <c r="BJ572" s="246"/>
    </row>
    <row r="573" spans="2:62" ht="15.75">
      <c r="B573" s="7"/>
      <c r="C573" s="398"/>
      <c r="D573" s="398"/>
      <c r="E573" s="334"/>
      <c r="F573" s="334"/>
      <c r="G573" s="398"/>
      <c r="H573" s="334"/>
      <c r="I573" s="334"/>
      <c r="J573" s="334"/>
      <c r="K573" s="334"/>
      <c r="L573" s="334"/>
      <c r="M573" s="334"/>
      <c r="N573" s="334"/>
      <c r="O573" s="334"/>
      <c r="P573" s="411"/>
      <c r="Q573" s="401"/>
      <c r="R573" s="334"/>
      <c r="S573" s="401"/>
      <c r="T573" s="334"/>
      <c r="U573" s="334"/>
      <c r="V573" s="334"/>
      <c r="W573" s="334"/>
      <c r="X573" s="334"/>
      <c r="Y573" s="246"/>
      <c r="Z573" s="246"/>
      <c r="AA573" s="246"/>
      <c r="AB573" s="246"/>
      <c r="AC573" s="246"/>
      <c r="AD573" s="246"/>
      <c r="AE573" s="246"/>
      <c r="AF573" s="246"/>
      <c r="AG573" s="246"/>
      <c r="AH573" s="246"/>
      <c r="AI573" s="246"/>
      <c r="AJ573" s="246"/>
      <c r="AK573" s="246"/>
      <c r="AL573" s="246"/>
      <c r="AM573" s="246"/>
      <c r="AN573" s="246"/>
      <c r="AO573" s="246"/>
      <c r="AP573" s="246"/>
      <c r="AQ573" s="246"/>
      <c r="AR573" s="246"/>
      <c r="AS573" s="246"/>
      <c r="AT573" s="246"/>
      <c r="AU573" s="246"/>
      <c r="AV573" s="246"/>
      <c r="AW573" s="246"/>
      <c r="AX573" s="246"/>
      <c r="AY573" s="246"/>
      <c r="AZ573" s="246"/>
      <c r="BA573" s="246"/>
      <c r="BB573" s="246"/>
      <c r="BC573" s="246"/>
      <c r="BD573" s="246"/>
      <c r="BE573" s="246"/>
      <c r="BF573" s="246"/>
      <c r="BG573" s="246"/>
      <c r="BH573" s="246"/>
      <c r="BI573" s="246"/>
      <c r="BJ573" s="246"/>
    </row>
    <row r="574" spans="2:62" ht="15.75">
      <c r="B574" s="7"/>
      <c r="C574" s="334"/>
      <c r="D574" s="334"/>
      <c r="E574" s="334"/>
      <c r="F574" s="334"/>
      <c r="G574" s="334"/>
      <c r="H574" s="334"/>
      <c r="I574" s="334"/>
      <c r="J574" s="334"/>
      <c r="K574" s="334"/>
      <c r="L574" s="334"/>
      <c r="M574" s="334"/>
      <c r="N574" s="334"/>
      <c r="O574" s="334"/>
      <c r="P574" s="411"/>
      <c r="Q574" s="411"/>
      <c r="R574" s="334"/>
      <c r="S574" s="334"/>
      <c r="T574" s="334"/>
      <c r="U574" s="334"/>
      <c r="V574" s="334"/>
      <c r="W574" s="334"/>
      <c r="X574" s="334"/>
      <c r="Y574" s="246"/>
      <c r="Z574" s="246"/>
      <c r="AA574" s="246"/>
      <c r="AB574" s="246"/>
      <c r="AC574" s="246"/>
      <c r="AD574" s="246"/>
      <c r="AE574" s="246"/>
      <c r="AF574" s="246"/>
      <c r="AG574" s="246"/>
      <c r="AH574" s="246"/>
      <c r="AI574" s="246"/>
      <c r="AJ574" s="246"/>
      <c r="AK574" s="246"/>
      <c r="AL574" s="246"/>
      <c r="AM574" s="246"/>
      <c r="AN574" s="246"/>
      <c r="AO574" s="246"/>
      <c r="AP574" s="246"/>
      <c r="AQ574" s="246"/>
      <c r="AR574" s="246"/>
      <c r="AS574" s="246"/>
      <c r="AT574" s="246"/>
      <c r="AU574" s="246"/>
      <c r="AV574" s="246"/>
      <c r="AW574" s="246"/>
      <c r="AX574" s="246"/>
      <c r="AY574" s="246"/>
      <c r="AZ574" s="246"/>
      <c r="BA574" s="246"/>
      <c r="BB574" s="246"/>
      <c r="BC574" s="246"/>
      <c r="BD574" s="246"/>
      <c r="BE574" s="246"/>
      <c r="BF574" s="246"/>
      <c r="BG574" s="246"/>
      <c r="BH574" s="246"/>
      <c r="BI574" s="246"/>
      <c r="BJ574" s="246"/>
    </row>
    <row r="575" spans="2:62" ht="15.75">
      <c r="B575" s="7"/>
      <c r="C575" s="334"/>
      <c r="D575" s="334"/>
      <c r="E575" s="399"/>
      <c r="F575" s="409"/>
      <c r="G575" s="334"/>
      <c r="H575" s="399"/>
      <c r="I575" s="409"/>
      <c r="J575" s="409"/>
      <c r="K575" s="399"/>
      <c r="L575" s="409"/>
      <c r="M575" s="399"/>
      <c r="N575" s="409"/>
      <c r="O575" s="399"/>
      <c r="P575" s="409"/>
      <c r="Q575" s="399"/>
      <c r="R575" s="399"/>
      <c r="S575" s="334"/>
      <c r="T575" s="334"/>
      <c r="U575" s="334"/>
      <c r="V575" s="334"/>
      <c r="W575" s="334"/>
      <c r="X575" s="334"/>
      <c r="Y575" s="246"/>
      <c r="Z575" s="246"/>
      <c r="AA575" s="246"/>
      <c r="AB575" s="246"/>
      <c r="AC575" s="246"/>
      <c r="AD575" s="246"/>
      <c r="AE575" s="246"/>
      <c r="AF575" s="246"/>
      <c r="AG575" s="246"/>
      <c r="AH575" s="246"/>
      <c r="AI575" s="246"/>
      <c r="AJ575" s="246"/>
      <c r="AK575" s="246"/>
      <c r="AL575" s="246"/>
      <c r="AM575" s="246"/>
      <c r="AN575" s="246"/>
      <c r="AO575" s="246"/>
      <c r="AP575" s="246"/>
      <c r="AQ575" s="246"/>
      <c r="AR575" s="246"/>
      <c r="AS575" s="246"/>
      <c r="AT575" s="246"/>
      <c r="AU575" s="246"/>
      <c r="AV575" s="246"/>
      <c r="AW575" s="246"/>
      <c r="AX575" s="246"/>
      <c r="AY575" s="246"/>
      <c r="AZ575" s="246"/>
      <c r="BA575" s="246"/>
      <c r="BB575" s="246"/>
      <c r="BC575" s="246"/>
      <c r="BD575" s="246"/>
      <c r="BE575" s="246"/>
      <c r="BF575" s="246"/>
      <c r="BG575" s="246"/>
      <c r="BH575" s="246"/>
      <c r="BI575" s="246"/>
      <c r="BJ575" s="246"/>
    </row>
    <row r="576" spans="2:62" ht="15.75">
      <c r="B576" s="7"/>
      <c r="C576" s="398"/>
      <c r="D576" s="398"/>
      <c r="E576" s="401"/>
      <c r="F576" s="411"/>
      <c r="G576" s="398"/>
      <c r="H576" s="401"/>
      <c r="I576" s="411"/>
      <c r="J576" s="411"/>
      <c r="K576" s="401"/>
      <c r="L576" s="411"/>
      <c r="M576" s="401"/>
      <c r="N576" s="411"/>
      <c r="O576" s="401"/>
      <c r="P576" s="411"/>
      <c r="Q576" s="401"/>
      <c r="R576" s="401"/>
      <c r="S576" s="401"/>
      <c r="T576" s="334"/>
      <c r="U576" s="334"/>
      <c r="V576" s="334"/>
      <c r="W576" s="334"/>
      <c r="X576" s="334"/>
      <c r="Y576" s="246"/>
      <c r="Z576" s="246"/>
      <c r="AA576" s="246"/>
      <c r="AB576" s="246"/>
      <c r="AC576" s="246"/>
      <c r="AD576" s="246"/>
      <c r="AE576" s="246"/>
      <c r="AF576" s="246"/>
      <c r="AG576" s="246"/>
      <c r="AH576" s="246"/>
      <c r="AI576" s="246"/>
      <c r="AJ576" s="246"/>
      <c r="AK576" s="246"/>
      <c r="AL576" s="246"/>
      <c r="AM576" s="246"/>
      <c r="AN576" s="246"/>
      <c r="AO576" s="246"/>
      <c r="AP576" s="246"/>
      <c r="AQ576" s="246"/>
      <c r="AR576" s="246"/>
      <c r="AS576" s="246"/>
      <c r="AT576" s="246"/>
      <c r="AU576" s="246"/>
      <c r="AV576" s="246"/>
      <c r="AW576" s="246"/>
      <c r="AX576" s="246"/>
      <c r="AY576" s="246"/>
      <c r="AZ576" s="246"/>
      <c r="BA576" s="246"/>
      <c r="BB576" s="246"/>
      <c r="BC576" s="246"/>
      <c r="BD576" s="246"/>
      <c r="BE576" s="246"/>
      <c r="BF576" s="246"/>
      <c r="BG576" s="246"/>
      <c r="BH576" s="246"/>
      <c r="BI576" s="246"/>
      <c r="BJ576" s="246"/>
    </row>
    <row r="577" spans="2:62" ht="15.75">
      <c r="B577" s="7"/>
      <c r="C577" s="334"/>
      <c r="D577" s="334"/>
      <c r="E577" s="399"/>
      <c r="F577" s="409"/>
      <c r="G577" s="334"/>
      <c r="H577" s="399"/>
      <c r="I577" s="409"/>
      <c r="J577" s="399"/>
      <c r="K577" s="409"/>
      <c r="L577" s="399"/>
      <c r="M577" s="334"/>
      <c r="N577" s="399"/>
      <c r="O577" s="409"/>
      <c r="P577" s="401"/>
      <c r="Q577" s="411"/>
      <c r="R577" s="411"/>
      <c r="S577" s="399"/>
      <c r="T577" s="334"/>
      <c r="U577" s="334"/>
      <c r="V577" s="334"/>
      <c r="W577" s="334"/>
      <c r="X577" s="334"/>
      <c r="Y577" s="246"/>
      <c r="Z577" s="246"/>
      <c r="AA577" s="246"/>
      <c r="AB577" s="246"/>
      <c r="AC577" s="246"/>
      <c r="AD577" s="246"/>
      <c r="AE577" s="246"/>
      <c r="AF577" s="246"/>
      <c r="AG577" s="246"/>
      <c r="AH577" s="246"/>
      <c r="AI577" s="246"/>
      <c r="AJ577" s="246"/>
      <c r="AK577" s="246"/>
      <c r="AL577" s="246"/>
      <c r="AM577" s="246"/>
      <c r="AN577" s="246"/>
      <c r="AO577" s="246"/>
      <c r="AP577" s="246"/>
      <c r="AQ577" s="246"/>
      <c r="AR577" s="246"/>
      <c r="AS577" s="246"/>
      <c r="AT577" s="246"/>
      <c r="AU577" s="246"/>
      <c r="AV577" s="246"/>
      <c r="AW577" s="246"/>
      <c r="AX577" s="246"/>
      <c r="AY577" s="246"/>
      <c r="AZ577" s="246"/>
      <c r="BA577" s="246"/>
      <c r="BB577" s="246"/>
      <c r="BC577" s="246"/>
      <c r="BD577" s="246"/>
      <c r="BE577" s="246"/>
      <c r="BF577" s="246"/>
      <c r="BG577" s="246"/>
      <c r="BH577" s="246"/>
      <c r="BI577" s="246"/>
      <c r="BJ577" s="246"/>
    </row>
    <row r="578" spans="2:62" ht="15.75">
      <c r="B578" s="7"/>
      <c r="C578" s="334"/>
      <c r="D578" s="334"/>
      <c r="E578" s="399"/>
      <c r="F578" s="409"/>
      <c r="G578" s="334"/>
      <c r="H578" s="399"/>
      <c r="I578" s="409"/>
      <c r="J578" s="399"/>
      <c r="K578" s="409"/>
      <c r="L578" s="399"/>
      <c r="M578" s="334"/>
      <c r="N578" s="399"/>
      <c r="O578" s="409"/>
      <c r="P578" s="399"/>
      <c r="Q578" s="334"/>
      <c r="R578" s="409"/>
      <c r="S578" s="399"/>
      <c r="T578" s="334"/>
      <c r="U578" s="334"/>
      <c r="V578" s="334"/>
      <c r="W578" s="334"/>
      <c r="X578" s="334"/>
      <c r="Y578" s="246"/>
      <c r="Z578" s="246"/>
      <c r="AA578" s="246"/>
      <c r="AB578" s="246"/>
      <c r="AC578" s="246"/>
      <c r="AD578" s="246"/>
      <c r="AE578" s="246"/>
      <c r="AF578" s="246"/>
      <c r="AG578" s="246"/>
      <c r="AH578" s="246"/>
      <c r="AI578" s="246"/>
      <c r="AJ578" s="246"/>
      <c r="AK578" s="246"/>
      <c r="AL578" s="246"/>
      <c r="AM578" s="246"/>
      <c r="AN578" s="246"/>
      <c r="AO578" s="246"/>
      <c r="AP578" s="246"/>
      <c r="AQ578" s="246"/>
      <c r="AR578" s="246"/>
      <c r="AS578" s="246"/>
      <c r="AT578" s="246"/>
      <c r="AU578" s="246"/>
      <c r="AV578" s="246"/>
      <c r="AW578" s="246"/>
      <c r="AX578" s="246"/>
      <c r="AY578" s="246"/>
      <c r="AZ578" s="246"/>
      <c r="BA578" s="246"/>
      <c r="BB578" s="246"/>
      <c r="BC578" s="246"/>
      <c r="BD578" s="246"/>
      <c r="BE578" s="246"/>
      <c r="BF578" s="246"/>
      <c r="BG578" s="246"/>
      <c r="BH578" s="246"/>
      <c r="BI578" s="246"/>
      <c r="BJ578" s="246"/>
    </row>
    <row r="579" spans="2:62" ht="15.75">
      <c r="B579" s="7"/>
      <c r="C579" s="334"/>
      <c r="D579" s="334"/>
      <c r="E579" s="334"/>
      <c r="F579" s="334"/>
      <c r="G579" s="334"/>
      <c r="H579" s="334"/>
      <c r="I579" s="334"/>
      <c r="J579" s="334"/>
      <c r="K579" s="334"/>
      <c r="L579" s="334"/>
      <c r="M579" s="334"/>
      <c r="N579" s="334"/>
      <c r="O579" s="334"/>
      <c r="P579" s="334"/>
      <c r="Q579" s="334"/>
      <c r="R579" s="409"/>
      <c r="S579" s="399"/>
      <c r="T579" s="334"/>
      <c r="U579" s="334"/>
      <c r="V579" s="334"/>
      <c r="W579" s="334"/>
      <c r="X579" s="334"/>
      <c r="Y579" s="246"/>
      <c r="Z579" s="246"/>
      <c r="AA579" s="246"/>
      <c r="AB579" s="246"/>
      <c r="AC579" s="246"/>
      <c r="AD579" s="246"/>
      <c r="AE579" s="246"/>
      <c r="AF579" s="246"/>
      <c r="AG579" s="246"/>
      <c r="AH579" s="246"/>
      <c r="AI579" s="246"/>
      <c r="AJ579" s="246"/>
      <c r="AK579" s="246"/>
      <c r="AL579" s="246"/>
      <c r="AM579" s="246"/>
      <c r="AN579" s="246"/>
      <c r="AO579" s="246"/>
      <c r="AP579" s="246"/>
      <c r="AQ579" s="246"/>
      <c r="AR579" s="246"/>
      <c r="AS579" s="246"/>
      <c r="AT579" s="246"/>
      <c r="AU579" s="246"/>
      <c r="AV579" s="246"/>
      <c r="AW579" s="246"/>
      <c r="AX579" s="246"/>
      <c r="AY579" s="246"/>
      <c r="AZ579" s="246"/>
      <c r="BA579" s="246"/>
      <c r="BB579" s="246"/>
      <c r="BC579" s="246"/>
      <c r="BD579" s="246"/>
      <c r="BE579" s="246"/>
      <c r="BF579" s="246"/>
      <c r="BG579" s="246"/>
      <c r="BH579" s="246"/>
      <c r="BI579" s="246"/>
      <c r="BJ579" s="246"/>
    </row>
    <row r="580" spans="2:62" ht="15.75">
      <c r="B580" s="7"/>
      <c r="C580" s="334"/>
      <c r="D580" s="334"/>
      <c r="E580" s="399"/>
      <c r="F580" s="409"/>
      <c r="G580" s="334"/>
      <c r="H580" s="399"/>
      <c r="I580" s="409"/>
      <c r="J580" s="399"/>
      <c r="K580" s="409"/>
      <c r="L580" s="399"/>
      <c r="M580" s="334"/>
      <c r="N580" s="399"/>
      <c r="O580" s="409"/>
      <c r="P580" s="399"/>
      <c r="Q580" s="334"/>
      <c r="R580" s="409"/>
      <c r="S580" s="399"/>
      <c r="T580" s="334"/>
      <c r="U580" s="334"/>
      <c r="V580" s="334"/>
      <c r="W580" s="334"/>
      <c r="X580" s="334"/>
      <c r="Y580" s="246"/>
      <c r="Z580" s="246"/>
      <c r="AA580" s="246"/>
      <c r="AB580" s="246"/>
      <c r="AC580" s="246"/>
      <c r="AD580" s="246"/>
      <c r="AE580" s="246"/>
      <c r="AF580" s="246"/>
      <c r="AG580" s="246"/>
      <c r="AH580" s="246"/>
      <c r="AI580" s="246"/>
      <c r="AJ580" s="246"/>
      <c r="AK580" s="246"/>
      <c r="AL580" s="246"/>
      <c r="AM580" s="246"/>
      <c r="AN580" s="246"/>
      <c r="AO580" s="246"/>
      <c r="AP580" s="246"/>
      <c r="AQ580" s="246"/>
      <c r="AR580" s="246"/>
      <c r="AS580" s="246"/>
      <c r="AT580" s="246"/>
      <c r="AU580" s="246"/>
      <c r="AV580" s="246"/>
      <c r="AW580" s="246"/>
      <c r="AX580" s="246"/>
      <c r="AY580" s="246"/>
      <c r="AZ580" s="246"/>
      <c r="BA580" s="246"/>
      <c r="BB580" s="246"/>
      <c r="BC580" s="246"/>
      <c r="BD580" s="246"/>
      <c r="BE580" s="246"/>
      <c r="BF580" s="246"/>
      <c r="BG580" s="246"/>
      <c r="BH580" s="246"/>
      <c r="BI580" s="246"/>
      <c r="BJ580" s="246"/>
    </row>
    <row r="581" spans="2:62" ht="15.75">
      <c r="B581" s="7"/>
      <c r="C581" s="334"/>
      <c r="D581" s="334"/>
      <c r="E581" s="399"/>
      <c r="F581" s="409"/>
      <c r="G581" s="334"/>
      <c r="H581" s="399"/>
      <c r="I581" s="409"/>
      <c r="J581" s="399"/>
      <c r="K581" s="409"/>
      <c r="L581" s="399"/>
      <c r="M581" s="334"/>
      <c r="N581" s="399"/>
      <c r="O581" s="409"/>
      <c r="P581" s="399"/>
      <c r="Q581" s="334"/>
      <c r="R581" s="409"/>
      <c r="S581" s="399"/>
      <c r="T581" s="334"/>
      <c r="U581" s="334"/>
      <c r="V581" s="334"/>
      <c r="W581" s="334"/>
      <c r="X581" s="334"/>
      <c r="Y581" s="246"/>
      <c r="Z581" s="246"/>
      <c r="AA581" s="246"/>
      <c r="AB581" s="246"/>
      <c r="AC581" s="246"/>
      <c r="AD581" s="246"/>
      <c r="AE581" s="246"/>
      <c r="AF581" s="246"/>
      <c r="AG581" s="246"/>
      <c r="AH581" s="246"/>
      <c r="AI581" s="246"/>
      <c r="AJ581" s="246"/>
      <c r="AK581" s="246"/>
      <c r="AL581" s="246"/>
      <c r="AM581" s="246"/>
      <c r="AN581" s="246"/>
      <c r="AO581" s="246"/>
      <c r="AP581" s="246"/>
      <c r="AQ581" s="246"/>
      <c r="AR581" s="246"/>
      <c r="AS581" s="246"/>
      <c r="AT581" s="246"/>
      <c r="AU581" s="246"/>
      <c r="AV581" s="246"/>
      <c r="AW581" s="246"/>
      <c r="AX581" s="246"/>
      <c r="AY581" s="246"/>
      <c r="AZ581" s="246"/>
      <c r="BA581" s="246"/>
      <c r="BB581" s="246"/>
      <c r="BC581" s="246"/>
      <c r="BD581" s="246"/>
      <c r="BE581" s="246"/>
      <c r="BF581" s="246"/>
      <c r="BG581" s="246"/>
      <c r="BH581" s="246"/>
      <c r="BI581" s="246"/>
      <c r="BJ581" s="246"/>
    </row>
    <row r="582" spans="2:62" ht="15.75">
      <c r="B582" s="7"/>
      <c r="C582" s="334"/>
      <c r="D582" s="334"/>
      <c r="E582" s="399"/>
      <c r="F582" s="409"/>
      <c r="G582" s="334"/>
      <c r="H582" s="399"/>
      <c r="I582" s="409"/>
      <c r="J582" s="399"/>
      <c r="K582" s="409"/>
      <c r="L582" s="399"/>
      <c r="M582" s="334"/>
      <c r="N582" s="399"/>
      <c r="O582" s="409"/>
      <c r="P582" s="399"/>
      <c r="Q582" s="334"/>
      <c r="R582" s="409"/>
      <c r="S582" s="399"/>
      <c r="T582" s="334"/>
      <c r="U582" s="334"/>
      <c r="V582" s="334"/>
      <c r="W582" s="334"/>
      <c r="X582" s="334"/>
      <c r="Y582" s="246"/>
      <c r="Z582" s="246"/>
      <c r="AA582" s="246"/>
      <c r="AB582" s="246"/>
      <c r="AC582" s="246"/>
      <c r="AD582" s="246"/>
      <c r="AE582" s="246"/>
      <c r="AF582" s="246"/>
      <c r="AG582" s="246"/>
      <c r="AH582" s="246"/>
      <c r="AI582" s="246"/>
      <c r="AJ582" s="246"/>
      <c r="AK582" s="246"/>
      <c r="AL582" s="246"/>
      <c r="AM582" s="246"/>
      <c r="AN582" s="246"/>
      <c r="AO582" s="246"/>
      <c r="AP582" s="246"/>
      <c r="AQ582" s="246"/>
      <c r="AR582" s="246"/>
      <c r="AS582" s="246"/>
      <c r="AT582" s="246"/>
      <c r="AU582" s="246"/>
      <c r="AV582" s="246"/>
      <c r="AW582" s="246"/>
      <c r="AX582" s="246"/>
      <c r="AY582" s="246"/>
      <c r="AZ582" s="246"/>
      <c r="BA582" s="246"/>
      <c r="BB582" s="246"/>
      <c r="BC582" s="246"/>
      <c r="BD582" s="246"/>
      <c r="BE582" s="246"/>
      <c r="BF582" s="246"/>
      <c r="BG582" s="246"/>
      <c r="BH582" s="246"/>
      <c r="BI582" s="246"/>
      <c r="BJ582" s="246"/>
    </row>
    <row r="583" spans="2:62" ht="15.75">
      <c r="B583" s="7"/>
      <c r="C583" s="334"/>
      <c r="D583" s="334"/>
      <c r="E583" s="399"/>
      <c r="F583" s="409"/>
      <c r="G583" s="334"/>
      <c r="H583" s="399"/>
      <c r="I583" s="409"/>
      <c r="J583" s="399"/>
      <c r="K583" s="409"/>
      <c r="L583" s="399"/>
      <c r="M583" s="334"/>
      <c r="N583" s="399"/>
      <c r="O583" s="409"/>
      <c r="P583" s="399"/>
      <c r="Q583" s="334"/>
      <c r="R583" s="409"/>
      <c r="S583" s="399"/>
      <c r="T583" s="334"/>
      <c r="U583" s="334"/>
      <c r="V583" s="334"/>
      <c r="W583" s="334"/>
      <c r="X583" s="334"/>
      <c r="Y583" s="246"/>
      <c r="Z583" s="246"/>
      <c r="AA583" s="246"/>
      <c r="AB583" s="246"/>
      <c r="AC583" s="246"/>
      <c r="AD583" s="246"/>
      <c r="AE583" s="246"/>
      <c r="AF583" s="246"/>
      <c r="AG583" s="246"/>
      <c r="AH583" s="246"/>
      <c r="AI583" s="246"/>
      <c r="AJ583" s="246"/>
      <c r="AK583" s="246"/>
      <c r="AL583" s="246"/>
      <c r="AM583" s="246"/>
      <c r="AN583" s="246"/>
      <c r="AO583" s="246"/>
      <c r="AP583" s="246"/>
      <c r="AQ583" s="246"/>
      <c r="AR583" s="246"/>
      <c r="AS583" s="246"/>
      <c r="AT583" s="246"/>
      <c r="AU583" s="246"/>
      <c r="AV583" s="246"/>
      <c r="AW583" s="246"/>
      <c r="AX583" s="246"/>
      <c r="AY583" s="246"/>
      <c r="AZ583" s="246"/>
      <c r="BA583" s="246"/>
      <c r="BB583" s="246"/>
      <c r="BC583" s="246"/>
      <c r="BD583" s="246"/>
      <c r="BE583" s="246"/>
      <c r="BF583" s="246"/>
      <c r="BG583" s="246"/>
      <c r="BH583" s="246"/>
      <c r="BI583" s="246"/>
      <c r="BJ583" s="246"/>
    </row>
    <row r="584" spans="2:62" ht="15.75">
      <c r="B584" s="7"/>
      <c r="C584" s="334"/>
      <c r="D584" s="334"/>
      <c r="E584" s="399"/>
      <c r="F584" s="409"/>
      <c r="G584" s="334"/>
      <c r="H584" s="399"/>
      <c r="I584" s="409"/>
      <c r="J584" s="399"/>
      <c r="K584" s="409"/>
      <c r="L584" s="399"/>
      <c r="M584" s="334"/>
      <c r="N584" s="399"/>
      <c r="O584" s="409"/>
      <c r="P584" s="399"/>
      <c r="Q584" s="334"/>
      <c r="R584" s="409"/>
      <c r="S584" s="399"/>
      <c r="T584" s="334"/>
      <c r="U584" s="334"/>
      <c r="V584" s="334"/>
      <c r="W584" s="334"/>
      <c r="X584" s="334"/>
      <c r="Y584" s="246"/>
      <c r="Z584" s="246"/>
      <c r="AA584" s="246"/>
      <c r="AB584" s="246"/>
      <c r="AC584" s="246"/>
      <c r="AD584" s="246"/>
      <c r="AE584" s="246"/>
      <c r="AF584" s="246"/>
      <c r="AG584" s="246"/>
      <c r="AH584" s="246"/>
      <c r="AI584" s="246"/>
      <c r="AJ584" s="246"/>
      <c r="AK584" s="246"/>
      <c r="AL584" s="246"/>
      <c r="AM584" s="246"/>
      <c r="AN584" s="246"/>
      <c r="AO584" s="246"/>
      <c r="AP584" s="246"/>
      <c r="AQ584" s="246"/>
      <c r="AR584" s="246"/>
      <c r="AS584" s="246"/>
      <c r="AT584" s="246"/>
      <c r="AU584" s="246"/>
      <c r="AV584" s="246"/>
      <c r="AW584" s="246"/>
      <c r="AX584" s="246"/>
      <c r="AY584" s="246"/>
      <c r="AZ584" s="246"/>
      <c r="BA584" s="246"/>
      <c r="BB584" s="246"/>
      <c r="BC584" s="246"/>
      <c r="BD584" s="246"/>
      <c r="BE584" s="246"/>
      <c r="BF584" s="246"/>
      <c r="BG584" s="246"/>
      <c r="BH584" s="246"/>
      <c r="BI584" s="246"/>
      <c r="BJ584" s="246"/>
    </row>
    <row r="585" spans="2:62" ht="15.75">
      <c r="B585" s="7"/>
      <c r="C585" s="334"/>
      <c r="D585" s="334"/>
      <c r="E585" s="399"/>
      <c r="F585" s="409"/>
      <c r="G585" s="334"/>
      <c r="H585" s="399"/>
      <c r="I585" s="409"/>
      <c r="J585" s="399"/>
      <c r="K585" s="409"/>
      <c r="L585" s="399"/>
      <c r="M585" s="334"/>
      <c r="N585" s="399"/>
      <c r="O585" s="409"/>
      <c r="P585" s="399"/>
      <c r="Q585" s="334"/>
      <c r="R585" s="409"/>
      <c r="S585" s="399"/>
      <c r="T585" s="334"/>
      <c r="U585" s="334"/>
      <c r="V585" s="334"/>
      <c r="W585" s="334"/>
      <c r="X585" s="334"/>
      <c r="Y585" s="246"/>
      <c r="Z585" s="246"/>
      <c r="AA585" s="246"/>
      <c r="AB585" s="246"/>
      <c r="AC585" s="246"/>
      <c r="AD585" s="246"/>
      <c r="AE585" s="246"/>
      <c r="AF585" s="246"/>
      <c r="AG585" s="246"/>
      <c r="AH585" s="246"/>
      <c r="AI585" s="246"/>
      <c r="AJ585" s="246"/>
      <c r="AK585" s="246"/>
      <c r="AL585" s="246"/>
      <c r="AM585" s="246"/>
      <c r="AN585" s="246"/>
      <c r="AO585" s="246"/>
      <c r="AP585" s="246"/>
      <c r="AQ585" s="246"/>
      <c r="AR585" s="246"/>
      <c r="AS585" s="246"/>
      <c r="AT585" s="246"/>
      <c r="AU585" s="246"/>
      <c r="AV585" s="246"/>
      <c r="AW585" s="246"/>
      <c r="AX585" s="246"/>
      <c r="AY585" s="246"/>
      <c r="AZ585" s="246"/>
      <c r="BA585" s="246"/>
      <c r="BB585" s="246"/>
      <c r="BC585" s="246"/>
      <c r="BD585" s="246"/>
      <c r="BE585" s="246"/>
      <c r="BF585" s="246"/>
      <c r="BG585" s="246"/>
      <c r="BH585" s="246"/>
      <c r="BI585" s="246"/>
      <c r="BJ585" s="246"/>
    </row>
    <row r="586" spans="2:62" ht="15.75">
      <c r="B586" s="7"/>
      <c r="C586" s="334"/>
      <c r="D586" s="334"/>
      <c r="E586" s="399"/>
      <c r="F586" s="409"/>
      <c r="G586" s="334"/>
      <c r="H586" s="399"/>
      <c r="I586" s="409"/>
      <c r="J586" s="399"/>
      <c r="K586" s="409"/>
      <c r="L586" s="399"/>
      <c r="M586" s="334"/>
      <c r="N586" s="399"/>
      <c r="O586" s="409"/>
      <c r="P586" s="399"/>
      <c r="Q586" s="334"/>
      <c r="R586" s="409"/>
      <c r="S586" s="399"/>
      <c r="T586" s="334"/>
      <c r="U586" s="334"/>
      <c r="V586" s="334"/>
      <c r="W586" s="334"/>
      <c r="X586" s="334"/>
      <c r="Y586" s="246"/>
      <c r="Z586" s="246"/>
      <c r="AA586" s="246"/>
      <c r="AB586" s="246"/>
      <c r="AC586" s="246"/>
      <c r="AD586" s="246"/>
      <c r="AE586" s="246"/>
      <c r="AF586" s="246"/>
      <c r="AG586" s="246"/>
      <c r="AH586" s="246"/>
      <c r="AI586" s="246"/>
      <c r="AJ586" s="246"/>
      <c r="AK586" s="246"/>
      <c r="AL586" s="246"/>
      <c r="AM586" s="246"/>
      <c r="AN586" s="246"/>
      <c r="AO586" s="246"/>
      <c r="AP586" s="246"/>
      <c r="AQ586" s="246"/>
      <c r="AR586" s="246"/>
      <c r="AS586" s="246"/>
      <c r="AT586" s="246"/>
      <c r="AU586" s="246"/>
      <c r="AV586" s="246"/>
      <c r="AW586" s="246"/>
      <c r="AX586" s="246"/>
      <c r="AY586" s="246"/>
      <c r="AZ586" s="246"/>
      <c r="BA586" s="246"/>
      <c r="BB586" s="246"/>
      <c r="BC586" s="246"/>
      <c r="BD586" s="246"/>
      <c r="BE586" s="246"/>
      <c r="BF586" s="246"/>
      <c r="BG586" s="246"/>
      <c r="BH586" s="246"/>
      <c r="BI586" s="246"/>
      <c r="BJ586" s="246"/>
    </row>
    <row r="587" spans="2:62" ht="15.75">
      <c r="B587" s="7"/>
      <c r="C587" s="334"/>
      <c r="D587" s="334"/>
      <c r="E587" s="334"/>
      <c r="F587" s="334"/>
      <c r="G587" s="334"/>
      <c r="H587" s="334"/>
      <c r="I587" s="334"/>
      <c r="J587" s="334"/>
      <c r="K587" s="334"/>
      <c r="L587" s="334"/>
      <c r="M587" s="334"/>
      <c r="N587" s="334"/>
      <c r="O587" s="334"/>
      <c r="P587" s="334"/>
      <c r="Q587" s="334"/>
      <c r="R587" s="334"/>
      <c r="S587" s="334"/>
      <c r="T587" s="334"/>
      <c r="U587" s="334"/>
      <c r="V587" s="334"/>
      <c r="W587" s="334"/>
      <c r="X587" s="334"/>
      <c r="Y587" s="246"/>
      <c r="Z587" s="246"/>
      <c r="AA587" s="246"/>
      <c r="AB587" s="246"/>
      <c r="AC587" s="246"/>
      <c r="AD587" s="246"/>
      <c r="AE587" s="246"/>
      <c r="AF587" s="246"/>
      <c r="AG587" s="246"/>
      <c r="AH587" s="246"/>
      <c r="AI587" s="246"/>
      <c r="AJ587" s="246"/>
      <c r="AK587" s="246"/>
      <c r="AL587" s="246"/>
      <c r="AM587" s="246"/>
      <c r="AN587" s="246"/>
      <c r="AO587" s="246"/>
      <c r="AP587" s="246"/>
      <c r="AQ587" s="246"/>
      <c r="AR587" s="246"/>
      <c r="AS587" s="246"/>
      <c r="AT587" s="246"/>
      <c r="AU587" s="246"/>
      <c r="AV587" s="246"/>
      <c r="AW587" s="246"/>
      <c r="AX587" s="246"/>
      <c r="AY587" s="246"/>
      <c r="AZ587" s="246"/>
      <c r="BA587" s="246"/>
      <c r="BB587" s="246"/>
      <c r="BC587" s="246"/>
      <c r="BD587" s="246"/>
      <c r="BE587" s="246"/>
      <c r="BF587" s="246"/>
      <c r="BG587" s="246"/>
      <c r="BH587" s="246"/>
      <c r="BI587" s="246"/>
      <c r="BJ587" s="246"/>
    </row>
    <row r="588" spans="2:62" ht="15.75">
      <c r="B588" s="7"/>
      <c r="C588" s="334"/>
      <c r="D588" s="334"/>
      <c r="E588" s="334"/>
      <c r="F588" s="334"/>
      <c r="G588" s="334"/>
      <c r="H588" s="334"/>
      <c r="I588" s="334"/>
      <c r="J588" s="334"/>
      <c r="K588" s="334"/>
      <c r="L588" s="334"/>
      <c r="M588" s="334"/>
      <c r="N588" s="334"/>
      <c r="O588" s="334"/>
      <c r="P588" s="334"/>
      <c r="Q588" s="334"/>
      <c r="R588" s="334"/>
      <c r="S588" s="334"/>
      <c r="T588" s="334"/>
      <c r="U588" s="334"/>
      <c r="V588" s="334"/>
      <c r="W588" s="334"/>
      <c r="X588" s="334"/>
      <c r="Y588" s="246"/>
      <c r="Z588" s="246"/>
      <c r="AA588" s="246"/>
      <c r="AB588" s="246"/>
      <c r="AC588" s="246"/>
      <c r="AD588" s="246"/>
      <c r="AE588" s="246"/>
      <c r="AF588" s="246"/>
      <c r="AG588" s="246"/>
      <c r="AH588" s="246"/>
      <c r="AI588" s="246"/>
      <c r="AJ588" s="246"/>
      <c r="AK588" s="246"/>
      <c r="AL588" s="246"/>
      <c r="AM588" s="246"/>
      <c r="AN588" s="246"/>
      <c r="AO588" s="246"/>
      <c r="AP588" s="246"/>
      <c r="AQ588" s="246"/>
      <c r="AR588" s="246"/>
      <c r="AS588" s="246"/>
      <c r="AT588" s="246"/>
      <c r="AU588" s="246"/>
      <c r="AV588" s="246"/>
      <c r="AW588" s="246"/>
      <c r="AX588" s="246"/>
      <c r="AY588" s="246"/>
      <c r="AZ588" s="246"/>
      <c r="BA588" s="246"/>
      <c r="BB588" s="246"/>
      <c r="BC588" s="246"/>
      <c r="BD588" s="246"/>
      <c r="BE588" s="246"/>
      <c r="BF588" s="246"/>
      <c r="BG588" s="246"/>
      <c r="BH588" s="246"/>
      <c r="BI588" s="246"/>
      <c r="BJ588" s="246"/>
    </row>
    <row r="589" spans="2:62" ht="15.75">
      <c r="B589" s="7"/>
      <c r="C589" s="334"/>
      <c r="D589" s="334"/>
      <c r="E589" s="334"/>
      <c r="F589" s="334"/>
      <c r="G589" s="334"/>
      <c r="H589" s="334"/>
      <c r="I589" s="334"/>
      <c r="J589" s="334"/>
      <c r="K589" s="334"/>
      <c r="L589" s="334"/>
      <c r="M589" s="334"/>
      <c r="N589" s="334"/>
      <c r="O589" s="334"/>
      <c r="P589" s="334"/>
      <c r="Q589" s="334"/>
      <c r="R589" s="334"/>
      <c r="S589" s="334"/>
      <c r="T589" s="334"/>
      <c r="U589" s="334"/>
      <c r="V589" s="334"/>
      <c r="W589" s="334"/>
      <c r="X589" s="334"/>
      <c r="Y589" s="246"/>
      <c r="Z589" s="246"/>
      <c r="AA589" s="246"/>
      <c r="AB589" s="246"/>
      <c r="AC589" s="246"/>
      <c r="AD589" s="246"/>
      <c r="AE589" s="246"/>
      <c r="AF589" s="246"/>
      <c r="AG589" s="246"/>
      <c r="AH589" s="246"/>
      <c r="AI589" s="246"/>
      <c r="AJ589" s="246"/>
      <c r="AK589" s="246"/>
      <c r="AL589" s="246"/>
      <c r="AM589" s="246"/>
      <c r="AN589" s="246"/>
      <c r="AO589" s="246"/>
      <c r="AP589" s="246"/>
      <c r="AQ589" s="246"/>
      <c r="AR589" s="246"/>
      <c r="AS589" s="246"/>
      <c r="AT589" s="246"/>
      <c r="AU589" s="246"/>
      <c r="AV589" s="246"/>
      <c r="AW589" s="246"/>
      <c r="AX589" s="246"/>
      <c r="AY589" s="246"/>
      <c r="AZ589" s="246"/>
      <c r="BA589" s="246"/>
      <c r="BB589" s="246"/>
      <c r="BC589" s="246"/>
      <c r="BD589" s="246"/>
      <c r="BE589" s="246"/>
      <c r="BF589" s="246"/>
      <c r="BG589" s="246"/>
      <c r="BH589" s="246"/>
      <c r="BI589" s="246"/>
      <c r="BJ589" s="246"/>
    </row>
    <row r="590" spans="2:62" ht="15.75">
      <c r="B590" s="7"/>
      <c r="C590" s="334"/>
      <c r="D590" s="334"/>
      <c r="E590" s="334"/>
      <c r="F590" s="334"/>
      <c r="G590" s="334"/>
      <c r="H590" s="334"/>
      <c r="I590" s="334"/>
      <c r="J590" s="334"/>
      <c r="K590" s="334"/>
      <c r="L590" s="334"/>
      <c r="M590" s="334"/>
      <c r="N590" s="334"/>
      <c r="O590" s="334"/>
      <c r="P590" s="334"/>
      <c r="Q590" s="334"/>
      <c r="R590" s="334"/>
      <c r="S590" s="334"/>
      <c r="T590" s="334"/>
      <c r="U590" s="334"/>
      <c r="V590" s="334"/>
      <c r="W590" s="334"/>
      <c r="X590" s="334"/>
      <c r="Y590" s="246"/>
      <c r="Z590" s="246"/>
      <c r="AA590" s="246"/>
      <c r="AB590" s="246"/>
      <c r="AC590" s="246"/>
      <c r="AD590" s="246"/>
      <c r="AE590" s="246"/>
      <c r="AF590" s="246"/>
      <c r="AG590" s="246"/>
      <c r="AH590" s="246"/>
      <c r="AI590" s="246"/>
      <c r="AJ590" s="246"/>
      <c r="AK590" s="246"/>
      <c r="AL590" s="246"/>
      <c r="AM590" s="246"/>
      <c r="AN590" s="246"/>
      <c r="AO590" s="246"/>
      <c r="AP590" s="246"/>
      <c r="AQ590" s="246"/>
      <c r="AR590" s="246"/>
      <c r="AS590" s="246"/>
      <c r="AT590" s="246"/>
      <c r="AU590" s="246"/>
      <c r="AV590" s="246"/>
      <c r="AW590" s="246"/>
      <c r="AX590" s="246"/>
      <c r="AY590" s="246"/>
      <c r="AZ590" s="246"/>
      <c r="BA590" s="246"/>
      <c r="BB590" s="246"/>
      <c r="BC590" s="246"/>
      <c r="BD590" s="246"/>
      <c r="BE590" s="246"/>
      <c r="BF590" s="246"/>
      <c r="BG590" s="246"/>
      <c r="BH590" s="246"/>
      <c r="BI590" s="246"/>
      <c r="BJ590" s="246"/>
    </row>
    <row r="591" spans="2:62" ht="15.75">
      <c r="B591" s="7"/>
      <c r="C591" s="334"/>
      <c r="D591" s="334"/>
      <c r="E591" s="334"/>
      <c r="F591" s="334"/>
      <c r="G591" s="334"/>
      <c r="H591" s="334"/>
      <c r="I591" s="334"/>
      <c r="J591" s="334"/>
      <c r="K591" s="334"/>
      <c r="L591" s="334"/>
      <c r="M591" s="334"/>
      <c r="N591" s="334"/>
      <c r="O591" s="334"/>
      <c r="P591" s="334"/>
      <c r="Q591" s="334"/>
      <c r="R591" s="334"/>
      <c r="S591" s="334"/>
      <c r="T591" s="334"/>
      <c r="U591" s="334"/>
      <c r="V591" s="334"/>
      <c r="W591" s="334"/>
      <c r="X591" s="334"/>
      <c r="Y591" s="246"/>
      <c r="Z591" s="246"/>
      <c r="AA591" s="246"/>
      <c r="AB591" s="246"/>
      <c r="AC591" s="246"/>
      <c r="AD591" s="246"/>
      <c r="AE591" s="246"/>
      <c r="AF591" s="246"/>
      <c r="AG591" s="246"/>
      <c r="AH591" s="246"/>
      <c r="AI591" s="246"/>
      <c r="AJ591" s="246"/>
      <c r="AK591" s="246"/>
      <c r="AL591" s="246"/>
      <c r="AM591" s="246"/>
      <c r="AN591" s="246"/>
      <c r="AO591" s="246"/>
      <c r="AP591" s="246"/>
      <c r="AQ591" s="246"/>
      <c r="AR591" s="246"/>
      <c r="AS591" s="246"/>
      <c r="AT591" s="246"/>
      <c r="AU591" s="246"/>
      <c r="AV591" s="246"/>
      <c r="AW591" s="246"/>
      <c r="AX591" s="246"/>
      <c r="AY591" s="246"/>
      <c r="AZ591" s="246"/>
      <c r="BA591" s="246"/>
      <c r="BB591" s="246"/>
      <c r="BC591" s="246"/>
      <c r="BD591" s="246"/>
      <c r="BE591" s="246"/>
      <c r="BF591" s="246"/>
      <c r="BG591" s="246"/>
      <c r="BH591" s="246"/>
      <c r="BI591" s="246"/>
      <c r="BJ591" s="246"/>
    </row>
    <row r="592" spans="2:62" ht="15.75">
      <c r="B592" s="7"/>
      <c r="C592" s="334"/>
      <c r="D592" s="334"/>
      <c r="E592" s="334"/>
      <c r="F592" s="334"/>
      <c r="G592" s="334"/>
      <c r="H592" s="334"/>
      <c r="I592" s="334"/>
      <c r="J592" s="334"/>
      <c r="K592" s="334"/>
      <c r="L592" s="334"/>
      <c r="M592" s="334"/>
      <c r="N592" s="334"/>
      <c r="O592" s="334"/>
      <c r="P592" s="334"/>
      <c r="Q592" s="334"/>
      <c r="R592" s="334"/>
      <c r="S592" s="334"/>
      <c r="T592" s="334"/>
      <c r="U592" s="334"/>
      <c r="V592" s="334"/>
      <c r="W592" s="334"/>
      <c r="X592" s="334"/>
      <c r="Y592" s="246"/>
      <c r="Z592" s="246"/>
      <c r="AA592" s="246"/>
      <c r="AB592" s="246"/>
      <c r="AC592" s="246"/>
      <c r="AD592" s="246"/>
      <c r="AE592" s="246"/>
      <c r="AF592" s="246"/>
      <c r="AG592" s="246"/>
      <c r="AH592" s="246"/>
      <c r="AI592" s="246"/>
      <c r="AJ592" s="246"/>
      <c r="AK592" s="246"/>
      <c r="AL592" s="246"/>
      <c r="AM592" s="246"/>
      <c r="AN592" s="246"/>
      <c r="AO592" s="246"/>
      <c r="AP592" s="246"/>
      <c r="AQ592" s="246"/>
      <c r="AR592" s="246"/>
      <c r="AS592" s="246"/>
      <c r="AT592" s="246"/>
      <c r="AU592" s="246"/>
      <c r="AV592" s="246"/>
      <c r="AW592" s="246"/>
      <c r="AX592" s="246"/>
      <c r="AY592" s="246"/>
      <c r="AZ592" s="246"/>
      <c r="BA592" s="246"/>
      <c r="BB592" s="246"/>
      <c r="BC592" s="246"/>
      <c r="BD592" s="246"/>
      <c r="BE592" s="246"/>
      <c r="BF592" s="246"/>
      <c r="BG592" s="246"/>
      <c r="BH592" s="246"/>
      <c r="BI592" s="246"/>
      <c r="BJ592" s="246"/>
    </row>
    <row r="593" spans="2:62" ht="15.75">
      <c r="B593" s="7"/>
      <c r="C593" s="334"/>
      <c r="D593" s="334"/>
      <c r="E593" s="334"/>
      <c r="F593" s="334"/>
      <c r="G593" s="334"/>
      <c r="H593" s="334"/>
      <c r="I593" s="334"/>
      <c r="J593" s="334"/>
      <c r="K593" s="334"/>
      <c r="L593" s="334"/>
      <c r="M593" s="334"/>
      <c r="N593" s="334"/>
      <c r="O593" s="334"/>
      <c r="P593" s="334"/>
      <c r="Q593" s="334"/>
      <c r="R593" s="334"/>
      <c r="S593" s="334"/>
      <c r="T593" s="334"/>
      <c r="U593" s="334"/>
      <c r="V593" s="334"/>
      <c r="W593" s="334"/>
      <c r="X593" s="334"/>
      <c r="Y593" s="246"/>
      <c r="Z593" s="246"/>
      <c r="AA593" s="246"/>
      <c r="AB593" s="246"/>
      <c r="AC593" s="246"/>
      <c r="AD593" s="246"/>
      <c r="AE593" s="246"/>
      <c r="AF593" s="246"/>
      <c r="AG593" s="246"/>
      <c r="AH593" s="246"/>
      <c r="AI593" s="246"/>
      <c r="AJ593" s="246"/>
      <c r="AK593" s="246"/>
      <c r="AL593" s="246"/>
      <c r="AM593" s="246"/>
      <c r="AN593" s="246"/>
      <c r="AO593" s="246"/>
      <c r="AP593" s="246"/>
      <c r="AQ593" s="246"/>
      <c r="AR593" s="246"/>
      <c r="AS593" s="246"/>
      <c r="AT593" s="246"/>
      <c r="AU593" s="246"/>
      <c r="AV593" s="246"/>
      <c r="AW593" s="246"/>
      <c r="AX593" s="246"/>
      <c r="AY593" s="246"/>
      <c r="AZ593" s="246"/>
      <c r="BA593" s="246"/>
      <c r="BB593" s="246"/>
      <c r="BC593" s="246"/>
      <c r="BD593" s="246"/>
      <c r="BE593" s="246"/>
      <c r="BF593" s="246"/>
      <c r="BG593" s="246"/>
      <c r="BH593" s="246"/>
      <c r="BI593" s="246"/>
      <c r="BJ593" s="246"/>
    </row>
    <row r="594" spans="2:62" ht="15.75">
      <c r="B594" s="7"/>
      <c r="C594" s="334"/>
      <c r="D594" s="334"/>
      <c r="E594" s="334"/>
      <c r="F594" s="334"/>
      <c r="G594" s="334"/>
      <c r="H594" s="334"/>
      <c r="I594" s="334"/>
      <c r="J594" s="334"/>
      <c r="K594" s="334"/>
      <c r="L594" s="334"/>
      <c r="M594" s="334"/>
      <c r="N594" s="334"/>
      <c r="O594" s="334"/>
      <c r="P594" s="334"/>
      <c r="Q594" s="334"/>
      <c r="R594" s="334"/>
      <c r="S594" s="334"/>
      <c r="T594" s="334"/>
      <c r="U594" s="334"/>
      <c r="V594" s="334"/>
      <c r="W594" s="334"/>
      <c r="X594" s="334"/>
      <c r="Y594" s="246"/>
      <c r="Z594" s="246"/>
      <c r="AA594" s="246"/>
      <c r="AB594" s="246"/>
      <c r="AC594" s="246"/>
      <c r="AD594" s="246"/>
      <c r="AE594" s="246"/>
      <c r="AF594" s="246"/>
      <c r="AG594" s="246"/>
      <c r="AH594" s="246"/>
      <c r="AI594" s="246"/>
      <c r="AJ594" s="246"/>
      <c r="AK594" s="246"/>
      <c r="AL594" s="246"/>
      <c r="AM594" s="246"/>
      <c r="AN594" s="246"/>
      <c r="AO594" s="246"/>
      <c r="AP594" s="246"/>
      <c r="AQ594" s="246"/>
      <c r="AR594" s="246"/>
      <c r="AS594" s="246"/>
      <c r="AT594" s="246"/>
      <c r="AU594" s="246"/>
      <c r="AV594" s="246"/>
      <c r="AW594" s="246"/>
      <c r="AX594" s="246"/>
      <c r="AY594" s="246"/>
      <c r="AZ594" s="246"/>
      <c r="BA594" s="246"/>
      <c r="BB594" s="246"/>
      <c r="BC594" s="246"/>
      <c r="BD594" s="246"/>
      <c r="BE594" s="246"/>
      <c r="BF594" s="246"/>
      <c r="BG594" s="246"/>
      <c r="BH594" s="246"/>
      <c r="BI594" s="246"/>
      <c r="BJ594" s="246"/>
    </row>
    <row r="595" spans="2:62" ht="15.75">
      <c r="B595" s="7"/>
      <c r="C595" s="334"/>
      <c r="D595" s="334"/>
      <c r="E595" s="334"/>
      <c r="F595" s="334"/>
      <c r="G595" s="334"/>
      <c r="H595" s="334"/>
      <c r="I595" s="334"/>
      <c r="J595" s="334"/>
      <c r="K595" s="334"/>
      <c r="L595" s="334"/>
      <c r="M595" s="334"/>
      <c r="N595" s="334"/>
      <c r="O595" s="334"/>
      <c r="P595" s="334"/>
      <c r="Q595" s="334"/>
      <c r="R595" s="334"/>
      <c r="S595" s="334"/>
      <c r="T595" s="334"/>
      <c r="U595" s="334"/>
      <c r="V595" s="334"/>
      <c r="W595" s="334"/>
      <c r="X595" s="334"/>
      <c r="Y595" s="246"/>
      <c r="Z595" s="246"/>
      <c r="AA595" s="246"/>
      <c r="AB595" s="246"/>
      <c r="AC595" s="246"/>
      <c r="AD595" s="246"/>
      <c r="AE595" s="246"/>
      <c r="AF595" s="246"/>
      <c r="AG595" s="246"/>
      <c r="AH595" s="246"/>
      <c r="AI595" s="246"/>
      <c r="AJ595" s="246"/>
      <c r="AK595" s="246"/>
      <c r="AL595" s="246"/>
      <c r="AM595" s="246"/>
      <c r="AN595" s="246"/>
      <c r="AO595" s="246"/>
      <c r="AP595" s="246"/>
      <c r="AQ595" s="246"/>
      <c r="AR595" s="246"/>
      <c r="AS595" s="246"/>
      <c r="AT595" s="246"/>
      <c r="AU595" s="246"/>
      <c r="AV595" s="246"/>
      <c r="AW595" s="246"/>
      <c r="AX595" s="246"/>
      <c r="AY595" s="246"/>
      <c r="AZ595" s="246"/>
      <c r="BA595" s="246"/>
      <c r="BB595" s="246"/>
      <c r="BC595" s="246"/>
      <c r="BD595" s="246"/>
      <c r="BE595" s="246"/>
      <c r="BF595" s="246"/>
      <c r="BG595" s="246"/>
      <c r="BH595" s="246"/>
      <c r="BI595" s="246"/>
      <c r="BJ595" s="246"/>
    </row>
    <row r="596" spans="2:62" ht="15.75">
      <c r="B596" s="7"/>
      <c r="C596" s="334"/>
      <c r="D596" s="334"/>
      <c r="E596" s="334"/>
      <c r="F596" s="334"/>
      <c r="G596" s="334"/>
      <c r="H596" s="334"/>
      <c r="I596" s="334"/>
      <c r="J596" s="334"/>
      <c r="K596" s="334"/>
      <c r="L596" s="334"/>
      <c r="M596" s="334"/>
      <c r="N596" s="334"/>
      <c r="O596" s="334"/>
      <c r="P596" s="334"/>
      <c r="Q596" s="334"/>
      <c r="R596" s="334"/>
      <c r="S596" s="334"/>
      <c r="T596" s="334"/>
      <c r="U596" s="334"/>
      <c r="V596" s="334"/>
      <c r="W596" s="334"/>
      <c r="X596" s="334"/>
      <c r="Y596" s="246"/>
      <c r="Z596" s="246"/>
      <c r="AA596" s="246"/>
      <c r="AB596" s="246"/>
      <c r="AC596" s="246"/>
      <c r="AD596" s="246"/>
      <c r="AE596" s="246"/>
      <c r="AF596" s="246"/>
      <c r="AG596" s="246"/>
      <c r="AH596" s="246"/>
      <c r="AI596" s="246"/>
      <c r="AJ596" s="246"/>
      <c r="AK596" s="246"/>
      <c r="AL596" s="246"/>
      <c r="AM596" s="246"/>
      <c r="AN596" s="246"/>
      <c r="AO596" s="246"/>
      <c r="AP596" s="246"/>
      <c r="AQ596" s="246"/>
      <c r="AR596" s="246"/>
      <c r="AS596" s="246"/>
      <c r="AT596" s="246"/>
      <c r="AU596" s="246"/>
      <c r="AV596" s="246"/>
      <c r="AW596" s="246"/>
      <c r="AX596" s="246"/>
      <c r="AY596" s="246"/>
      <c r="AZ596" s="246"/>
      <c r="BA596" s="246"/>
      <c r="BB596" s="246"/>
      <c r="BC596" s="246"/>
      <c r="BD596" s="246"/>
      <c r="BE596" s="246"/>
      <c r="BF596" s="246"/>
      <c r="BG596" s="246"/>
      <c r="BH596" s="246"/>
      <c r="BI596" s="246"/>
      <c r="BJ596" s="246"/>
    </row>
    <row r="597" spans="2:62" ht="15.75">
      <c r="B597" s="7"/>
      <c r="C597" s="334"/>
      <c r="D597" s="334"/>
      <c r="E597" s="334"/>
      <c r="F597" s="334"/>
      <c r="G597" s="334"/>
      <c r="H597" s="334"/>
      <c r="I597" s="334"/>
      <c r="J597" s="334"/>
      <c r="K597" s="334"/>
      <c r="L597" s="334"/>
      <c r="M597" s="334"/>
      <c r="N597" s="334"/>
      <c r="O597" s="334"/>
      <c r="P597" s="334"/>
      <c r="Q597" s="334"/>
      <c r="R597" s="334"/>
      <c r="S597" s="334"/>
      <c r="T597" s="334"/>
      <c r="U597" s="334"/>
      <c r="V597" s="334"/>
      <c r="W597" s="334"/>
      <c r="X597" s="334"/>
      <c r="Y597" s="246"/>
      <c r="Z597" s="246"/>
      <c r="AA597" s="246"/>
      <c r="AB597" s="246"/>
      <c r="AC597" s="246"/>
      <c r="AD597" s="246"/>
      <c r="AE597" s="246"/>
      <c r="AF597" s="246"/>
      <c r="AG597" s="246"/>
      <c r="AH597" s="246"/>
      <c r="AI597" s="246"/>
      <c r="AJ597" s="246"/>
      <c r="AK597" s="246"/>
      <c r="AL597" s="246"/>
      <c r="AM597" s="246"/>
      <c r="AN597" s="246"/>
      <c r="AO597" s="246"/>
      <c r="AP597" s="246"/>
      <c r="AQ597" s="246"/>
      <c r="AR597" s="246"/>
      <c r="AS597" s="246"/>
      <c r="AT597" s="246"/>
      <c r="AU597" s="246"/>
      <c r="AV597" s="246"/>
      <c r="AW597" s="246"/>
      <c r="AX597" s="246"/>
      <c r="AY597" s="246"/>
      <c r="AZ597" s="246"/>
      <c r="BA597" s="246"/>
      <c r="BB597" s="246"/>
      <c r="BC597" s="246"/>
      <c r="BD597" s="246"/>
      <c r="BE597" s="246"/>
      <c r="BF597" s="246"/>
      <c r="BG597" s="246"/>
      <c r="BH597" s="246"/>
      <c r="BI597" s="246"/>
      <c r="BJ597" s="246"/>
    </row>
    <row r="598" spans="2:62" ht="15.75">
      <c r="B598" s="7"/>
      <c r="C598" s="334"/>
      <c r="D598" s="334"/>
      <c r="E598" s="334"/>
      <c r="F598" s="334"/>
      <c r="G598" s="334"/>
      <c r="H598" s="334"/>
      <c r="I598" s="334"/>
      <c r="J598" s="334"/>
      <c r="K598" s="334"/>
      <c r="L598" s="334"/>
      <c r="M598" s="334"/>
      <c r="N598" s="334"/>
      <c r="O598" s="334"/>
      <c r="P598" s="334"/>
      <c r="Q598" s="334"/>
      <c r="R598" s="334"/>
      <c r="S598" s="334"/>
      <c r="T598" s="334"/>
      <c r="U598" s="334"/>
      <c r="V598" s="334"/>
      <c r="W598" s="334"/>
      <c r="X598" s="334"/>
      <c r="Y598" s="246"/>
      <c r="Z598" s="246"/>
      <c r="AA598" s="246"/>
      <c r="AB598" s="246"/>
      <c r="AC598" s="246"/>
      <c r="AD598" s="246"/>
      <c r="AE598" s="246"/>
      <c r="AF598" s="246"/>
      <c r="AG598" s="246"/>
      <c r="AH598" s="246"/>
      <c r="AI598" s="246"/>
      <c r="AJ598" s="246"/>
      <c r="AK598" s="246"/>
      <c r="AL598" s="246"/>
      <c r="AM598" s="246"/>
      <c r="AN598" s="246"/>
      <c r="AO598" s="246"/>
      <c r="AP598" s="246"/>
      <c r="AQ598" s="246"/>
      <c r="AR598" s="246"/>
      <c r="AS598" s="246"/>
      <c r="AT598" s="246"/>
      <c r="AU598" s="246"/>
      <c r="AV598" s="246"/>
      <c r="AW598" s="246"/>
      <c r="AX598" s="246"/>
      <c r="AY598" s="246"/>
      <c r="AZ598" s="246"/>
      <c r="BA598" s="246"/>
      <c r="BB598" s="246"/>
      <c r="BC598" s="246"/>
      <c r="BD598" s="246"/>
      <c r="BE598" s="246"/>
      <c r="BF598" s="246"/>
      <c r="BG598" s="246"/>
      <c r="BH598" s="246"/>
      <c r="BI598" s="246"/>
      <c r="BJ598" s="246"/>
    </row>
    <row r="599" spans="2:62" ht="15.75">
      <c r="B599" s="7"/>
      <c r="C599" s="334"/>
      <c r="D599" s="334"/>
      <c r="E599" s="334"/>
      <c r="F599" s="334"/>
      <c r="G599" s="334"/>
      <c r="H599" s="334"/>
      <c r="I599" s="334"/>
      <c r="J599" s="334"/>
      <c r="K599" s="334"/>
      <c r="L599" s="334"/>
      <c r="M599" s="334"/>
      <c r="N599" s="334"/>
      <c r="O599" s="334"/>
      <c r="P599" s="334"/>
      <c r="Q599" s="334"/>
      <c r="R599" s="334"/>
      <c r="S599" s="334"/>
      <c r="T599" s="334"/>
      <c r="U599" s="334"/>
      <c r="V599" s="334"/>
      <c r="W599" s="334"/>
      <c r="X599" s="334"/>
      <c r="Y599" s="246"/>
      <c r="Z599" s="246"/>
      <c r="AA599" s="246"/>
      <c r="AB599" s="246"/>
      <c r="AC599" s="246"/>
      <c r="AD599" s="246"/>
      <c r="AE599" s="246"/>
      <c r="AF599" s="246"/>
      <c r="AG599" s="246"/>
      <c r="AH599" s="246"/>
      <c r="AI599" s="246"/>
      <c r="AJ599" s="246"/>
      <c r="AK599" s="246"/>
      <c r="AL599" s="246"/>
      <c r="AM599" s="246"/>
      <c r="AN599" s="246"/>
      <c r="AO599" s="246"/>
      <c r="AP599" s="246"/>
      <c r="AQ599" s="246"/>
      <c r="AR599" s="246"/>
      <c r="AS599" s="246"/>
      <c r="AT599" s="246"/>
      <c r="AU599" s="246"/>
      <c r="AV599" s="246"/>
      <c r="AW599" s="246"/>
      <c r="AX599" s="246"/>
      <c r="AY599" s="246"/>
      <c r="AZ599" s="246"/>
      <c r="BA599" s="246"/>
      <c r="BB599" s="246"/>
      <c r="BC599" s="246"/>
      <c r="BD599" s="246"/>
      <c r="BE599" s="246"/>
      <c r="BF599" s="246"/>
      <c r="BG599" s="246"/>
      <c r="BH599" s="246"/>
      <c r="BI599" s="246"/>
      <c r="BJ599" s="246"/>
    </row>
    <row r="600" spans="2:62" ht="15.75">
      <c r="B600" s="7"/>
      <c r="C600" s="334"/>
      <c r="D600" s="334"/>
      <c r="E600" s="334"/>
      <c r="F600" s="334"/>
      <c r="G600" s="334"/>
      <c r="H600" s="334"/>
      <c r="I600" s="334"/>
      <c r="J600" s="334"/>
      <c r="K600" s="334"/>
      <c r="L600" s="334"/>
      <c r="M600" s="334"/>
      <c r="N600" s="334"/>
      <c r="O600" s="334"/>
      <c r="P600" s="334"/>
      <c r="Q600" s="334"/>
      <c r="R600" s="334"/>
      <c r="S600" s="334"/>
      <c r="T600" s="334"/>
      <c r="U600" s="334"/>
      <c r="V600" s="334"/>
      <c r="W600" s="334"/>
      <c r="X600" s="334"/>
      <c r="Y600" s="246"/>
      <c r="Z600" s="246"/>
      <c r="AA600" s="246"/>
      <c r="AB600" s="246"/>
      <c r="AC600" s="246"/>
      <c r="AD600" s="246"/>
      <c r="AE600" s="246"/>
      <c r="AF600" s="246"/>
      <c r="AG600" s="246"/>
      <c r="AH600" s="246"/>
      <c r="AI600" s="246"/>
      <c r="AJ600" s="246"/>
      <c r="AK600" s="246"/>
      <c r="AL600" s="246"/>
      <c r="AM600" s="246"/>
      <c r="AN600" s="246"/>
      <c r="AO600" s="246"/>
      <c r="AP600" s="246"/>
      <c r="AQ600" s="246"/>
      <c r="AR600" s="246"/>
      <c r="AS600" s="246"/>
      <c r="AT600" s="246"/>
      <c r="AU600" s="246"/>
      <c r="AV600" s="246"/>
      <c r="AW600" s="246"/>
      <c r="AX600" s="246"/>
      <c r="AY600" s="246"/>
      <c r="AZ600" s="246"/>
      <c r="BA600" s="246"/>
      <c r="BB600" s="246"/>
      <c r="BC600" s="246"/>
      <c r="BD600" s="246"/>
      <c r="BE600" s="246"/>
      <c r="BF600" s="246"/>
      <c r="BG600" s="246"/>
      <c r="BH600" s="246"/>
      <c r="BI600" s="246"/>
      <c r="BJ600" s="246"/>
    </row>
    <row r="601" spans="2:62" ht="15.75">
      <c r="B601" s="7"/>
      <c r="C601" s="334"/>
      <c r="D601" s="334"/>
      <c r="E601" s="334"/>
      <c r="F601" s="334"/>
      <c r="G601" s="334"/>
      <c r="H601" s="334"/>
      <c r="I601" s="334"/>
      <c r="J601" s="334"/>
      <c r="K601" s="334"/>
      <c r="L601" s="334"/>
      <c r="M601" s="334"/>
      <c r="N601" s="334"/>
      <c r="O601" s="334"/>
      <c r="P601" s="334"/>
      <c r="Q601" s="334"/>
      <c r="R601" s="334"/>
      <c r="S601" s="334"/>
      <c r="T601" s="334"/>
      <c r="U601" s="334"/>
      <c r="V601" s="334"/>
      <c r="W601" s="334"/>
      <c r="X601" s="334"/>
      <c r="Y601" s="246"/>
      <c r="Z601" s="246"/>
      <c r="AA601" s="246"/>
      <c r="AB601" s="246"/>
      <c r="AC601" s="246"/>
      <c r="AD601" s="246"/>
      <c r="AE601" s="246"/>
      <c r="AF601" s="246"/>
      <c r="AG601" s="246"/>
      <c r="AH601" s="246"/>
      <c r="AI601" s="246"/>
      <c r="AJ601" s="246"/>
      <c r="AK601" s="246"/>
      <c r="AL601" s="246"/>
      <c r="AM601" s="246"/>
      <c r="AN601" s="246"/>
      <c r="AO601" s="246"/>
      <c r="AP601" s="246"/>
      <c r="AQ601" s="246"/>
      <c r="AR601" s="246"/>
      <c r="AS601" s="246"/>
      <c r="AT601" s="246"/>
      <c r="AU601" s="246"/>
      <c r="AV601" s="246"/>
      <c r="AW601" s="246"/>
      <c r="AX601" s="246"/>
      <c r="AY601" s="246"/>
      <c r="AZ601" s="246"/>
      <c r="BA601" s="246"/>
      <c r="BB601" s="246"/>
      <c r="BC601" s="246"/>
      <c r="BD601" s="246"/>
      <c r="BE601" s="246"/>
      <c r="BF601" s="246"/>
      <c r="BG601" s="246"/>
      <c r="BH601" s="246"/>
      <c r="BI601" s="246"/>
      <c r="BJ601" s="246"/>
    </row>
    <row r="602" spans="2:62" ht="15.75">
      <c r="B602" s="7"/>
      <c r="C602" s="334"/>
      <c r="D602" s="334"/>
      <c r="E602" s="334"/>
      <c r="F602" s="334"/>
      <c r="G602" s="334"/>
      <c r="H602" s="334"/>
      <c r="I602" s="334"/>
      <c r="J602" s="334"/>
      <c r="K602" s="334"/>
      <c r="L602" s="334"/>
      <c r="M602" s="334"/>
      <c r="N602" s="334"/>
      <c r="O602" s="334"/>
      <c r="P602" s="334"/>
      <c r="Q602" s="334"/>
      <c r="R602" s="334"/>
      <c r="S602" s="334"/>
      <c r="T602" s="334"/>
      <c r="U602" s="334"/>
      <c r="V602" s="334"/>
      <c r="W602" s="334"/>
      <c r="X602" s="334"/>
      <c r="Y602" s="246"/>
      <c r="Z602" s="246"/>
      <c r="AA602" s="246"/>
      <c r="AB602" s="246"/>
      <c r="AC602" s="246"/>
      <c r="AD602" s="246"/>
      <c r="AE602" s="246"/>
      <c r="AF602" s="246"/>
      <c r="AG602" s="246"/>
      <c r="AH602" s="246"/>
      <c r="AI602" s="246"/>
      <c r="AJ602" s="246"/>
      <c r="AK602" s="246"/>
      <c r="AL602" s="246"/>
      <c r="AM602" s="246"/>
      <c r="AN602" s="246"/>
      <c r="AO602" s="246"/>
      <c r="AP602" s="246"/>
      <c r="AQ602" s="246"/>
      <c r="AR602" s="246"/>
      <c r="AS602" s="246"/>
      <c r="AT602" s="246"/>
      <c r="AU602" s="246"/>
      <c r="AV602" s="246"/>
      <c r="AW602" s="246"/>
      <c r="AX602" s="246"/>
      <c r="AY602" s="246"/>
      <c r="AZ602" s="246"/>
      <c r="BA602" s="246"/>
      <c r="BB602" s="246"/>
      <c r="BC602" s="246"/>
      <c r="BD602" s="246"/>
      <c r="BE602" s="246"/>
      <c r="BF602" s="246"/>
      <c r="BG602" s="246"/>
      <c r="BH602" s="246"/>
      <c r="BI602" s="246"/>
      <c r="BJ602" s="246"/>
    </row>
    <row r="603" spans="2:62" ht="15.75">
      <c r="B603" s="7"/>
      <c r="C603" s="334"/>
      <c r="D603" s="334"/>
      <c r="E603" s="334"/>
      <c r="F603" s="334"/>
      <c r="G603" s="334"/>
      <c r="H603" s="334"/>
      <c r="I603" s="334"/>
      <c r="J603" s="334"/>
      <c r="K603" s="334"/>
      <c r="L603" s="334"/>
      <c r="M603" s="334"/>
      <c r="N603" s="334"/>
      <c r="O603" s="334"/>
      <c r="P603" s="334"/>
      <c r="Q603" s="334"/>
      <c r="R603" s="334"/>
      <c r="S603" s="334"/>
      <c r="T603" s="334"/>
      <c r="U603" s="334"/>
      <c r="V603" s="334"/>
      <c r="W603" s="334"/>
      <c r="X603" s="334"/>
      <c r="Y603" s="246"/>
      <c r="Z603" s="246"/>
      <c r="AA603" s="246"/>
      <c r="AB603" s="246"/>
      <c r="AC603" s="246"/>
      <c r="AD603" s="246"/>
      <c r="AE603" s="246"/>
      <c r="AF603" s="246"/>
      <c r="AG603" s="246"/>
      <c r="AH603" s="246"/>
      <c r="AI603" s="246"/>
      <c r="AJ603" s="246"/>
      <c r="AK603" s="246"/>
      <c r="AL603" s="246"/>
      <c r="AM603" s="246"/>
      <c r="AN603" s="246"/>
      <c r="AO603" s="246"/>
      <c r="AP603" s="246"/>
      <c r="AQ603" s="246"/>
      <c r="AR603" s="246"/>
      <c r="AS603" s="246"/>
      <c r="AT603" s="246"/>
      <c r="AU603" s="246"/>
      <c r="AV603" s="246"/>
      <c r="AW603" s="246"/>
      <c r="AX603" s="246"/>
      <c r="AY603" s="246"/>
      <c r="AZ603" s="246"/>
      <c r="BA603" s="246"/>
      <c r="BB603" s="246"/>
      <c r="BC603" s="246"/>
      <c r="BD603" s="246"/>
      <c r="BE603" s="246"/>
      <c r="BF603" s="246"/>
      <c r="BG603" s="246"/>
      <c r="BH603" s="246"/>
      <c r="BI603" s="246"/>
      <c r="BJ603" s="246"/>
    </row>
    <row r="604" spans="2:62" ht="15.75">
      <c r="B604" s="7"/>
      <c r="C604" s="334"/>
      <c r="D604" s="334"/>
      <c r="E604" s="334"/>
      <c r="F604" s="334"/>
      <c r="G604" s="334"/>
      <c r="H604" s="334"/>
      <c r="I604" s="334"/>
      <c r="J604" s="334"/>
      <c r="K604" s="334"/>
      <c r="L604" s="334"/>
      <c r="M604" s="334"/>
      <c r="N604" s="334"/>
      <c r="O604" s="334"/>
      <c r="P604" s="334"/>
      <c r="Q604" s="334"/>
      <c r="R604" s="334"/>
      <c r="S604" s="334"/>
      <c r="T604" s="334"/>
      <c r="U604" s="334"/>
      <c r="V604" s="334"/>
      <c r="W604" s="334"/>
      <c r="X604" s="334"/>
      <c r="Y604" s="246"/>
      <c r="Z604" s="246"/>
      <c r="AA604" s="246"/>
      <c r="AB604" s="246"/>
      <c r="AC604" s="246"/>
      <c r="AD604" s="246"/>
      <c r="AE604" s="246"/>
      <c r="AF604" s="246"/>
      <c r="AG604" s="246"/>
      <c r="AH604" s="246"/>
      <c r="AI604" s="246"/>
      <c r="AJ604" s="246"/>
      <c r="AK604" s="246"/>
      <c r="AL604" s="246"/>
      <c r="AM604" s="246"/>
      <c r="AN604" s="246"/>
      <c r="AO604" s="246"/>
      <c r="AP604" s="246"/>
      <c r="AQ604" s="246"/>
      <c r="AR604" s="246"/>
      <c r="AS604" s="246"/>
      <c r="AT604" s="246"/>
      <c r="AU604" s="246"/>
      <c r="AV604" s="246"/>
      <c r="AW604" s="246"/>
      <c r="AX604" s="246"/>
      <c r="AY604" s="246"/>
      <c r="AZ604" s="246"/>
      <c r="BA604" s="246"/>
      <c r="BB604" s="246"/>
      <c r="BC604" s="246"/>
      <c r="BD604" s="246"/>
      <c r="BE604" s="246"/>
      <c r="BF604" s="246"/>
      <c r="BG604" s="246"/>
      <c r="BH604" s="246"/>
      <c r="BI604" s="246"/>
      <c r="BJ604" s="246"/>
    </row>
    <row r="605" spans="2:62" ht="15.75">
      <c r="B605" s="7"/>
      <c r="C605" s="334"/>
      <c r="D605" s="334"/>
      <c r="E605" s="334"/>
      <c r="F605" s="334"/>
      <c r="G605" s="334"/>
      <c r="H605" s="334"/>
      <c r="I605" s="334"/>
      <c r="J605" s="334"/>
      <c r="K605" s="334"/>
      <c r="L605" s="334"/>
      <c r="M605" s="334"/>
      <c r="N605" s="334"/>
      <c r="O605" s="334"/>
      <c r="P605" s="334"/>
      <c r="Q605" s="334"/>
      <c r="R605" s="334"/>
      <c r="S605" s="334"/>
      <c r="T605" s="334"/>
      <c r="U605" s="334"/>
      <c r="V605" s="334"/>
      <c r="W605" s="334"/>
      <c r="X605" s="334"/>
      <c r="Y605" s="246"/>
      <c r="Z605" s="246"/>
      <c r="AA605" s="246"/>
      <c r="AB605" s="246"/>
      <c r="AC605" s="246"/>
      <c r="AD605" s="246"/>
      <c r="AE605" s="246"/>
      <c r="AF605" s="246"/>
      <c r="AG605" s="246"/>
      <c r="AH605" s="246"/>
      <c r="AI605" s="246"/>
      <c r="AJ605" s="246"/>
      <c r="AK605" s="246"/>
      <c r="AL605" s="246"/>
      <c r="AM605" s="246"/>
      <c r="AN605" s="246"/>
      <c r="AO605" s="246"/>
      <c r="AP605" s="246"/>
      <c r="AQ605" s="246"/>
      <c r="AR605" s="246"/>
      <c r="AS605" s="246"/>
      <c r="AT605" s="246"/>
      <c r="AU605" s="246"/>
      <c r="AV605" s="246"/>
      <c r="AW605" s="246"/>
      <c r="AX605" s="246"/>
      <c r="AY605" s="246"/>
      <c r="AZ605" s="246"/>
      <c r="BA605" s="246"/>
      <c r="BB605" s="246"/>
      <c r="BC605" s="246"/>
      <c r="BD605" s="246"/>
      <c r="BE605" s="246"/>
      <c r="BF605" s="246"/>
      <c r="BG605" s="246"/>
      <c r="BH605" s="246"/>
      <c r="BI605" s="246"/>
      <c r="BJ605" s="246"/>
    </row>
    <row r="606" spans="2:62" ht="15.75">
      <c r="B606" s="7"/>
      <c r="C606" s="334"/>
      <c r="D606" s="334"/>
      <c r="E606" s="334"/>
      <c r="F606" s="334"/>
      <c r="G606" s="334"/>
      <c r="H606" s="334"/>
      <c r="I606" s="334"/>
      <c r="J606" s="334"/>
      <c r="K606" s="334"/>
      <c r="L606" s="334"/>
      <c r="M606" s="334"/>
      <c r="N606" s="334"/>
      <c r="O606" s="334"/>
      <c r="P606" s="334"/>
      <c r="Q606" s="334"/>
      <c r="R606" s="334"/>
      <c r="S606" s="334"/>
      <c r="T606" s="334"/>
      <c r="U606" s="334"/>
      <c r="V606" s="334"/>
      <c r="W606" s="334"/>
      <c r="X606" s="334"/>
      <c r="Y606" s="246"/>
      <c r="Z606" s="246"/>
      <c r="AA606" s="246"/>
      <c r="AB606" s="246"/>
      <c r="AC606" s="246"/>
      <c r="AD606" s="246"/>
      <c r="AE606" s="246"/>
      <c r="AF606" s="246"/>
      <c r="AG606" s="246"/>
      <c r="AH606" s="246"/>
      <c r="AI606" s="246"/>
      <c r="AJ606" s="246"/>
      <c r="AK606" s="246"/>
      <c r="AL606" s="246"/>
      <c r="AM606" s="246"/>
      <c r="AN606" s="246"/>
      <c r="AO606" s="246"/>
      <c r="AP606" s="246"/>
      <c r="AQ606" s="246"/>
      <c r="AR606" s="246"/>
      <c r="AS606" s="246"/>
      <c r="AT606" s="246"/>
      <c r="AU606" s="246"/>
      <c r="AV606" s="246"/>
      <c r="AW606" s="246"/>
      <c r="AX606" s="246"/>
      <c r="AY606" s="246"/>
      <c r="AZ606" s="246"/>
      <c r="BA606" s="246"/>
      <c r="BB606" s="246"/>
      <c r="BC606" s="246"/>
      <c r="BD606" s="246"/>
      <c r="BE606" s="246"/>
      <c r="BF606" s="246"/>
      <c r="BG606" s="246"/>
      <c r="BH606" s="246"/>
      <c r="BI606" s="246"/>
      <c r="BJ606" s="246"/>
    </row>
    <row r="607" spans="2:62" ht="15.75">
      <c r="B607" s="7"/>
      <c r="C607" s="334"/>
      <c r="D607" s="334"/>
      <c r="E607" s="334"/>
      <c r="F607" s="334"/>
      <c r="G607" s="334"/>
      <c r="H607" s="334"/>
      <c r="I607" s="334"/>
      <c r="J607" s="334"/>
      <c r="K607" s="334"/>
      <c r="L607" s="334"/>
      <c r="M607" s="334"/>
      <c r="N607" s="334"/>
      <c r="O607" s="334"/>
      <c r="P607" s="334"/>
      <c r="Q607" s="334"/>
      <c r="R607" s="334"/>
      <c r="S607" s="334"/>
      <c r="T607" s="334"/>
      <c r="U607" s="334"/>
      <c r="V607" s="334"/>
      <c r="W607" s="334"/>
      <c r="X607" s="334"/>
      <c r="Y607" s="246"/>
      <c r="Z607" s="246"/>
      <c r="AA607" s="246"/>
      <c r="AB607" s="246"/>
      <c r="AC607" s="246"/>
      <c r="AD607" s="246"/>
      <c r="AE607" s="246"/>
      <c r="AF607" s="246"/>
      <c r="AG607" s="246"/>
      <c r="AH607" s="246"/>
      <c r="AI607" s="246"/>
      <c r="AJ607" s="246"/>
      <c r="AK607" s="246"/>
      <c r="AL607" s="246"/>
      <c r="AM607" s="246"/>
      <c r="AN607" s="246"/>
      <c r="AO607" s="246"/>
      <c r="AP607" s="246"/>
      <c r="AQ607" s="246"/>
      <c r="AR607" s="246"/>
      <c r="AS607" s="246"/>
      <c r="AT607" s="246"/>
      <c r="AU607" s="246"/>
      <c r="AV607" s="246"/>
      <c r="AW607" s="246"/>
      <c r="AX607" s="246"/>
      <c r="AY607" s="246"/>
      <c r="AZ607" s="246"/>
      <c r="BA607" s="246"/>
      <c r="BB607" s="246"/>
      <c r="BC607" s="246"/>
      <c r="BD607" s="246"/>
      <c r="BE607" s="246"/>
      <c r="BF607" s="246"/>
      <c r="BG607" s="246"/>
      <c r="BH607" s="246"/>
      <c r="BI607" s="246"/>
      <c r="BJ607" s="246"/>
    </row>
    <row r="608" spans="2:62" ht="15.75">
      <c r="B608" s="7"/>
      <c r="C608" s="334"/>
      <c r="D608" s="334"/>
      <c r="E608" s="334"/>
      <c r="F608" s="334"/>
      <c r="G608" s="334"/>
      <c r="H608" s="334"/>
      <c r="I608" s="334"/>
      <c r="J608" s="334"/>
      <c r="K608" s="334"/>
      <c r="L608" s="334"/>
      <c r="M608" s="334"/>
      <c r="N608" s="334"/>
      <c r="O608" s="334"/>
      <c r="P608" s="334"/>
      <c r="Q608" s="334"/>
      <c r="R608" s="334"/>
      <c r="S608" s="334"/>
      <c r="T608" s="334"/>
      <c r="U608" s="334"/>
      <c r="V608" s="334"/>
      <c r="W608" s="334"/>
      <c r="X608" s="334"/>
      <c r="Y608" s="246"/>
      <c r="Z608" s="246"/>
      <c r="AA608" s="246"/>
      <c r="AB608" s="246"/>
      <c r="AC608" s="246"/>
      <c r="AD608" s="246"/>
      <c r="AE608" s="246"/>
      <c r="AF608" s="246"/>
      <c r="AG608" s="246"/>
      <c r="AH608" s="246"/>
      <c r="AI608" s="246"/>
      <c r="AJ608" s="246"/>
      <c r="AK608" s="246"/>
      <c r="AL608" s="246"/>
      <c r="AM608" s="246"/>
      <c r="AN608" s="246"/>
      <c r="AO608" s="246"/>
      <c r="AP608" s="246"/>
      <c r="AQ608" s="246"/>
      <c r="AR608" s="246"/>
      <c r="AS608" s="246"/>
      <c r="AT608" s="246"/>
      <c r="AU608" s="246"/>
      <c r="AV608" s="246"/>
      <c r="AW608" s="246"/>
      <c r="AX608" s="246"/>
      <c r="AY608" s="246"/>
      <c r="AZ608" s="246"/>
      <c r="BA608" s="246"/>
      <c r="BB608" s="246"/>
      <c r="BC608" s="246"/>
      <c r="BD608" s="246"/>
      <c r="BE608" s="246"/>
      <c r="BF608" s="246"/>
      <c r="BG608" s="246"/>
      <c r="BH608" s="246"/>
      <c r="BI608" s="246"/>
      <c r="BJ608" s="246"/>
    </row>
    <row r="609" spans="2:62" ht="15.75">
      <c r="B609" s="7"/>
      <c r="C609" s="334"/>
      <c r="D609" s="334"/>
      <c r="E609" s="334"/>
      <c r="F609" s="334"/>
      <c r="G609" s="334"/>
      <c r="H609" s="334"/>
      <c r="I609" s="334"/>
      <c r="J609" s="334"/>
      <c r="K609" s="334"/>
      <c r="L609" s="334"/>
      <c r="M609" s="334"/>
      <c r="N609" s="334"/>
      <c r="O609" s="334"/>
      <c r="P609" s="334"/>
      <c r="Q609" s="334"/>
      <c r="R609" s="334"/>
      <c r="S609" s="334"/>
      <c r="T609" s="334"/>
      <c r="U609" s="334"/>
      <c r="V609" s="334"/>
      <c r="W609" s="334"/>
      <c r="X609" s="334"/>
      <c r="Y609" s="246"/>
      <c r="Z609" s="246"/>
      <c r="AA609" s="246"/>
      <c r="AB609" s="246"/>
      <c r="AC609" s="246"/>
      <c r="AD609" s="246"/>
      <c r="AE609" s="246"/>
      <c r="AF609" s="246"/>
      <c r="AG609" s="246"/>
      <c r="AH609" s="246"/>
      <c r="AI609" s="246"/>
      <c r="AJ609" s="246"/>
      <c r="AK609" s="246"/>
      <c r="AL609" s="246"/>
      <c r="AM609" s="246"/>
      <c r="AN609" s="246"/>
      <c r="AO609" s="246"/>
      <c r="AP609" s="246"/>
      <c r="AQ609" s="246"/>
      <c r="AR609" s="246"/>
      <c r="AS609" s="246"/>
      <c r="AT609" s="246"/>
      <c r="AU609" s="246"/>
      <c r="AV609" s="246"/>
      <c r="AW609" s="246"/>
      <c r="AX609" s="246"/>
      <c r="AY609" s="246"/>
      <c r="AZ609" s="246"/>
      <c r="BA609" s="246"/>
      <c r="BB609" s="246"/>
      <c r="BC609" s="246"/>
      <c r="BD609" s="246"/>
      <c r="BE609" s="246"/>
      <c r="BF609" s="246"/>
      <c r="BG609" s="246"/>
      <c r="BH609" s="246"/>
      <c r="BI609" s="246"/>
      <c r="BJ609" s="246"/>
    </row>
    <row r="610" spans="2:62" ht="15.75">
      <c r="B610" s="7"/>
      <c r="C610" s="334"/>
      <c r="D610" s="334"/>
      <c r="E610" s="334"/>
      <c r="F610" s="334"/>
      <c r="G610" s="334"/>
      <c r="H610" s="334"/>
      <c r="I610" s="334"/>
      <c r="J610" s="334"/>
      <c r="K610" s="334"/>
      <c r="L610" s="334"/>
      <c r="M610" s="334"/>
      <c r="N610" s="334"/>
      <c r="O610" s="334"/>
      <c r="P610" s="334"/>
      <c r="Q610" s="334"/>
      <c r="R610" s="334"/>
      <c r="S610" s="334"/>
      <c r="T610" s="334"/>
      <c r="U610" s="334"/>
      <c r="V610" s="334"/>
      <c r="W610" s="334"/>
      <c r="X610" s="334"/>
      <c r="Y610" s="246"/>
      <c r="Z610" s="246"/>
      <c r="AA610" s="246"/>
      <c r="AB610" s="246"/>
      <c r="AC610" s="246"/>
      <c r="AD610" s="246"/>
      <c r="AE610" s="246"/>
      <c r="AF610" s="246"/>
      <c r="AG610" s="246"/>
      <c r="AH610" s="246"/>
      <c r="AI610" s="246"/>
      <c r="AJ610" s="246"/>
      <c r="AK610" s="246"/>
      <c r="AL610" s="246"/>
      <c r="AM610" s="246"/>
      <c r="AN610" s="246"/>
      <c r="AO610" s="246"/>
      <c r="AP610" s="246"/>
      <c r="AQ610" s="246"/>
      <c r="AR610" s="246"/>
      <c r="AS610" s="246"/>
      <c r="AT610" s="246"/>
      <c r="AU610" s="246"/>
      <c r="AV610" s="246"/>
      <c r="AW610" s="246"/>
      <c r="AX610" s="246"/>
      <c r="AY610" s="246"/>
      <c r="AZ610" s="246"/>
      <c r="BA610" s="246"/>
      <c r="BB610" s="246"/>
      <c r="BC610" s="246"/>
      <c r="BD610" s="246"/>
      <c r="BE610" s="246"/>
      <c r="BF610" s="246"/>
      <c r="BG610" s="246"/>
      <c r="BH610" s="246"/>
      <c r="BI610" s="246"/>
      <c r="BJ610" s="246"/>
    </row>
    <row r="611" spans="2:62" ht="15.75">
      <c r="B611" s="7"/>
      <c r="C611" s="334"/>
      <c r="D611" s="334"/>
      <c r="E611" s="334"/>
      <c r="F611" s="334"/>
      <c r="G611" s="334"/>
      <c r="H611" s="334"/>
      <c r="I611" s="334"/>
      <c r="J611" s="334"/>
      <c r="K611" s="334"/>
      <c r="L611" s="334"/>
      <c r="M611" s="334"/>
      <c r="N611" s="334"/>
      <c r="O611" s="334"/>
      <c r="P611" s="334"/>
      <c r="Q611" s="334"/>
      <c r="R611" s="334"/>
      <c r="S611" s="334"/>
      <c r="T611" s="334"/>
      <c r="U611" s="334"/>
      <c r="V611" s="334"/>
      <c r="W611" s="334"/>
      <c r="X611" s="334"/>
      <c r="Y611" s="246"/>
      <c r="Z611" s="246"/>
      <c r="AA611" s="246"/>
      <c r="AB611" s="246"/>
      <c r="AC611" s="246"/>
      <c r="AD611" s="246"/>
      <c r="AE611" s="246"/>
      <c r="AF611" s="246"/>
      <c r="AG611" s="246"/>
      <c r="AH611" s="246"/>
      <c r="AI611" s="246"/>
      <c r="AJ611" s="246"/>
      <c r="AK611" s="246"/>
      <c r="AL611" s="246"/>
      <c r="AM611" s="246"/>
      <c r="AN611" s="246"/>
      <c r="AO611" s="246"/>
      <c r="AP611" s="246"/>
      <c r="AQ611" s="246"/>
      <c r="AR611" s="246"/>
      <c r="AS611" s="246"/>
      <c r="AT611" s="246"/>
      <c r="AU611" s="246"/>
      <c r="AV611" s="246"/>
      <c r="AW611" s="246"/>
      <c r="AX611" s="246"/>
      <c r="AY611" s="246"/>
      <c r="AZ611" s="246"/>
      <c r="BA611" s="246"/>
      <c r="BB611" s="246"/>
      <c r="BC611" s="246"/>
      <c r="BD611" s="246"/>
      <c r="BE611" s="246"/>
      <c r="BF611" s="246"/>
      <c r="BG611" s="246"/>
      <c r="BH611" s="246"/>
      <c r="BI611" s="246"/>
      <c r="BJ611" s="246"/>
    </row>
    <row r="612" spans="2:62" ht="15.75">
      <c r="B612" s="7"/>
      <c r="C612" s="334"/>
      <c r="D612" s="334"/>
      <c r="E612" s="334"/>
      <c r="F612" s="334"/>
      <c r="G612" s="334"/>
      <c r="H612" s="334"/>
      <c r="I612" s="334"/>
      <c r="J612" s="334"/>
      <c r="K612" s="334"/>
      <c r="L612" s="334"/>
      <c r="M612" s="334"/>
      <c r="N612" s="334"/>
      <c r="O612" s="334"/>
      <c r="P612" s="334"/>
      <c r="Q612" s="334"/>
      <c r="R612" s="334"/>
      <c r="S612" s="334"/>
      <c r="T612" s="334"/>
      <c r="U612" s="334"/>
      <c r="V612" s="334"/>
      <c r="W612" s="334"/>
      <c r="X612" s="334"/>
      <c r="Y612" s="246"/>
      <c r="Z612" s="246"/>
      <c r="AA612" s="246"/>
      <c r="AB612" s="246"/>
      <c r="AC612" s="246"/>
      <c r="AD612" s="246"/>
      <c r="AE612" s="246"/>
      <c r="AF612" s="246"/>
      <c r="AG612" s="246"/>
      <c r="AH612" s="246"/>
      <c r="AI612" s="246"/>
      <c r="AJ612" s="246"/>
      <c r="AK612" s="246"/>
      <c r="AL612" s="246"/>
      <c r="AM612" s="246"/>
      <c r="AN612" s="246"/>
      <c r="AO612" s="246"/>
      <c r="AP612" s="246"/>
      <c r="AQ612" s="246"/>
      <c r="AR612" s="246"/>
      <c r="AS612" s="246"/>
      <c r="AT612" s="246"/>
      <c r="AU612" s="246"/>
      <c r="AV612" s="246"/>
      <c r="AW612" s="246"/>
      <c r="AX612" s="246"/>
      <c r="AY612" s="246"/>
      <c r="AZ612" s="246"/>
      <c r="BA612" s="246"/>
      <c r="BB612" s="246"/>
      <c r="BC612" s="246"/>
      <c r="BD612" s="246"/>
      <c r="BE612" s="246"/>
      <c r="BF612" s="246"/>
      <c r="BG612" s="246"/>
      <c r="BH612" s="246"/>
      <c r="BI612" s="246"/>
      <c r="BJ612" s="246"/>
    </row>
    <row r="613" spans="2:62" ht="15.75">
      <c r="B613" s="7"/>
      <c r="C613" s="334"/>
      <c r="D613" s="334"/>
      <c r="E613" s="334"/>
      <c r="F613" s="334"/>
      <c r="G613" s="334"/>
      <c r="H613" s="334"/>
      <c r="I613" s="334"/>
      <c r="J613" s="334"/>
      <c r="K613" s="334"/>
      <c r="L613" s="334"/>
      <c r="M613" s="334"/>
      <c r="N613" s="334"/>
      <c r="O613" s="334"/>
      <c r="P613" s="334"/>
      <c r="Q613" s="334"/>
      <c r="R613" s="334"/>
      <c r="S613" s="334"/>
      <c r="T613" s="334"/>
      <c r="U613" s="334"/>
      <c r="V613" s="334"/>
      <c r="W613" s="334"/>
      <c r="X613" s="334"/>
      <c r="Y613" s="246"/>
      <c r="Z613" s="246"/>
      <c r="AA613" s="246"/>
      <c r="AB613" s="246"/>
      <c r="AC613" s="246"/>
      <c r="AD613" s="246"/>
      <c r="AE613" s="246"/>
      <c r="AF613" s="246"/>
      <c r="AG613" s="246"/>
      <c r="AH613" s="246"/>
      <c r="AI613" s="246"/>
      <c r="AJ613" s="246"/>
      <c r="AK613" s="246"/>
      <c r="AL613" s="246"/>
      <c r="AM613" s="246"/>
      <c r="AN613" s="246"/>
      <c r="AO613" s="246"/>
      <c r="AP613" s="246"/>
      <c r="AQ613" s="246"/>
      <c r="AR613" s="246"/>
      <c r="AS613" s="246"/>
      <c r="AT613" s="246"/>
      <c r="AU613" s="246"/>
      <c r="AV613" s="246"/>
      <c r="AW613" s="246"/>
      <c r="AX613" s="246"/>
      <c r="AY613" s="246"/>
      <c r="AZ613" s="246"/>
      <c r="BA613" s="246"/>
      <c r="BB613" s="246"/>
      <c r="BC613" s="246"/>
      <c r="BD613" s="246"/>
      <c r="BE613" s="246"/>
      <c r="BF613" s="246"/>
      <c r="BG613" s="246"/>
      <c r="BH613" s="246"/>
      <c r="BI613" s="246"/>
      <c r="BJ613" s="246"/>
    </row>
    <row r="614" spans="2:62" ht="15.75">
      <c r="B614" s="7"/>
      <c r="C614" s="334"/>
      <c r="D614" s="334"/>
      <c r="E614" s="334"/>
      <c r="F614" s="334"/>
      <c r="G614" s="334"/>
      <c r="H614" s="334"/>
      <c r="I614" s="334"/>
      <c r="J614" s="334"/>
      <c r="K614" s="334"/>
      <c r="L614" s="334"/>
      <c r="M614" s="334"/>
      <c r="N614" s="334"/>
      <c r="O614" s="334"/>
      <c r="P614" s="334"/>
      <c r="Q614" s="334"/>
      <c r="R614" s="334"/>
      <c r="S614" s="334"/>
      <c r="T614" s="334"/>
      <c r="U614" s="334"/>
      <c r="V614" s="334"/>
      <c r="W614" s="334"/>
      <c r="X614" s="334"/>
      <c r="Y614" s="246"/>
      <c r="Z614" s="246"/>
      <c r="AA614" s="246"/>
      <c r="AB614" s="246"/>
      <c r="AC614" s="246"/>
      <c r="AD614" s="246"/>
      <c r="AE614" s="246"/>
      <c r="AF614" s="246"/>
      <c r="AG614" s="246"/>
      <c r="AH614" s="246"/>
      <c r="AI614" s="246"/>
      <c r="AJ614" s="246"/>
      <c r="AK614" s="246"/>
      <c r="AL614" s="246"/>
      <c r="AM614" s="246"/>
      <c r="AN614" s="246"/>
      <c r="AO614" s="246"/>
      <c r="AP614" s="246"/>
      <c r="AQ614" s="246"/>
      <c r="AR614" s="246"/>
      <c r="AS614" s="246"/>
      <c r="AT614" s="246"/>
      <c r="AU614" s="246"/>
      <c r="AV614" s="246"/>
      <c r="AW614" s="246"/>
      <c r="AX614" s="246"/>
      <c r="AY614" s="246"/>
      <c r="AZ614" s="246"/>
      <c r="BA614" s="246"/>
      <c r="BB614" s="246"/>
      <c r="BC614" s="246"/>
      <c r="BD614" s="246"/>
      <c r="BE614" s="246"/>
      <c r="BF614" s="246"/>
      <c r="BG614" s="246"/>
      <c r="BH614" s="246"/>
      <c r="BI614" s="246"/>
      <c r="BJ614" s="246"/>
    </row>
    <row r="615" spans="2:62" ht="15.75">
      <c r="B615" s="7"/>
      <c r="C615" s="334"/>
      <c r="D615" s="334"/>
      <c r="E615" s="334"/>
      <c r="F615" s="334"/>
      <c r="G615" s="334"/>
      <c r="H615" s="334"/>
      <c r="I615" s="334"/>
      <c r="J615" s="334"/>
      <c r="K615" s="334"/>
      <c r="L615" s="334"/>
      <c r="M615" s="334"/>
      <c r="N615" s="334"/>
      <c r="O615" s="334"/>
      <c r="P615" s="334"/>
      <c r="Q615" s="334"/>
      <c r="R615" s="334"/>
      <c r="S615" s="334"/>
      <c r="T615" s="334"/>
      <c r="U615" s="334"/>
      <c r="V615" s="334"/>
      <c r="W615" s="334"/>
      <c r="X615" s="334"/>
      <c r="Y615" s="246"/>
      <c r="Z615" s="246"/>
      <c r="AA615" s="246"/>
      <c r="AB615" s="246"/>
      <c r="AC615" s="246"/>
      <c r="AD615" s="246"/>
      <c r="AE615" s="246"/>
      <c r="AF615" s="246"/>
      <c r="AG615" s="246"/>
      <c r="AH615" s="246"/>
      <c r="AI615" s="246"/>
      <c r="AJ615" s="246"/>
      <c r="AK615" s="246"/>
      <c r="AL615" s="246"/>
      <c r="AM615" s="246"/>
      <c r="AN615" s="246"/>
      <c r="AO615" s="246"/>
      <c r="AP615" s="246"/>
      <c r="AQ615" s="246"/>
      <c r="AR615" s="246"/>
      <c r="AS615" s="246"/>
      <c r="AT615" s="246"/>
      <c r="AU615" s="246"/>
      <c r="AV615" s="246"/>
      <c r="AW615" s="246"/>
      <c r="AX615" s="246"/>
      <c r="AY615" s="246"/>
      <c r="AZ615" s="246"/>
      <c r="BA615" s="246"/>
      <c r="BB615" s="246"/>
      <c r="BC615" s="246"/>
      <c r="BD615" s="246"/>
      <c r="BE615" s="246"/>
      <c r="BF615" s="246"/>
      <c r="BG615" s="246"/>
      <c r="BH615" s="246"/>
      <c r="BI615" s="246"/>
      <c r="BJ615" s="246"/>
    </row>
    <row r="616" spans="2:62" ht="15.75">
      <c r="B616" s="7"/>
      <c r="C616" s="334"/>
      <c r="D616" s="334"/>
      <c r="E616" s="334"/>
      <c r="F616" s="334"/>
      <c r="G616" s="334"/>
      <c r="H616" s="334"/>
      <c r="I616" s="334"/>
      <c r="J616" s="334"/>
      <c r="K616" s="334"/>
      <c r="L616" s="334"/>
      <c r="M616" s="334"/>
      <c r="N616" s="334"/>
      <c r="O616" s="334"/>
      <c r="P616" s="334"/>
      <c r="Q616" s="334"/>
      <c r="R616" s="334"/>
      <c r="S616" s="334"/>
      <c r="T616" s="334"/>
      <c r="U616" s="334"/>
      <c r="V616" s="334"/>
      <c r="W616" s="334"/>
      <c r="X616" s="334"/>
      <c r="Y616" s="246"/>
      <c r="Z616" s="246"/>
      <c r="AA616" s="246"/>
      <c r="AB616" s="246"/>
      <c r="AC616" s="246"/>
      <c r="AD616" s="246"/>
      <c r="AE616" s="246"/>
      <c r="AF616" s="246"/>
      <c r="AG616" s="246"/>
      <c r="AH616" s="246"/>
      <c r="AI616" s="246"/>
      <c r="AJ616" s="246"/>
      <c r="AK616" s="246"/>
      <c r="AL616" s="246"/>
      <c r="AM616" s="246"/>
      <c r="AN616" s="246"/>
      <c r="AO616" s="246"/>
      <c r="AP616" s="246"/>
      <c r="AQ616" s="246"/>
      <c r="AR616" s="246"/>
      <c r="AS616" s="246"/>
      <c r="AT616" s="246"/>
      <c r="AU616" s="246"/>
      <c r="AV616" s="246"/>
      <c r="AW616" s="246"/>
      <c r="AX616" s="246"/>
      <c r="AY616" s="246"/>
      <c r="AZ616" s="246"/>
      <c r="BA616" s="246"/>
      <c r="BB616" s="246"/>
      <c r="BC616" s="246"/>
      <c r="BD616" s="246"/>
      <c r="BE616" s="246"/>
      <c r="BF616" s="246"/>
      <c r="BG616" s="246"/>
      <c r="BH616" s="246"/>
      <c r="BI616" s="246"/>
      <c r="BJ616" s="246"/>
    </row>
    <row r="617" spans="2:62" ht="15.75">
      <c r="B617" s="7"/>
      <c r="C617" s="334"/>
      <c r="D617" s="334"/>
      <c r="E617" s="334"/>
      <c r="F617" s="334"/>
      <c r="G617" s="334"/>
      <c r="H617" s="334"/>
      <c r="I617" s="334"/>
      <c r="J617" s="334"/>
      <c r="K617" s="334"/>
      <c r="L617" s="334"/>
      <c r="M617" s="334"/>
      <c r="N617" s="334"/>
      <c r="O617" s="334"/>
      <c r="P617" s="334"/>
      <c r="Q617" s="334"/>
      <c r="R617" s="334"/>
      <c r="S617" s="334"/>
      <c r="T617" s="334"/>
      <c r="U617" s="334"/>
      <c r="V617" s="334"/>
      <c r="W617" s="334"/>
      <c r="X617" s="334"/>
      <c r="Y617" s="246"/>
      <c r="Z617" s="246"/>
      <c r="AA617" s="246"/>
      <c r="AB617" s="246"/>
      <c r="AC617" s="246"/>
      <c r="AD617" s="246"/>
      <c r="AE617" s="246"/>
      <c r="AF617" s="246"/>
      <c r="AG617" s="246"/>
      <c r="AH617" s="246"/>
      <c r="AI617" s="246"/>
      <c r="AJ617" s="246"/>
      <c r="AK617" s="246"/>
      <c r="AL617" s="246"/>
      <c r="AM617" s="246"/>
      <c r="AN617" s="246"/>
      <c r="AO617" s="246"/>
      <c r="AP617" s="246"/>
      <c r="AQ617" s="246"/>
      <c r="AR617" s="246"/>
      <c r="AS617" s="246"/>
      <c r="AT617" s="246"/>
      <c r="AU617" s="246"/>
      <c r="AV617" s="246"/>
      <c r="AW617" s="246"/>
      <c r="AX617" s="246"/>
      <c r="AY617" s="246"/>
      <c r="AZ617" s="246"/>
      <c r="BA617" s="246"/>
      <c r="BB617" s="246"/>
      <c r="BC617" s="246"/>
      <c r="BD617" s="246"/>
      <c r="BE617" s="246"/>
      <c r="BF617" s="246"/>
      <c r="BG617" s="246"/>
      <c r="BH617" s="246"/>
      <c r="BI617" s="246"/>
      <c r="BJ617" s="246"/>
    </row>
    <row r="618" spans="2:62" ht="15.75">
      <c r="B618" s="7"/>
      <c r="C618" s="334"/>
      <c r="D618" s="334"/>
      <c r="E618" s="334"/>
      <c r="F618" s="334"/>
      <c r="G618" s="334"/>
      <c r="H618" s="334"/>
      <c r="I618" s="334"/>
      <c r="J618" s="334"/>
      <c r="K618" s="334"/>
      <c r="L618" s="334"/>
      <c r="M618" s="334"/>
      <c r="N618" s="334"/>
      <c r="O618" s="334"/>
      <c r="P618" s="334"/>
      <c r="Q618" s="334"/>
      <c r="R618" s="334"/>
      <c r="S618" s="334"/>
      <c r="T618" s="334"/>
      <c r="U618" s="334"/>
      <c r="V618" s="334"/>
      <c r="W618" s="334"/>
      <c r="X618" s="334"/>
      <c r="Y618" s="246"/>
      <c r="Z618" s="246"/>
      <c r="AA618" s="246"/>
      <c r="AB618" s="246"/>
      <c r="AC618" s="246"/>
      <c r="AD618" s="246"/>
      <c r="AE618" s="246"/>
      <c r="AF618" s="246"/>
      <c r="AG618" s="246"/>
      <c r="AH618" s="246"/>
      <c r="AI618" s="246"/>
      <c r="AJ618" s="246"/>
      <c r="AK618" s="246"/>
      <c r="AL618" s="246"/>
      <c r="AM618" s="246"/>
      <c r="AN618" s="246"/>
      <c r="AO618" s="246"/>
      <c r="AP618" s="246"/>
      <c r="AQ618" s="246"/>
      <c r="AR618" s="246"/>
      <c r="AS618" s="246"/>
      <c r="AT618" s="246"/>
      <c r="AU618" s="246"/>
      <c r="AV618" s="246"/>
      <c r="AW618" s="246"/>
      <c r="AX618" s="246"/>
      <c r="AY618" s="246"/>
      <c r="AZ618" s="246"/>
      <c r="BA618" s="246"/>
      <c r="BB618" s="246"/>
      <c r="BC618" s="246"/>
      <c r="BD618" s="246"/>
      <c r="BE618" s="246"/>
      <c r="BF618" s="246"/>
      <c r="BG618" s="246"/>
      <c r="BH618" s="246"/>
      <c r="BI618" s="246"/>
      <c r="BJ618" s="246"/>
    </row>
    <row r="619" spans="2:62" ht="15.75">
      <c r="B619" s="7"/>
      <c r="C619" s="334"/>
      <c r="D619" s="334"/>
      <c r="E619" s="334"/>
      <c r="F619" s="334"/>
      <c r="G619" s="334"/>
      <c r="H619" s="334"/>
      <c r="I619" s="334"/>
      <c r="J619" s="334"/>
      <c r="K619" s="334"/>
      <c r="L619" s="334"/>
      <c r="M619" s="334"/>
      <c r="N619" s="334"/>
      <c r="O619" s="334"/>
      <c r="P619" s="334"/>
      <c r="Q619" s="334"/>
      <c r="R619" s="334"/>
      <c r="S619" s="334"/>
      <c r="T619" s="334"/>
      <c r="U619" s="334"/>
      <c r="V619" s="334"/>
      <c r="W619" s="334"/>
      <c r="X619" s="334"/>
      <c r="Y619" s="246"/>
      <c r="Z619" s="246"/>
      <c r="AA619" s="246"/>
      <c r="AB619" s="246"/>
      <c r="AC619" s="246"/>
      <c r="AD619" s="246"/>
      <c r="AE619" s="246"/>
      <c r="AF619" s="246"/>
      <c r="AG619" s="246"/>
      <c r="AH619" s="246"/>
      <c r="AI619" s="246"/>
      <c r="AJ619" s="246"/>
      <c r="AK619" s="246"/>
      <c r="AL619" s="246"/>
      <c r="AM619" s="246"/>
      <c r="AN619" s="246"/>
      <c r="AO619" s="246"/>
      <c r="AP619" s="246"/>
      <c r="AQ619" s="246"/>
      <c r="AR619" s="246"/>
      <c r="AS619" s="246"/>
      <c r="AT619" s="246"/>
      <c r="AU619" s="246"/>
      <c r="AV619" s="246"/>
      <c r="AW619" s="246"/>
      <c r="AX619" s="246"/>
      <c r="AY619" s="246"/>
      <c r="AZ619" s="246"/>
      <c r="BA619" s="246"/>
      <c r="BB619" s="246"/>
      <c r="BC619" s="246"/>
      <c r="BD619" s="246"/>
      <c r="BE619" s="246"/>
      <c r="BF619" s="246"/>
      <c r="BG619" s="246"/>
      <c r="BH619" s="246"/>
      <c r="BI619" s="246"/>
      <c r="BJ619" s="246"/>
    </row>
    <row r="620" spans="2:62" ht="15.75">
      <c r="B620" s="7"/>
      <c r="C620" s="334"/>
      <c r="D620" s="334"/>
      <c r="E620" s="334"/>
      <c r="F620" s="334"/>
      <c r="G620" s="334"/>
      <c r="H620" s="334"/>
      <c r="I620" s="334"/>
      <c r="J620" s="334"/>
      <c r="K620" s="334"/>
      <c r="L620" s="334"/>
      <c r="M620" s="334"/>
      <c r="N620" s="334"/>
      <c r="O620" s="334"/>
      <c r="P620" s="334"/>
      <c r="Q620" s="334"/>
      <c r="R620" s="334"/>
      <c r="S620" s="334"/>
      <c r="T620" s="334"/>
      <c r="U620" s="334"/>
      <c r="V620" s="334"/>
      <c r="W620" s="334"/>
      <c r="X620" s="334"/>
      <c r="Y620" s="246"/>
      <c r="Z620" s="246"/>
      <c r="AA620" s="246"/>
      <c r="AB620" s="246"/>
      <c r="AC620" s="246"/>
      <c r="AD620" s="246"/>
      <c r="AE620" s="246"/>
      <c r="AF620" s="246"/>
      <c r="AG620" s="246"/>
      <c r="AH620" s="246"/>
      <c r="AI620" s="246"/>
      <c r="AJ620" s="246"/>
      <c r="AK620" s="246"/>
      <c r="AL620" s="246"/>
      <c r="AM620" s="246"/>
      <c r="AN620" s="246"/>
      <c r="AO620" s="246"/>
      <c r="AP620" s="246"/>
      <c r="AQ620" s="246"/>
      <c r="AR620" s="246"/>
      <c r="AS620" s="246"/>
      <c r="AT620" s="246"/>
      <c r="AU620" s="246"/>
      <c r="AV620" s="246"/>
      <c r="AW620" s="246"/>
      <c r="AX620" s="246"/>
      <c r="AY620" s="246"/>
      <c r="AZ620" s="246"/>
      <c r="BA620" s="246"/>
      <c r="BB620" s="246"/>
      <c r="BC620" s="246"/>
      <c r="BD620" s="246"/>
      <c r="BE620" s="246"/>
      <c r="BF620" s="246"/>
      <c r="BG620" s="246"/>
      <c r="BH620" s="246"/>
      <c r="BI620" s="246"/>
      <c r="BJ620" s="246"/>
    </row>
    <row r="621" spans="2:62" ht="15.75">
      <c r="B621" s="7"/>
      <c r="C621" s="334"/>
      <c r="D621" s="334"/>
      <c r="E621" s="334"/>
      <c r="F621" s="334"/>
      <c r="G621" s="334"/>
      <c r="H621" s="334"/>
      <c r="I621" s="334"/>
      <c r="J621" s="334"/>
      <c r="K621" s="334"/>
      <c r="L621" s="334"/>
      <c r="M621" s="334"/>
      <c r="N621" s="334"/>
      <c r="O621" s="334"/>
      <c r="P621" s="334"/>
      <c r="Q621" s="334"/>
      <c r="R621" s="334"/>
      <c r="S621" s="334"/>
      <c r="T621" s="334"/>
      <c r="U621" s="334"/>
      <c r="V621" s="334"/>
      <c r="W621" s="334"/>
      <c r="X621" s="334"/>
      <c r="Y621" s="246"/>
      <c r="Z621" s="246"/>
      <c r="AA621" s="246"/>
      <c r="AB621" s="246"/>
      <c r="AC621" s="246"/>
      <c r="AD621" s="246"/>
      <c r="AE621" s="246"/>
      <c r="AF621" s="246"/>
      <c r="AG621" s="246"/>
      <c r="AH621" s="246"/>
      <c r="AI621" s="246"/>
      <c r="AJ621" s="246"/>
      <c r="AK621" s="246"/>
      <c r="AL621" s="246"/>
      <c r="AM621" s="246"/>
      <c r="AN621" s="246"/>
      <c r="AO621" s="246"/>
      <c r="AP621" s="246"/>
      <c r="AQ621" s="246"/>
      <c r="AR621" s="246"/>
      <c r="AS621" s="246"/>
      <c r="AT621" s="246"/>
      <c r="AU621" s="246"/>
      <c r="AV621" s="246"/>
      <c r="AW621" s="246"/>
      <c r="AX621" s="246"/>
      <c r="AY621" s="246"/>
      <c r="AZ621" s="246"/>
      <c r="BA621" s="246"/>
      <c r="BB621" s="246"/>
      <c r="BC621" s="246"/>
      <c r="BD621" s="246"/>
      <c r="BE621" s="246"/>
      <c r="BF621" s="246"/>
      <c r="BG621" s="246"/>
      <c r="BH621" s="246"/>
      <c r="BI621" s="246"/>
      <c r="BJ621" s="246"/>
    </row>
    <row r="622" spans="2:62" ht="15.75">
      <c r="B622" s="7"/>
      <c r="C622" s="334"/>
      <c r="D622" s="334"/>
      <c r="E622" s="334"/>
      <c r="F622" s="334"/>
      <c r="G622" s="334"/>
      <c r="H622" s="334"/>
      <c r="I622" s="334"/>
      <c r="J622" s="334"/>
      <c r="K622" s="334"/>
      <c r="L622" s="334"/>
      <c r="M622" s="334"/>
      <c r="N622" s="334"/>
      <c r="O622" s="334"/>
      <c r="P622" s="334"/>
      <c r="Q622" s="334"/>
      <c r="R622" s="334"/>
      <c r="S622" s="334"/>
      <c r="T622" s="334"/>
      <c r="U622" s="334"/>
      <c r="V622" s="334"/>
      <c r="W622" s="334"/>
      <c r="X622" s="334"/>
      <c r="Y622" s="246"/>
      <c r="Z622" s="246"/>
      <c r="AA622" s="246"/>
      <c r="AB622" s="246"/>
      <c r="AC622" s="246"/>
      <c r="AD622" s="246"/>
      <c r="AE622" s="246"/>
      <c r="AF622" s="246"/>
      <c r="AG622" s="246"/>
      <c r="AH622" s="246"/>
      <c r="AI622" s="246"/>
      <c r="AJ622" s="246"/>
      <c r="AK622" s="246"/>
      <c r="AL622" s="246"/>
      <c r="AM622" s="246"/>
      <c r="AN622" s="246"/>
      <c r="AO622" s="246"/>
      <c r="AP622" s="246"/>
      <c r="AQ622" s="246"/>
      <c r="AR622" s="246"/>
      <c r="AS622" s="246"/>
      <c r="AT622" s="246"/>
      <c r="AU622" s="246"/>
      <c r="AV622" s="246"/>
      <c r="AW622" s="246"/>
      <c r="AX622" s="246"/>
      <c r="AY622" s="246"/>
      <c r="AZ622" s="246"/>
      <c r="BA622" s="246"/>
      <c r="BB622" s="246"/>
      <c r="BC622" s="246"/>
      <c r="BD622" s="246"/>
      <c r="BE622" s="246"/>
      <c r="BF622" s="246"/>
      <c r="BG622" s="246"/>
      <c r="BH622" s="246"/>
      <c r="BI622" s="246"/>
      <c r="BJ622" s="246"/>
    </row>
    <row r="623" spans="2:62" ht="15.75">
      <c r="B623" s="7"/>
      <c r="C623" s="334"/>
      <c r="D623" s="334"/>
      <c r="E623" s="334"/>
      <c r="F623" s="334"/>
      <c r="G623" s="334"/>
      <c r="H623" s="334"/>
      <c r="I623" s="334"/>
      <c r="J623" s="334"/>
      <c r="K623" s="334"/>
      <c r="L623" s="334"/>
      <c r="M623" s="334"/>
      <c r="N623" s="334"/>
      <c r="O623" s="334"/>
      <c r="P623" s="334"/>
      <c r="Q623" s="334"/>
      <c r="R623" s="334"/>
      <c r="S623" s="334"/>
      <c r="T623" s="334"/>
      <c r="U623" s="334"/>
      <c r="V623" s="334"/>
      <c r="W623" s="334"/>
      <c r="X623" s="334"/>
      <c r="Y623" s="246"/>
      <c r="Z623" s="246"/>
      <c r="AA623" s="246"/>
      <c r="AB623" s="246"/>
      <c r="AC623" s="246"/>
      <c r="AD623" s="246"/>
      <c r="AE623" s="246"/>
      <c r="AF623" s="246"/>
      <c r="AG623" s="246"/>
      <c r="AH623" s="246"/>
      <c r="AI623" s="246"/>
      <c r="AJ623" s="246"/>
      <c r="AK623" s="246"/>
      <c r="AL623" s="246"/>
      <c r="AM623" s="246"/>
      <c r="AN623" s="246"/>
      <c r="AO623" s="246"/>
      <c r="AP623" s="246"/>
      <c r="AQ623" s="246"/>
      <c r="AR623" s="246"/>
      <c r="AS623" s="246"/>
      <c r="AT623" s="246"/>
      <c r="AU623" s="246"/>
      <c r="AV623" s="246"/>
      <c r="AW623" s="246"/>
      <c r="AX623" s="246"/>
      <c r="AY623" s="246"/>
      <c r="AZ623" s="246"/>
      <c r="BA623" s="246"/>
      <c r="BB623" s="246"/>
      <c r="BC623" s="246"/>
      <c r="BD623" s="246"/>
      <c r="BE623" s="246"/>
      <c r="BF623" s="246"/>
      <c r="BG623" s="246"/>
      <c r="BH623" s="246"/>
      <c r="BI623" s="246"/>
      <c r="BJ623" s="246"/>
    </row>
    <row r="624" spans="2:62" ht="15.75">
      <c r="B624" s="7"/>
      <c r="C624" s="334"/>
      <c r="D624" s="334"/>
      <c r="E624" s="334"/>
      <c r="F624" s="334"/>
      <c r="G624" s="334"/>
      <c r="H624" s="334"/>
      <c r="I624" s="334"/>
      <c r="J624" s="334"/>
      <c r="K624" s="334"/>
      <c r="L624" s="334"/>
      <c r="M624" s="334"/>
      <c r="N624" s="334"/>
      <c r="O624" s="334"/>
      <c r="P624" s="334"/>
      <c r="Q624" s="334"/>
      <c r="R624" s="334"/>
      <c r="S624" s="334"/>
      <c r="T624" s="334"/>
      <c r="U624" s="334"/>
      <c r="V624" s="334"/>
      <c r="W624" s="334"/>
      <c r="X624" s="334"/>
      <c r="Y624" s="246"/>
      <c r="Z624" s="246"/>
      <c r="AA624" s="246"/>
      <c r="AB624" s="246"/>
      <c r="AC624" s="246"/>
      <c r="AD624" s="246"/>
      <c r="AE624" s="246"/>
      <c r="AF624" s="246"/>
      <c r="AG624" s="246"/>
      <c r="AH624" s="246"/>
      <c r="AI624" s="246"/>
      <c r="AJ624" s="246"/>
      <c r="AK624" s="246"/>
      <c r="AL624" s="246"/>
      <c r="AM624" s="246"/>
      <c r="AN624" s="246"/>
      <c r="AO624" s="246"/>
      <c r="AP624" s="246"/>
      <c r="AQ624" s="246"/>
      <c r="AR624" s="246"/>
      <c r="AS624" s="246"/>
      <c r="AT624" s="246"/>
      <c r="AU624" s="246"/>
      <c r="AV624" s="246"/>
      <c r="AW624" s="246"/>
      <c r="AX624" s="246"/>
      <c r="AY624" s="246"/>
      <c r="AZ624" s="246"/>
      <c r="BA624" s="246"/>
      <c r="BB624" s="246"/>
      <c r="BC624" s="246"/>
      <c r="BD624" s="246"/>
      <c r="BE624" s="246"/>
      <c r="BF624" s="246"/>
      <c r="BG624" s="246"/>
      <c r="BH624" s="246"/>
      <c r="BI624" s="246"/>
      <c r="BJ624" s="246"/>
    </row>
    <row r="625" spans="2:62" ht="15.75">
      <c r="B625" s="7"/>
      <c r="C625" s="334"/>
      <c r="D625" s="334"/>
      <c r="E625" s="334"/>
      <c r="F625" s="334"/>
      <c r="G625" s="334"/>
      <c r="H625" s="334"/>
      <c r="I625" s="334"/>
      <c r="J625" s="334"/>
      <c r="K625" s="334"/>
      <c r="L625" s="334"/>
      <c r="M625" s="334"/>
      <c r="N625" s="334"/>
      <c r="O625" s="334"/>
      <c r="P625" s="334"/>
      <c r="Q625" s="334"/>
      <c r="R625" s="334"/>
      <c r="S625" s="334"/>
      <c r="T625" s="334"/>
      <c r="U625" s="334"/>
      <c r="V625" s="334"/>
      <c r="W625" s="334"/>
      <c r="X625" s="334"/>
      <c r="Y625" s="246"/>
      <c r="Z625" s="246"/>
      <c r="AA625" s="246"/>
      <c r="AB625" s="246"/>
      <c r="AC625" s="246"/>
      <c r="AD625" s="246"/>
      <c r="AE625" s="246"/>
      <c r="AF625" s="246"/>
      <c r="AG625" s="246"/>
      <c r="AH625" s="246"/>
      <c r="AI625" s="246"/>
      <c r="AJ625" s="246"/>
      <c r="AK625" s="246"/>
      <c r="AL625" s="246"/>
      <c r="AM625" s="246"/>
      <c r="AN625" s="246"/>
      <c r="AO625" s="246"/>
      <c r="AP625" s="246"/>
      <c r="AQ625" s="246"/>
      <c r="AR625" s="246"/>
      <c r="AS625" s="246"/>
      <c r="AT625" s="246"/>
      <c r="AU625" s="246"/>
      <c r="AV625" s="246"/>
      <c r="AW625" s="246"/>
      <c r="AX625" s="246"/>
      <c r="AY625" s="246"/>
      <c r="AZ625" s="246"/>
      <c r="BA625" s="246"/>
      <c r="BB625" s="246"/>
      <c r="BC625" s="246"/>
      <c r="BD625" s="246"/>
      <c r="BE625" s="246"/>
      <c r="BF625" s="246"/>
      <c r="BG625" s="246"/>
      <c r="BH625" s="246"/>
      <c r="BI625" s="246"/>
      <c r="BJ625" s="246"/>
    </row>
    <row r="626" spans="2:62" ht="15.75">
      <c r="B626" s="7"/>
      <c r="C626" s="334"/>
      <c r="D626" s="334"/>
      <c r="E626" s="334"/>
      <c r="F626" s="334"/>
      <c r="G626" s="334"/>
      <c r="H626" s="334"/>
      <c r="I626" s="334"/>
      <c r="J626" s="334"/>
      <c r="K626" s="334"/>
      <c r="L626" s="334"/>
      <c r="M626" s="334"/>
      <c r="N626" s="334"/>
      <c r="O626" s="334"/>
      <c r="P626" s="334"/>
      <c r="Q626" s="334"/>
      <c r="R626" s="334"/>
      <c r="S626" s="334"/>
      <c r="T626" s="334"/>
      <c r="U626" s="334"/>
      <c r="V626" s="334"/>
      <c r="W626" s="334"/>
      <c r="X626" s="334"/>
      <c r="Y626" s="246"/>
      <c r="Z626" s="246"/>
      <c r="AA626" s="246"/>
      <c r="AB626" s="246"/>
      <c r="AC626" s="246"/>
      <c r="AD626" s="246"/>
      <c r="AE626" s="246"/>
      <c r="AF626" s="246"/>
      <c r="AG626" s="246"/>
      <c r="AH626" s="246"/>
      <c r="AI626" s="246"/>
      <c r="AJ626" s="246"/>
      <c r="AK626" s="246"/>
      <c r="AL626" s="246"/>
      <c r="AM626" s="246"/>
      <c r="AN626" s="246"/>
      <c r="AO626" s="246"/>
      <c r="AP626" s="246"/>
      <c r="AQ626" s="246"/>
      <c r="AR626" s="246"/>
      <c r="AS626" s="246"/>
      <c r="AT626" s="246"/>
      <c r="AU626" s="246"/>
      <c r="AV626" s="246"/>
      <c r="AW626" s="246"/>
      <c r="AX626" s="246"/>
      <c r="AY626" s="246"/>
      <c r="AZ626" s="246"/>
      <c r="BA626" s="246"/>
      <c r="BB626" s="246"/>
      <c r="BC626" s="246"/>
      <c r="BD626" s="246"/>
      <c r="BE626" s="246"/>
      <c r="BF626" s="246"/>
      <c r="BG626" s="246"/>
      <c r="BH626" s="246"/>
      <c r="BI626" s="246"/>
      <c r="BJ626" s="246"/>
    </row>
    <row r="627" spans="2:62" ht="15.75">
      <c r="B627" s="7"/>
      <c r="C627" s="334"/>
      <c r="D627" s="334"/>
      <c r="E627" s="334"/>
      <c r="F627" s="334"/>
      <c r="G627" s="334"/>
      <c r="H627" s="334"/>
      <c r="I627" s="334"/>
      <c r="J627" s="334"/>
      <c r="K627" s="334"/>
      <c r="L627" s="334"/>
      <c r="M627" s="334"/>
      <c r="N627" s="334"/>
      <c r="O627" s="334"/>
      <c r="P627" s="334"/>
      <c r="Q627" s="334"/>
      <c r="R627" s="334"/>
      <c r="S627" s="334"/>
      <c r="T627" s="334"/>
      <c r="U627" s="334"/>
      <c r="V627" s="334"/>
      <c r="W627" s="334"/>
      <c r="X627" s="334"/>
      <c r="Y627" s="246"/>
      <c r="Z627" s="246"/>
      <c r="AA627" s="246"/>
      <c r="AB627" s="246"/>
      <c r="AC627" s="246"/>
      <c r="AD627" s="246"/>
      <c r="AE627" s="246"/>
      <c r="AF627" s="246"/>
      <c r="AG627" s="246"/>
      <c r="AH627" s="246"/>
      <c r="AI627" s="246"/>
      <c r="AJ627" s="246"/>
      <c r="AK627" s="246"/>
      <c r="AL627" s="246"/>
      <c r="AM627" s="246"/>
      <c r="AN627" s="246"/>
      <c r="AO627" s="246"/>
      <c r="AP627" s="246"/>
      <c r="AQ627" s="246"/>
      <c r="AR627" s="246"/>
      <c r="AS627" s="246"/>
      <c r="AT627" s="246"/>
      <c r="AU627" s="246"/>
      <c r="AV627" s="246"/>
      <c r="AW627" s="246"/>
      <c r="AX627" s="246"/>
      <c r="AY627" s="246"/>
      <c r="AZ627" s="246"/>
      <c r="BA627" s="246"/>
      <c r="BB627" s="246"/>
      <c r="BC627" s="246"/>
      <c r="BD627" s="246"/>
      <c r="BE627" s="246"/>
      <c r="BF627" s="246"/>
      <c r="BG627" s="246"/>
      <c r="BH627" s="246"/>
      <c r="BI627" s="246"/>
      <c r="BJ627" s="246"/>
    </row>
    <row r="628" spans="2:62" ht="15.75">
      <c r="B628" s="7"/>
      <c r="C628" s="334"/>
      <c r="D628" s="334"/>
      <c r="E628" s="334"/>
      <c r="F628" s="334"/>
      <c r="G628" s="334"/>
      <c r="H628" s="334"/>
      <c r="I628" s="334"/>
      <c r="J628" s="334"/>
      <c r="K628" s="334"/>
      <c r="L628" s="334"/>
      <c r="M628" s="334"/>
      <c r="N628" s="334"/>
      <c r="O628" s="334"/>
      <c r="P628" s="334"/>
      <c r="Q628" s="334"/>
      <c r="R628" s="334"/>
      <c r="S628" s="334"/>
      <c r="T628" s="334"/>
      <c r="U628" s="334"/>
      <c r="V628" s="334"/>
      <c r="W628" s="334"/>
      <c r="X628" s="334"/>
      <c r="Y628" s="246"/>
      <c r="Z628" s="246"/>
      <c r="AA628" s="246"/>
      <c r="AB628" s="246"/>
      <c r="AC628" s="246"/>
      <c r="AD628" s="246"/>
      <c r="AE628" s="246"/>
      <c r="AF628" s="246"/>
      <c r="AG628" s="246"/>
      <c r="AH628" s="246"/>
      <c r="AI628" s="246"/>
      <c r="AJ628" s="246"/>
      <c r="AK628" s="246"/>
      <c r="AL628" s="246"/>
      <c r="AM628" s="246"/>
      <c r="AN628" s="246"/>
      <c r="AO628" s="246"/>
      <c r="AP628" s="246"/>
      <c r="AQ628" s="246"/>
      <c r="AR628" s="246"/>
      <c r="AS628" s="246"/>
      <c r="AT628" s="246"/>
      <c r="AU628" s="246"/>
      <c r="AV628" s="246"/>
      <c r="AW628" s="246"/>
      <c r="AX628" s="246"/>
      <c r="AY628" s="246"/>
      <c r="AZ628" s="246"/>
      <c r="BA628" s="246"/>
      <c r="BB628" s="246"/>
      <c r="BC628" s="246"/>
      <c r="BD628" s="246"/>
      <c r="BE628" s="246"/>
      <c r="BF628" s="246"/>
      <c r="BG628" s="246"/>
      <c r="BH628" s="246"/>
      <c r="BI628" s="246"/>
      <c r="BJ628" s="246"/>
    </row>
    <row r="629" spans="2:62" ht="15.75">
      <c r="B629" s="7"/>
      <c r="C629" s="334"/>
      <c r="D629" s="334"/>
      <c r="E629" s="334"/>
      <c r="F629" s="334"/>
      <c r="G629" s="334"/>
      <c r="H629" s="334"/>
      <c r="I629" s="334"/>
      <c r="J629" s="334"/>
      <c r="K629" s="334"/>
      <c r="L629" s="334"/>
      <c r="M629" s="334"/>
      <c r="N629" s="334"/>
      <c r="O629" s="334"/>
      <c r="P629" s="334"/>
      <c r="Q629" s="334"/>
      <c r="R629" s="334"/>
      <c r="S629" s="334"/>
      <c r="T629" s="334"/>
      <c r="U629" s="334"/>
      <c r="V629" s="334"/>
      <c r="W629" s="334"/>
      <c r="X629" s="334"/>
      <c r="Y629" s="246"/>
      <c r="Z629" s="246"/>
      <c r="AA629" s="246"/>
      <c r="AB629" s="246"/>
      <c r="AC629" s="246"/>
      <c r="AD629" s="246"/>
      <c r="AE629" s="246"/>
      <c r="AF629" s="246"/>
      <c r="AG629" s="246"/>
      <c r="AH629" s="246"/>
      <c r="AI629" s="246"/>
      <c r="AJ629" s="246"/>
      <c r="AK629" s="246"/>
      <c r="AL629" s="246"/>
      <c r="AM629" s="246"/>
      <c r="AN629" s="246"/>
      <c r="AO629" s="246"/>
      <c r="AP629" s="246"/>
      <c r="AQ629" s="246"/>
      <c r="AR629" s="246"/>
      <c r="AS629" s="246"/>
      <c r="AT629" s="246"/>
      <c r="AU629" s="246"/>
      <c r="AV629" s="246"/>
      <c r="AW629" s="246"/>
      <c r="AX629" s="246"/>
      <c r="AY629" s="246"/>
      <c r="AZ629" s="246"/>
      <c r="BA629" s="246"/>
      <c r="BB629" s="246"/>
      <c r="BC629" s="246"/>
      <c r="BD629" s="246"/>
      <c r="BE629" s="246"/>
      <c r="BF629" s="246"/>
      <c r="BG629" s="246"/>
      <c r="BH629" s="246"/>
      <c r="BI629" s="246"/>
      <c r="BJ629" s="246"/>
    </row>
    <row r="630" spans="2:62" ht="15.75">
      <c r="B630" s="7"/>
      <c r="C630" s="334"/>
      <c r="D630" s="334"/>
      <c r="E630" s="334"/>
      <c r="F630" s="334"/>
      <c r="G630" s="334"/>
      <c r="H630" s="334"/>
      <c r="I630" s="334"/>
      <c r="J630" s="334"/>
      <c r="K630" s="334"/>
      <c r="L630" s="334"/>
      <c r="M630" s="334"/>
      <c r="N630" s="334"/>
      <c r="O630" s="334"/>
      <c r="P630" s="334"/>
      <c r="Q630" s="334"/>
      <c r="R630" s="334"/>
      <c r="S630" s="334"/>
      <c r="T630" s="334"/>
      <c r="U630" s="334"/>
      <c r="V630" s="334"/>
      <c r="W630" s="334"/>
      <c r="X630" s="334"/>
      <c r="Y630" s="246"/>
      <c r="Z630" s="246"/>
      <c r="AA630" s="246"/>
      <c r="AB630" s="246"/>
      <c r="AC630" s="246"/>
      <c r="AD630" s="246"/>
      <c r="AE630" s="246"/>
      <c r="AF630" s="246"/>
      <c r="AG630" s="246"/>
      <c r="AH630" s="246"/>
      <c r="AI630" s="246"/>
      <c r="AJ630" s="246"/>
      <c r="AK630" s="246"/>
      <c r="AL630" s="246"/>
      <c r="AM630" s="246"/>
      <c r="AN630" s="246"/>
      <c r="AO630" s="246"/>
      <c r="AP630" s="246"/>
      <c r="AQ630" s="246"/>
      <c r="AR630" s="246"/>
      <c r="AS630" s="246"/>
      <c r="AT630" s="246"/>
      <c r="AU630" s="246"/>
      <c r="AV630" s="246"/>
      <c r="AW630" s="246"/>
      <c r="AX630" s="246"/>
      <c r="AY630" s="246"/>
      <c r="AZ630" s="246"/>
      <c r="BA630" s="246"/>
      <c r="BB630" s="246"/>
      <c r="BC630" s="246"/>
      <c r="BD630" s="246"/>
      <c r="BE630" s="246"/>
      <c r="BF630" s="246"/>
      <c r="BG630" s="246"/>
      <c r="BH630" s="246"/>
      <c r="BI630" s="246"/>
      <c r="BJ630" s="246"/>
    </row>
    <row r="631" spans="2:62" ht="15.75">
      <c r="B631" s="7"/>
      <c r="C631" s="334"/>
      <c r="D631" s="334"/>
      <c r="E631" s="334"/>
      <c r="F631" s="334"/>
      <c r="G631" s="334"/>
      <c r="H631" s="334"/>
      <c r="I631" s="334"/>
      <c r="J631" s="334"/>
      <c r="K631" s="334"/>
      <c r="L631" s="334"/>
      <c r="M631" s="334"/>
      <c r="N631" s="334"/>
      <c r="O631" s="334"/>
      <c r="P631" s="334"/>
      <c r="Q631" s="334"/>
      <c r="R631" s="334"/>
      <c r="S631" s="334"/>
      <c r="T631" s="334"/>
      <c r="U631" s="334"/>
      <c r="V631" s="334"/>
      <c r="W631" s="334"/>
      <c r="X631" s="334"/>
      <c r="Y631" s="246"/>
      <c r="Z631" s="246"/>
      <c r="AA631" s="246"/>
      <c r="AB631" s="246"/>
      <c r="AC631" s="246"/>
      <c r="AD631" s="246"/>
      <c r="AE631" s="246"/>
      <c r="AF631" s="246"/>
      <c r="AG631" s="246"/>
      <c r="AH631" s="246"/>
      <c r="AI631" s="246"/>
      <c r="AJ631" s="246"/>
      <c r="AK631" s="246"/>
      <c r="AL631" s="246"/>
      <c r="AM631" s="246"/>
      <c r="AN631" s="246"/>
      <c r="AO631" s="246"/>
      <c r="AP631" s="246"/>
      <c r="AQ631" s="246"/>
      <c r="AR631" s="246"/>
      <c r="AS631" s="246"/>
      <c r="AT631" s="246"/>
      <c r="AU631" s="246"/>
      <c r="AV631" s="246"/>
      <c r="AW631" s="246"/>
      <c r="AX631" s="246"/>
      <c r="AY631" s="246"/>
      <c r="AZ631" s="246"/>
      <c r="BA631" s="246"/>
      <c r="BB631" s="246"/>
      <c r="BC631" s="246"/>
      <c r="BD631" s="246"/>
      <c r="BE631" s="246"/>
      <c r="BF631" s="246"/>
      <c r="BG631" s="246"/>
      <c r="BH631" s="246"/>
      <c r="BI631" s="246"/>
      <c r="BJ631" s="246"/>
    </row>
    <row r="632" spans="2:62" ht="15.75">
      <c r="B632" s="7"/>
      <c r="C632" s="334"/>
      <c r="D632" s="334"/>
      <c r="E632" s="334"/>
      <c r="F632" s="334"/>
      <c r="G632" s="334"/>
      <c r="H632" s="334"/>
      <c r="I632" s="334"/>
      <c r="J632" s="334"/>
      <c r="K632" s="334"/>
      <c r="L632" s="334"/>
      <c r="M632" s="334"/>
      <c r="N632" s="334"/>
      <c r="O632" s="334"/>
      <c r="P632" s="334"/>
      <c r="Q632" s="334"/>
      <c r="R632" s="334"/>
      <c r="S632" s="334"/>
      <c r="T632" s="334"/>
      <c r="U632" s="334"/>
      <c r="V632" s="334"/>
      <c r="W632" s="334"/>
      <c r="X632" s="334"/>
      <c r="Y632" s="246"/>
      <c r="Z632" s="246"/>
      <c r="AA632" s="246"/>
      <c r="AB632" s="246"/>
      <c r="AC632" s="246"/>
      <c r="AD632" s="246"/>
      <c r="AE632" s="246"/>
      <c r="AF632" s="246"/>
      <c r="AG632" s="246"/>
      <c r="AH632" s="246"/>
      <c r="AI632" s="246"/>
      <c r="AJ632" s="246"/>
      <c r="AK632" s="246"/>
      <c r="AL632" s="246"/>
      <c r="AM632" s="246"/>
      <c r="AN632" s="246"/>
      <c r="AO632" s="246"/>
      <c r="AP632" s="246"/>
      <c r="AQ632" s="246"/>
      <c r="AR632" s="246"/>
      <c r="AS632" s="246"/>
      <c r="AT632" s="246"/>
      <c r="AU632" s="246"/>
      <c r="AV632" s="246"/>
      <c r="AW632" s="246"/>
      <c r="AX632" s="246"/>
      <c r="AY632" s="246"/>
      <c r="AZ632" s="246"/>
      <c r="BA632" s="246"/>
      <c r="BB632" s="246"/>
      <c r="BC632" s="246"/>
      <c r="BD632" s="246"/>
      <c r="BE632" s="246"/>
      <c r="BF632" s="246"/>
      <c r="BG632" s="246"/>
      <c r="BH632" s="246"/>
      <c r="BI632" s="246"/>
      <c r="BJ632" s="246"/>
    </row>
    <row r="633" spans="2:62" ht="15.75">
      <c r="B633" s="7"/>
      <c r="C633" s="334"/>
      <c r="D633" s="334"/>
      <c r="E633" s="334"/>
      <c r="F633" s="334"/>
      <c r="G633" s="334"/>
      <c r="H633" s="334"/>
      <c r="I633" s="334"/>
      <c r="J633" s="334"/>
      <c r="K633" s="334"/>
      <c r="L633" s="334"/>
      <c r="M633" s="334"/>
      <c r="N633" s="334"/>
      <c r="O633" s="334"/>
      <c r="P633" s="334"/>
      <c r="Q633" s="334"/>
      <c r="R633" s="334"/>
      <c r="S633" s="334"/>
      <c r="T633" s="334"/>
      <c r="U633" s="334"/>
      <c r="V633" s="334"/>
      <c r="W633" s="334"/>
      <c r="X633" s="334"/>
      <c r="Y633" s="246"/>
      <c r="Z633" s="246"/>
      <c r="AA633" s="246"/>
      <c r="AB633" s="246"/>
      <c r="AC633" s="246"/>
      <c r="AD633" s="246"/>
      <c r="AE633" s="246"/>
      <c r="AF633" s="246"/>
      <c r="AG633" s="246"/>
      <c r="AH633" s="246"/>
      <c r="AI633" s="246"/>
      <c r="AJ633" s="246"/>
      <c r="AK633" s="246"/>
      <c r="AL633" s="246"/>
      <c r="AM633" s="246"/>
      <c r="AN633" s="246"/>
      <c r="AO633" s="246"/>
      <c r="AP633" s="246"/>
      <c r="AQ633" s="246"/>
      <c r="AR633" s="246"/>
      <c r="AS633" s="246"/>
      <c r="AT633" s="246"/>
      <c r="AU633" s="246"/>
      <c r="AV633" s="246"/>
      <c r="AW633" s="246"/>
      <c r="AX633" s="246"/>
      <c r="AY633" s="246"/>
      <c r="AZ633" s="246"/>
      <c r="BA633" s="246"/>
      <c r="BB633" s="246"/>
      <c r="BC633" s="246"/>
      <c r="BD633" s="246"/>
      <c r="BE633" s="246"/>
      <c r="BF633" s="246"/>
      <c r="BG633" s="246"/>
      <c r="BH633" s="246"/>
      <c r="BI633" s="246"/>
      <c r="BJ633" s="246"/>
    </row>
    <row r="634" spans="2:62" ht="15.75">
      <c r="B634" s="7"/>
      <c r="C634" s="334"/>
      <c r="D634" s="334"/>
      <c r="E634" s="334"/>
      <c r="F634" s="334"/>
      <c r="G634" s="334"/>
      <c r="H634" s="334"/>
      <c r="I634" s="334"/>
      <c r="J634" s="334"/>
      <c r="K634" s="334"/>
      <c r="L634" s="334"/>
      <c r="M634" s="334"/>
      <c r="N634" s="334"/>
      <c r="O634" s="334"/>
      <c r="P634" s="334"/>
      <c r="Q634" s="334"/>
      <c r="R634" s="334"/>
      <c r="S634" s="334"/>
      <c r="T634" s="334"/>
      <c r="U634" s="334"/>
      <c r="V634" s="334"/>
      <c r="W634" s="334"/>
      <c r="X634" s="334"/>
      <c r="Y634" s="246"/>
      <c r="Z634" s="246"/>
      <c r="AA634" s="246"/>
      <c r="AB634" s="246"/>
      <c r="AC634" s="246"/>
      <c r="AD634" s="246"/>
      <c r="AE634" s="246"/>
      <c r="AF634" s="246"/>
      <c r="AG634" s="246"/>
      <c r="AH634" s="246"/>
      <c r="AI634" s="246"/>
      <c r="AJ634" s="246"/>
      <c r="AK634" s="246"/>
      <c r="AL634" s="246"/>
      <c r="AM634" s="246"/>
      <c r="AN634" s="246"/>
      <c r="AO634" s="246"/>
      <c r="AP634" s="246"/>
      <c r="AQ634" s="246"/>
      <c r="AR634" s="246"/>
      <c r="AS634" s="246"/>
      <c r="AT634" s="246"/>
      <c r="AU634" s="246"/>
      <c r="AV634" s="246"/>
      <c r="AW634" s="246"/>
      <c r="AX634" s="246"/>
      <c r="AY634" s="246"/>
      <c r="AZ634" s="246"/>
      <c r="BA634" s="246"/>
      <c r="BB634" s="246"/>
      <c r="BC634" s="246"/>
      <c r="BD634" s="246"/>
      <c r="BE634" s="246"/>
      <c r="BF634" s="246"/>
      <c r="BG634" s="246"/>
      <c r="BH634" s="246"/>
      <c r="BI634" s="246"/>
      <c r="BJ634" s="246"/>
    </row>
    <row r="635" spans="2:62" ht="15.75">
      <c r="B635" s="7"/>
      <c r="C635" s="334"/>
      <c r="D635" s="334"/>
      <c r="E635" s="334"/>
      <c r="F635" s="334"/>
      <c r="G635" s="334"/>
      <c r="H635" s="334"/>
      <c r="I635" s="334"/>
      <c r="J635" s="334"/>
      <c r="K635" s="334"/>
      <c r="L635" s="334"/>
      <c r="M635" s="334"/>
      <c r="N635" s="334"/>
      <c r="O635" s="334"/>
      <c r="P635" s="334"/>
      <c r="Q635" s="334"/>
      <c r="R635" s="334"/>
      <c r="S635" s="334"/>
      <c r="T635" s="334"/>
      <c r="U635" s="334"/>
      <c r="V635" s="334"/>
      <c r="W635" s="334"/>
      <c r="X635" s="334"/>
      <c r="Y635" s="246"/>
      <c r="Z635" s="246"/>
      <c r="AA635" s="246"/>
      <c r="AB635" s="246"/>
      <c r="AC635" s="246"/>
      <c r="AD635" s="246"/>
      <c r="AE635" s="246"/>
      <c r="AF635" s="246"/>
      <c r="AG635" s="246"/>
      <c r="AH635" s="246"/>
      <c r="AI635" s="246"/>
      <c r="AJ635" s="246"/>
      <c r="AK635" s="246"/>
      <c r="AL635" s="246"/>
      <c r="AM635" s="246"/>
      <c r="AN635" s="246"/>
      <c r="AO635" s="246"/>
      <c r="AP635" s="246"/>
      <c r="AQ635" s="246"/>
      <c r="AR635" s="246"/>
      <c r="AS635" s="246"/>
      <c r="AT635" s="246"/>
      <c r="AU635" s="246"/>
      <c r="AV635" s="246"/>
      <c r="AW635" s="246"/>
      <c r="AX635" s="246"/>
      <c r="AY635" s="246"/>
      <c r="AZ635" s="246"/>
      <c r="BA635" s="246"/>
      <c r="BB635" s="246"/>
      <c r="BC635" s="246"/>
      <c r="BD635" s="246"/>
      <c r="BE635" s="246"/>
      <c r="BF635" s="246"/>
      <c r="BG635" s="246"/>
      <c r="BH635" s="246"/>
      <c r="BI635" s="246"/>
      <c r="BJ635" s="246"/>
    </row>
    <row r="636" spans="2:62" ht="15.75">
      <c r="B636" s="7"/>
      <c r="C636" s="334"/>
      <c r="D636" s="334"/>
      <c r="E636" s="334"/>
      <c r="F636" s="334"/>
      <c r="G636" s="334"/>
      <c r="H636" s="334"/>
      <c r="I636" s="334"/>
      <c r="J636" s="334"/>
      <c r="K636" s="334"/>
      <c r="L636" s="334"/>
      <c r="M636" s="334"/>
      <c r="N636" s="334"/>
      <c r="O636" s="334"/>
      <c r="P636" s="334"/>
      <c r="Q636" s="334"/>
      <c r="R636" s="334"/>
      <c r="S636" s="334"/>
      <c r="T636" s="334"/>
      <c r="U636" s="334"/>
      <c r="V636" s="334"/>
      <c r="W636" s="334"/>
      <c r="X636" s="334"/>
      <c r="Y636" s="246"/>
      <c r="Z636" s="246"/>
      <c r="AA636" s="246"/>
      <c r="AB636" s="246"/>
      <c r="AC636" s="246"/>
      <c r="AD636" s="246"/>
      <c r="AE636" s="246"/>
      <c r="AF636" s="246"/>
      <c r="AG636" s="246"/>
      <c r="AH636" s="246"/>
      <c r="AI636" s="246"/>
      <c r="AJ636" s="246"/>
      <c r="AK636" s="246"/>
      <c r="AL636" s="246"/>
      <c r="AM636" s="246"/>
      <c r="AN636" s="246"/>
      <c r="AO636" s="246"/>
      <c r="AP636" s="246"/>
      <c r="AQ636" s="246"/>
      <c r="AR636" s="246"/>
      <c r="AS636" s="246"/>
      <c r="AT636" s="246"/>
      <c r="AU636" s="246"/>
      <c r="AV636" s="246"/>
      <c r="AW636" s="246"/>
      <c r="AX636" s="246"/>
      <c r="AY636" s="246"/>
      <c r="AZ636" s="246"/>
      <c r="BA636" s="246"/>
      <c r="BB636" s="246"/>
      <c r="BC636" s="246"/>
      <c r="BD636" s="246"/>
      <c r="BE636" s="246"/>
      <c r="BF636" s="246"/>
      <c r="BG636" s="246"/>
      <c r="BH636" s="246"/>
      <c r="BI636" s="246"/>
      <c r="BJ636" s="246"/>
    </row>
    <row r="637" spans="2:62" ht="15.75">
      <c r="B637" s="7"/>
      <c r="C637" s="334"/>
      <c r="D637" s="334"/>
      <c r="E637" s="334"/>
      <c r="F637" s="334"/>
      <c r="G637" s="334"/>
      <c r="H637" s="334"/>
      <c r="I637" s="334"/>
      <c r="J637" s="334"/>
      <c r="K637" s="334"/>
      <c r="L637" s="334"/>
      <c r="M637" s="334"/>
      <c r="N637" s="334"/>
      <c r="O637" s="334"/>
      <c r="P637" s="334"/>
      <c r="Q637" s="334"/>
      <c r="R637" s="334"/>
      <c r="S637" s="334"/>
      <c r="T637" s="334"/>
      <c r="U637" s="334"/>
      <c r="V637" s="334"/>
      <c r="W637" s="334"/>
      <c r="X637" s="334"/>
      <c r="Y637" s="246"/>
      <c r="Z637" s="246"/>
      <c r="AA637" s="246"/>
      <c r="AB637" s="246"/>
      <c r="AC637" s="246"/>
      <c r="AD637" s="246"/>
      <c r="AE637" s="246"/>
      <c r="AF637" s="246"/>
      <c r="AG637" s="246"/>
      <c r="AH637" s="246"/>
      <c r="AI637" s="246"/>
      <c r="AJ637" s="246"/>
      <c r="AK637" s="246"/>
      <c r="AL637" s="246"/>
      <c r="AM637" s="246"/>
      <c r="AN637" s="246"/>
      <c r="AO637" s="246"/>
      <c r="AP637" s="246"/>
      <c r="AQ637" s="246"/>
      <c r="AR637" s="246"/>
      <c r="AS637" s="246"/>
      <c r="AT637" s="246"/>
      <c r="AU637" s="246"/>
      <c r="AV637" s="246"/>
      <c r="AW637" s="246"/>
      <c r="AX637" s="246"/>
      <c r="AY637" s="246"/>
      <c r="AZ637" s="246"/>
      <c r="BA637" s="246"/>
      <c r="BB637" s="246"/>
      <c r="BC637" s="246"/>
      <c r="BD637" s="246"/>
      <c r="BE637" s="246"/>
      <c r="BF637" s="246"/>
      <c r="BG637" s="246"/>
      <c r="BH637" s="246"/>
      <c r="BI637" s="246"/>
      <c r="BJ637" s="246"/>
    </row>
    <row r="638" spans="2:62" ht="15.75">
      <c r="B638" s="7"/>
      <c r="C638" s="334"/>
      <c r="D638" s="334"/>
      <c r="E638" s="334"/>
      <c r="F638" s="334"/>
      <c r="G638" s="334"/>
      <c r="H638" s="334"/>
      <c r="I638" s="334"/>
      <c r="J638" s="334"/>
      <c r="K638" s="334"/>
      <c r="L638" s="334"/>
      <c r="M638" s="334"/>
      <c r="N638" s="334"/>
      <c r="O638" s="334"/>
      <c r="P638" s="334"/>
      <c r="Q638" s="334"/>
      <c r="R638" s="334"/>
      <c r="S638" s="334"/>
      <c r="T638" s="334"/>
      <c r="U638" s="334"/>
      <c r="V638" s="334"/>
      <c r="W638" s="334"/>
      <c r="X638" s="334"/>
      <c r="Y638" s="246"/>
      <c r="Z638" s="246"/>
      <c r="AA638" s="246"/>
      <c r="AB638" s="246"/>
      <c r="AC638" s="246"/>
      <c r="AD638" s="246"/>
      <c r="AE638" s="246"/>
      <c r="AF638" s="246"/>
      <c r="AG638" s="246"/>
      <c r="AH638" s="246"/>
      <c r="AI638" s="246"/>
      <c r="AJ638" s="246"/>
      <c r="AK638" s="246"/>
      <c r="AL638" s="246"/>
      <c r="AM638" s="246"/>
      <c r="AN638" s="246"/>
      <c r="AO638" s="246"/>
      <c r="AP638" s="246"/>
      <c r="AQ638" s="246"/>
      <c r="AR638" s="246"/>
      <c r="AS638" s="246"/>
      <c r="AT638" s="246"/>
      <c r="AU638" s="246"/>
      <c r="AV638" s="246"/>
      <c r="AW638" s="246"/>
      <c r="AX638" s="246"/>
      <c r="AY638" s="246"/>
      <c r="AZ638" s="246"/>
      <c r="BA638" s="246"/>
      <c r="BB638" s="246"/>
      <c r="BC638" s="246"/>
      <c r="BD638" s="246"/>
      <c r="BE638" s="246"/>
      <c r="BF638" s="246"/>
      <c r="BG638" s="246"/>
      <c r="BH638" s="246"/>
      <c r="BI638" s="246"/>
      <c r="BJ638" s="246"/>
    </row>
    <row r="639" spans="2:62" ht="15.75">
      <c r="B639" s="7"/>
      <c r="C639" s="334"/>
      <c r="D639" s="334"/>
      <c r="E639" s="334"/>
      <c r="F639" s="334"/>
      <c r="G639" s="334"/>
      <c r="H639" s="334"/>
      <c r="I639" s="334"/>
      <c r="J639" s="334"/>
      <c r="K639" s="334"/>
      <c r="L639" s="334"/>
      <c r="M639" s="334"/>
      <c r="N639" s="334"/>
      <c r="O639" s="334"/>
      <c r="P639" s="334"/>
      <c r="Q639" s="334"/>
      <c r="R639" s="334"/>
      <c r="S639" s="334"/>
      <c r="T639" s="334"/>
      <c r="U639" s="334"/>
      <c r="V639" s="334"/>
      <c r="W639" s="334"/>
      <c r="X639" s="334"/>
      <c r="Y639" s="246"/>
      <c r="Z639" s="246"/>
      <c r="AA639" s="246"/>
      <c r="AB639" s="246"/>
      <c r="AC639" s="246"/>
      <c r="AD639" s="246"/>
      <c r="AE639" s="246"/>
      <c r="AF639" s="246"/>
      <c r="AG639" s="246"/>
      <c r="AH639" s="246"/>
      <c r="AI639" s="246"/>
      <c r="AJ639" s="246"/>
      <c r="AK639" s="246"/>
      <c r="AL639" s="246"/>
      <c r="AM639" s="246"/>
      <c r="AN639" s="246"/>
      <c r="AO639" s="246"/>
      <c r="AP639" s="246"/>
      <c r="AQ639" s="246"/>
      <c r="AR639" s="246"/>
      <c r="AS639" s="246"/>
      <c r="AT639" s="246"/>
      <c r="AU639" s="246"/>
      <c r="AV639" s="246"/>
      <c r="AW639" s="246"/>
      <c r="AX639" s="246"/>
      <c r="AY639" s="246"/>
      <c r="AZ639" s="246"/>
      <c r="BA639" s="246"/>
      <c r="BB639" s="246"/>
      <c r="BC639" s="246"/>
      <c r="BD639" s="246"/>
      <c r="BE639" s="246"/>
      <c r="BF639" s="246"/>
      <c r="BG639" s="246"/>
      <c r="BH639" s="246"/>
      <c r="BI639" s="246"/>
      <c r="BJ639" s="246"/>
    </row>
    <row r="640" spans="2:62" ht="15.75">
      <c r="B640" s="7"/>
      <c r="C640" s="334"/>
      <c r="D640" s="334"/>
      <c r="E640" s="334"/>
      <c r="F640" s="334"/>
      <c r="G640" s="334"/>
      <c r="H640" s="334"/>
      <c r="I640" s="334"/>
      <c r="J640" s="334"/>
      <c r="K640" s="334"/>
      <c r="L640" s="334"/>
      <c r="M640" s="334"/>
      <c r="N640" s="334"/>
      <c r="O640" s="334"/>
      <c r="P640" s="334"/>
      <c r="Q640" s="334"/>
      <c r="R640" s="334"/>
      <c r="S640" s="334"/>
      <c r="T640" s="334"/>
      <c r="U640" s="334"/>
      <c r="V640" s="334"/>
      <c r="W640" s="334"/>
      <c r="X640" s="334"/>
      <c r="Y640" s="246"/>
      <c r="Z640" s="246"/>
      <c r="AA640" s="246"/>
      <c r="AB640" s="246"/>
      <c r="AC640" s="246"/>
      <c r="AD640" s="246"/>
      <c r="AE640" s="246"/>
      <c r="AF640" s="246"/>
      <c r="AG640" s="246"/>
      <c r="AH640" s="246"/>
      <c r="AI640" s="246"/>
      <c r="AJ640" s="246"/>
      <c r="AK640" s="246"/>
      <c r="AL640" s="246"/>
      <c r="AM640" s="246"/>
      <c r="AN640" s="246"/>
      <c r="AO640" s="246"/>
      <c r="AP640" s="246"/>
      <c r="AQ640" s="246"/>
      <c r="AR640" s="246"/>
      <c r="AS640" s="246"/>
      <c r="AT640" s="246"/>
      <c r="AU640" s="246"/>
      <c r="AV640" s="246"/>
      <c r="AW640" s="246"/>
      <c r="AX640" s="246"/>
      <c r="AY640" s="246"/>
      <c r="AZ640" s="246"/>
      <c r="BA640" s="246"/>
      <c r="BB640" s="246"/>
      <c r="BC640" s="246"/>
      <c r="BD640" s="246"/>
      <c r="BE640" s="246"/>
      <c r="BF640" s="246"/>
      <c r="BG640" s="246"/>
      <c r="BH640" s="246"/>
      <c r="BI640" s="246"/>
      <c r="BJ640" s="246"/>
    </row>
    <row r="641" spans="2:62" ht="15.75">
      <c r="B641" s="7"/>
      <c r="C641" s="334"/>
      <c r="D641" s="334"/>
      <c r="E641" s="334"/>
      <c r="F641" s="334"/>
      <c r="G641" s="334"/>
      <c r="H641" s="334"/>
      <c r="I641" s="334"/>
      <c r="J641" s="334"/>
      <c r="K641" s="334"/>
      <c r="L641" s="334"/>
      <c r="M641" s="334"/>
      <c r="N641" s="334"/>
      <c r="O641" s="334"/>
      <c r="P641" s="334"/>
      <c r="Q641" s="334"/>
      <c r="R641" s="334"/>
      <c r="S641" s="334"/>
      <c r="T641" s="334"/>
      <c r="U641" s="334"/>
      <c r="V641" s="334"/>
      <c r="W641" s="334"/>
      <c r="X641" s="334"/>
      <c r="Y641" s="246"/>
      <c r="Z641" s="246"/>
      <c r="AA641" s="246"/>
      <c r="AB641" s="246"/>
      <c r="AC641" s="246"/>
      <c r="AD641" s="246"/>
      <c r="AE641" s="246"/>
      <c r="AF641" s="246"/>
      <c r="AG641" s="246"/>
      <c r="AH641" s="246"/>
      <c r="AI641" s="246"/>
      <c r="AJ641" s="246"/>
      <c r="AK641" s="246"/>
      <c r="AL641" s="246"/>
      <c r="AM641" s="246"/>
      <c r="AN641" s="246"/>
      <c r="AO641" s="246"/>
      <c r="AP641" s="246"/>
      <c r="AQ641" s="246"/>
      <c r="AR641" s="246"/>
      <c r="AS641" s="246"/>
      <c r="AT641" s="246"/>
      <c r="AU641" s="246"/>
      <c r="AV641" s="246"/>
      <c r="AW641" s="246"/>
      <c r="AX641" s="246"/>
      <c r="AY641" s="246"/>
      <c r="AZ641" s="246"/>
      <c r="BA641" s="246"/>
      <c r="BB641" s="246"/>
      <c r="BC641" s="246"/>
      <c r="BD641" s="246"/>
      <c r="BE641" s="246"/>
      <c r="BF641" s="246"/>
      <c r="BG641" s="246"/>
      <c r="BH641" s="246"/>
      <c r="BI641" s="246"/>
      <c r="BJ641" s="246"/>
    </row>
    <row r="642" spans="2:62" ht="15.75">
      <c r="B642" s="7"/>
      <c r="C642" s="334"/>
      <c r="D642" s="334"/>
      <c r="E642" s="334"/>
      <c r="F642" s="334"/>
      <c r="G642" s="334"/>
      <c r="H642" s="334"/>
      <c r="I642" s="334"/>
      <c r="J642" s="334"/>
      <c r="K642" s="334"/>
      <c r="L642" s="334"/>
      <c r="M642" s="334"/>
      <c r="N642" s="334"/>
      <c r="O642" s="334"/>
      <c r="P642" s="334"/>
      <c r="Q642" s="334"/>
      <c r="R642" s="334"/>
      <c r="S642" s="334"/>
      <c r="T642" s="334"/>
      <c r="U642" s="334"/>
      <c r="V642" s="334"/>
      <c r="W642" s="334"/>
      <c r="X642" s="334"/>
      <c r="Y642" s="246"/>
      <c r="Z642" s="246"/>
      <c r="AA642" s="246"/>
      <c r="AB642" s="246"/>
      <c r="AC642" s="246"/>
      <c r="AD642" s="246"/>
      <c r="AE642" s="246"/>
      <c r="AF642" s="246"/>
      <c r="AG642" s="246"/>
      <c r="AH642" s="246"/>
      <c r="AI642" s="246"/>
      <c r="AJ642" s="246"/>
      <c r="AK642" s="246"/>
      <c r="AL642" s="246"/>
      <c r="AM642" s="246"/>
      <c r="AN642" s="246"/>
      <c r="AO642" s="246"/>
      <c r="AP642" s="246"/>
      <c r="AQ642" s="246"/>
      <c r="AR642" s="246"/>
      <c r="AS642" s="246"/>
      <c r="AT642" s="246"/>
      <c r="AU642" s="246"/>
      <c r="AV642" s="246"/>
      <c r="AW642" s="246"/>
      <c r="AX642" s="246"/>
      <c r="AY642" s="246"/>
      <c r="AZ642" s="246"/>
      <c r="BA642" s="246"/>
      <c r="BB642" s="246"/>
      <c r="BC642" s="246"/>
      <c r="BD642" s="246"/>
      <c r="BE642" s="246"/>
      <c r="BF642" s="246"/>
      <c r="BG642" s="246"/>
      <c r="BH642" s="246"/>
      <c r="BI642" s="246"/>
      <c r="BJ642" s="246"/>
    </row>
    <row r="643" spans="2:62" ht="15.75">
      <c r="B643" s="7"/>
      <c r="C643" s="334"/>
      <c r="D643" s="334"/>
      <c r="E643" s="334"/>
      <c r="F643" s="334"/>
      <c r="G643" s="334"/>
      <c r="H643" s="334"/>
      <c r="I643" s="334"/>
      <c r="J643" s="334"/>
      <c r="K643" s="334"/>
      <c r="L643" s="334"/>
      <c r="M643" s="334"/>
      <c r="N643" s="334"/>
      <c r="O643" s="334"/>
      <c r="P643" s="334"/>
      <c r="Q643" s="334"/>
      <c r="R643" s="334"/>
      <c r="S643" s="334"/>
      <c r="T643" s="334"/>
      <c r="U643" s="334"/>
      <c r="V643" s="334"/>
      <c r="W643" s="334"/>
      <c r="X643" s="334"/>
      <c r="Y643" s="246"/>
      <c r="Z643" s="246"/>
      <c r="AA643" s="246"/>
      <c r="AB643" s="246"/>
      <c r="AC643" s="246"/>
      <c r="AD643" s="246"/>
      <c r="AE643" s="246"/>
      <c r="AF643" s="246"/>
      <c r="AG643" s="246"/>
      <c r="AH643" s="246"/>
      <c r="AI643" s="246"/>
      <c r="AJ643" s="246"/>
      <c r="AK643" s="246"/>
      <c r="AL643" s="246"/>
      <c r="AM643" s="246"/>
      <c r="AN643" s="246"/>
      <c r="AO643" s="246"/>
      <c r="AP643" s="246"/>
      <c r="AQ643" s="246"/>
      <c r="AR643" s="246"/>
      <c r="AS643" s="246"/>
      <c r="AT643" s="246"/>
      <c r="AU643" s="246"/>
      <c r="AV643" s="246"/>
      <c r="AW643" s="246"/>
      <c r="AX643" s="246"/>
      <c r="AY643" s="246"/>
      <c r="AZ643" s="246"/>
      <c r="BA643" s="246"/>
      <c r="BB643" s="246"/>
      <c r="BC643" s="246"/>
      <c r="BD643" s="246"/>
      <c r="BE643" s="246"/>
      <c r="BF643" s="246"/>
      <c r="BG643" s="246"/>
      <c r="BH643" s="246"/>
      <c r="BI643" s="246"/>
      <c r="BJ643" s="246"/>
    </row>
    <row r="644" spans="2:62" ht="15.75">
      <c r="B644" s="7"/>
      <c r="C644" s="334"/>
      <c r="D644" s="334"/>
      <c r="E644" s="334"/>
      <c r="F644" s="334"/>
      <c r="G644" s="334"/>
      <c r="H644" s="334"/>
      <c r="I644" s="334"/>
      <c r="J644" s="334"/>
      <c r="K644" s="334"/>
      <c r="L644" s="334"/>
      <c r="M644" s="334"/>
      <c r="N644" s="334"/>
      <c r="O644" s="334"/>
      <c r="P644" s="334"/>
      <c r="Q644" s="334"/>
      <c r="R644" s="334"/>
      <c r="S644" s="334"/>
      <c r="T644" s="334"/>
      <c r="U644" s="334"/>
      <c r="V644" s="334"/>
      <c r="W644" s="334"/>
      <c r="X644" s="334"/>
      <c r="Y644" s="246"/>
      <c r="Z644" s="246"/>
      <c r="AA644" s="246"/>
      <c r="AB644" s="246"/>
      <c r="AC644" s="246"/>
      <c r="AD644" s="246"/>
      <c r="AE644" s="246"/>
      <c r="AF644" s="246"/>
      <c r="AG644" s="246"/>
      <c r="AH644" s="246"/>
      <c r="AI644" s="246"/>
      <c r="AJ644" s="246"/>
      <c r="AK644" s="246"/>
      <c r="AL644" s="246"/>
      <c r="AM644" s="246"/>
      <c r="AN644" s="246"/>
      <c r="AO644" s="246"/>
      <c r="AP644" s="246"/>
      <c r="AQ644" s="246"/>
      <c r="AR644" s="246"/>
      <c r="AS644" s="246"/>
      <c r="AT644" s="246"/>
      <c r="AU644" s="246"/>
      <c r="AV644" s="246"/>
      <c r="AW644" s="246"/>
      <c r="AX644" s="246"/>
      <c r="AY644" s="246"/>
      <c r="AZ644" s="246"/>
      <c r="BA644" s="246"/>
      <c r="BB644" s="246"/>
      <c r="BC644" s="246"/>
      <c r="BD644" s="246"/>
      <c r="BE644" s="246"/>
      <c r="BF644" s="246"/>
      <c r="BG644" s="246"/>
      <c r="BH644" s="246"/>
      <c r="BI644" s="246"/>
      <c r="BJ644" s="246"/>
    </row>
    <row r="645" spans="2:62" ht="15.75">
      <c r="B645" s="7"/>
      <c r="C645" s="334"/>
      <c r="D645" s="334"/>
      <c r="E645" s="334"/>
      <c r="F645" s="334"/>
      <c r="G645" s="334"/>
      <c r="H645" s="334"/>
      <c r="I645" s="334"/>
      <c r="J645" s="334"/>
      <c r="K645" s="334"/>
      <c r="L645" s="334"/>
      <c r="M645" s="334"/>
      <c r="N645" s="334"/>
      <c r="O645" s="334"/>
      <c r="P645" s="334"/>
      <c r="Q645" s="334"/>
      <c r="R645" s="334"/>
      <c r="S645" s="334"/>
      <c r="T645" s="334"/>
      <c r="U645" s="334"/>
      <c r="V645" s="334"/>
      <c r="W645" s="334"/>
      <c r="X645" s="334"/>
      <c r="Y645" s="246"/>
      <c r="Z645" s="246"/>
      <c r="AA645" s="246"/>
      <c r="AB645" s="246"/>
      <c r="AC645" s="246"/>
      <c r="AD645" s="246"/>
      <c r="AE645" s="246"/>
      <c r="AF645" s="246"/>
      <c r="AG645" s="246"/>
      <c r="AH645" s="246"/>
      <c r="AI645" s="246"/>
      <c r="AJ645" s="246"/>
      <c r="AK645" s="246"/>
      <c r="AL645" s="246"/>
      <c r="AM645" s="246"/>
      <c r="AN645" s="246"/>
      <c r="AO645" s="246"/>
      <c r="AP645" s="246"/>
      <c r="AQ645" s="246"/>
      <c r="AR645" s="246"/>
      <c r="AS645" s="246"/>
      <c r="AT645" s="246"/>
      <c r="AU645" s="246"/>
      <c r="AV645" s="246"/>
      <c r="AW645" s="246"/>
      <c r="AX645" s="246"/>
      <c r="AY645" s="246"/>
      <c r="AZ645" s="246"/>
      <c r="BA645" s="246"/>
      <c r="BB645" s="246"/>
      <c r="BC645" s="246"/>
      <c r="BD645" s="246"/>
      <c r="BE645" s="246"/>
      <c r="BF645" s="246"/>
      <c r="BG645" s="246"/>
      <c r="BH645" s="246"/>
      <c r="BI645" s="246"/>
      <c r="BJ645" s="246"/>
    </row>
    <row r="646" spans="2:62" ht="15.75">
      <c r="B646" s="7"/>
      <c r="C646" s="334"/>
      <c r="D646" s="334"/>
      <c r="E646" s="334"/>
      <c r="F646" s="334"/>
      <c r="G646" s="334"/>
      <c r="H646" s="334"/>
      <c r="I646" s="334"/>
      <c r="J646" s="334"/>
      <c r="K646" s="334"/>
      <c r="L646" s="334"/>
      <c r="M646" s="334"/>
      <c r="N646" s="334"/>
      <c r="O646" s="334"/>
      <c r="P646" s="334"/>
      <c r="Q646" s="334"/>
      <c r="R646" s="334"/>
      <c r="S646" s="334"/>
      <c r="T646" s="334"/>
      <c r="U646" s="334"/>
      <c r="V646" s="334"/>
      <c r="W646" s="334"/>
      <c r="X646" s="334"/>
      <c r="Y646" s="246"/>
      <c r="Z646" s="246"/>
      <c r="AA646" s="246"/>
      <c r="AB646" s="246"/>
      <c r="AC646" s="246"/>
      <c r="AD646" s="246"/>
      <c r="AE646" s="246"/>
      <c r="AF646" s="246"/>
      <c r="AG646" s="246"/>
      <c r="AH646" s="246"/>
      <c r="AI646" s="246"/>
      <c r="AJ646" s="246"/>
      <c r="AK646" s="246"/>
      <c r="AL646" s="246"/>
      <c r="AM646" s="246"/>
      <c r="AN646" s="246"/>
      <c r="AO646" s="246"/>
      <c r="AP646" s="246"/>
      <c r="AQ646" s="246"/>
      <c r="AR646" s="246"/>
      <c r="AS646" s="246"/>
      <c r="AT646" s="246"/>
      <c r="AU646" s="246"/>
      <c r="AV646" s="246"/>
      <c r="AW646" s="246"/>
      <c r="AX646" s="246"/>
      <c r="AY646" s="246"/>
      <c r="AZ646" s="246"/>
      <c r="BA646" s="246"/>
      <c r="BB646" s="246"/>
      <c r="BC646" s="246"/>
      <c r="BD646" s="246"/>
      <c r="BE646" s="246"/>
      <c r="BF646" s="246"/>
      <c r="BG646" s="246"/>
      <c r="BH646" s="246"/>
      <c r="BI646" s="246"/>
      <c r="BJ646" s="246"/>
    </row>
    <row r="647" spans="2:62" ht="15.75">
      <c r="B647" s="7"/>
      <c r="C647" s="334"/>
      <c r="D647" s="334"/>
      <c r="E647" s="334"/>
      <c r="F647" s="334"/>
      <c r="G647" s="334"/>
      <c r="H647" s="334"/>
      <c r="I647" s="334"/>
      <c r="J647" s="334"/>
      <c r="K647" s="334"/>
      <c r="L647" s="334"/>
      <c r="M647" s="334"/>
      <c r="N647" s="334"/>
      <c r="O647" s="334"/>
      <c r="P647" s="334"/>
      <c r="Q647" s="334"/>
      <c r="R647" s="334"/>
      <c r="S647" s="334"/>
      <c r="T647" s="334"/>
      <c r="U647" s="334"/>
      <c r="V647" s="334"/>
      <c r="W647" s="334"/>
      <c r="X647" s="334"/>
      <c r="Y647" s="246"/>
      <c r="Z647" s="246"/>
      <c r="AA647" s="246"/>
      <c r="AB647" s="246"/>
      <c r="AC647" s="246"/>
      <c r="AD647" s="246"/>
      <c r="AE647" s="246"/>
      <c r="AF647" s="246"/>
      <c r="AG647" s="246"/>
      <c r="AH647" s="246"/>
      <c r="AI647" s="246"/>
      <c r="AJ647" s="246"/>
      <c r="AK647" s="246"/>
      <c r="AL647" s="246"/>
      <c r="AM647" s="246"/>
      <c r="AN647" s="246"/>
      <c r="AO647" s="246"/>
      <c r="AP647" s="246"/>
      <c r="AQ647" s="246"/>
      <c r="AR647" s="246"/>
      <c r="AS647" s="246"/>
      <c r="AT647" s="246"/>
      <c r="AU647" s="246"/>
      <c r="AV647" s="246"/>
      <c r="AW647" s="246"/>
      <c r="AX647" s="246"/>
      <c r="AY647" s="246"/>
      <c r="AZ647" s="246"/>
      <c r="BA647" s="246"/>
      <c r="BB647" s="246"/>
      <c r="BC647" s="246"/>
      <c r="BD647" s="246"/>
      <c r="BE647" s="246"/>
      <c r="BF647" s="246"/>
      <c r="BG647" s="246"/>
      <c r="BH647" s="246"/>
      <c r="BI647" s="246"/>
      <c r="BJ647" s="246"/>
    </row>
    <row r="648" spans="2:62" ht="15.75">
      <c r="B648" s="7"/>
      <c r="C648" s="334"/>
      <c r="D648" s="334"/>
      <c r="E648" s="334"/>
      <c r="F648" s="334"/>
      <c r="G648" s="334"/>
      <c r="H648" s="334"/>
      <c r="I648" s="334"/>
      <c r="J648" s="334"/>
      <c r="K648" s="334"/>
      <c r="L648" s="334"/>
      <c r="M648" s="334"/>
      <c r="N648" s="334"/>
      <c r="O648" s="334"/>
      <c r="P648" s="334"/>
      <c r="Q648" s="334"/>
      <c r="R648" s="334"/>
      <c r="S648" s="334"/>
      <c r="T648" s="334"/>
      <c r="U648" s="334"/>
      <c r="V648" s="334"/>
      <c r="W648" s="334"/>
      <c r="X648" s="334"/>
      <c r="Y648" s="246"/>
      <c r="Z648" s="246"/>
      <c r="AA648" s="246"/>
      <c r="AB648" s="246"/>
      <c r="AC648" s="246"/>
      <c r="AD648" s="246"/>
      <c r="AE648" s="246"/>
      <c r="AF648" s="246"/>
      <c r="AG648" s="246"/>
      <c r="AH648" s="246"/>
      <c r="AI648" s="246"/>
      <c r="AJ648" s="246"/>
      <c r="AK648" s="246"/>
      <c r="AL648" s="246"/>
      <c r="AM648" s="246"/>
      <c r="AN648" s="246"/>
      <c r="AO648" s="246"/>
      <c r="AP648" s="246"/>
      <c r="AQ648" s="246"/>
      <c r="AR648" s="246"/>
      <c r="AS648" s="246"/>
      <c r="AT648" s="246"/>
      <c r="AU648" s="246"/>
      <c r="AV648" s="246"/>
      <c r="AW648" s="246"/>
      <c r="AX648" s="246"/>
      <c r="AY648" s="246"/>
      <c r="AZ648" s="246"/>
      <c r="BA648" s="246"/>
      <c r="BB648" s="246"/>
      <c r="BC648" s="246"/>
      <c r="BD648" s="246"/>
      <c r="BE648" s="246"/>
      <c r="BF648" s="246"/>
      <c r="BG648" s="246"/>
      <c r="BH648" s="246"/>
      <c r="BI648" s="246"/>
      <c r="BJ648" s="246"/>
    </row>
    <row r="649" spans="2:62" ht="15.75">
      <c r="B649" s="7"/>
      <c r="C649" s="334"/>
      <c r="D649" s="334"/>
      <c r="E649" s="334"/>
      <c r="F649" s="334"/>
      <c r="G649" s="334"/>
      <c r="H649" s="334"/>
      <c r="I649" s="334"/>
      <c r="J649" s="334"/>
      <c r="K649" s="334"/>
      <c r="L649" s="334"/>
      <c r="M649" s="334"/>
      <c r="N649" s="334"/>
      <c r="O649" s="334"/>
      <c r="P649" s="334"/>
      <c r="Q649" s="334"/>
      <c r="R649" s="334"/>
      <c r="S649" s="334"/>
      <c r="T649" s="334"/>
      <c r="U649" s="334"/>
      <c r="V649" s="334"/>
      <c r="W649" s="334"/>
      <c r="X649" s="334"/>
      <c r="Y649" s="246"/>
      <c r="Z649" s="246"/>
      <c r="AA649" s="246"/>
      <c r="AB649" s="246"/>
      <c r="AC649" s="246"/>
      <c r="AD649" s="246"/>
      <c r="AE649" s="246"/>
      <c r="AF649" s="246"/>
      <c r="AG649" s="246"/>
      <c r="AH649" s="246"/>
      <c r="AI649" s="246"/>
      <c r="AJ649" s="246"/>
      <c r="AK649" s="246"/>
      <c r="AL649" s="246"/>
      <c r="AM649" s="246"/>
      <c r="AN649" s="246"/>
      <c r="AO649" s="246"/>
      <c r="AP649" s="246"/>
      <c r="AQ649" s="246"/>
      <c r="AR649" s="246"/>
      <c r="AS649" s="246"/>
      <c r="AT649" s="246"/>
      <c r="AU649" s="246"/>
      <c r="AV649" s="246"/>
      <c r="AW649" s="246"/>
      <c r="AX649" s="246"/>
      <c r="AY649" s="246"/>
      <c r="AZ649" s="246"/>
      <c r="BA649" s="246"/>
      <c r="BB649" s="246"/>
      <c r="BC649" s="246"/>
      <c r="BD649" s="246"/>
      <c r="BE649" s="246"/>
      <c r="BF649" s="246"/>
      <c r="BG649" s="246"/>
      <c r="BH649" s="246"/>
      <c r="BI649" s="246"/>
      <c r="BJ649" s="246"/>
    </row>
    <row r="650" spans="2:62" ht="30">
      <c r="B650" s="7"/>
      <c r="C650" s="412"/>
      <c r="D650" s="334"/>
      <c r="E650" s="334"/>
      <c r="F650" s="334"/>
      <c r="G650" s="334"/>
      <c r="H650" s="334"/>
      <c r="I650" s="334"/>
      <c r="J650" s="334"/>
      <c r="K650" s="334"/>
      <c r="L650" s="334"/>
      <c r="M650" s="334"/>
      <c r="N650" s="334"/>
      <c r="O650" s="413"/>
      <c r="P650" s="334"/>
      <c r="Q650" s="334"/>
      <c r="R650" s="334"/>
      <c r="S650" s="334"/>
      <c r="T650" s="334"/>
      <c r="U650" s="334"/>
      <c r="V650" s="334"/>
      <c r="W650" s="334"/>
      <c r="X650" s="334"/>
      <c r="Y650" s="246"/>
      <c r="Z650" s="246"/>
      <c r="AA650" s="246"/>
      <c r="AB650" s="246"/>
      <c r="AC650" s="246"/>
      <c r="AD650" s="246"/>
      <c r="AE650" s="246"/>
      <c r="AF650" s="246"/>
      <c r="AG650" s="246"/>
      <c r="AH650" s="246"/>
      <c r="AI650" s="246"/>
      <c r="AJ650" s="246"/>
      <c r="AK650" s="246"/>
      <c r="AL650" s="246"/>
      <c r="AM650" s="246"/>
      <c r="AN650" s="246"/>
      <c r="AO650" s="246"/>
      <c r="AP650" s="246"/>
      <c r="AQ650" s="246"/>
      <c r="AR650" s="246"/>
      <c r="AS650" s="246"/>
      <c r="AT650" s="246"/>
      <c r="AU650" s="246"/>
      <c r="AV650" s="246"/>
      <c r="AW650" s="246"/>
      <c r="AX650" s="246"/>
      <c r="AY650" s="246"/>
      <c r="AZ650" s="246"/>
      <c r="BA650" s="246"/>
      <c r="BB650" s="246"/>
      <c r="BC650" s="246"/>
      <c r="BD650" s="246"/>
      <c r="BE650" s="246"/>
      <c r="BF650" s="246"/>
      <c r="BG650" s="246"/>
      <c r="BH650" s="246"/>
      <c r="BI650" s="246"/>
      <c r="BJ650" s="246"/>
    </row>
    <row r="651" spans="2:62" ht="18.75">
      <c r="B651" s="7"/>
      <c r="C651" s="402"/>
      <c r="D651" s="406"/>
      <c r="E651" s="406"/>
      <c r="F651" s="406"/>
      <c r="G651" s="406"/>
      <c r="H651" s="406"/>
      <c r="I651" s="406"/>
      <c r="J651" s="406"/>
      <c r="K651" s="406"/>
      <c r="L651" s="406"/>
      <c r="M651" s="406"/>
      <c r="N651" s="406"/>
      <c r="O651" s="406"/>
      <c r="P651" s="406"/>
      <c r="Q651" s="414"/>
      <c r="R651" s="406"/>
      <c r="S651" s="406"/>
      <c r="T651" s="334"/>
      <c r="U651" s="334"/>
      <c r="V651" s="334"/>
      <c r="W651" s="334"/>
      <c r="X651" s="334"/>
      <c r="Y651" s="246"/>
      <c r="Z651" s="246"/>
      <c r="AA651" s="246"/>
      <c r="AB651" s="246"/>
      <c r="AC651" s="246"/>
      <c r="AD651" s="246"/>
      <c r="AE651" s="246"/>
      <c r="AF651" s="246"/>
      <c r="AG651" s="246"/>
      <c r="AH651" s="246"/>
      <c r="AI651" s="246"/>
      <c r="AJ651" s="246"/>
      <c r="AK651" s="246"/>
      <c r="AL651" s="246"/>
      <c r="AM651" s="246"/>
      <c r="AN651" s="246"/>
      <c r="AO651" s="246"/>
      <c r="AP651" s="246"/>
      <c r="AQ651" s="246"/>
      <c r="AR651" s="246"/>
      <c r="AS651" s="246"/>
      <c r="AT651" s="246"/>
      <c r="AU651" s="246"/>
      <c r="AV651" s="246"/>
      <c r="AW651" s="246"/>
      <c r="AX651" s="246"/>
      <c r="AY651" s="246"/>
      <c r="AZ651" s="246"/>
      <c r="BA651" s="246"/>
      <c r="BB651" s="246"/>
      <c r="BC651" s="246"/>
      <c r="BD651" s="246"/>
      <c r="BE651" s="246"/>
      <c r="BF651" s="246"/>
      <c r="BG651" s="246"/>
      <c r="BH651" s="246"/>
      <c r="BI651" s="246"/>
      <c r="BJ651" s="246"/>
    </row>
    <row r="652" spans="2:62" ht="15.75">
      <c r="B652" s="7"/>
      <c r="C652" s="334"/>
      <c r="D652" s="403"/>
      <c r="E652" s="403"/>
      <c r="F652" s="415"/>
      <c r="G652" s="403"/>
      <c r="H652" s="403"/>
      <c r="I652" s="415"/>
      <c r="J652" s="407"/>
      <c r="K652" s="407"/>
      <c r="L652" s="416"/>
      <c r="M652" s="407"/>
      <c r="N652" s="407"/>
      <c r="O652" s="407"/>
      <c r="P652" s="407"/>
      <c r="Q652" s="404"/>
      <c r="R652" s="403"/>
      <c r="S652" s="415"/>
      <c r="T652" s="334"/>
      <c r="U652" s="334"/>
      <c r="V652" s="334"/>
      <c r="W652" s="334"/>
      <c r="X652" s="334"/>
      <c r="Y652" s="246"/>
      <c r="Z652" s="246"/>
      <c r="AA652" s="246"/>
      <c r="AB652" s="246"/>
      <c r="AC652" s="246"/>
      <c r="AD652" s="246"/>
      <c r="AE652" s="246"/>
      <c r="AF652" s="246"/>
      <c r="AG652" s="246"/>
      <c r="AH652" s="246"/>
      <c r="AI652" s="246"/>
      <c r="AJ652" s="246"/>
      <c r="AK652" s="246"/>
      <c r="AL652" s="246"/>
      <c r="AM652" s="246"/>
      <c r="AN652" s="246"/>
      <c r="AO652" s="246"/>
      <c r="AP652" s="246"/>
      <c r="AQ652" s="246"/>
      <c r="AR652" s="246"/>
      <c r="AS652" s="246"/>
      <c r="AT652" s="246"/>
      <c r="AU652" s="246"/>
      <c r="AV652" s="246"/>
      <c r="AW652" s="246"/>
      <c r="AX652" s="246"/>
      <c r="AY652" s="246"/>
      <c r="AZ652" s="246"/>
      <c r="BA652" s="246"/>
      <c r="BB652" s="246"/>
      <c r="BC652" s="246"/>
      <c r="BD652" s="246"/>
      <c r="BE652" s="246"/>
      <c r="BF652" s="246"/>
      <c r="BG652" s="246"/>
      <c r="BH652" s="246"/>
      <c r="BI652" s="246"/>
      <c r="BJ652" s="246"/>
    </row>
    <row r="653" spans="2:62" ht="15.75">
      <c r="B653" s="7"/>
      <c r="C653" s="417"/>
      <c r="D653" s="334"/>
      <c r="E653" s="334"/>
      <c r="F653" s="406"/>
      <c r="G653" s="334"/>
      <c r="H653" s="334"/>
      <c r="I653" s="406"/>
      <c r="J653" s="406"/>
      <c r="K653" s="406"/>
      <c r="L653" s="334"/>
      <c r="M653" s="406"/>
      <c r="N653" s="406"/>
      <c r="O653" s="334"/>
      <c r="P653" s="406"/>
      <c r="Q653" s="406"/>
      <c r="R653" s="334"/>
      <c r="S653" s="406"/>
      <c r="T653" s="334"/>
      <c r="U653" s="334"/>
      <c r="V653" s="334"/>
      <c r="W653" s="334"/>
      <c r="X653" s="334"/>
      <c r="Y653" s="246"/>
      <c r="Z653" s="246"/>
      <c r="AA653" s="246"/>
      <c r="AB653" s="246"/>
      <c r="AC653" s="246"/>
      <c r="AD653" s="246"/>
      <c r="AE653" s="246"/>
      <c r="AF653" s="246"/>
      <c r="AG653" s="246"/>
      <c r="AH653" s="246"/>
      <c r="AI653" s="246"/>
      <c r="AJ653" s="246"/>
      <c r="AK653" s="246"/>
      <c r="AL653" s="246"/>
      <c r="AM653" s="246"/>
      <c r="AN653" s="246"/>
      <c r="AO653" s="246"/>
      <c r="AP653" s="246"/>
      <c r="AQ653" s="246"/>
      <c r="AR653" s="246"/>
      <c r="AS653" s="246"/>
      <c r="AT653" s="246"/>
      <c r="AU653" s="246"/>
      <c r="AV653" s="246"/>
      <c r="AW653" s="246"/>
      <c r="AX653" s="246"/>
      <c r="AY653" s="246"/>
      <c r="AZ653" s="246"/>
      <c r="BA653" s="246"/>
      <c r="BB653" s="246"/>
      <c r="BC653" s="246"/>
      <c r="BD653" s="246"/>
      <c r="BE653" s="246"/>
      <c r="BF653" s="246"/>
      <c r="BG653" s="246"/>
      <c r="BH653" s="246"/>
      <c r="BI653" s="246"/>
      <c r="BJ653" s="246"/>
    </row>
    <row r="654" spans="2:62" ht="15.75">
      <c r="B654" s="7"/>
      <c r="C654" s="334"/>
      <c r="D654" s="334"/>
      <c r="E654" s="334"/>
      <c r="F654" s="399"/>
      <c r="G654" s="334"/>
      <c r="H654" s="334"/>
      <c r="I654" s="399"/>
      <c r="J654" s="399"/>
      <c r="K654" s="399"/>
      <c r="L654" s="399"/>
      <c r="M654" s="399"/>
      <c r="N654" s="399"/>
      <c r="O654" s="399"/>
      <c r="P654" s="399"/>
      <c r="Q654" s="399"/>
      <c r="R654" s="399"/>
      <c r="S654" s="399"/>
      <c r="T654" s="334"/>
      <c r="U654" s="334"/>
      <c r="V654" s="334"/>
      <c r="W654" s="334"/>
      <c r="X654" s="334"/>
      <c r="Y654" s="246"/>
      <c r="Z654" s="246"/>
      <c r="AA654" s="246"/>
      <c r="AB654" s="246"/>
      <c r="AC654" s="246"/>
      <c r="AD654" s="246"/>
      <c r="AE654" s="246"/>
      <c r="AF654" s="246"/>
      <c r="AG654" s="246"/>
      <c r="AH654" s="246"/>
      <c r="AI654" s="246"/>
      <c r="AJ654" s="246"/>
      <c r="AK654" s="246"/>
      <c r="AL654" s="246"/>
      <c r="AM654" s="246"/>
      <c r="AN654" s="246"/>
      <c r="AO654" s="246"/>
      <c r="AP654" s="246"/>
      <c r="AQ654" s="246"/>
      <c r="AR654" s="246"/>
      <c r="AS654" s="246"/>
      <c r="AT654" s="246"/>
      <c r="AU654" s="246"/>
      <c r="AV654" s="246"/>
      <c r="AW654" s="246"/>
      <c r="AX654" s="246"/>
      <c r="AY654" s="246"/>
      <c r="AZ654" s="246"/>
      <c r="BA654" s="246"/>
      <c r="BB654" s="246"/>
      <c r="BC654" s="246"/>
      <c r="BD654" s="246"/>
      <c r="BE654" s="246"/>
      <c r="BF654" s="246"/>
      <c r="BG654" s="246"/>
      <c r="BH654" s="246"/>
      <c r="BI654" s="246"/>
      <c r="BJ654" s="246"/>
    </row>
    <row r="655" spans="2:62" ht="15.75">
      <c r="B655" s="7"/>
      <c r="C655" s="398"/>
      <c r="D655" s="398"/>
      <c r="E655" s="398"/>
      <c r="F655" s="401"/>
      <c r="G655" s="398"/>
      <c r="H655" s="398"/>
      <c r="I655" s="401"/>
      <c r="J655" s="401"/>
      <c r="K655" s="401"/>
      <c r="L655" s="401"/>
      <c r="M655" s="401"/>
      <c r="N655" s="401"/>
      <c r="O655" s="401"/>
      <c r="P655" s="401"/>
      <c r="Q655" s="401"/>
      <c r="R655" s="401"/>
      <c r="S655" s="401"/>
      <c r="T655" s="334"/>
      <c r="U655" s="334"/>
      <c r="V655" s="334"/>
      <c r="W655" s="334"/>
      <c r="X655" s="334"/>
      <c r="Y655" s="246"/>
      <c r="Z655" s="246"/>
      <c r="AA655" s="246"/>
      <c r="AB655" s="246"/>
      <c r="AC655" s="246"/>
      <c r="AD655" s="246"/>
      <c r="AE655" s="246"/>
      <c r="AF655" s="246"/>
      <c r="AG655" s="246"/>
      <c r="AH655" s="246"/>
      <c r="AI655" s="246"/>
      <c r="AJ655" s="246"/>
      <c r="AK655" s="246"/>
      <c r="AL655" s="246"/>
      <c r="AM655" s="246"/>
      <c r="AN655" s="246"/>
      <c r="AO655" s="246"/>
      <c r="AP655" s="246"/>
      <c r="AQ655" s="246"/>
      <c r="AR655" s="246"/>
      <c r="AS655" s="246"/>
      <c r="AT655" s="246"/>
      <c r="AU655" s="246"/>
      <c r="AV655" s="246"/>
      <c r="AW655" s="246"/>
      <c r="AX655" s="246"/>
      <c r="AY655" s="246"/>
      <c r="AZ655" s="246"/>
      <c r="BA655" s="246"/>
      <c r="BB655" s="246"/>
      <c r="BC655" s="246"/>
      <c r="BD655" s="246"/>
      <c r="BE655" s="246"/>
      <c r="BF655" s="246"/>
      <c r="BG655" s="246"/>
      <c r="BH655" s="246"/>
      <c r="BI655" s="246"/>
      <c r="BJ655" s="246"/>
    </row>
    <row r="656" spans="2:62" ht="15.75">
      <c r="B656" s="7"/>
      <c r="C656" s="334"/>
      <c r="D656" s="334"/>
      <c r="E656" s="334"/>
      <c r="F656" s="334"/>
      <c r="G656" s="334"/>
      <c r="H656" s="334"/>
      <c r="I656" s="334"/>
      <c r="J656" s="399"/>
      <c r="K656" s="399"/>
      <c r="L656" s="399"/>
      <c r="M656" s="399"/>
      <c r="N656" s="399"/>
      <c r="O656" s="399"/>
      <c r="P656" s="399"/>
      <c r="Q656" s="399"/>
      <c r="R656" s="399"/>
      <c r="S656" s="399"/>
      <c r="T656" s="334"/>
      <c r="U656" s="334"/>
      <c r="V656" s="334"/>
      <c r="W656" s="334"/>
      <c r="X656" s="334"/>
      <c r="Y656" s="246"/>
      <c r="Z656" s="246"/>
      <c r="AA656" s="246"/>
      <c r="AB656" s="246"/>
      <c r="AC656" s="246"/>
      <c r="AD656" s="246"/>
      <c r="AE656" s="246"/>
      <c r="AF656" s="246"/>
      <c r="AG656" s="246"/>
      <c r="AH656" s="246"/>
      <c r="AI656" s="246"/>
      <c r="AJ656" s="246"/>
      <c r="AK656" s="246"/>
      <c r="AL656" s="246"/>
      <c r="AM656" s="246"/>
      <c r="AN656" s="246"/>
      <c r="AO656" s="246"/>
      <c r="AP656" s="246"/>
      <c r="AQ656" s="246"/>
      <c r="AR656" s="246"/>
      <c r="AS656" s="246"/>
      <c r="AT656" s="246"/>
      <c r="AU656" s="246"/>
      <c r="AV656" s="246"/>
      <c r="AW656" s="246"/>
      <c r="AX656" s="246"/>
      <c r="AY656" s="246"/>
      <c r="AZ656" s="246"/>
      <c r="BA656" s="246"/>
      <c r="BB656" s="246"/>
      <c r="BC656" s="246"/>
      <c r="BD656" s="246"/>
      <c r="BE656" s="246"/>
      <c r="BF656" s="246"/>
      <c r="BG656" s="246"/>
      <c r="BH656" s="246"/>
      <c r="BI656" s="246"/>
      <c r="BJ656" s="246"/>
    </row>
    <row r="657" spans="2:62" ht="15.75">
      <c r="B657" s="7"/>
      <c r="C657" s="334"/>
      <c r="D657" s="334"/>
      <c r="E657" s="334"/>
      <c r="F657" s="334"/>
      <c r="G657" s="334"/>
      <c r="H657" s="334"/>
      <c r="I657" s="334"/>
      <c r="J657" s="334"/>
      <c r="K657" s="399"/>
      <c r="L657" s="399"/>
      <c r="M657" s="334"/>
      <c r="N657" s="399"/>
      <c r="O657" s="399"/>
      <c r="P657" s="334"/>
      <c r="Q657" s="399"/>
      <c r="R657" s="399"/>
      <c r="S657" s="334"/>
      <c r="T657" s="334"/>
      <c r="U657" s="334"/>
      <c r="V657" s="334"/>
      <c r="W657" s="334"/>
      <c r="X657" s="334"/>
      <c r="Y657" s="246"/>
      <c r="Z657" s="246"/>
      <c r="AA657" s="246"/>
      <c r="AB657" s="246"/>
      <c r="AC657" s="246"/>
      <c r="AD657" s="246"/>
      <c r="AE657" s="246"/>
      <c r="AF657" s="246"/>
      <c r="AG657" s="246"/>
      <c r="AH657" s="246"/>
      <c r="AI657" s="246"/>
      <c r="AJ657" s="246"/>
      <c r="AK657" s="246"/>
      <c r="AL657" s="246"/>
      <c r="AM657" s="246"/>
      <c r="AN657" s="246"/>
      <c r="AO657" s="246"/>
      <c r="AP657" s="246"/>
      <c r="AQ657" s="246"/>
      <c r="AR657" s="246"/>
      <c r="AS657" s="246"/>
      <c r="AT657" s="246"/>
      <c r="AU657" s="246"/>
      <c r="AV657" s="246"/>
      <c r="AW657" s="246"/>
      <c r="AX657" s="246"/>
      <c r="AY657" s="246"/>
      <c r="AZ657" s="246"/>
      <c r="BA657" s="246"/>
      <c r="BB657" s="246"/>
      <c r="BC657" s="246"/>
      <c r="BD657" s="246"/>
      <c r="BE657" s="246"/>
      <c r="BF657" s="246"/>
      <c r="BG657" s="246"/>
      <c r="BH657" s="246"/>
      <c r="BI657" s="246"/>
      <c r="BJ657" s="246"/>
    </row>
    <row r="658" spans="2:62" ht="15.75">
      <c r="B658" s="7"/>
      <c r="C658" s="334"/>
      <c r="D658" s="334"/>
      <c r="E658" s="334"/>
      <c r="F658" s="334"/>
      <c r="G658" s="334"/>
      <c r="H658" s="334"/>
      <c r="I658" s="334"/>
      <c r="J658" s="334"/>
      <c r="K658" s="399"/>
      <c r="L658" s="399"/>
      <c r="M658" s="334"/>
      <c r="N658" s="399"/>
      <c r="O658" s="399"/>
      <c r="P658" s="334"/>
      <c r="Q658" s="399"/>
      <c r="R658" s="399"/>
      <c r="S658" s="334"/>
      <c r="T658" s="334"/>
      <c r="U658" s="334"/>
      <c r="V658" s="334"/>
      <c r="W658" s="334"/>
      <c r="X658" s="334"/>
      <c r="Y658" s="246"/>
      <c r="Z658" s="246"/>
      <c r="AA658" s="246"/>
      <c r="AB658" s="246"/>
      <c r="AC658" s="246"/>
      <c r="AD658" s="246"/>
      <c r="AE658" s="246"/>
      <c r="AF658" s="246"/>
      <c r="AG658" s="246"/>
      <c r="AH658" s="246"/>
      <c r="AI658" s="246"/>
      <c r="AJ658" s="246"/>
      <c r="AK658" s="246"/>
      <c r="AL658" s="246"/>
      <c r="AM658" s="246"/>
      <c r="AN658" s="246"/>
      <c r="AO658" s="246"/>
      <c r="AP658" s="246"/>
      <c r="AQ658" s="246"/>
      <c r="AR658" s="246"/>
      <c r="AS658" s="246"/>
      <c r="AT658" s="246"/>
      <c r="AU658" s="246"/>
      <c r="AV658" s="246"/>
      <c r="AW658" s="246"/>
      <c r="AX658" s="246"/>
      <c r="AY658" s="246"/>
      <c r="AZ658" s="246"/>
      <c r="BA658" s="246"/>
      <c r="BB658" s="246"/>
      <c r="BC658" s="246"/>
      <c r="BD658" s="246"/>
      <c r="BE658" s="246"/>
      <c r="BF658" s="246"/>
      <c r="BG658" s="246"/>
      <c r="BH658" s="246"/>
      <c r="BI658" s="246"/>
      <c r="BJ658" s="246"/>
    </row>
    <row r="659" spans="2:62" ht="15.75">
      <c r="B659" s="7"/>
      <c r="C659" s="334"/>
      <c r="D659" s="334"/>
      <c r="E659" s="334"/>
      <c r="F659" s="334"/>
      <c r="G659" s="334"/>
      <c r="H659" s="334"/>
      <c r="I659" s="334"/>
      <c r="J659" s="334"/>
      <c r="K659" s="399"/>
      <c r="L659" s="399"/>
      <c r="M659" s="334"/>
      <c r="N659" s="399"/>
      <c r="O659" s="399"/>
      <c r="P659" s="334"/>
      <c r="Q659" s="399"/>
      <c r="R659" s="399"/>
      <c r="S659" s="334"/>
      <c r="T659" s="334"/>
      <c r="U659" s="334"/>
      <c r="V659" s="334"/>
      <c r="W659" s="334"/>
      <c r="X659" s="334"/>
      <c r="Y659" s="246"/>
      <c r="Z659" s="246"/>
      <c r="AA659" s="246"/>
      <c r="AB659" s="246"/>
      <c r="AC659" s="246"/>
      <c r="AD659" s="246"/>
      <c r="AE659" s="246"/>
      <c r="AF659" s="246"/>
      <c r="AG659" s="246"/>
      <c r="AH659" s="246"/>
      <c r="AI659" s="246"/>
      <c r="AJ659" s="246"/>
      <c r="AK659" s="246"/>
      <c r="AL659" s="246"/>
      <c r="AM659" s="246"/>
      <c r="AN659" s="246"/>
      <c r="AO659" s="246"/>
      <c r="AP659" s="246"/>
      <c r="AQ659" s="246"/>
      <c r="AR659" s="246"/>
      <c r="AS659" s="246"/>
      <c r="AT659" s="246"/>
      <c r="AU659" s="246"/>
      <c r="AV659" s="246"/>
      <c r="AW659" s="246"/>
      <c r="AX659" s="246"/>
      <c r="AY659" s="246"/>
      <c r="AZ659" s="246"/>
      <c r="BA659" s="246"/>
      <c r="BB659" s="246"/>
      <c r="BC659" s="246"/>
      <c r="BD659" s="246"/>
      <c r="BE659" s="246"/>
      <c r="BF659" s="246"/>
      <c r="BG659" s="246"/>
      <c r="BH659" s="246"/>
      <c r="BI659" s="246"/>
      <c r="BJ659" s="246"/>
    </row>
    <row r="660" spans="2:62" ht="15.75">
      <c r="B660" s="7"/>
      <c r="C660" s="334"/>
      <c r="D660" s="334"/>
      <c r="E660" s="334"/>
      <c r="F660" s="334"/>
      <c r="G660" s="334"/>
      <c r="H660" s="334"/>
      <c r="I660" s="334"/>
      <c r="J660" s="334"/>
      <c r="K660" s="399"/>
      <c r="L660" s="399"/>
      <c r="M660" s="334"/>
      <c r="N660" s="399"/>
      <c r="O660" s="399"/>
      <c r="P660" s="334"/>
      <c r="Q660" s="399"/>
      <c r="R660" s="399"/>
      <c r="S660" s="334"/>
      <c r="T660" s="334"/>
      <c r="U660" s="334"/>
      <c r="V660" s="334"/>
      <c r="W660" s="334"/>
      <c r="X660" s="334"/>
      <c r="Y660" s="246"/>
      <c r="Z660" s="246"/>
      <c r="AA660" s="246"/>
      <c r="AB660" s="246"/>
      <c r="AC660" s="246"/>
      <c r="AD660" s="246"/>
      <c r="AE660" s="246"/>
      <c r="AF660" s="246"/>
      <c r="AG660" s="246"/>
      <c r="AH660" s="246"/>
      <c r="AI660" s="246"/>
      <c r="AJ660" s="246"/>
      <c r="AK660" s="246"/>
      <c r="AL660" s="246"/>
      <c r="AM660" s="246"/>
      <c r="AN660" s="246"/>
      <c r="AO660" s="246"/>
      <c r="AP660" s="246"/>
      <c r="AQ660" s="246"/>
      <c r="AR660" s="246"/>
      <c r="AS660" s="246"/>
      <c r="AT660" s="246"/>
      <c r="AU660" s="246"/>
      <c r="AV660" s="246"/>
      <c r="AW660" s="246"/>
      <c r="AX660" s="246"/>
      <c r="AY660" s="246"/>
      <c r="AZ660" s="246"/>
      <c r="BA660" s="246"/>
      <c r="BB660" s="246"/>
      <c r="BC660" s="246"/>
      <c r="BD660" s="246"/>
      <c r="BE660" s="246"/>
      <c r="BF660" s="246"/>
      <c r="BG660" s="246"/>
      <c r="BH660" s="246"/>
      <c r="BI660" s="246"/>
      <c r="BJ660" s="246"/>
    </row>
    <row r="661" spans="2:62" ht="15.75">
      <c r="B661" s="7"/>
      <c r="C661" s="334"/>
      <c r="D661" s="334"/>
      <c r="E661" s="334"/>
      <c r="F661" s="334"/>
      <c r="G661" s="334"/>
      <c r="H661" s="334"/>
      <c r="I661" s="334"/>
      <c r="J661" s="334"/>
      <c r="K661" s="399"/>
      <c r="L661" s="399"/>
      <c r="M661" s="334"/>
      <c r="N661" s="399"/>
      <c r="O661" s="399"/>
      <c r="P661" s="334"/>
      <c r="Q661" s="399"/>
      <c r="R661" s="399"/>
      <c r="S661" s="334"/>
      <c r="T661" s="334"/>
      <c r="U661" s="334"/>
      <c r="V661" s="334"/>
      <c r="W661" s="334"/>
      <c r="X661" s="334"/>
      <c r="Y661" s="246"/>
      <c r="Z661" s="246"/>
      <c r="AA661" s="246"/>
      <c r="AB661" s="246"/>
      <c r="AC661" s="246"/>
      <c r="AD661" s="246"/>
      <c r="AE661" s="246"/>
      <c r="AF661" s="246"/>
      <c r="AG661" s="246"/>
      <c r="AH661" s="246"/>
      <c r="AI661" s="246"/>
      <c r="AJ661" s="246"/>
      <c r="AK661" s="246"/>
      <c r="AL661" s="246"/>
      <c r="AM661" s="246"/>
      <c r="AN661" s="246"/>
      <c r="AO661" s="246"/>
      <c r="AP661" s="246"/>
      <c r="AQ661" s="246"/>
      <c r="AR661" s="246"/>
      <c r="AS661" s="246"/>
      <c r="AT661" s="246"/>
      <c r="AU661" s="246"/>
      <c r="AV661" s="246"/>
      <c r="AW661" s="246"/>
      <c r="AX661" s="246"/>
      <c r="AY661" s="246"/>
      <c r="AZ661" s="246"/>
      <c r="BA661" s="246"/>
      <c r="BB661" s="246"/>
      <c r="BC661" s="246"/>
      <c r="BD661" s="246"/>
      <c r="BE661" s="246"/>
      <c r="BF661" s="246"/>
      <c r="BG661" s="246"/>
      <c r="BH661" s="246"/>
      <c r="BI661" s="246"/>
      <c r="BJ661" s="246"/>
    </row>
    <row r="662" spans="2:62" ht="15.75">
      <c r="B662" s="7"/>
      <c r="C662" s="334"/>
      <c r="D662" s="334"/>
      <c r="E662" s="334"/>
      <c r="F662" s="334"/>
      <c r="G662" s="334"/>
      <c r="H662" s="334"/>
      <c r="I662" s="334"/>
      <c r="J662" s="334"/>
      <c r="K662" s="399"/>
      <c r="L662" s="401"/>
      <c r="M662" s="334"/>
      <c r="N662" s="399"/>
      <c r="O662" s="399"/>
      <c r="P662" s="334"/>
      <c r="Q662" s="399"/>
      <c r="R662" s="401"/>
      <c r="S662" s="334"/>
      <c r="T662" s="334"/>
      <c r="U662" s="334"/>
      <c r="V662" s="334"/>
      <c r="W662" s="334"/>
      <c r="X662" s="334"/>
      <c r="Y662" s="246"/>
      <c r="Z662" s="246"/>
      <c r="AA662" s="246"/>
      <c r="AB662" s="246"/>
      <c r="AC662" s="246"/>
      <c r="AD662" s="246"/>
      <c r="AE662" s="246"/>
      <c r="AF662" s="246"/>
      <c r="AG662" s="246"/>
      <c r="AH662" s="246"/>
      <c r="AI662" s="246"/>
      <c r="AJ662" s="246"/>
      <c r="AK662" s="246"/>
      <c r="AL662" s="246"/>
      <c r="AM662" s="246"/>
      <c r="AN662" s="246"/>
      <c r="AO662" s="246"/>
      <c r="AP662" s="246"/>
      <c r="AQ662" s="246"/>
      <c r="AR662" s="246"/>
      <c r="AS662" s="246"/>
      <c r="AT662" s="246"/>
      <c r="AU662" s="246"/>
      <c r="AV662" s="246"/>
      <c r="AW662" s="246"/>
      <c r="AX662" s="246"/>
      <c r="AY662" s="246"/>
      <c r="AZ662" s="246"/>
      <c r="BA662" s="246"/>
      <c r="BB662" s="246"/>
      <c r="BC662" s="246"/>
      <c r="BD662" s="246"/>
      <c r="BE662" s="246"/>
      <c r="BF662" s="246"/>
      <c r="BG662" s="246"/>
      <c r="BH662" s="246"/>
      <c r="BI662" s="246"/>
      <c r="BJ662" s="246"/>
    </row>
    <row r="663" spans="2:62" ht="15.75">
      <c r="B663" s="7"/>
      <c r="C663" s="334"/>
      <c r="D663" s="334"/>
      <c r="E663" s="334"/>
      <c r="F663" s="334"/>
      <c r="G663" s="334"/>
      <c r="H663" s="334"/>
      <c r="I663" s="334"/>
      <c r="J663" s="334"/>
      <c r="K663" s="399"/>
      <c r="L663" s="399"/>
      <c r="M663" s="334"/>
      <c r="N663" s="399"/>
      <c r="O663" s="399"/>
      <c r="P663" s="334"/>
      <c r="Q663" s="399"/>
      <c r="R663" s="399"/>
      <c r="S663" s="334"/>
      <c r="T663" s="334"/>
      <c r="U663" s="334"/>
      <c r="V663" s="334"/>
      <c r="W663" s="334"/>
      <c r="X663" s="334"/>
      <c r="Y663" s="246"/>
      <c r="Z663" s="246"/>
      <c r="AA663" s="246"/>
      <c r="AB663" s="246"/>
      <c r="AC663" s="246"/>
      <c r="AD663" s="246"/>
      <c r="AE663" s="246"/>
      <c r="AF663" s="246"/>
      <c r="AG663" s="246"/>
      <c r="AH663" s="246"/>
      <c r="AI663" s="246"/>
      <c r="AJ663" s="246"/>
      <c r="AK663" s="246"/>
      <c r="AL663" s="246"/>
      <c r="AM663" s="246"/>
      <c r="AN663" s="246"/>
      <c r="AO663" s="246"/>
      <c r="AP663" s="246"/>
      <c r="AQ663" s="246"/>
      <c r="AR663" s="246"/>
      <c r="AS663" s="246"/>
      <c r="AT663" s="246"/>
      <c r="AU663" s="246"/>
      <c r="AV663" s="246"/>
      <c r="AW663" s="246"/>
      <c r="AX663" s="246"/>
      <c r="AY663" s="246"/>
      <c r="AZ663" s="246"/>
      <c r="BA663" s="246"/>
      <c r="BB663" s="246"/>
      <c r="BC663" s="246"/>
      <c r="BD663" s="246"/>
      <c r="BE663" s="246"/>
      <c r="BF663" s="246"/>
      <c r="BG663" s="246"/>
      <c r="BH663" s="246"/>
      <c r="BI663" s="246"/>
      <c r="BJ663" s="246"/>
    </row>
    <row r="664" spans="2:62" ht="15.75">
      <c r="B664" s="7"/>
      <c r="C664" s="334"/>
      <c r="D664" s="334"/>
      <c r="E664" s="334"/>
      <c r="F664" s="334"/>
      <c r="G664" s="334"/>
      <c r="H664" s="334"/>
      <c r="I664" s="334"/>
      <c r="J664" s="334"/>
      <c r="K664" s="334"/>
      <c r="L664" s="334"/>
      <c r="M664" s="334"/>
      <c r="N664" s="401"/>
      <c r="O664" s="401"/>
      <c r="P664" s="334"/>
      <c r="Q664" s="401"/>
      <c r="R664" s="334"/>
      <c r="S664" s="334"/>
      <c r="T664" s="334"/>
      <c r="U664" s="334"/>
      <c r="V664" s="334"/>
      <c r="W664" s="334"/>
      <c r="X664" s="334"/>
      <c r="Y664" s="246"/>
      <c r="Z664" s="246"/>
      <c r="AA664" s="246"/>
      <c r="AB664" s="246"/>
      <c r="AC664" s="246"/>
      <c r="AD664" s="246"/>
      <c r="AE664" s="246"/>
      <c r="AF664" s="246"/>
      <c r="AG664" s="246"/>
      <c r="AH664" s="246"/>
      <c r="AI664" s="246"/>
      <c r="AJ664" s="246"/>
      <c r="AK664" s="246"/>
      <c r="AL664" s="246"/>
      <c r="AM664" s="246"/>
      <c r="AN664" s="246"/>
      <c r="AO664" s="246"/>
      <c r="AP664" s="246"/>
      <c r="AQ664" s="246"/>
      <c r="AR664" s="246"/>
      <c r="AS664" s="246"/>
      <c r="AT664" s="246"/>
      <c r="AU664" s="246"/>
      <c r="AV664" s="246"/>
      <c r="AW664" s="246"/>
      <c r="AX664" s="246"/>
      <c r="AY664" s="246"/>
      <c r="AZ664" s="246"/>
      <c r="BA664" s="246"/>
      <c r="BB664" s="246"/>
      <c r="BC664" s="246"/>
      <c r="BD664" s="246"/>
      <c r="BE664" s="246"/>
      <c r="BF664" s="246"/>
      <c r="BG664" s="246"/>
      <c r="BH664" s="246"/>
      <c r="BI664" s="246"/>
      <c r="BJ664" s="246"/>
    </row>
    <row r="665" spans="2:62" ht="15.75">
      <c r="B665" s="7"/>
      <c r="C665" s="334"/>
      <c r="D665" s="334"/>
      <c r="E665" s="334"/>
      <c r="F665" s="334"/>
      <c r="G665" s="334"/>
      <c r="H665" s="334"/>
      <c r="I665" s="334"/>
      <c r="J665" s="334"/>
      <c r="K665" s="401"/>
      <c r="L665" s="401"/>
      <c r="M665" s="334"/>
      <c r="N665" s="399"/>
      <c r="O665" s="399"/>
      <c r="P665" s="334"/>
      <c r="Q665" s="399"/>
      <c r="R665" s="401"/>
      <c r="S665" s="334"/>
      <c r="T665" s="334"/>
      <c r="U665" s="334"/>
      <c r="V665" s="334"/>
      <c r="W665" s="334"/>
      <c r="X665" s="334"/>
      <c r="Y665" s="246"/>
      <c r="Z665" s="246"/>
      <c r="AA665" s="246"/>
      <c r="AB665" s="246"/>
      <c r="AC665" s="246"/>
      <c r="AD665" s="246"/>
      <c r="AE665" s="246"/>
      <c r="AF665" s="246"/>
      <c r="AG665" s="246"/>
      <c r="AH665" s="246"/>
      <c r="AI665" s="246"/>
      <c r="AJ665" s="246"/>
      <c r="AK665" s="246"/>
      <c r="AL665" s="246"/>
      <c r="AM665" s="246"/>
      <c r="AN665" s="246"/>
      <c r="AO665" s="246"/>
      <c r="AP665" s="246"/>
      <c r="AQ665" s="246"/>
      <c r="AR665" s="246"/>
      <c r="AS665" s="246"/>
      <c r="AT665" s="246"/>
      <c r="AU665" s="246"/>
      <c r="AV665" s="246"/>
      <c r="AW665" s="246"/>
      <c r="AX665" s="246"/>
      <c r="AY665" s="246"/>
      <c r="AZ665" s="246"/>
      <c r="BA665" s="246"/>
      <c r="BB665" s="246"/>
      <c r="BC665" s="246"/>
      <c r="BD665" s="246"/>
      <c r="BE665" s="246"/>
      <c r="BF665" s="246"/>
      <c r="BG665" s="246"/>
      <c r="BH665" s="246"/>
      <c r="BI665" s="246"/>
      <c r="BJ665" s="246"/>
    </row>
    <row r="666" spans="2:62" ht="15.75">
      <c r="B666" s="7"/>
      <c r="C666" s="334"/>
      <c r="D666" s="334"/>
      <c r="E666" s="334"/>
      <c r="F666" s="334"/>
      <c r="G666" s="334"/>
      <c r="H666" s="334"/>
      <c r="I666" s="334"/>
      <c r="J666" s="334"/>
      <c r="K666" s="399"/>
      <c r="L666" s="399"/>
      <c r="M666" s="334"/>
      <c r="N666" s="399"/>
      <c r="O666" s="399"/>
      <c r="P666" s="334"/>
      <c r="Q666" s="399"/>
      <c r="R666" s="399"/>
      <c r="S666" s="334"/>
      <c r="T666" s="334"/>
      <c r="U666" s="334"/>
      <c r="V666" s="334"/>
      <c r="W666" s="334"/>
      <c r="X666" s="334"/>
      <c r="Y666" s="246"/>
      <c r="Z666" s="246"/>
      <c r="AA666" s="246"/>
      <c r="AB666" s="246"/>
      <c r="AC666" s="246"/>
      <c r="AD666" s="246"/>
      <c r="AE666" s="246"/>
      <c r="AF666" s="246"/>
      <c r="AG666" s="246"/>
      <c r="AH666" s="246"/>
      <c r="AI666" s="246"/>
      <c r="AJ666" s="246"/>
      <c r="AK666" s="246"/>
      <c r="AL666" s="246"/>
      <c r="AM666" s="246"/>
      <c r="AN666" s="246"/>
      <c r="AO666" s="246"/>
      <c r="AP666" s="246"/>
      <c r="AQ666" s="246"/>
      <c r="AR666" s="246"/>
      <c r="AS666" s="246"/>
      <c r="AT666" s="246"/>
      <c r="AU666" s="246"/>
      <c r="AV666" s="246"/>
      <c r="AW666" s="246"/>
      <c r="AX666" s="246"/>
      <c r="AY666" s="246"/>
      <c r="AZ666" s="246"/>
      <c r="BA666" s="246"/>
      <c r="BB666" s="246"/>
      <c r="BC666" s="246"/>
      <c r="BD666" s="246"/>
      <c r="BE666" s="246"/>
      <c r="BF666" s="246"/>
      <c r="BG666" s="246"/>
      <c r="BH666" s="246"/>
      <c r="BI666" s="246"/>
      <c r="BJ666" s="246"/>
    </row>
    <row r="667" spans="2:62" ht="15.75">
      <c r="B667" s="7"/>
      <c r="C667" s="334"/>
      <c r="D667" s="334"/>
      <c r="E667" s="334"/>
      <c r="F667" s="334"/>
      <c r="G667" s="334"/>
      <c r="H667" s="334"/>
      <c r="I667" s="334"/>
      <c r="J667" s="334"/>
      <c r="K667" s="399"/>
      <c r="L667" s="399"/>
      <c r="M667" s="334"/>
      <c r="N667" s="399"/>
      <c r="O667" s="399"/>
      <c r="P667" s="334"/>
      <c r="Q667" s="399"/>
      <c r="R667" s="399"/>
      <c r="S667" s="334"/>
      <c r="T667" s="334"/>
      <c r="U667" s="334"/>
      <c r="V667" s="334"/>
      <c r="W667" s="334"/>
      <c r="X667" s="334"/>
      <c r="Y667" s="246"/>
      <c r="Z667" s="246"/>
      <c r="AA667" s="246"/>
      <c r="AB667" s="246"/>
      <c r="AC667" s="246"/>
      <c r="AD667" s="246"/>
      <c r="AE667" s="246"/>
      <c r="AF667" s="246"/>
      <c r="AG667" s="246"/>
      <c r="AH667" s="246"/>
      <c r="AI667" s="246"/>
      <c r="AJ667" s="246"/>
      <c r="AK667" s="246"/>
      <c r="AL667" s="246"/>
      <c r="AM667" s="246"/>
      <c r="AN667" s="246"/>
      <c r="AO667" s="246"/>
      <c r="AP667" s="246"/>
      <c r="AQ667" s="246"/>
      <c r="AR667" s="246"/>
      <c r="AS667" s="246"/>
      <c r="AT667" s="246"/>
      <c r="AU667" s="246"/>
      <c r="AV667" s="246"/>
      <c r="AW667" s="246"/>
      <c r="AX667" s="246"/>
      <c r="AY667" s="246"/>
      <c r="AZ667" s="246"/>
      <c r="BA667" s="246"/>
      <c r="BB667" s="246"/>
      <c r="BC667" s="246"/>
      <c r="BD667" s="246"/>
      <c r="BE667" s="246"/>
      <c r="BF667" s="246"/>
      <c r="BG667" s="246"/>
      <c r="BH667" s="246"/>
      <c r="BI667" s="246"/>
      <c r="BJ667" s="246"/>
    </row>
    <row r="668" spans="2:62" ht="15.75">
      <c r="B668" s="7"/>
      <c r="C668" s="334"/>
      <c r="D668" s="334"/>
      <c r="E668" s="334"/>
      <c r="F668" s="334"/>
      <c r="G668" s="334"/>
      <c r="H668" s="334"/>
      <c r="I668" s="334"/>
      <c r="J668" s="334"/>
      <c r="K668" s="399"/>
      <c r="L668" s="399"/>
      <c r="M668" s="334"/>
      <c r="N668" s="399"/>
      <c r="O668" s="399"/>
      <c r="P668" s="334"/>
      <c r="Q668" s="399"/>
      <c r="R668" s="399"/>
      <c r="S668" s="334"/>
      <c r="T668" s="334"/>
      <c r="U668" s="334"/>
      <c r="V668" s="334"/>
      <c r="W668" s="334"/>
      <c r="X668" s="334"/>
      <c r="Y668" s="246"/>
      <c r="Z668" s="246"/>
      <c r="AA668" s="246"/>
      <c r="AB668" s="246"/>
      <c r="AC668" s="246"/>
      <c r="AD668" s="246"/>
      <c r="AE668" s="246"/>
      <c r="AF668" s="246"/>
      <c r="AG668" s="246"/>
      <c r="AH668" s="246"/>
      <c r="AI668" s="246"/>
      <c r="AJ668" s="246"/>
      <c r="AK668" s="246"/>
      <c r="AL668" s="246"/>
      <c r="AM668" s="246"/>
      <c r="AN668" s="246"/>
      <c r="AO668" s="246"/>
      <c r="AP668" s="246"/>
      <c r="AQ668" s="246"/>
      <c r="AR668" s="246"/>
      <c r="AS668" s="246"/>
      <c r="AT668" s="246"/>
      <c r="AU668" s="246"/>
      <c r="AV668" s="246"/>
      <c r="AW668" s="246"/>
      <c r="AX668" s="246"/>
      <c r="AY668" s="246"/>
      <c r="AZ668" s="246"/>
      <c r="BA668" s="246"/>
      <c r="BB668" s="246"/>
      <c r="BC668" s="246"/>
      <c r="BD668" s="246"/>
      <c r="BE668" s="246"/>
      <c r="BF668" s="246"/>
      <c r="BG668" s="246"/>
      <c r="BH668" s="246"/>
      <c r="BI668" s="246"/>
      <c r="BJ668" s="246"/>
    </row>
    <row r="669" spans="2:62" ht="15.75">
      <c r="B669" s="7"/>
      <c r="C669" s="334"/>
      <c r="D669" s="334"/>
      <c r="E669" s="334"/>
      <c r="F669" s="334"/>
      <c r="G669" s="334"/>
      <c r="H669" s="334"/>
      <c r="I669" s="334"/>
      <c r="J669" s="334"/>
      <c r="K669" s="399"/>
      <c r="L669" s="399"/>
      <c r="M669" s="334"/>
      <c r="N669" s="399"/>
      <c r="O669" s="399"/>
      <c r="P669" s="334"/>
      <c r="Q669" s="399"/>
      <c r="R669" s="399"/>
      <c r="S669" s="334"/>
      <c r="T669" s="334"/>
      <c r="U669" s="334"/>
      <c r="V669" s="334"/>
      <c r="W669" s="334"/>
      <c r="X669" s="334"/>
      <c r="Y669" s="246"/>
      <c r="Z669" s="246"/>
      <c r="AA669" s="246"/>
      <c r="AB669" s="246"/>
      <c r="AC669" s="246"/>
      <c r="AD669" s="246"/>
      <c r="AE669" s="246"/>
      <c r="AF669" s="246"/>
      <c r="AG669" s="246"/>
      <c r="AH669" s="246"/>
      <c r="AI669" s="246"/>
      <c r="AJ669" s="246"/>
      <c r="AK669" s="246"/>
      <c r="AL669" s="246"/>
      <c r="AM669" s="246"/>
      <c r="AN669" s="246"/>
      <c r="AO669" s="246"/>
      <c r="AP669" s="246"/>
      <c r="AQ669" s="246"/>
      <c r="AR669" s="246"/>
      <c r="AS669" s="246"/>
      <c r="AT669" s="246"/>
      <c r="AU669" s="246"/>
      <c r="AV669" s="246"/>
      <c r="AW669" s="246"/>
      <c r="AX669" s="246"/>
      <c r="AY669" s="246"/>
      <c r="AZ669" s="246"/>
      <c r="BA669" s="246"/>
      <c r="BB669" s="246"/>
      <c r="BC669" s="246"/>
      <c r="BD669" s="246"/>
      <c r="BE669" s="246"/>
      <c r="BF669" s="246"/>
      <c r="BG669" s="246"/>
      <c r="BH669" s="246"/>
      <c r="BI669" s="246"/>
      <c r="BJ669" s="246"/>
    </row>
    <row r="670" spans="2:62" ht="15.75">
      <c r="B670" s="7"/>
      <c r="C670" s="334"/>
      <c r="D670" s="334"/>
      <c r="E670" s="334"/>
      <c r="F670" s="334"/>
      <c r="G670" s="334"/>
      <c r="H670" s="334"/>
      <c r="I670" s="334"/>
      <c r="J670" s="334"/>
      <c r="K670" s="399"/>
      <c r="L670" s="399"/>
      <c r="M670" s="334"/>
      <c r="N670" s="399"/>
      <c r="O670" s="399"/>
      <c r="P670" s="334"/>
      <c r="Q670" s="399"/>
      <c r="R670" s="399"/>
      <c r="S670" s="334"/>
      <c r="T670" s="334"/>
      <c r="U670" s="334"/>
      <c r="V670" s="334"/>
      <c r="W670" s="334"/>
      <c r="X670" s="334"/>
      <c r="Y670" s="246"/>
      <c r="Z670" s="246"/>
      <c r="AA670" s="246"/>
      <c r="AB670" s="246"/>
      <c r="AC670" s="246"/>
      <c r="AD670" s="246"/>
      <c r="AE670" s="246"/>
      <c r="AF670" s="246"/>
      <c r="AG670" s="246"/>
      <c r="AH670" s="246"/>
      <c r="AI670" s="246"/>
      <c r="AJ670" s="246"/>
      <c r="AK670" s="246"/>
      <c r="AL670" s="246"/>
      <c r="AM670" s="246"/>
      <c r="AN670" s="246"/>
      <c r="AO670" s="246"/>
      <c r="AP670" s="246"/>
      <c r="AQ670" s="246"/>
      <c r="AR670" s="246"/>
      <c r="AS670" s="246"/>
      <c r="AT670" s="246"/>
      <c r="AU670" s="246"/>
      <c r="AV670" s="246"/>
      <c r="AW670" s="246"/>
      <c r="AX670" s="246"/>
      <c r="AY670" s="246"/>
      <c r="AZ670" s="246"/>
      <c r="BA670" s="246"/>
      <c r="BB670" s="246"/>
      <c r="BC670" s="246"/>
      <c r="BD670" s="246"/>
      <c r="BE670" s="246"/>
      <c r="BF670" s="246"/>
      <c r="BG670" s="246"/>
      <c r="BH670" s="246"/>
      <c r="BI670" s="246"/>
      <c r="BJ670" s="246"/>
    </row>
    <row r="671" spans="2:62" ht="15.75">
      <c r="B671" s="7"/>
      <c r="C671" s="334"/>
      <c r="D671" s="334"/>
      <c r="E671" s="334"/>
      <c r="F671" s="334"/>
      <c r="G671" s="334"/>
      <c r="H671" s="334"/>
      <c r="I671" s="334"/>
      <c r="J671" s="334"/>
      <c r="K671" s="399"/>
      <c r="L671" s="399"/>
      <c r="M671" s="334"/>
      <c r="N671" s="399"/>
      <c r="O671" s="399"/>
      <c r="P671" s="334"/>
      <c r="Q671" s="399"/>
      <c r="R671" s="399"/>
      <c r="S671" s="334"/>
      <c r="T671" s="334"/>
      <c r="U671" s="334"/>
      <c r="V671" s="334"/>
      <c r="W671" s="334"/>
      <c r="X671" s="334"/>
      <c r="Y671" s="246"/>
      <c r="Z671" s="246"/>
      <c r="AA671" s="246"/>
      <c r="AB671" s="246"/>
      <c r="AC671" s="246"/>
      <c r="AD671" s="246"/>
      <c r="AE671" s="246"/>
      <c r="AF671" s="246"/>
      <c r="AG671" s="246"/>
      <c r="AH671" s="246"/>
      <c r="AI671" s="246"/>
      <c r="AJ671" s="246"/>
      <c r="AK671" s="246"/>
      <c r="AL671" s="246"/>
      <c r="AM671" s="246"/>
      <c r="AN671" s="246"/>
      <c r="AO671" s="246"/>
      <c r="AP671" s="246"/>
      <c r="AQ671" s="246"/>
      <c r="AR671" s="246"/>
      <c r="AS671" s="246"/>
      <c r="AT671" s="246"/>
      <c r="AU671" s="246"/>
      <c r="AV671" s="246"/>
      <c r="AW671" s="246"/>
      <c r="AX671" s="246"/>
      <c r="AY671" s="246"/>
      <c r="AZ671" s="246"/>
      <c r="BA671" s="246"/>
      <c r="BB671" s="246"/>
      <c r="BC671" s="246"/>
      <c r="BD671" s="246"/>
      <c r="BE671" s="246"/>
      <c r="BF671" s="246"/>
      <c r="BG671" s="246"/>
      <c r="BH671" s="246"/>
      <c r="BI671" s="246"/>
      <c r="BJ671" s="246"/>
    </row>
    <row r="672" spans="2:62" ht="15.75">
      <c r="B672" s="7"/>
      <c r="C672" s="334"/>
      <c r="D672" s="334"/>
      <c r="E672" s="334"/>
      <c r="F672" s="334"/>
      <c r="G672" s="334"/>
      <c r="H672" s="334"/>
      <c r="I672" s="334"/>
      <c r="J672" s="334"/>
      <c r="K672" s="399"/>
      <c r="L672" s="399"/>
      <c r="M672" s="334"/>
      <c r="N672" s="399"/>
      <c r="O672" s="399"/>
      <c r="P672" s="334"/>
      <c r="Q672" s="399"/>
      <c r="R672" s="399"/>
      <c r="S672" s="334"/>
      <c r="T672" s="334"/>
      <c r="U672" s="334"/>
      <c r="V672" s="334"/>
      <c r="W672" s="334"/>
      <c r="X672" s="334"/>
      <c r="Y672" s="246"/>
      <c r="Z672" s="246"/>
      <c r="AA672" s="246"/>
      <c r="AB672" s="246"/>
      <c r="AC672" s="246"/>
      <c r="AD672" s="246"/>
      <c r="AE672" s="246"/>
      <c r="AF672" s="246"/>
      <c r="AG672" s="246"/>
      <c r="AH672" s="246"/>
      <c r="AI672" s="246"/>
      <c r="AJ672" s="246"/>
      <c r="AK672" s="246"/>
      <c r="AL672" s="246"/>
      <c r="AM672" s="246"/>
      <c r="AN672" s="246"/>
      <c r="AO672" s="246"/>
      <c r="AP672" s="246"/>
      <c r="AQ672" s="246"/>
      <c r="AR672" s="246"/>
      <c r="AS672" s="246"/>
      <c r="AT672" s="246"/>
      <c r="AU672" s="246"/>
      <c r="AV672" s="246"/>
      <c r="AW672" s="246"/>
      <c r="AX672" s="246"/>
      <c r="AY672" s="246"/>
      <c r="AZ672" s="246"/>
      <c r="BA672" s="246"/>
      <c r="BB672" s="246"/>
      <c r="BC672" s="246"/>
      <c r="BD672" s="246"/>
      <c r="BE672" s="246"/>
      <c r="BF672" s="246"/>
      <c r="BG672" s="246"/>
      <c r="BH672" s="246"/>
      <c r="BI672" s="246"/>
      <c r="BJ672" s="246"/>
    </row>
    <row r="673" spans="2:62" ht="15.75">
      <c r="B673" s="7"/>
      <c r="C673" s="334"/>
      <c r="D673" s="334"/>
      <c r="E673" s="334"/>
      <c r="F673" s="334"/>
      <c r="G673" s="334"/>
      <c r="H673" s="334"/>
      <c r="I673" s="334"/>
      <c r="J673" s="334"/>
      <c r="K673" s="399"/>
      <c r="L673" s="399"/>
      <c r="M673" s="334"/>
      <c r="N673" s="399"/>
      <c r="O673" s="399"/>
      <c r="P673" s="334"/>
      <c r="Q673" s="399"/>
      <c r="R673" s="399"/>
      <c r="S673" s="334"/>
      <c r="T673" s="334"/>
      <c r="U673" s="334"/>
      <c r="V673" s="334"/>
      <c r="W673" s="334"/>
      <c r="X673" s="334"/>
      <c r="Y673" s="246"/>
      <c r="Z673" s="246"/>
      <c r="AA673" s="246"/>
      <c r="AB673" s="246"/>
      <c r="AC673" s="246"/>
      <c r="AD673" s="246"/>
      <c r="AE673" s="246"/>
      <c r="AF673" s="246"/>
      <c r="AG673" s="246"/>
      <c r="AH673" s="246"/>
      <c r="AI673" s="246"/>
      <c r="AJ673" s="246"/>
      <c r="AK673" s="246"/>
      <c r="AL673" s="246"/>
      <c r="AM673" s="246"/>
      <c r="AN673" s="246"/>
      <c r="AO673" s="246"/>
      <c r="AP673" s="246"/>
      <c r="AQ673" s="246"/>
      <c r="AR673" s="246"/>
      <c r="AS673" s="246"/>
      <c r="AT673" s="246"/>
      <c r="AU673" s="246"/>
      <c r="AV673" s="246"/>
      <c r="AW673" s="246"/>
      <c r="AX673" s="246"/>
      <c r="AY673" s="246"/>
      <c r="AZ673" s="246"/>
      <c r="BA673" s="246"/>
      <c r="BB673" s="246"/>
      <c r="BC673" s="246"/>
      <c r="BD673" s="246"/>
      <c r="BE673" s="246"/>
      <c r="BF673" s="246"/>
      <c r="BG673" s="246"/>
      <c r="BH673" s="246"/>
      <c r="BI673" s="246"/>
      <c r="BJ673" s="246"/>
    </row>
    <row r="674" spans="2:62" ht="15.75">
      <c r="B674" s="7"/>
      <c r="C674" s="334"/>
      <c r="D674" s="334"/>
      <c r="E674" s="334"/>
      <c r="F674" s="334"/>
      <c r="G674" s="334"/>
      <c r="H674" s="334"/>
      <c r="I674" s="334"/>
      <c r="J674" s="334"/>
      <c r="K674" s="399"/>
      <c r="L674" s="399"/>
      <c r="M674" s="334"/>
      <c r="N674" s="401"/>
      <c r="O674" s="401"/>
      <c r="P674" s="334"/>
      <c r="Q674" s="401"/>
      <c r="R674" s="399"/>
      <c r="S674" s="334"/>
      <c r="T674" s="334"/>
      <c r="U674" s="334"/>
      <c r="V674" s="334"/>
      <c r="W674" s="334"/>
      <c r="X674" s="334"/>
      <c r="Y674" s="246"/>
      <c r="Z674" s="246"/>
      <c r="AA674" s="246"/>
      <c r="AB674" s="246"/>
      <c r="AC674" s="246"/>
      <c r="AD674" s="246"/>
      <c r="AE674" s="246"/>
      <c r="AF674" s="246"/>
      <c r="AG674" s="246"/>
      <c r="AH674" s="246"/>
      <c r="AI674" s="246"/>
      <c r="AJ674" s="246"/>
      <c r="AK674" s="246"/>
      <c r="AL674" s="246"/>
      <c r="AM674" s="246"/>
      <c r="AN674" s="246"/>
      <c r="AO674" s="246"/>
      <c r="AP674" s="246"/>
      <c r="AQ674" s="246"/>
      <c r="AR674" s="246"/>
      <c r="AS674" s="246"/>
      <c r="AT674" s="246"/>
      <c r="AU674" s="246"/>
      <c r="AV674" s="246"/>
      <c r="AW674" s="246"/>
      <c r="AX674" s="246"/>
      <c r="AY674" s="246"/>
      <c r="AZ674" s="246"/>
      <c r="BA674" s="246"/>
      <c r="BB674" s="246"/>
      <c r="BC674" s="246"/>
      <c r="BD674" s="246"/>
      <c r="BE674" s="246"/>
      <c r="BF674" s="246"/>
      <c r="BG674" s="246"/>
      <c r="BH674" s="246"/>
      <c r="BI674" s="246"/>
      <c r="BJ674" s="246"/>
    </row>
    <row r="675" spans="2:62" ht="15.75">
      <c r="B675" s="7"/>
      <c r="C675" s="334"/>
      <c r="D675" s="334"/>
      <c r="E675" s="334"/>
      <c r="F675" s="334"/>
      <c r="G675" s="334"/>
      <c r="H675" s="334"/>
      <c r="I675" s="334"/>
      <c r="J675" s="334"/>
      <c r="K675" s="401"/>
      <c r="L675" s="401"/>
      <c r="M675" s="334"/>
      <c r="N675" s="399"/>
      <c r="O675" s="399"/>
      <c r="P675" s="334"/>
      <c r="Q675" s="399"/>
      <c r="R675" s="401"/>
      <c r="S675" s="334"/>
      <c r="T675" s="334"/>
      <c r="U675" s="334"/>
      <c r="V675" s="334"/>
      <c r="W675" s="334"/>
      <c r="X675" s="334"/>
      <c r="Y675" s="246"/>
      <c r="Z675" s="246"/>
      <c r="AA675" s="246"/>
      <c r="AB675" s="246"/>
      <c r="AC675" s="246"/>
      <c r="AD675" s="246"/>
      <c r="AE675" s="246"/>
      <c r="AF675" s="246"/>
      <c r="AG675" s="246"/>
      <c r="AH675" s="246"/>
      <c r="AI675" s="246"/>
      <c r="AJ675" s="246"/>
      <c r="AK675" s="246"/>
      <c r="AL675" s="246"/>
      <c r="AM675" s="246"/>
      <c r="AN675" s="246"/>
      <c r="AO675" s="246"/>
      <c r="AP675" s="246"/>
      <c r="AQ675" s="246"/>
      <c r="AR675" s="246"/>
      <c r="AS675" s="246"/>
      <c r="AT675" s="246"/>
      <c r="AU675" s="246"/>
      <c r="AV675" s="246"/>
      <c r="AW675" s="246"/>
      <c r="AX675" s="246"/>
      <c r="AY675" s="246"/>
      <c r="AZ675" s="246"/>
      <c r="BA675" s="246"/>
      <c r="BB675" s="246"/>
      <c r="BC675" s="246"/>
      <c r="BD675" s="246"/>
      <c r="BE675" s="246"/>
      <c r="BF675" s="246"/>
      <c r="BG675" s="246"/>
      <c r="BH675" s="246"/>
      <c r="BI675" s="246"/>
      <c r="BJ675" s="246"/>
    </row>
    <row r="676" spans="2:62" ht="15.75">
      <c r="B676" s="7"/>
      <c r="C676" s="334"/>
      <c r="D676" s="334"/>
      <c r="E676" s="334"/>
      <c r="F676" s="334"/>
      <c r="G676" s="334"/>
      <c r="H676" s="334"/>
      <c r="I676" s="334"/>
      <c r="J676" s="334"/>
      <c r="K676" s="399"/>
      <c r="L676" s="399"/>
      <c r="M676" s="334"/>
      <c r="N676" s="399"/>
      <c r="O676" s="399"/>
      <c r="P676" s="334"/>
      <c r="Q676" s="399"/>
      <c r="R676" s="399"/>
      <c r="S676" s="334"/>
      <c r="T676" s="334"/>
      <c r="U676" s="334"/>
      <c r="V676" s="334"/>
      <c r="W676" s="334"/>
      <c r="X676" s="334"/>
      <c r="Y676" s="246"/>
      <c r="Z676" s="246"/>
      <c r="AA676" s="246"/>
      <c r="AB676" s="246"/>
      <c r="AC676" s="246"/>
      <c r="AD676" s="246"/>
      <c r="AE676" s="246"/>
      <c r="AF676" s="246"/>
      <c r="AG676" s="246"/>
      <c r="AH676" s="246"/>
      <c r="AI676" s="246"/>
      <c r="AJ676" s="246"/>
      <c r="AK676" s="246"/>
      <c r="AL676" s="246"/>
      <c r="AM676" s="246"/>
      <c r="AN676" s="246"/>
      <c r="AO676" s="246"/>
      <c r="AP676" s="246"/>
      <c r="AQ676" s="246"/>
      <c r="AR676" s="246"/>
      <c r="AS676" s="246"/>
      <c r="AT676" s="246"/>
      <c r="AU676" s="246"/>
      <c r="AV676" s="246"/>
      <c r="AW676" s="246"/>
      <c r="AX676" s="246"/>
      <c r="AY676" s="246"/>
      <c r="AZ676" s="246"/>
      <c r="BA676" s="246"/>
      <c r="BB676" s="246"/>
      <c r="BC676" s="246"/>
      <c r="BD676" s="246"/>
      <c r="BE676" s="246"/>
      <c r="BF676" s="246"/>
      <c r="BG676" s="246"/>
      <c r="BH676" s="246"/>
      <c r="BI676" s="246"/>
      <c r="BJ676" s="246"/>
    </row>
    <row r="677" spans="2:62" ht="15.75">
      <c r="B677" s="7"/>
      <c r="C677" s="334"/>
      <c r="D677" s="334"/>
      <c r="E677" s="334"/>
      <c r="F677" s="334"/>
      <c r="G677" s="334"/>
      <c r="H677" s="334"/>
      <c r="I677" s="334"/>
      <c r="J677" s="334"/>
      <c r="K677" s="399"/>
      <c r="L677" s="399"/>
      <c r="M677" s="334"/>
      <c r="N677" s="399"/>
      <c r="O677" s="399"/>
      <c r="P677" s="334"/>
      <c r="Q677" s="399"/>
      <c r="R677" s="399"/>
      <c r="S677" s="334"/>
      <c r="T677" s="334"/>
      <c r="U677" s="334"/>
      <c r="V677" s="334"/>
      <c r="W677" s="334"/>
      <c r="X677" s="334"/>
      <c r="Y677" s="246"/>
      <c r="Z677" s="246"/>
      <c r="AA677" s="246"/>
      <c r="AB677" s="246"/>
      <c r="AC677" s="246"/>
      <c r="AD677" s="246"/>
      <c r="AE677" s="246"/>
      <c r="AF677" s="246"/>
      <c r="AG677" s="246"/>
      <c r="AH677" s="246"/>
      <c r="AI677" s="246"/>
      <c r="AJ677" s="246"/>
      <c r="AK677" s="246"/>
      <c r="AL677" s="246"/>
      <c r="AM677" s="246"/>
      <c r="AN677" s="246"/>
      <c r="AO677" s="246"/>
      <c r="AP677" s="246"/>
      <c r="AQ677" s="246"/>
      <c r="AR677" s="246"/>
      <c r="AS677" s="246"/>
      <c r="AT677" s="246"/>
      <c r="AU677" s="246"/>
      <c r="AV677" s="246"/>
      <c r="AW677" s="246"/>
      <c r="AX677" s="246"/>
      <c r="AY677" s="246"/>
      <c r="AZ677" s="246"/>
      <c r="BA677" s="246"/>
      <c r="BB677" s="246"/>
      <c r="BC677" s="246"/>
      <c r="BD677" s="246"/>
      <c r="BE677" s="246"/>
      <c r="BF677" s="246"/>
      <c r="BG677" s="246"/>
      <c r="BH677" s="246"/>
      <c r="BI677" s="246"/>
      <c r="BJ677" s="246"/>
    </row>
    <row r="678" spans="2:62" ht="15.75">
      <c r="B678" s="7"/>
      <c r="C678" s="334"/>
      <c r="D678" s="334"/>
      <c r="E678" s="334"/>
      <c r="F678" s="334"/>
      <c r="G678" s="334"/>
      <c r="H678" s="334"/>
      <c r="I678" s="334"/>
      <c r="J678" s="334"/>
      <c r="K678" s="399"/>
      <c r="L678" s="399"/>
      <c r="M678" s="334"/>
      <c r="N678" s="399"/>
      <c r="O678" s="399"/>
      <c r="P678" s="334"/>
      <c r="Q678" s="399"/>
      <c r="R678" s="399"/>
      <c r="S678" s="334"/>
      <c r="T678" s="334"/>
      <c r="U678" s="334"/>
      <c r="V678" s="334"/>
      <c r="W678" s="334"/>
      <c r="X678" s="334"/>
      <c r="Y678" s="246"/>
      <c r="Z678" s="246"/>
      <c r="AA678" s="246"/>
      <c r="AB678" s="246"/>
      <c r="AC678" s="246"/>
      <c r="AD678" s="246"/>
      <c r="AE678" s="246"/>
      <c r="AF678" s="246"/>
      <c r="AG678" s="246"/>
      <c r="AH678" s="246"/>
      <c r="AI678" s="246"/>
      <c r="AJ678" s="246"/>
      <c r="AK678" s="246"/>
      <c r="AL678" s="246"/>
      <c r="AM678" s="246"/>
      <c r="AN678" s="246"/>
      <c r="AO678" s="246"/>
      <c r="AP678" s="246"/>
      <c r="AQ678" s="246"/>
      <c r="AR678" s="246"/>
      <c r="AS678" s="246"/>
      <c r="AT678" s="246"/>
      <c r="AU678" s="246"/>
      <c r="AV678" s="246"/>
      <c r="AW678" s="246"/>
      <c r="AX678" s="246"/>
      <c r="AY678" s="246"/>
      <c r="AZ678" s="246"/>
      <c r="BA678" s="246"/>
      <c r="BB678" s="246"/>
      <c r="BC678" s="246"/>
      <c r="BD678" s="246"/>
      <c r="BE678" s="246"/>
      <c r="BF678" s="246"/>
      <c r="BG678" s="246"/>
      <c r="BH678" s="246"/>
      <c r="BI678" s="246"/>
      <c r="BJ678" s="246"/>
    </row>
    <row r="679" spans="2:62" ht="15.75">
      <c r="B679" s="7"/>
      <c r="C679" s="334"/>
      <c r="D679" s="334"/>
      <c r="E679" s="334"/>
      <c r="F679" s="334"/>
      <c r="G679" s="334"/>
      <c r="H679" s="334"/>
      <c r="I679" s="334"/>
      <c r="J679" s="334"/>
      <c r="K679" s="399"/>
      <c r="L679" s="399"/>
      <c r="M679" s="334"/>
      <c r="N679" s="399"/>
      <c r="O679" s="399"/>
      <c r="P679" s="334"/>
      <c r="Q679" s="399"/>
      <c r="R679" s="399"/>
      <c r="S679" s="334"/>
      <c r="T679" s="334"/>
      <c r="U679" s="334"/>
      <c r="V679" s="334"/>
      <c r="W679" s="334"/>
      <c r="X679" s="334"/>
      <c r="Y679" s="246"/>
      <c r="Z679" s="246"/>
      <c r="AA679" s="246"/>
      <c r="AB679" s="246"/>
      <c r="AC679" s="246"/>
      <c r="AD679" s="246"/>
      <c r="AE679" s="246"/>
      <c r="AF679" s="246"/>
      <c r="AG679" s="246"/>
      <c r="AH679" s="246"/>
      <c r="AI679" s="246"/>
      <c r="AJ679" s="246"/>
      <c r="AK679" s="246"/>
      <c r="AL679" s="246"/>
      <c r="AM679" s="246"/>
      <c r="AN679" s="246"/>
      <c r="AO679" s="246"/>
      <c r="AP679" s="246"/>
      <c r="AQ679" s="246"/>
      <c r="AR679" s="246"/>
      <c r="AS679" s="246"/>
      <c r="AT679" s="246"/>
      <c r="AU679" s="246"/>
      <c r="AV679" s="246"/>
      <c r="AW679" s="246"/>
      <c r="AX679" s="246"/>
      <c r="AY679" s="246"/>
      <c r="AZ679" s="246"/>
      <c r="BA679" s="246"/>
      <c r="BB679" s="246"/>
      <c r="BC679" s="246"/>
      <c r="BD679" s="246"/>
      <c r="BE679" s="246"/>
      <c r="BF679" s="246"/>
      <c r="BG679" s="246"/>
      <c r="BH679" s="246"/>
      <c r="BI679" s="246"/>
      <c r="BJ679" s="246"/>
    </row>
    <row r="680" spans="2:62" ht="15.75">
      <c r="B680" s="7"/>
      <c r="C680" s="334"/>
      <c r="D680" s="334"/>
      <c r="E680" s="334"/>
      <c r="F680" s="334"/>
      <c r="G680" s="334"/>
      <c r="H680" s="334"/>
      <c r="I680" s="334"/>
      <c r="J680" s="334"/>
      <c r="K680" s="399"/>
      <c r="L680" s="399"/>
      <c r="M680" s="334"/>
      <c r="N680" s="399"/>
      <c r="O680" s="399"/>
      <c r="P680" s="334"/>
      <c r="Q680" s="399"/>
      <c r="R680" s="399"/>
      <c r="S680" s="334"/>
      <c r="T680" s="334"/>
      <c r="U680" s="334"/>
      <c r="V680" s="334"/>
      <c r="W680" s="334"/>
      <c r="X680" s="334"/>
      <c r="Y680" s="246"/>
      <c r="Z680" s="246"/>
      <c r="AA680" s="246"/>
      <c r="AB680" s="246"/>
      <c r="AC680" s="246"/>
      <c r="AD680" s="246"/>
      <c r="AE680" s="246"/>
      <c r="AF680" s="246"/>
      <c r="AG680" s="246"/>
      <c r="AH680" s="246"/>
      <c r="AI680" s="246"/>
      <c r="AJ680" s="246"/>
      <c r="AK680" s="246"/>
      <c r="AL680" s="246"/>
      <c r="AM680" s="246"/>
      <c r="AN680" s="246"/>
      <c r="AO680" s="246"/>
      <c r="AP680" s="246"/>
      <c r="AQ680" s="246"/>
      <c r="AR680" s="246"/>
      <c r="AS680" s="246"/>
      <c r="AT680" s="246"/>
      <c r="AU680" s="246"/>
      <c r="AV680" s="246"/>
      <c r="AW680" s="246"/>
      <c r="AX680" s="246"/>
      <c r="AY680" s="246"/>
      <c r="AZ680" s="246"/>
      <c r="BA680" s="246"/>
      <c r="BB680" s="246"/>
      <c r="BC680" s="246"/>
      <c r="BD680" s="246"/>
      <c r="BE680" s="246"/>
      <c r="BF680" s="246"/>
      <c r="BG680" s="246"/>
      <c r="BH680" s="246"/>
      <c r="BI680" s="246"/>
      <c r="BJ680" s="246"/>
    </row>
    <row r="681" spans="2:62" ht="15.75">
      <c r="B681" s="7"/>
      <c r="C681" s="334"/>
      <c r="D681" s="334"/>
      <c r="E681" s="334"/>
      <c r="F681" s="334"/>
      <c r="G681" s="334"/>
      <c r="H681" s="334"/>
      <c r="I681" s="334"/>
      <c r="J681" s="334"/>
      <c r="K681" s="399"/>
      <c r="L681" s="399"/>
      <c r="M681" s="334"/>
      <c r="N681" s="399"/>
      <c r="O681" s="399"/>
      <c r="P681" s="334"/>
      <c r="Q681" s="399"/>
      <c r="R681" s="399"/>
      <c r="S681" s="334"/>
      <c r="T681" s="334"/>
      <c r="U681" s="334"/>
      <c r="V681" s="334"/>
      <c r="W681" s="334"/>
      <c r="X681" s="334"/>
      <c r="Y681" s="246"/>
      <c r="Z681" s="246"/>
      <c r="AA681" s="246"/>
      <c r="AB681" s="246"/>
      <c r="AC681" s="246"/>
      <c r="AD681" s="246"/>
      <c r="AE681" s="246"/>
      <c r="AF681" s="246"/>
      <c r="AG681" s="246"/>
      <c r="AH681" s="246"/>
      <c r="AI681" s="246"/>
      <c r="AJ681" s="246"/>
      <c r="AK681" s="246"/>
      <c r="AL681" s="246"/>
      <c r="AM681" s="246"/>
      <c r="AN681" s="246"/>
      <c r="AO681" s="246"/>
      <c r="AP681" s="246"/>
      <c r="AQ681" s="246"/>
      <c r="AR681" s="246"/>
      <c r="AS681" s="246"/>
      <c r="AT681" s="246"/>
      <c r="AU681" s="246"/>
      <c r="AV681" s="246"/>
      <c r="AW681" s="246"/>
      <c r="AX681" s="246"/>
      <c r="AY681" s="246"/>
      <c r="AZ681" s="246"/>
      <c r="BA681" s="246"/>
      <c r="BB681" s="246"/>
      <c r="BC681" s="246"/>
      <c r="BD681" s="246"/>
      <c r="BE681" s="246"/>
      <c r="BF681" s="246"/>
      <c r="BG681" s="246"/>
      <c r="BH681" s="246"/>
      <c r="BI681" s="246"/>
      <c r="BJ681" s="246"/>
    </row>
    <row r="682" spans="2:62" ht="15.75">
      <c r="B682" s="7"/>
      <c r="C682" s="334"/>
      <c r="D682" s="334"/>
      <c r="E682" s="334"/>
      <c r="F682" s="334"/>
      <c r="G682" s="334"/>
      <c r="H682" s="334"/>
      <c r="I682" s="334"/>
      <c r="J682" s="334"/>
      <c r="K682" s="399"/>
      <c r="L682" s="399"/>
      <c r="M682" s="334"/>
      <c r="N682" s="399"/>
      <c r="O682" s="399"/>
      <c r="P682" s="334"/>
      <c r="Q682" s="399"/>
      <c r="R682" s="399"/>
      <c r="S682" s="334"/>
      <c r="T682" s="334"/>
      <c r="U682" s="334"/>
      <c r="V682" s="334"/>
      <c r="W682" s="334"/>
      <c r="X682" s="334"/>
      <c r="Y682" s="246"/>
      <c r="Z682" s="246"/>
      <c r="AA682" s="246"/>
      <c r="AB682" s="246"/>
      <c r="AC682" s="246"/>
      <c r="AD682" s="246"/>
      <c r="AE682" s="246"/>
      <c r="AF682" s="246"/>
      <c r="AG682" s="246"/>
      <c r="AH682" s="246"/>
      <c r="AI682" s="246"/>
      <c r="AJ682" s="246"/>
      <c r="AK682" s="246"/>
      <c r="AL682" s="246"/>
      <c r="AM682" s="246"/>
      <c r="AN682" s="246"/>
      <c r="AO682" s="246"/>
      <c r="AP682" s="246"/>
      <c r="AQ682" s="246"/>
      <c r="AR682" s="246"/>
      <c r="AS682" s="246"/>
      <c r="AT682" s="246"/>
      <c r="AU682" s="246"/>
      <c r="AV682" s="246"/>
      <c r="AW682" s="246"/>
      <c r="AX682" s="246"/>
      <c r="AY682" s="246"/>
      <c r="AZ682" s="246"/>
      <c r="BA682" s="246"/>
      <c r="BB682" s="246"/>
      <c r="BC682" s="246"/>
      <c r="BD682" s="246"/>
      <c r="BE682" s="246"/>
      <c r="BF682" s="246"/>
      <c r="BG682" s="246"/>
      <c r="BH682" s="246"/>
      <c r="BI682" s="246"/>
      <c r="BJ682" s="246"/>
    </row>
    <row r="683" spans="2:62" ht="15.75">
      <c r="B683" s="7"/>
      <c r="C683" s="334"/>
      <c r="D683" s="334"/>
      <c r="E683" s="334"/>
      <c r="F683" s="334"/>
      <c r="G683" s="334"/>
      <c r="H683" s="334"/>
      <c r="I683" s="334"/>
      <c r="J683" s="334"/>
      <c r="K683" s="399"/>
      <c r="L683" s="399"/>
      <c r="M683" s="334"/>
      <c r="N683" s="399"/>
      <c r="O683" s="399"/>
      <c r="P683" s="334"/>
      <c r="Q683" s="399"/>
      <c r="R683" s="399"/>
      <c r="S683" s="334"/>
      <c r="T683" s="334"/>
      <c r="U683" s="334"/>
      <c r="V683" s="334"/>
      <c r="W683" s="334"/>
      <c r="X683" s="334"/>
      <c r="Y683" s="246"/>
      <c r="Z683" s="246"/>
      <c r="AA683" s="246"/>
      <c r="AB683" s="246"/>
      <c r="AC683" s="246"/>
      <c r="AD683" s="246"/>
      <c r="AE683" s="246"/>
      <c r="AF683" s="246"/>
      <c r="AG683" s="246"/>
      <c r="AH683" s="246"/>
      <c r="AI683" s="246"/>
      <c r="AJ683" s="246"/>
      <c r="AK683" s="246"/>
      <c r="AL683" s="246"/>
      <c r="AM683" s="246"/>
      <c r="AN683" s="246"/>
      <c r="AO683" s="246"/>
      <c r="AP683" s="246"/>
      <c r="AQ683" s="246"/>
      <c r="AR683" s="246"/>
      <c r="AS683" s="246"/>
      <c r="AT683" s="246"/>
      <c r="AU683" s="246"/>
      <c r="AV683" s="246"/>
      <c r="AW683" s="246"/>
      <c r="AX683" s="246"/>
      <c r="AY683" s="246"/>
      <c r="AZ683" s="246"/>
      <c r="BA683" s="246"/>
      <c r="BB683" s="246"/>
      <c r="BC683" s="246"/>
      <c r="BD683" s="246"/>
      <c r="BE683" s="246"/>
      <c r="BF683" s="246"/>
      <c r="BG683" s="246"/>
      <c r="BH683" s="246"/>
      <c r="BI683" s="246"/>
      <c r="BJ683" s="246"/>
    </row>
    <row r="684" spans="2:62" ht="15.75">
      <c r="B684" s="7"/>
      <c r="C684" s="334"/>
      <c r="D684" s="334"/>
      <c r="E684" s="334"/>
      <c r="F684" s="334"/>
      <c r="G684" s="334"/>
      <c r="H684" s="334"/>
      <c r="I684" s="334"/>
      <c r="J684" s="334"/>
      <c r="K684" s="399"/>
      <c r="L684" s="399"/>
      <c r="M684" s="334"/>
      <c r="N684" s="399"/>
      <c r="O684" s="399"/>
      <c r="P684" s="334"/>
      <c r="Q684" s="399"/>
      <c r="R684" s="399"/>
      <c r="S684" s="334"/>
      <c r="T684" s="334"/>
      <c r="U684" s="334"/>
      <c r="V684" s="334"/>
      <c r="W684" s="334"/>
      <c r="X684" s="334"/>
      <c r="Y684" s="246"/>
      <c r="Z684" s="246"/>
      <c r="AA684" s="246"/>
      <c r="AB684" s="246"/>
      <c r="AC684" s="246"/>
      <c r="AD684" s="246"/>
      <c r="AE684" s="246"/>
      <c r="AF684" s="246"/>
      <c r="AG684" s="246"/>
      <c r="AH684" s="246"/>
      <c r="AI684" s="246"/>
      <c r="AJ684" s="246"/>
      <c r="AK684" s="246"/>
      <c r="AL684" s="246"/>
      <c r="AM684" s="246"/>
      <c r="AN684" s="246"/>
      <c r="AO684" s="246"/>
      <c r="AP684" s="246"/>
      <c r="AQ684" s="246"/>
      <c r="AR684" s="246"/>
      <c r="AS684" s="246"/>
      <c r="AT684" s="246"/>
      <c r="AU684" s="246"/>
      <c r="AV684" s="246"/>
      <c r="AW684" s="246"/>
      <c r="AX684" s="246"/>
      <c r="AY684" s="246"/>
      <c r="AZ684" s="246"/>
      <c r="BA684" s="246"/>
      <c r="BB684" s="246"/>
      <c r="BC684" s="246"/>
      <c r="BD684" s="246"/>
      <c r="BE684" s="246"/>
      <c r="BF684" s="246"/>
      <c r="BG684" s="246"/>
      <c r="BH684" s="246"/>
      <c r="BI684" s="246"/>
      <c r="BJ684" s="246"/>
    </row>
    <row r="685" spans="2:62" ht="15.75">
      <c r="B685" s="7"/>
      <c r="C685" s="334"/>
      <c r="D685" s="334"/>
      <c r="E685" s="334"/>
      <c r="F685" s="334"/>
      <c r="G685" s="334"/>
      <c r="H685" s="334"/>
      <c r="I685" s="334"/>
      <c r="J685" s="334"/>
      <c r="K685" s="399"/>
      <c r="L685" s="399"/>
      <c r="M685" s="334"/>
      <c r="N685" s="399"/>
      <c r="O685" s="399"/>
      <c r="P685" s="334"/>
      <c r="Q685" s="399"/>
      <c r="R685" s="399"/>
      <c r="S685" s="334"/>
      <c r="T685" s="334"/>
      <c r="U685" s="334"/>
      <c r="V685" s="334"/>
      <c r="W685" s="334"/>
      <c r="X685" s="334"/>
      <c r="Y685" s="246"/>
      <c r="Z685" s="246"/>
      <c r="AA685" s="246"/>
      <c r="AB685" s="246"/>
      <c r="AC685" s="246"/>
      <c r="AD685" s="246"/>
      <c r="AE685" s="246"/>
      <c r="AF685" s="246"/>
      <c r="AG685" s="246"/>
      <c r="AH685" s="246"/>
      <c r="AI685" s="246"/>
      <c r="AJ685" s="246"/>
      <c r="AK685" s="246"/>
      <c r="AL685" s="246"/>
      <c r="AM685" s="246"/>
      <c r="AN685" s="246"/>
      <c r="AO685" s="246"/>
      <c r="AP685" s="246"/>
      <c r="AQ685" s="246"/>
      <c r="AR685" s="246"/>
      <c r="AS685" s="246"/>
      <c r="AT685" s="246"/>
      <c r="AU685" s="246"/>
      <c r="AV685" s="246"/>
      <c r="AW685" s="246"/>
      <c r="AX685" s="246"/>
      <c r="AY685" s="246"/>
      <c r="AZ685" s="246"/>
      <c r="BA685" s="246"/>
      <c r="BB685" s="246"/>
      <c r="BC685" s="246"/>
      <c r="BD685" s="246"/>
      <c r="BE685" s="246"/>
      <c r="BF685" s="246"/>
      <c r="BG685" s="246"/>
      <c r="BH685" s="246"/>
      <c r="BI685" s="246"/>
      <c r="BJ685" s="246"/>
    </row>
    <row r="686" spans="2:62" ht="15.75">
      <c r="B686" s="7"/>
      <c r="C686" s="334"/>
      <c r="D686" s="334"/>
      <c r="E686" s="334"/>
      <c r="F686" s="334"/>
      <c r="G686" s="334"/>
      <c r="H686" s="334"/>
      <c r="I686" s="334"/>
      <c r="J686" s="334"/>
      <c r="K686" s="399"/>
      <c r="L686" s="399"/>
      <c r="M686" s="334"/>
      <c r="N686" s="399"/>
      <c r="O686" s="399"/>
      <c r="P686" s="334"/>
      <c r="Q686" s="399"/>
      <c r="R686" s="399"/>
      <c r="S686" s="334"/>
      <c r="T686" s="334"/>
      <c r="U686" s="334"/>
      <c r="V686" s="334"/>
      <c r="W686" s="334"/>
      <c r="X686" s="334"/>
      <c r="Y686" s="246"/>
      <c r="Z686" s="246"/>
      <c r="AA686" s="246"/>
      <c r="AB686" s="246"/>
      <c r="AC686" s="246"/>
      <c r="AD686" s="246"/>
      <c r="AE686" s="246"/>
      <c r="AF686" s="246"/>
      <c r="AG686" s="246"/>
      <c r="AH686" s="246"/>
      <c r="AI686" s="246"/>
      <c r="AJ686" s="246"/>
      <c r="AK686" s="246"/>
      <c r="AL686" s="246"/>
      <c r="AM686" s="246"/>
      <c r="AN686" s="246"/>
      <c r="AO686" s="246"/>
      <c r="AP686" s="246"/>
      <c r="AQ686" s="246"/>
      <c r="AR686" s="246"/>
      <c r="AS686" s="246"/>
      <c r="AT686" s="246"/>
      <c r="AU686" s="246"/>
      <c r="AV686" s="246"/>
      <c r="AW686" s="246"/>
      <c r="AX686" s="246"/>
      <c r="AY686" s="246"/>
      <c r="AZ686" s="246"/>
      <c r="BA686" s="246"/>
      <c r="BB686" s="246"/>
      <c r="BC686" s="246"/>
      <c r="BD686" s="246"/>
      <c r="BE686" s="246"/>
      <c r="BF686" s="246"/>
      <c r="BG686" s="246"/>
      <c r="BH686" s="246"/>
      <c r="BI686" s="246"/>
      <c r="BJ686" s="246"/>
    </row>
    <row r="687" spans="2:62" ht="15.75">
      <c r="B687" s="7"/>
      <c r="C687" s="334"/>
      <c r="D687" s="334"/>
      <c r="E687" s="334"/>
      <c r="F687" s="334"/>
      <c r="G687" s="334"/>
      <c r="H687" s="334"/>
      <c r="I687" s="334"/>
      <c r="J687" s="334"/>
      <c r="K687" s="399"/>
      <c r="L687" s="399"/>
      <c r="M687" s="334"/>
      <c r="N687" s="399"/>
      <c r="O687" s="399"/>
      <c r="P687" s="334"/>
      <c r="Q687" s="399"/>
      <c r="R687" s="399"/>
      <c r="S687" s="334"/>
      <c r="T687" s="334"/>
      <c r="U687" s="334"/>
      <c r="V687" s="334"/>
      <c r="W687" s="334"/>
      <c r="X687" s="334"/>
      <c r="Y687" s="246"/>
      <c r="Z687" s="246"/>
      <c r="AA687" s="246"/>
      <c r="AB687" s="246"/>
      <c r="AC687" s="246"/>
      <c r="AD687" s="246"/>
      <c r="AE687" s="246"/>
      <c r="AF687" s="246"/>
      <c r="AG687" s="246"/>
      <c r="AH687" s="246"/>
      <c r="AI687" s="246"/>
      <c r="AJ687" s="246"/>
      <c r="AK687" s="246"/>
      <c r="AL687" s="246"/>
      <c r="AM687" s="246"/>
      <c r="AN687" s="246"/>
      <c r="AO687" s="246"/>
      <c r="AP687" s="246"/>
      <c r="AQ687" s="246"/>
      <c r="AR687" s="246"/>
      <c r="AS687" s="246"/>
      <c r="AT687" s="246"/>
      <c r="AU687" s="246"/>
      <c r="AV687" s="246"/>
      <c r="AW687" s="246"/>
      <c r="AX687" s="246"/>
      <c r="AY687" s="246"/>
      <c r="AZ687" s="246"/>
      <c r="BA687" s="246"/>
      <c r="BB687" s="246"/>
      <c r="BC687" s="246"/>
      <c r="BD687" s="246"/>
      <c r="BE687" s="246"/>
      <c r="BF687" s="246"/>
      <c r="BG687" s="246"/>
      <c r="BH687" s="246"/>
      <c r="BI687" s="246"/>
      <c r="BJ687" s="246"/>
    </row>
    <row r="688" spans="2:62" ht="15.75">
      <c r="B688" s="7"/>
      <c r="C688" s="334"/>
      <c r="D688" s="334"/>
      <c r="E688" s="334"/>
      <c r="F688" s="334"/>
      <c r="G688" s="334"/>
      <c r="H688" s="334"/>
      <c r="I688" s="334"/>
      <c r="J688" s="334"/>
      <c r="K688" s="399"/>
      <c r="L688" s="399"/>
      <c r="M688" s="334"/>
      <c r="N688" s="399"/>
      <c r="O688" s="399"/>
      <c r="P688" s="334"/>
      <c r="Q688" s="399"/>
      <c r="R688" s="399"/>
      <c r="S688" s="334"/>
      <c r="T688" s="334"/>
      <c r="U688" s="334"/>
      <c r="V688" s="334"/>
      <c r="W688" s="334"/>
      <c r="X688" s="334"/>
      <c r="Y688" s="246"/>
      <c r="Z688" s="246"/>
      <c r="AA688" s="246"/>
      <c r="AB688" s="246"/>
      <c r="AC688" s="246"/>
      <c r="AD688" s="246"/>
      <c r="AE688" s="246"/>
      <c r="AF688" s="246"/>
      <c r="AG688" s="246"/>
      <c r="AH688" s="246"/>
      <c r="AI688" s="246"/>
      <c r="AJ688" s="246"/>
      <c r="AK688" s="246"/>
      <c r="AL688" s="246"/>
      <c r="AM688" s="246"/>
      <c r="AN688" s="246"/>
      <c r="AO688" s="246"/>
      <c r="AP688" s="246"/>
      <c r="AQ688" s="246"/>
      <c r="AR688" s="246"/>
      <c r="AS688" s="246"/>
      <c r="AT688" s="246"/>
      <c r="AU688" s="246"/>
      <c r="AV688" s="246"/>
      <c r="AW688" s="246"/>
      <c r="AX688" s="246"/>
      <c r="AY688" s="246"/>
      <c r="AZ688" s="246"/>
      <c r="BA688" s="246"/>
      <c r="BB688" s="246"/>
      <c r="BC688" s="246"/>
      <c r="BD688" s="246"/>
      <c r="BE688" s="246"/>
      <c r="BF688" s="246"/>
      <c r="BG688" s="246"/>
      <c r="BH688" s="246"/>
      <c r="BI688" s="246"/>
      <c r="BJ688" s="246"/>
    </row>
    <row r="689" spans="2:62" ht="15.75">
      <c r="B689" s="7"/>
      <c r="C689" s="334"/>
      <c r="D689" s="334"/>
      <c r="E689" s="334"/>
      <c r="F689" s="334"/>
      <c r="G689" s="334"/>
      <c r="H689" s="334"/>
      <c r="I689" s="334"/>
      <c r="J689" s="334"/>
      <c r="K689" s="399"/>
      <c r="L689" s="399"/>
      <c r="M689" s="334"/>
      <c r="N689" s="334"/>
      <c r="O689" s="334"/>
      <c r="P689" s="334"/>
      <c r="Q689" s="334"/>
      <c r="R689" s="399"/>
      <c r="S689" s="334"/>
      <c r="T689" s="334"/>
      <c r="U689" s="334"/>
      <c r="V689" s="334"/>
      <c r="W689" s="334"/>
      <c r="X689" s="334"/>
      <c r="Y689" s="246"/>
      <c r="Z689" s="246"/>
      <c r="AA689" s="246"/>
      <c r="AB689" s="246"/>
      <c r="AC689" s="246"/>
      <c r="AD689" s="246"/>
      <c r="AE689" s="246"/>
      <c r="AF689" s="246"/>
      <c r="AG689" s="246"/>
      <c r="AH689" s="246"/>
      <c r="AI689" s="246"/>
      <c r="AJ689" s="246"/>
      <c r="AK689" s="246"/>
      <c r="AL689" s="246"/>
      <c r="AM689" s="246"/>
      <c r="AN689" s="246"/>
      <c r="AO689" s="246"/>
      <c r="AP689" s="246"/>
      <c r="AQ689" s="246"/>
      <c r="AR689" s="246"/>
      <c r="AS689" s="246"/>
      <c r="AT689" s="246"/>
      <c r="AU689" s="246"/>
      <c r="AV689" s="246"/>
      <c r="AW689" s="246"/>
      <c r="AX689" s="246"/>
      <c r="AY689" s="246"/>
      <c r="AZ689" s="246"/>
      <c r="BA689" s="246"/>
      <c r="BB689" s="246"/>
      <c r="BC689" s="246"/>
      <c r="BD689" s="246"/>
      <c r="BE689" s="246"/>
      <c r="BF689" s="246"/>
      <c r="BG689" s="246"/>
      <c r="BH689" s="246"/>
      <c r="BI689" s="246"/>
      <c r="BJ689" s="246"/>
    </row>
    <row r="690" spans="2:62" ht="15.75">
      <c r="B690" s="7"/>
      <c r="C690" s="334"/>
      <c r="D690" s="334"/>
      <c r="E690" s="334"/>
      <c r="F690" s="334"/>
      <c r="G690" s="334"/>
      <c r="H690" s="334"/>
      <c r="I690" s="334"/>
      <c r="J690" s="334"/>
      <c r="K690" s="399"/>
      <c r="L690" s="399"/>
      <c r="M690" s="334"/>
      <c r="N690" s="401"/>
      <c r="O690" s="401"/>
      <c r="P690" s="334"/>
      <c r="Q690" s="401"/>
      <c r="R690" s="399"/>
      <c r="S690" s="334"/>
      <c r="T690" s="334"/>
      <c r="U690" s="334"/>
      <c r="V690" s="334"/>
      <c r="W690" s="334"/>
      <c r="X690" s="334"/>
      <c r="Y690" s="246"/>
      <c r="Z690" s="246"/>
      <c r="AA690" s="246"/>
      <c r="AB690" s="246"/>
      <c r="AC690" s="246"/>
      <c r="AD690" s="246"/>
      <c r="AE690" s="246"/>
      <c r="AF690" s="246"/>
      <c r="AG690" s="246"/>
      <c r="AH690" s="246"/>
      <c r="AI690" s="246"/>
      <c r="AJ690" s="246"/>
      <c r="AK690" s="246"/>
      <c r="AL690" s="246"/>
      <c r="AM690" s="246"/>
      <c r="AN690" s="246"/>
      <c r="AO690" s="246"/>
      <c r="AP690" s="246"/>
      <c r="AQ690" s="246"/>
      <c r="AR690" s="246"/>
      <c r="AS690" s="246"/>
      <c r="AT690" s="246"/>
      <c r="AU690" s="246"/>
      <c r="AV690" s="246"/>
      <c r="AW690" s="246"/>
      <c r="AX690" s="246"/>
      <c r="AY690" s="246"/>
      <c r="AZ690" s="246"/>
      <c r="BA690" s="246"/>
      <c r="BB690" s="246"/>
      <c r="BC690" s="246"/>
      <c r="BD690" s="246"/>
      <c r="BE690" s="246"/>
      <c r="BF690" s="246"/>
      <c r="BG690" s="246"/>
      <c r="BH690" s="246"/>
      <c r="BI690" s="246"/>
      <c r="BJ690" s="246"/>
    </row>
    <row r="691" spans="2:62" ht="15.75">
      <c r="B691" s="7"/>
      <c r="C691" s="334"/>
      <c r="D691" s="334"/>
      <c r="E691" s="334"/>
      <c r="F691" s="334"/>
      <c r="G691" s="334"/>
      <c r="H691" s="334"/>
      <c r="I691" s="334"/>
      <c r="J691" s="334"/>
      <c r="K691" s="334"/>
      <c r="L691" s="334"/>
      <c r="M691" s="334"/>
      <c r="N691" s="399"/>
      <c r="O691" s="399"/>
      <c r="P691" s="334"/>
      <c r="Q691" s="399"/>
      <c r="R691" s="334"/>
      <c r="S691" s="334"/>
      <c r="T691" s="334"/>
      <c r="U691" s="334"/>
      <c r="V691" s="334"/>
      <c r="W691" s="334"/>
      <c r="X691" s="334"/>
      <c r="Y691" s="246"/>
      <c r="Z691" s="246"/>
      <c r="AA691" s="246"/>
      <c r="AB691" s="246"/>
      <c r="AC691" s="246"/>
      <c r="AD691" s="246"/>
      <c r="AE691" s="246"/>
      <c r="AF691" s="246"/>
      <c r="AG691" s="246"/>
      <c r="AH691" s="246"/>
      <c r="AI691" s="246"/>
      <c r="AJ691" s="246"/>
      <c r="AK691" s="246"/>
      <c r="AL691" s="246"/>
      <c r="AM691" s="246"/>
      <c r="AN691" s="246"/>
      <c r="AO691" s="246"/>
      <c r="AP691" s="246"/>
      <c r="AQ691" s="246"/>
      <c r="AR691" s="246"/>
      <c r="AS691" s="246"/>
      <c r="AT691" s="246"/>
      <c r="AU691" s="246"/>
      <c r="AV691" s="246"/>
      <c r="AW691" s="246"/>
      <c r="AX691" s="246"/>
      <c r="AY691" s="246"/>
      <c r="AZ691" s="246"/>
      <c r="BA691" s="246"/>
      <c r="BB691" s="246"/>
      <c r="BC691" s="246"/>
      <c r="BD691" s="246"/>
      <c r="BE691" s="246"/>
      <c r="BF691" s="246"/>
      <c r="BG691" s="246"/>
      <c r="BH691" s="246"/>
      <c r="BI691" s="246"/>
      <c r="BJ691" s="246"/>
    </row>
    <row r="692" spans="2:62" ht="15.75">
      <c r="B692" s="7"/>
      <c r="C692" s="334"/>
      <c r="D692" s="334"/>
      <c r="E692" s="334"/>
      <c r="F692" s="334"/>
      <c r="G692" s="334"/>
      <c r="H692" s="334"/>
      <c r="I692" s="334"/>
      <c r="J692" s="334"/>
      <c r="K692" s="401"/>
      <c r="L692" s="401"/>
      <c r="M692" s="334"/>
      <c r="N692" s="399"/>
      <c r="O692" s="399"/>
      <c r="P692" s="334"/>
      <c r="Q692" s="399"/>
      <c r="R692" s="401"/>
      <c r="S692" s="334"/>
      <c r="T692" s="334"/>
      <c r="U692" s="334"/>
      <c r="V692" s="334"/>
      <c r="W692" s="334"/>
      <c r="X692" s="334"/>
      <c r="Y692" s="246"/>
      <c r="Z692" s="246"/>
      <c r="AA692" s="246"/>
      <c r="AB692" s="246"/>
      <c r="AC692" s="246"/>
      <c r="AD692" s="246"/>
      <c r="AE692" s="246"/>
      <c r="AF692" s="246"/>
      <c r="AG692" s="246"/>
      <c r="AH692" s="246"/>
      <c r="AI692" s="246"/>
      <c r="AJ692" s="246"/>
      <c r="AK692" s="246"/>
      <c r="AL692" s="246"/>
      <c r="AM692" s="246"/>
      <c r="AN692" s="246"/>
      <c r="AO692" s="246"/>
      <c r="AP692" s="246"/>
      <c r="AQ692" s="246"/>
      <c r="AR692" s="246"/>
      <c r="AS692" s="246"/>
      <c r="AT692" s="246"/>
      <c r="AU692" s="246"/>
      <c r="AV692" s="246"/>
      <c r="AW692" s="246"/>
      <c r="AX692" s="246"/>
      <c r="AY692" s="246"/>
      <c r="AZ692" s="246"/>
      <c r="BA692" s="246"/>
      <c r="BB692" s="246"/>
      <c r="BC692" s="246"/>
      <c r="BD692" s="246"/>
      <c r="BE692" s="246"/>
      <c r="BF692" s="246"/>
      <c r="BG692" s="246"/>
      <c r="BH692" s="246"/>
      <c r="BI692" s="246"/>
      <c r="BJ692" s="246"/>
    </row>
    <row r="693" spans="2:62" ht="15.75">
      <c r="B693" s="7"/>
      <c r="C693" s="334"/>
      <c r="D693" s="334"/>
      <c r="E693" s="334"/>
      <c r="F693" s="334"/>
      <c r="G693" s="334"/>
      <c r="H693" s="334"/>
      <c r="I693" s="334"/>
      <c r="J693" s="334"/>
      <c r="K693" s="399"/>
      <c r="L693" s="399"/>
      <c r="M693" s="334"/>
      <c r="N693" s="399"/>
      <c r="O693" s="399"/>
      <c r="P693" s="334"/>
      <c r="Q693" s="399"/>
      <c r="R693" s="399"/>
      <c r="S693" s="334"/>
      <c r="T693" s="334"/>
      <c r="U693" s="334"/>
      <c r="V693" s="334"/>
      <c r="W693" s="334"/>
      <c r="X693" s="334"/>
      <c r="Y693" s="246"/>
      <c r="Z693" s="246"/>
      <c r="AA693" s="246"/>
      <c r="AB693" s="246"/>
      <c r="AC693" s="246"/>
      <c r="AD693" s="246"/>
      <c r="AE693" s="246"/>
      <c r="AF693" s="246"/>
      <c r="AG693" s="246"/>
      <c r="AH693" s="246"/>
      <c r="AI693" s="246"/>
      <c r="AJ693" s="246"/>
      <c r="AK693" s="246"/>
      <c r="AL693" s="246"/>
      <c r="AM693" s="246"/>
      <c r="AN693" s="246"/>
      <c r="AO693" s="246"/>
      <c r="AP693" s="246"/>
      <c r="AQ693" s="246"/>
      <c r="AR693" s="246"/>
      <c r="AS693" s="246"/>
      <c r="AT693" s="246"/>
      <c r="AU693" s="246"/>
      <c r="AV693" s="246"/>
      <c r="AW693" s="246"/>
      <c r="AX693" s="246"/>
      <c r="AY693" s="246"/>
      <c r="AZ693" s="246"/>
      <c r="BA693" s="246"/>
      <c r="BB693" s="246"/>
      <c r="BC693" s="246"/>
      <c r="BD693" s="246"/>
      <c r="BE693" s="246"/>
      <c r="BF693" s="246"/>
      <c r="BG693" s="246"/>
      <c r="BH693" s="246"/>
      <c r="BI693" s="246"/>
      <c r="BJ693" s="246"/>
    </row>
    <row r="694" spans="2:62" ht="15.75">
      <c r="B694" s="7"/>
      <c r="C694" s="334"/>
      <c r="D694" s="334"/>
      <c r="E694" s="334"/>
      <c r="F694" s="334"/>
      <c r="G694" s="334"/>
      <c r="H694" s="334"/>
      <c r="I694" s="334"/>
      <c r="J694" s="334"/>
      <c r="K694" s="399"/>
      <c r="L694" s="399"/>
      <c r="M694" s="334"/>
      <c r="N694" s="399"/>
      <c r="O694" s="399"/>
      <c r="P694" s="334"/>
      <c r="Q694" s="399"/>
      <c r="R694" s="399"/>
      <c r="S694" s="334"/>
      <c r="T694" s="334"/>
      <c r="U694" s="334"/>
      <c r="V694" s="334"/>
      <c r="W694" s="334"/>
      <c r="X694" s="334"/>
      <c r="Y694" s="246"/>
      <c r="Z694" s="246"/>
      <c r="AA694" s="246"/>
      <c r="AB694" s="246"/>
      <c r="AC694" s="246"/>
      <c r="AD694" s="246"/>
      <c r="AE694" s="246"/>
      <c r="AF694" s="246"/>
      <c r="AG694" s="246"/>
      <c r="AH694" s="246"/>
      <c r="AI694" s="246"/>
      <c r="AJ694" s="246"/>
      <c r="AK694" s="246"/>
      <c r="AL694" s="246"/>
      <c r="AM694" s="246"/>
      <c r="AN694" s="246"/>
      <c r="AO694" s="246"/>
      <c r="AP694" s="246"/>
      <c r="AQ694" s="246"/>
      <c r="AR694" s="246"/>
      <c r="AS694" s="246"/>
      <c r="AT694" s="246"/>
      <c r="AU694" s="246"/>
      <c r="AV694" s="246"/>
      <c r="AW694" s="246"/>
      <c r="AX694" s="246"/>
      <c r="AY694" s="246"/>
      <c r="AZ694" s="246"/>
      <c r="BA694" s="246"/>
      <c r="BB694" s="246"/>
      <c r="BC694" s="246"/>
      <c r="BD694" s="246"/>
      <c r="BE694" s="246"/>
      <c r="BF694" s="246"/>
      <c r="BG694" s="246"/>
      <c r="BH694" s="246"/>
      <c r="BI694" s="246"/>
      <c r="BJ694" s="246"/>
    </row>
    <row r="695" spans="2:62" ht="15.75">
      <c r="B695" s="7"/>
      <c r="C695" s="334"/>
      <c r="D695" s="334"/>
      <c r="E695" s="334"/>
      <c r="F695" s="334"/>
      <c r="G695" s="334"/>
      <c r="H695" s="334"/>
      <c r="I695" s="334"/>
      <c r="J695" s="334"/>
      <c r="K695" s="399"/>
      <c r="L695" s="399"/>
      <c r="M695" s="334"/>
      <c r="N695" s="399"/>
      <c r="O695" s="399"/>
      <c r="P695" s="334"/>
      <c r="Q695" s="399"/>
      <c r="R695" s="399"/>
      <c r="S695" s="334"/>
      <c r="T695" s="334"/>
      <c r="U695" s="334"/>
      <c r="V695" s="334"/>
      <c r="W695" s="334"/>
      <c r="X695" s="334"/>
      <c r="Y695" s="246"/>
      <c r="Z695" s="246"/>
      <c r="AA695" s="246"/>
      <c r="AB695" s="246"/>
      <c r="AC695" s="246"/>
      <c r="AD695" s="246"/>
      <c r="AE695" s="246"/>
      <c r="AF695" s="246"/>
      <c r="AG695" s="246"/>
      <c r="AH695" s="246"/>
      <c r="AI695" s="246"/>
      <c r="AJ695" s="246"/>
      <c r="AK695" s="246"/>
      <c r="AL695" s="246"/>
      <c r="AM695" s="246"/>
      <c r="AN695" s="246"/>
      <c r="AO695" s="246"/>
      <c r="AP695" s="246"/>
      <c r="AQ695" s="246"/>
      <c r="AR695" s="246"/>
      <c r="AS695" s="246"/>
      <c r="AT695" s="246"/>
      <c r="AU695" s="246"/>
      <c r="AV695" s="246"/>
      <c r="AW695" s="246"/>
      <c r="AX695" s="246"/>
      <c r="AY695" s="246"/>
      <c r="AZ695" s="246"/>
      <c r="BA695" s="246"/>
      <c r="BB695" s="246"/>
      <c r="BC695" s="246"/>
      <c r="BD695" s="246"/>
      <c r="BE695" s="246"/>
      <c r="BF695" s="246"/>
      <c r="BG695" s="246"/>
      <c r="BH695" s="246"/>
      <c r="BI695" s="246"/>
      <c r="BJ695" s="246"/>
    </row>
    <row r="696" spans="2:62" ht="15.75">
      <c r="B696" s="7"/>
      <c r="C696" s="334"/>
      <c r="D696" s="334"/>
      <c r="E696" s="334"/>
      <c r="F696" s="334"/>
      <c r="G696" s="334"/>
      <c r="H696" s="334"/>
      <c r="I696" s="334"/>
      <c r="J696" s="334"/>
      <c r="K696" s="399"/>
      <c r="L696" s="399"/>
      <c r="M696" s="334"/>
      <c r="N696" s="399"/>
      <c r="O696" s="399"/>
      <c r="P696" s="334"/>
      <c r="Q696" s="399"/>
      <c r="R696" s="399"/>
      <c r="S696" s="334"/>
      <c r="T696" s="334"/>
      <c r="U696" s="334"/>
      <c r="V696" s="334"/>
      <c r="W696" s="334"/>
      <c r="X696" s="334"/>
      <c r="Y696" s="246"/>
      <c r="Z696" s="246"/>
      <c r="AA696" s="246"/>
      <c r="AB696" s="246"/>
      <c r="AC696" s="246"/>
      <c r="AD696" s="246"/>
      <c r="AE696" s="246"/>
      <c r="AF696" s="246"/>
      <c r="AG696" s="246"/>
      <c r="AH696" s="246"/>
      <c r="AI696" s="246"/>
      <c r="AJ696" s="246"/>
      <c r="AK696" s="246"/>
      <c r="AL696" s="246"/>
      <c r="AM696" s="246"/>
      <c r="AN696" s="246"/>
      <c r="AO696" s="246"/>
      <c r="AP696" s="246"/>
      <c r="AQ696" s="246"/>
      <c r="AR696" s="246"/>
      <c r="AS696" s="246"/>
      <c r="AT696" s="246"/>
      <c r="AU696" s="246"/>
      <c r="AV696" s="246"/>
      <c r="AW696" s="246"/>
      <c r="AX696" s="246"/>
      <c r="AY696" s="246"/>
      <c r="AZ696" s="246"/>
      <c r="BA696" s="246"/>
      <c r="BB696" s="246"/>
      <c r="BC696" s="246"/>
      <c r="BD696" s="246"/>
      <c r="BE696" s="246"/>
      <c r="BF696" s="246"/>
      <c r="BG696" s="246"/>
      <c r="BH696" s="246"/>
      <c r="BI696" s="246"/>
      <c r="BJ696" s="246"/>
    </row>
    <row r="697" spans="2:62" ht="15.75">
      <c r="B697" s="7"/>
      <c r="C697" s="334"/>
      <c r="D697" s="334"/>
      <c r="E697" s="334"/>
      <c r="F697" s="334"/>
      <c r="G697" s="334"/>
      <c r="H697" s="334"/>
      <c r="I697" s="334"/>
      <c r="J697" s="334"/>
      <c r="K697" s="399"/>
      <c r="L697" s="399"/>
      <c r="M697" s="334"/>
      <c r="N697" s="399"/>
      <c r="O697" s="399"/>
      <c r="P697" s="334"/>
      <c r="Q697" s="399"/>
      <c r="R697" s="399"/>
      <c r="S697" s="334"/>
      <c r="T697" s="334"/>
      <c r="U697" s="334"/>
      <c r="V697" s="334"/>
      <c r="W697" s="334"/>
      <c r="X697" s="334"/>
      <c r="Y697" s="246"/>
      <c r="Z697" s="246"/>
      <c r="AA697" s="246"/>
      <c r="AB697" s="246"/>
      <c r="AC697" s="246"/>
      <c r="AD697" s="246"/>
      <c r="AE697" s="246"/>
      <c r="AF697" s="246"/>
      <c r="AG697" s="246"/>
      <c r="AH697" s="246"/>
      <c r="AI697" s="246"/>
      <c r="AJ697" s="246"/>
      <c r="AK697" s="246"/>
      <c r="AL697" s="246"/>
      <c r="AM697" s="246"/>
      <c r="AN697" s="246"/>
      <c r="AO697" s="246"/>
      <c r="AP697" s="246"/>
      <c r="AQ697" s="246"/>
      <c r="AR697" s="246"/>
      <c r="AS697" s="246"/>
      <c r="AT697" s="246"/>
      <c r="AU697" s="246"/>
      <c r="AV697" s="246"/>
      <c r="AW697" s="246"/>
      <c r="AX697" s="246"/>
      <c r="AY697" s="246"/>
      <c r="AZ697" s="246"/>
      <c r="BA697" s="246"/>
      <c r="BB697" s="246"/>
      <c r="BC697" s="246"/>
      <c r="BD697" s="246"/>
      <c r="BE697" s="246"/>
      <c r="BF697" s="246"/>
      <c r="BG697" s="246"/>
      <c r="BH697" s="246"/>
      <c r="BI697" s="246"/>
      <c r="BJ697" s="246"/>
    </row>
    <row r="698" spans="2:62" ht="15.75">
      <c r="B698" s="7"/>
      <c r="C698" s="334"/>
      <c r="D698" s="334"/>
      <c r="E698" s="334"/>
      <c r="F698" s="334"/>
      <c r="G698" s="334"/>
      <c r="H698" s="334"/>
      <c r="I698" s="334"/>
      <c r="J698" s="334"/>
      <c r="K698" s="399"/>
      <c r="L698" s="399"/>
      <c r="M698" s="334"/>
      <c r="N698" s="399"/>
      <c r="O698" s="399"/>
      <c r="P698" s="334"/>
      <c r="Q698" s="399"/>
      <c r="R698" s="399"/>
      <c r="S698" s="334"/>
      <c r="T698" s="334"/>
      <c r="U698" s="334"/>
      <c r="V698" s="334"/>
      <c r="W698" s="334"/>
      <c r="X698" s="334"/>
      <c r="Y698" s="246"/>
      <c r="Z698" s="246"/>
      <c r="AA698" s="246"/>
      <c r="AB698" s="246"/>
      <c r="AC698" s="246"/>
      <c r="AD698" s="246"/>
      <c r="AE698" s="246"/>
      <c r="AF698" s="246"/>
      <c r="AG698" s="246"/>
      <c r="AH698" s="246"/>
      <c r="AI698" s="246"/>
      <c r="AJ698" s="246"/>
      <c r="AK698" s="246"/>
      <c r="AL698" s="246"/>
      <c r="AM698" s="246"/>
      <c r="AN698" s="246"/>
      <c r="AO698" s="246"/>
      <c r="AP698" s="246"/>
      <c r="AQ698" s="246"/>
      <c r="AR698" s="246"/>
      <c r="AS698" s="246"/>
      <c r="AT698" s="246"/>
      <c r="AU698" s="246"/>
      <c r="AV698" s="246"/>
      <c r="AW698" s="246"/>
      <c r="AX698" s="246"/>
      <c r="AY698" s="246"/>
      <c r="AZ698" s="246"/>
      <c r="BA698" s="246"/>
      <c r="BB698" s="246"/>
      <c r="BC698" s="246"/>
      <c r="BD698" s="246"/>
      <c r="BE698" s="246"/>
      <c r="BF698" s="246"/>
      <c r="BG698" s="246"/>
      <c r="BH698" s="246"/>
      <c r="BI698" s="246"/>
      <c r="BJ698" s="246"/>
    </row>
    <row r="699" spans="2:62" ht="15.75">
      <c r="B699" s="7"/>
      <c r="C699" s="334"/>
      <c r="D699" s="334"/>
      <c r="E699" s="334"/>
      <c r="F699" s="334"/>
      <c r="G699" s="334"/>
      <c r="H699" s="334"/>
      <c r="I699" s="334"/>
      <c r="J699" s="334"/>
      <c r="K699" s="399"/>
      <c r="L699" s="401"/>
      <c r="M699" s="334"/>
      <c r="N699" s="399"/>
      <c r="O699" s="399"/>
      <c r="P699" s="334"/>
      <c r="Q699" s="399"/>
      <c r="R699" s="401"/>
      <c r="S699" s="334"/>
      <c r="T699" s="334"/>
      <c r="U699" s="334"/>
      <c r="V699" s="334"/>
      <c r="W699" s="334"/>
      <c r="X699" s="334"/>
      <c r="Y699" s="246"/>
      <c r="Z699" s="246"/>
      <c r="AA699" s="246"/>
      <c r="AB699" s="246"/>
      <c r="AC699" s="246"/>
      <c r="AD699" s="246"/>
      <c r="AE699" s="246"/>
      <c r="AF699" s="246"/>
      <c r="AG699" s="246"/>
      <c r="AH699" s="246"/>
      <c r="AI699" s="246"/>
      <c r="AJ699" s="246"/>
      <c r="AK699" s="246"/>
      <c r="AL699" s="246"/>
      <c r="AM699" s="246"/>
      <c r="AN699" s="246"/>
      <c r="AO699" s="246"/>
      <c r="AP699" s="246"/>
      <c r="AQ699" s="246"/>
      <c r="AR699" s="246"/>
      <c r="AS699" s="246"/>
      <c r="AT699" s="246"/>
      <c r="AU699" s="246"/>
      <c r="AV699" s="246"/>
      <c r="AW699" s="246"/>
      <c r="AX699" s="246"/>
      <c r="AY699" s="246"/>
      <c r="AZ699" s="246"/>
      <c r="BA699" s="246"/>
      <c r="BB699" s="246"/>
      <c r="BC699" s="246"/>
      <c r="BD699" s="246"/>
      <c r="BE699" s="246"/>
      <c r="BF699" s="246"/>
      <c r="BG699" s="246"/>
      <c r="BH699" s="246"/>
      <c r="BI699" s="246"/>
      <c r="BJ699" s="246"/>
    </row>
    <row r="700" spans="2:62" ht="15.75">
      <c r="B700" s="7"/>
      <c r="C700" s="334"/>
      <c r="D700" s="334"/>
      <c r="E700" s="334"/>
      <c r="F700" s="334"/>
      <c r="G700" s="334"/>
      <c r="H700" s="334"/>
      <c r="I700" s="334"/>
      <c r="J700" s="334"/>
      <c r="K700" s="399"/>
      <c r="L700" s="399"/>
      <c r="M700" s="334"/>
      <c r="N700" s="399"/>
      <c r="O700" s="399"/>
      <c r="P700" s="334"/>
      <c r="Q700" s="399"/>
      <c r="R700" s="399"/>
      <c r="S700" s="334"/>
      <c r="T700" s="334"/>
      <c r="U700" s="334"/>
      <c r="V700" s="334"/>
      <c r="W700" s="334"/>
      <c r="X700" s="334"/>
      <c r="Y700" s="246"/>
      <c r="Z700" s="246"/>
      <c r="AA700" s="246"/>
      <c r="AB700" s="246"/>
      <c r="AC700" s="246"/>
      <c r="AD700" s="246"/>
      <c r="AE700" s="246"/>
      <c r="AF700" s="246"/>
      <c r="AG700" s="246"/>
      <c r="AH700" s="246"/>
      <c r="AI700" s="246"/>
      <c r="AJ700" s="246"/>
      <c r="AK700" s="246"/>
      <c r="AL700" s="246"/>
      <c r="AM700" s="246"/>
      <c r="AN700" s="246"/>
      <c r="AO700" s="246"/>
      <c r="AP700" s="246"/>
      <c r="AQ700" s="246"/>
      <c r="AR700" s="246"/>
      <c r="AS700" s="246"/>
      <c r="AT700" s="246"/>
      <c r="AU700" s="246"/>
      <c r="AV700" s="246"/>
      <c r="AW700" s="246"/>
      <c r="AX700" s="246"/>
      <c r="AY700" s="246"/>
      <c r="AZ700" s="246"/>
      <c r="BA700" s="246"/>
      <c r="BB700" s="246"/>
      <c r="BC700" s="246"/>
      <c r="BD700" s="246"/>
      <c r="BE700" s="246"/>
      <c r="BF700" s="246"/>
      <c r="BG700" s="246"/>
      <c r="BH700" s="246"/>
      <c r="BI700" s="246"/>
      <c r="BJ700" s="246"/>
    </row>
    <row r="701" spans="2:62" ht="15.75">
      <c r="B701" s="7"/>
      <c r="C701" s="334"/>
      <c r="D701" s="334"/>
      <c r="E701" s="334"/>
      <c r="F701" s="334"/>
      <c r="G701" s="334"/>
      <c r="H701" s="334"/>
      <c r="I701" s="334"/>
      <c r="J701" s="334"/>
      <c r="K701" s="399"/>
      <c r="L701" s="399"/>
      <c r="M701" s="334"/>
      <c r="N701" s="399"/>
      <c r="O701" s="399"/>
      <c r="P701" s="334"/>
      <c r="Q701" s="399"/>
      <c r="R701" s="399"/>
      <c r="S701" s="334"/>
      <c r="T701" s="334"/>
      <c r="U701" s="334"/>
      <c r="V701" s="334"/>
      <c r="W701" s="334"/>
      <c r="X701" s="334"/>
      <c r="Y701" s="246"/>
      <c r="Z701" s="246"/>
      <c r="AA701" s="246"/>
      <c r="AB701" s="246"/>
      <c r="AC701" s="246"/>
      <c r="AD701" s="246"/>
      <c r="AE701" s="246"/>
      <c r="AF701" s="246"/>
      <c r="AG701" s="246"/>
      <c r="AH701" s="246"/>
      <c r="AI701" s="246"/>
      <c r="AJ701" s="246"/>
      <c r="AK701" s="246"/>
      <c r="AL701" s="246"/>
      <c r="AM701" s="246"/>
      <c r="AN701" s="246"/>
      <c r="AO701" s="246"/>
      <c r="AP701" s="246"/>
      <c r="AQ701" s="246"/>
      <c r="AR701" s="246"/>
      <c r="AS701" s="246"/>
      <c r="AT701" s="246"/>
      <c r="AU701" s="246"/>
      <c r="AV701" s="246"/>
      <c r="AW701" s="246"/>
      <c r="AX701" s="246"/>
      <c r="AY701" s="246"/>
      <c r="AZ701" s="246"/>
      <c r="BA701" s="246"/>
      <c r="BB701" s="246"/>
      <c r="BC701" s="246"/>
      <c r="BD701" s="246"/>
      <c r="BE701" s="246"/>
      <c r="BF701" s="246"/>
      <c r="BG701" s="246"/>
      <c r="BH701" s="246"/>
      <c r="BI701" s="246"/>
      <c r="BJ701" s="246"/>
    </row>
    <row r="702" spans="2:62" ht="15.75">
      <c r="B702" s="7"/>
      <c r="C702" s="334"/>
      <c r="D702" s="334"/>
      <c r="E702" s="334"/>
      <c r="F702" s="334"/>
      <c r="G702" s="334"/>
      <c r="H702" s="334"/>
      <c r="I702" s="334"/>
      <c r="J702" s="334"/>
      <c r="K702" s="399"/>
      <c r="L702" s="399"/>
      <c r="M702" s="334"/>
      <c r="N702" s="401"/>
      <c r="O702" s="401"/>
      <c r="P702" s="334"/>
      <c r="Q702" s="401"/>
      <c r="R702" s="399"/>
      <c r="S702" s="334"/>
      <c r="T702" s="334"/>
      <c r="U702" s="334"/>
      <c r="V702" s="334"/>
      <c r="W702" s="334"/>
      <c r="X702" s="334"/>
      <c r="Y702" s="246"/>
      <c r="Z702" s="246"/>
      <c r="AA702" s="246"/>
      <c r="AB702" s="246"/>
      <c r="AC702" s="246"/>
      <c r="AD702" s="246"/>
      <c r="AE702" s="246"/>
      <c r="AF702" s="246"/>
      <c r="AG702" s="246"/>
      <c r="AH702" s="246"/>
      <c r="AI702" s="246"/>
      <c r="AJ702" s="246"/>
      <c r="AK702" s="246"/>
      <c r="AL702" s="246"/>
      <c r="AM702" s="246"/>
      <c r="AN702" s="246"/>
      <c r="AO702" s="246"/>
      <c r="AP702" s="246"/>
      <c r="AQ702" s="246"/>
      <c r="AR702" s="246"/>
      <c r="AS702" s="246"/>
      <c r="AT702" s="246"/>
      <c r="AU702" s="246"/>
      <c r="AV702" s="246"/>
      <c r="AW702" s="246"/>
      <c r="AX702" s="246"/>
      <c r="AY702" s="246"/>
      <c r="AZ702" s="246"/>
      <c r="BA702" s="246"/>
      <c r="BB702" s="246"/>
      <c r="BC702" s="246"/>
      <c r="BD702" s="246"/>
      <c r="BE702" s="246"/>
      <c r="BF702" s="246"/>
      <c r="BG702" s="246"/>
      <c r="BH702" s="246"/>
      <c r="BI702" s="246"/>
      <c r="BJ702" s="246"/>
    </row>
  </sheetData>
  <mergeCells count="42">
    <mergeCell ref="R170:S170"/>
    <mergeCell ref="D91:F91"/>
    <mergeCell ref="G91:I91"/>
    <mergeCell ref="J91:L91"/>
    <mergeCell ref="M91:N91"/>
    <mergeCell ref="O91:Q91"/>
    <mergeCell ref="R91:S91"/>
    <mergeCell ref="D170:F170"/>
    <mergeCell ref="G170:I170"/>
    <mergeCell ref="J170:L170"/>
    <mergeCell ref="M170:N170"/>
    <mergeCell ref="O170:Q170"/>
    <mergeCell ref="R3:S3"/>
    <mergeCell ref="D3:F3"/>
    <mergeCell ref="G3:I3"/>
    <mergeCell ref="J3:L3"/>
    <mergeCell ref="M3:N3"/>
    <mergeCell ref="O3:Q3"/>
    <mergeCell ref="R293:S293"/>
    <mergeCell ref="D238:F238"/>
    <mergeCell ref="G238:I238"/>
    <mergeCell ref="J238:L238"/>
    <mergeCell ref="M238:N238"/>
    <mergeCell ref="O238:Q238"/>
    <mergeCell ref="R238:S238"/>
    <mergeCell ref="D293:F293"/>
    <mergeCell ref="G293:I293"/>
    <mergeCell ref="J293:L293"/>
    <mergeCell ref="M293:N293"/>
    <mergeCell ref="O293:Q293"/>
    <mergeCell ref="AM404:AO404"/>
    <mergeCell ref="D358:F358"/>
    <mergeCell ref="G358:I358"/>
    <mergeCell ref="J358:L358"/>
    <mergeCell ref="M358:N358"/>
    <mergeCell ref="O358:Q358"/>
    <mergeCell ref="R358:S358"/>
    <mergeCell ref="X404:Z404"/>
    <mergeCell ref="AA404:AC404"/>
    <mergeCell ref="AD404:AF404"/>
    <mergeCell ref="AG404:AI404"/>
    <mergeCell ref="AJ404:AL404"/>
  </mergeCells>
  <conditionalFormatting sqref="D31:D32">
    <cfRule type="expression" dxfId="338" priority="6" stopIfTrue="1">
      <formula>"esterreur(reference)"</formula>
    </cfRule>
  </conditionalFormatting>
  <conditionalFormatting sqref="D112:D113">
    <cfRule type="expression" dxfId="337" priority="1" stopIfTrue="1">
      <formula>"esterreur(reference)"</formula>
    </cfRule>
  </conditionalFormatting>
  <conditionalFormatting sqref="F5">
    <cfRule type="expression" dxfId="336" priority="67" stopIfTrue="1">
      <formula>"esterreur(reference)"</formula>
    </cfRule>
  </conditionalFormatting>
  <conditionalFormatting sqref="F184">
    <cfRule type="expression" dxfId="335" priority="77" stopIfTrue="1">
      <formula>"esterreur(reference)"</formula>
    </cfRule>
  </conditionalFormatting>
  <conditionalFormatting sqref="G31:G32">
    <cfRule type="expression" dxfId="334" priority="5" stopIfTrue="1">
      <formula>"esterreur(reference)"</formula>
    </cfRule>
  </conditionalFormatting>
  <conditionalFormatting sqref="G112:G113">
    <cfRule type="expression" dxfId="333" priority="2" stopIfTrue="1">
      <formula>"esterreur(reference)"</formula>
    </cfRule>
  </conditionalFormatting>
  <conditionalFormatting sqref="H136:H152">
    <cfRule type="expression" dxfId="332" priority="31" stopIfTrue="1">
      <formula>"esterreur(reference)"</formula>
    </cfRule>
  </conditionalFormatting>
  <conditionalFormatting sqref="H360">
    <cfRule type="expression" dxfId="331" priority="110" stopIfTrue="1">
      <formula>"esterreur(reference)"</formula>
    </cfRule>
  </conditionalFormatting>
  <conditionalFormatting sqref="H197:L197">
    <cfRule type="expression" dxfId="330" priority="112" stopIfTrue="1">
      <formula>"esterreur(reference)"</formula>
    </cfRule>
  </conditionalFormatting>
  <conditionalFormatting sqref="H396:L399">
    <cfRule type="expression" dxfId="329" priority="108" stopIfTrue="1">
      <formula>"esterreur(reference)"</formula>
    </cfRule>
  </conditionalFormatting>
  <conditionalFormatting sqref="I377:L377 H378:H395">
    <cfRule type="expression" dxfId="328" priority="109" stopIfTrue="1">
      <formula>"esterreur(reference)"</formula>
    </cfRule>
  </conditionalFormatting>
  <conditionalFormatting sqref="J3 I13:J14 I16:J16 I17 I18:J18 J19 I20:J20 J21:J23 I24:J24 H25:L30 J31:K48 H31:H72 J49:L54 J72:L72 F83:F85 H83:L85 H86:K88 L86:L90 H90:I90 K90 J90:J91 H97:L98 I101:L101 H101:H104 I105:L111 H106:H134 I122:L122 H135:L135 J136:K148 H153:L153 H156:H157 J156:K157 H164:L164 H165 J165:K165 H166:K167 L166:L169 H169:I169 K169 J169:J196 H171:I171 H173:I174 H176:I177 H179:I180 H182:I183 L183 H185:I187 H189:I190 H192:I196 H198:H229 J198:K229 H232:L232 H233 J233:K233 H234:K235 L234:L237 H237:I237 K237 J237:J240 H239:I240 H243:L243 H252:L253 H254:K284 H285:L285 H288:L288 H289 J289:K289 H290:K290 L290:L292 H292:I292 K292 J292:J293 H294:L294 H304:L306 H309:L311 H313:L317 H318:H348 J318:K348 H349:L349 H352:L352 H353:H355 J353:K355 H361:L364 H365:H376 H400 J400:K400">
    <cfRule type="expression" dxfId="327" priority="102" stopIfTrue="1">
      <formula>"esterreur(reference)"</formula>
    </cfRule>
  </conditionalFormatting>
  <conditionalFormatting sqref="J55:K71">
    <cfRule type="expression" dxfId="326" priority="113" stopIfTrue="1">
      <formula>"esterreur(reference)"</formula>
    </cfRule>
  </conditionalFormatting>
  <conditionalFormatting sqref="J102:L104">
    <cfRule type="expression" dxfId="325" priority="98" stopIfTrue="1">
      <formula>"esterreur(reference)"</formula>
    </cfRule>
  </conditionalFormatting>
  <conditionalFormatting sqref="J149:L152">
    <cfRule type="expression" dxfId="324" priority="30" stopIfTrue="1">
      <formula>"esterreur(reference)"</formula>
    </cfRule>
  </conditionalFormatting>
  <conditionalFormatting sqref="J295:L303">
    <cfRule type="expression" dxfId="323" priority="94" stopIfTrue="1">
      <formula>"esterreur(reference)"</formula>
    </cfRule>
  </conditionalFormatting>
  <conditionalFormatting sqref="J307:L308">
    <cfRule type="expression" dxfId="322" priority="84" stopIfTrue="1">
      <formula>"esterreur(reference)"</formula>
    </cfRule>
  </conditionalFormatting>
  <conditionalFormatting sqref="J360:L360">
    <cfRule type="expression" dxfId="321" priority="76" stopIfTrue="1">
      <formula>"esterreur(reference)"</formula>
    </cfRule>
  </conditionalFormatting>
  <conditionalFormatting sqref="J365:L376">
    <cfRule type="expression" dxfId="320" priority="81" stopIfTrue="1">
      <formula>"esterreur(reference)"</formula>
    </cfRule>
  </conditionalFormatting>
  <conditionalFormatting sqref="J378:L394">
    <cfRule type="expression" dxfId="319" priority="80" stopIfTrue="1">
      <formula>"esterreur(reference)"</formula>
    </cfRule>
  </conditionalFormatting>
  <conditionalFormatting sqref="J312:M312">
    <cfRule type="expression" dxfId="318" priority="82" stopIfTrue="1">
      <formula>"esterreur(reference)"</formula>
    </cfRule>
  </conditionalFormatting>
  <conditionalFormatting sqref="J112:Q121">
    <cfRule type="expression" dxfId="317" priority="3" stopIfTrue="1">
      <formula>"esterreur(reference)"</formula>
    </cfRule>
  </conditionalFormatting>
  <conditionalFormatting sqref="J123:Q134">
    <cfRule type="expression" dxfId="316" priority="57" stopIfTrue="1">
      <formula>"esterreur(reference)"</formula>
    </cfRule>
  </conditionalFormatting>
  <conditionalFormatting sqref="K5">
    <cfRule type="expression" dxfId="315" priority="91" stopIfTrue="1">
      <formula>"esterreur(reference)"</formula>
    </cfRule>
  </conditionalFormatting>
  <conditionalFormatting sqref="K175">
    <cfRule type="expression" dxfId="314" priority="88" stopIfTrue="1">
      <formula>"esterreur(reference)"</formula>
    </cfRule>
  </conditionalFormatting>
  <conditionalFormatting sqref="K183:K184">
    <cfRule type="expression" dxfId="313" priority="90" stopIfTrue="1">
      <formula>"esterreur(reference)"</formula>
    </cfRule>
  </conditionalFormatting>
  <conditionalFormatting sqref="K287">
    <cfRule type="expression" dxfId="312" priority="74" stopIfTrue="1">
      <formula>"esterreur(reference)"</formula>
    </cfRule>
  </conditionalFormatting>
  <conditionalFormatting sqref="K395">
    <cfRule type="expression" dxfId="311" priority="111" stopIfTrue="1">
      <formula>"esterreur(reference)"</formula>
    </cfRule>
  </conditionalFormatting>
  <conditionalFormatting sqref="K93:L96">
    <cfRule type="expression" dxfId="310" priority="79" stopIfTrue="1">
      <formula>"esterreur(reference)"</formula>
    </cfRule>
  </conditionalFormatting>
  <conditionalFormatting sqref="K99:L100">
    <cfRule type="expression" dxfId="309" priority="99" stopIfTrue="1">
      <formula>"esterreur(reference)"</formula>
    </cfRule>
  </conditionalFormatting>
  <conditionalFormatting sqref="K171:L173">
    <cfRule type="expression" dxfId="308" priority="89" stopIfTrue="1">
      <formula>"esterreur(reference)"</formula>
    </cfRule>
  </conditionalFormatting>
  <conditionalFormatting sqref="K176:L182">
    <cfRule type="expression" dxfId="307" priority="87" stopIfTrue="1">
      <formula>"esterreur(reference)"</formula>
    </cfRule>
  </conditionalFormatting>
  <conditionalFormatting sqref="K185:L196">
    <cfRule type="expression" dxfId="306" priority="83" stopIfTrue="1">
      <formula>"esterreur(reference)"</formula>
    </cfRule>
  </conditionalFormatting>
  <conditionalFormatting sqref="K239:L241">
    <cfRule type="expression" dxfId="305" priority="78" stopIfTrue="1">
      <formula>"esterreur(reference)"</formula>
    </cfRule>
  </conditionalFormatting>
  <conditionalFormatting sqref="K244:L244">
    <cfRule type="expression" dxfId="304" priority="86" stopIfTrue="1">
      <formula>"esterreur(reference)"</formula>
    </cfRule>
  </conditionalFormatting>
  <conditionalFormatting sqref="K247:L247">
    <cfRule type="expression" dxfId="303" priority="85" stopIfTrue="1">
      <formula>"esterreur(reference)"</formula>
    </cfRule>
  </conditionalFormatting>
  <conditionalFormatting sqref="L16:L24">
    <cfRule type="expression" dxfId="302" priority="101" stopIfTrue="1">
      <formula>"esterreur(reference)"</formula>
    </cfRule>
  </conditionalFormatting>
  <conditionalFormatting sqref="L42:L48">
    <cfRule type="expression" dxfId="301" priority="100" stopIfTrue="1">
      <formula>"esterreur(reference)"</formula>
    </cfRule>
  </conditionalFormatting>
  <conditionalFormatting sqref="L55:L66">
    <cfRule type="expression" dxfId="300" priority="68" stopIfTrue="1">
      <formula>"esterreur(reference)"</formula>
    </cfRule>
  </conditionalFormatting>
  <conditionalFormatting sqref="L68:L71">
    <cfRule type="expression" dxfId="299" priority="32" stopIfTrue="1">
      <formula>"esterreur(reference)"</formula>
    </cfRule>
  </conditionalFormatting>
  <conditionalFormatting sqref="L75:L82">
    <cfRule type="expression" dxfId="298" priority="69" stopIfTrue="1">
      <formula>"esterreur(reference)"</formula>
    </cfRule>
  </conditionalFormatting>
  <conditionalFormatting sqref="L136:L147">
    <cfRule type="expression" dxfId="297" priority="73" stopIfTrue="1">
      <formula>"esterreur(reference)"</formula>
    </cfRule>
  </conditionalFormatting>
  <conditionalFormatting sqref="L174:L175">
    <cfRule type="expression" dxfId="296" priority="97" stopIfTrue="1">
      <formula>"esterreur(reference)"</formula>
    </cfRule>
  </conditionalFormatting>
  <conditionalFormatting sqref="L198:L209">
    <cfRule type="expression" dxfId="295" priority="96" stopIfTrue="1">
      <formula>"esterreur(reference)"</formula>
    </cfRule>
  </conditionalFormatting>
  <conditionalFormatting sqref="L211:L228">
    <cfRule type="expression" dxfId="294" priority="72" stopIfTrue="1">
      <formula>"esterreur(reference)"</formula>
    </cfRule>
  </conditionalFormatting>
  <conditionalFormatting sqref="L254:L265">
    <cfRule type="expression" dxfId="293" priority="95" stopIfTrue="1">
      <formula>"esterreur(reference)"</formula>
    </cfRule>
  </conditionalFormatting>
  <conditionalFormatting sqref="L267:L284">
    <cfRule type="expression" dxfId="292" priority="71" stopIfTrue="1">
      <formula>"esterreur(reference)"</formula>
    </cfRule>
  </conditionalFormatting>
  <conditionalFormatting sqref="L318:L329">
    <cfRule type="expression" dxfId="291" priority="93" stopIfTrue="1">
      <formula>"esterreur(reference)"</formula>
    </cfRule>
  </conditionalFormatting>
  <conditionalFormatting sqref="L331">
    <cfRule type="expression" dxfId="290" priority="70" stopIfTrue="1">
      <formula>"esterreur(reference)"</formula>
    </cfRule>
  </conditionalFormatting>
  <conditionalFormatting sqref="L334:L343 L345:L348">
    <cfRule type="expression" dxfId="289" priority="92" stopIfTrue="1">
      <formula>"esterreur(reference)"</formula>
    </cfRule>
  </conditionalFormatting>
  <conditionalFormatting sqref="L356:L357 H357:I357 K357 J357:J358 H359:L359">
    <cfRule type="expression" dxfId="288" priority="107" stopIfTrue="1">
      <formula>"esterreur(reference)"</formula>
    </cfRule>
  </conditionalFormatting>
  <conditionalFormatting sqref="L5:Q14">
    <cfRule type="expression" dxfId="287" priority="62" stopIfTrue="1">
      <formula>"esterreur(reference)"</formula>
    </cfRule>
  </conditionalFormatting>
  <conditionalFormatting sqref="L156:Q162">
    <cfRule type="expression" dxfId="286" priority="28" stopIfTrue="1">
      <formula>"esterreur(reference)"</formula>
    </cfRule>
  </conditionalFormatting>
  <conditionalFormatting sqref="M95:M97">
    <cfRule type="expression" dxfId="285" priority="103" stopIfTrue="1">
      <formula>"esterreur(reference)"</formula>
    </cfRule>
  </conditionalFormatting>
  <conditionalFormatting sqref="O13:O14 O16 O18:O24 O83:Q85">
    <cfRule type="expression" dxfId="284" priority="66" stopIfTrue="1">
      <formula>"esterreur(reference)"</formula>
    </cfRule>
  </conditionalFormatting>
  <conditionalFormatting sqref="O172:O196 Q183 O198:P229 O232:Q232 O233:P233">
    <cfRule type="expression" dxfId="283" priority="55" stopIfTrue="1">
      <formula>"esterreur(reference)"</formula>
    </cfRule>
  </conditionalFormatting>
  <conditionalFormatting sqref="O318:P348 O349:Q349 O352:Q352 O353:P353">
    <cfRule type="expression" dxfId="282" priority="39" stopIfTrue="1">
      <formula>"esterreur(reference)"</formula>
    </cfRule>
  </conditionalFormatting>
  <conditionalFormatting sqref="O25:Q72">
    <cfRule type="expression" dxfId="281" priority="4" stopIfTrue="1">
      <formula>"esterreur(reference)"</formula>
    </cfRule>
  </conditionalFormatting>
  <conditionalFormatting sqref="O97:Q98 O122:Q122 O156:P157 O164:Q164 O165:P165">
    <cfRule type="expression" dxfId="280" priority="61" stopIfTrue="1">
      <formula>"esterreur(reference)"</formula>
    </cfRule>
  </conditionalFormatting>
  <conditionalFormatting sqref="O101:Q111">
    <cfRule type="expression" dxfId="279" priority="59" stopIfTrue="1">
      <formula>"esterreur(reference)"</formula>
    </cfRule>
  </conditionalFormatting>
  <conditionalFormatting sqref="O135:Q153">
    <cfRule type="expression" dxfId="278" priority="29" stopIfTrue="1">
      <formula>"esterreur(reference)"</formula>
    </cfRule>
  </conditionalFormatting>
  <conditionalFormatting sqref="O197:Q197">
    <cfRule type="expression" dxfId="277" priority="56" stopIfTrue="1">
      <formula>"esterreur(reference)"</formula>
    </cfRule>
  </conditionalFormatting>
  <conditionalFormatting sqref="O243:Q243 O252:Q253 O254:P284 O285:Q285 O288:Q288 O289:P289">
    <cfRule type="expression" dxfId="276" priority="46" stopIfTrue="1">
      <formula>"esterreur(reference)"</formula>
    </cfRule>
  </conditionalFormatting>
  <conditionalFormatting sqref="O295:Q317">
    <cfRule type="expression" dxfId="275" priority="37" stopIfTrue="1">
      <formula>"esterreur(reference)"</formula>
    </cfRule>
  </conditionalFormatting>
  <conditionalFormatting sqref="O359:Q394">
    <cfRule type="expression" dxfId="274" priority="33" stopIfTrue="1">
      <formula>"esterreur(reference)"</formula>
    </cfRule>
  </conditionalFormatting>
  <conditionalFormatting sqref="O396:Q399">
    <cfRule type="expression" dxfId="273" priority="34" stopIfTrue="1">
      <formula>"esterreur(reference)"</formula>
    </cfRule>
  </conditionalFormatting>
  <conditionalFormatting sqref="P5">
    <cfRule type="expression" dxfId="272" priority="63" stopIfTrue="1">
      <formula>"esterreur(reference)"</formula>
    </cfRule>
  </conditionalFormatting>
  <conditionalFormatting sqref="P175">
    <cfRule type="expression" dxfId="271" priority="50" stopIfTrue="1">
      <formula>"esterreur(reference)"</formula>
    </cfRule>
  </conditionalFormatting>
  <conditionalFormatting sqref="P183:P184">
    <cfRule type="expression" dxfId="270" priority="52" stopIfTrue="1">
      <formula>"esterreur(reference)"</formula>
    </cfRule>
  </conditionalFormatting>
  <conditionalFormatting sqref="P287">
    <cfRule type="expression" dxfId="269" priority="41" stopIfTrue="1">
      <formula>"esterreur(reference)"</formula>
    </cfRule>
  </conditionalFormatting>
  <conditionalFormatting sqref="P395">
    <cfRule type="expression" dxfId="268" priority="35" stopIfTrue="1">
      <formula>"esterreur(reference)"</formula>
    </cfRule>
  </conditionalFormatting>
  <conditionalFormatting sqref="P93:Q96">
    <cfRule type="expression" dxfId="267" priority="58" stopIfTrue="1">
      <formula>"esterreur(reference)"</formula>
    </cfRule>
  </conditionalFormatting>
  <conditionalFormatting sqref="P99:Q100">
    <cfRule type="expression" dxfId="266" priority="60" stopIfTrue="1">
      <formula>"esterreur(reference)"</formula>
    </cfRule>
  </conditionalFormatting>
  <conditionalFormatting sqref="P172:Q173">
    <cfRule type="expression" dxfId="265" priority="51" stopIfTrue="1">
      <formula>"esterreur(reference)"</formula>
    </cfRule>
  </conditionalFormatting>
  <conditionalFormatting sqref="P176:Q182">
    <cfRule type="expression" dxfId="264" priority="49" stopIfTrue="1">
      <formula>"esterreur(reference)"</formula>
    </cfRule>
  </conditionalFormatting>
  <conditionalFormatting sqref="P185:Q196">
    <cfRule type="expression" dxfId="263" priority="48" stopIfTrue="1">
      <formula>"esterreur(reference)"</formula>
    </cfRule>
  </conditionalFormatting>
  <conditionalFormatting sqref="P241:Q241">
    <cfRule type="expression" dxfId="262" priority="42" stopIfTrue="1">
      <formula>"esterreur(reference)"</formula>
    </cfRule>
  </conditionalFormatting>
  <conditionalFormatting sqref="P244:Q244">
    <cfRule type="expression" dxfId="261" priority="44" stopIfTrue="1">
      <formula>"esterreur(reference)"</formula>
    </cfRule>
  </conditionalFormatting>
  <conditionalFormatting sqref="P247:Q247">
    <cfRule type="expression" dxfId="260" priority="43" stopIfTrue="1">
      <formula>"esterreur(reference)"</formula>
    </cfRule>
  </conditionalFormatting>
  <conditionalFormatting sqref="Q16:Q24">
    <cfRule type="expression" dxfId="259" priority="65" stopIfTrue="1">
      <formula>"esterreur(reference)"</formula>
    </cfRule>
  </conditionalFormatting>
  <conditionalFormatting sqref="Q75:Q82">
    <cfRule type="expression" dxfId="258" priority="64" stopIfTrue="1">
      <formula>"esterreur(reference)"</formula>
    </cfRule>
  </conditionalFormatting>
  <conditionalFormatting sqref="Q174:Q175">
    <cfRule type="expression" dxfId="257" priority="54" stopIfTrue="1">
      <formula>"esterreur(reference)"</formula>
    </cfRule>
  </conditionalFormatting>
  <conditionalFormatting sqref="Q198:Q209">
    <cfRule type="expression" dxfId="256" priority="53" stopIfTrue="1">
      <formula>"esterreur(reference)"</formula>
    </cfRule>
  </conditionalFormatting>
  <conditionalFormatting sqref="Q211:Q228">
    <cfRule type="expression" dxfId="255" priority="47" stopIfTrue="1">
      <formula>"esterreur(reference)"</formula>
    </cfRule>
  </conditionalFormatting>
  <conditionalFormatting sqref="Q254:Q265">
    <cfRule type="expression" dxfId="254" priority="45" stopIfTrue="1">
      <formula>"esterreur(reference)"</formula>
    </cfRule>
  </conditionalFormatting>
  <conditionalFormatting sqref="Q267:Q284">
    <cfRule type="expression" dxfId="253" priority="40" stopIfTrue="1">
      <formula>"esterreur(reference)"</formula>
    </cfRule>
  </conditionalFormatting>
  <conditionalFormatting sqref="Q318:Q329">
    <cfRule type="expression" dxfId="252" priority="38" stopIfTrue="1">
      <formula>"esterreur(reference)"</formula>
    </cfRule>
  </conditionalFormatting>
  <conditionalFormatting sqref="Q331:Q348">
    <cfRule type="expression" dxfId="251" priority="36" stopIfTrue="1">
      <formula>"esterreur(reference)"</formula>
    </cfRule>
  </conditionalFormatting>
  <conditionalFormatting sqref="R312">
    <cfRule type="expression" dxfId="250" priority="104" stopIfTrue="1">
      <formula>"esterreur(reference)"</formula>
    </cfRule>
  </conditionalFormatting>
  <conditionalFormatting sqref="S186">
    <cfRule type="expression" dxfId="249" priority="75" stopIfTrue="1">
      <formula>"esterreur(reference)"</formula>
    </cfRule>
  </conditionalFormatting>
  <conditionalFormatting sqref="Z425:Z427">
    <cfRule type="cellIs" dxfId="248" priority="24" operator="greaterThan">
      <formula>0</formula>
    </cfRule>
  </conditionalFormatting>
  <conditionalFormatting sqref="Z432">
    <cfRule type="cellIs" dxfId="247" priority="21" operator="greaterThan">
      <formula>0</formula>
    </cfRule>
  </conditionalFormatting>
  <conditionalFormatting sqref="Z449:Z451">
    <cfRule type="cellIs" dxfId="246" priority="17" operator="greaterThan">
      <formula>0</formula>
    </cfRule>
  </conditionalFormatting>
  <conditionalFormatting sqref="Z463:Z465">
    <cfRule type="cellIs" dxfId="245" priority="13" operator="greaterThan">
      <formula>0</formula>
    </cfRule>
  </conditionalFormatting>
  <conditionalFormatting sqref="Z478:Z479">
    <cfRule type="cellIs" dxfId="244" priority="10" operator="greaterThan">
      <formula>0</formula>
    </cfRule>
  </conditionalFormatting>
  <conditionalFormatting sqref="Z495:Z497">
    <cfRule type="cellIs" dxfId="243" priority="7" operator="greaterThan">
      <formula>0</formula>
    </cfRule>
  </conditionalFormatting>
  <conditionalFormatting sqref="AC425:AC427">
    <cfRule type="cellIs" dxfId="242" priority="25" operator="greaterThan">
      <formula>0</formula>
    </cfRule>
  </conditionalFormatting>
  <conditionalFormatting sqref="AC432">
    <cfRule type="cellIs" dxfId="241" priority="22" operator="greaterThan">
      <formula>0</formula>
    </cfRule>
  </conditionalFormatting>
  <conditionalFormatting sqref="AC449:AC451">
    <cfRule type="cellIs" dxfId="240" priority="18" operator="greaterThan">
      <formula>0</formula>
    </cfRule>
  </conditionalFormatting>
  <conditionalFormatting sqref="AC463:AC465">
    <cfRule type="cellIs" dxfId="239" priority="14" operator="greaterThan">
      <formula>0</formula>
    </cfRule>
  </conditionalFormatting>
  <conditionalFormatting sqref="AC478:AC479">
    <cfRule type="cellIs" dxfId="238" priority="11" operator="greaterThan">
      <formula>0</formula>
    </cfRule>
  </conditionalFormatting>
  <conditionalFormatting sqref="AC495:AC497">
    <cfRule type="cellIs" dxfId="237" priority="8" operator="greaterThan">
      <formula>0</formula>
    </cfRule>
  </conditionalFormatting>
  <conditionalFormatting sqref="AG409:AI418">
    <cfRule type="cellIs" dxfId="236" priority="27" operator="greaterThan">
      <formula>0</formula>
    </cfRule>
  </conditionalFormatting>
  <conditionalFormatting sqref="AH449:AH452">
    <cfRule type="cellIs" dxfId="235" priority="19" operator="greaterThan">
      <formula>0</formula>
    </cfRule>
  </conditionalFormatting>
  <conditionalFormatting sqref="AH461:AH466">
    <cfRule type="cellIs" dxfId="234" priority="15" operator="greaterThan">
      <formula>0</formula>
    </cfRule>
  </conditionalFormatting>
  <conditionalFormatting sqref="AH420:AI448">
    <cfRule type="cellIs" dxfId="233" priority="23" operator="greaterThan">
      <formula>0</formula>
    </cfRule>
  </conditionalFormatting>
  <conditionalFormatting sqref="AH453:AI460 AH467:AI468">
    <cfRule type="cellIs" dxfId="232" priority="105" operator="greaterThan">
      <formula>0</formula>
    </cfRule>
  </conditionalFormatting>
  <conditionalFormatting sqref="AH469:AI477 AH480:AI480">
    <cfRule type="cellIs" dxfId="231" priority="106" operator="lessThan">
      <formula>0</formula>
    </cfRule>
  </conditionalFormatting>
  <conditionalFormatting sqref="AH478:AI479">
    <cfRule type="cellIs" dxfId="230" priority="12" operator="greaterThan">
      <formula>0</formula>
    </cfRule>
  </conditionalFormatting>
  <conditionalFormatting sqref="AH491:AI497">
    <cfRule type="cellIs" dxfId="229" priority="9" operator="greaterThan">
      <formula>0</formula>
    </cfRule>
  </conditionalFormatting>
  <conditionalFormatting sqref="AI449:AI451">
    <cfRule type="cellIs" dxfId="228" priority="20" operator="greaterThan">
      <formula>0</formula>
    </cfRule>
  </conditionalFormatting>
  <conditionalFormatting sqref="AI463:AI465">
    <cfRule type="cellIs" dxfId="227" priority="16" operator="greaterThan">
      <formula>0</formula>
    </cfRule>
  </conditionalFormatting>
  <conditionalFormatting sqref="AO409:AO418">
    <cfRule type="cellIs" dxfId="226" priority="26" operator="greaterThan">
      <formula>0</formula>
    </cfRule>
  </conditionalFormatting>
  <printOptions horizontalCentered="1"/>
  <pageMargins left="0" right="0" top="0.25" bottom="0.25" header="0.3" footer="0.3"/>
  <pageSetup scale="43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Feuil17">
    <tabColor rgb="FF00B050"/>
    <pageSetUpPr fitToPage="1"/>
  </sheetPr>
  <dimension ref="A1:BJ702"/>
  <sheetViews>
    <sheetView topLeftCell="Q483" zoomScale="70" zoomScaleNormal="70" workbookViewId="0">
      <selection activeCell="Q483" sqref="A1:XFD1048576"/>
    </sheetView>
  </sheetViews>
  <sheetFormatPr baseColWidth="10" defaultColWidth="12.625" defaultRowHeight="15" customHeight="1" outlineLevelRow="1"/>
  <cols>
    <col min="1" max="1" width="24.125" customWidth="1"/>
    <col min="2" max="2" width="23.25" customWidth="1"/>
    <col min="3" max="3" width="34.625" customWidth="1"/>
    <col min="4" max="4" width="16.375" customWidth="1"/>
    <col min="5" max="5" width="15.625" customWidth="1"/>
    <col min="6" max="6" width="16.875" customWidth="1"/>
    <col min="7" max="7" width="17.75" hidden="1" customWidth="1"/>
    <col min="8" max="8" width="15.625" hidden="1" customWidth="1"/>
    <col min="9" max="9" width="15.875" hidden="1" customWidth="1"/>
    <col min="10" max="10" width="16.75" customWidth="1"/>
    <col min="11" max="11" width="14.5" customWidth="1"/>
    <col min="12" max="12" width="15.875" customWidth="1"/>
    <col min="13" max="13" width="12" customWidth="1"/>
    <col min="14" max="14" width="18.625" customWidth="1"/>
    <col min="15" max="15" width="16.375" customWidth="1"/>
    <col min="16" max="16" width="15.625" customWidth="1"/>
    <col min="17" max="17" width="16.375" customWidth="1"/>
    <col min="18" max="18" width="13.875" customWidth="1"/>
    <col min="19" max="19" width="18.625" customWidth="1"/>
    <col min="20" max="20" width="3" customWidth="1"/>
    <col min="21" max="21" width="4" customWidth="1"/>
    <col min="22" max="22" width="28.75" customWidth="1"/>
    <col min="23" max="23" width="12.25" customWidth="1"/>
    <col min="24" max="24" width="10.875" customWidth="1"/>
    <col min="25" max="25" width="10" customWidth="1"/>
    <col min="26" max="26" width="17.375" customWidth="1"/>
    <col min="27" max="27" width="10.875" hidden="1" customWidth="1"/>
    <col min="28" max="28" width="10" hidden="1" customWidth="1"/>
    <col min="29" max="29" width="17.5" hidden="1" customWidth="1"/>
    <col min="30" max="30" width="10.875" customWidth="1"/>
    <col min="31" max="31" width="12" customWidth="1"/>
    <col min="32" max="32" width="18.875" customWidth="1"/>
    <col min="33" max="33" width="10.875" customWidth="1"/>
    <col min="34" max="34" width="16.25" customWidth="1"/>
    <col min="35" max="35" width="12.375" customWidth="1"/>
    <col min="36" max="36" width="10.875" customWidth="1"/>
    <col min="37" max="37" width="10" customWidth="1"/>
    <col min="38" max="38" width="17.5" customWidth="1"/>
    <col min="39" max="39" width="10.875" customWidth="1"/>
    <col min="40" max="40" width="16" customWidth="1"/>
    <col min="41" max="41" width="12.375" customWidth="1"/>
    <col min="42" max="42" width="11.625" bestFit="1" customWidth="1"/>
    <col min="43" max="62" width="11" customWidth="1"/>
  </cols>
  <sheetData>
    <row r="1" spans="1:40" ht="35.25">
      <c r="B1" s="1"/>
      <c r="C1" s="1" t="s">
        <v>210</v>
      </c>
      <c r="D1" s="2"/>
      <c r="E1" s="2"/>
      <c r="F1" s="2"/>
      <c r="G1" s="2"/>
      <c r="H1" s="1"/>
      <c r="I1" s="2"/>
      <c r="J1" s="1"/>
      <c r="K1" s="3" t="s">
        <v>0</v>
      </c>
      <c r="L1" s="2"/>
      <c r="M1" s="2"/>
      <c r="N1" s="4"/>
      <c r="O1" s="1"/>
      <c r="P1" s="2"/>
      <c r="Q1" s="1"/>
      <c r="R1" s="2"/>
      <c r="S1" s="5" t="s">
        <v>243</v>
      </c>
      <c r="T1" s="2" t="s">
        <v>1</v>
      </c>
      <c r="U1" s="6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</row>
    <row r="2" spans="1:40" ht="16.5" thickBot="1">
      <c r="B2" s="7"/>
      <c r="C2" s="8"/>
      <c r="D2" s="456" t="s">
        <v>2</v>
      </c>
      <c r="E2" s="456" t="s">
        <v>3</v>
      </c>
      <c r="F2" s="456" t="s">
        <v>4</v>
      </c>
      <c r="G2" s="456"/>
      <c r="H2" s="456"/>
      <c r="I2" s="456"/>
      <c r="J2" s="456" t="s">
        <v>211</v>
      </c>
      <c r="K2" s="456"/>
      <c r="L2" s="456" t="s">
        <v>212</v>
      </c>
      <c r="M2" s="457"/>
      <c r="N2" s="457"/>
      <c r="O2" s="456" t="s">
        <v>2</v>
      </c>
      <c r="P2" s="456" t="s">
        <v>3</v>
      </c>
      <c r="Q2" s="456" t="s">
        <v>4</v>
      </c>
      <c r="R2" s="10"/>
      <c r="S2" s="10"/>
      <c r="T2" s="10"/>
      <c r="U2" s="10"/>
    </row>
    <row r="3" spans="1:40" ht="21" thickTop="1">
      <c r="B3" s="11"/>
      <c r="C3" s="12"/>
      <c r="D3" s="496" t="s">
        <v>5</v>
      </c>
      <c r="E3" s="497"/>
      <c r="F3" s="498"/>
      <c r="G3" s="499"/>
      <c r="H3" s="497"/>
      <c r="I3" s="498"/>
      <c r="J3" s="499" t="s">
        <v>7</v>
      </c>
      <c r="K3" s="497"/>
      <c r="L3" s="498"/>
      <c r="M3" s="499" t="s">
        <v>213</v>
      </c>
      <c r="N3" s="498"/>
      <c r="O3" s="496" t="s">
        <v>8</v>
      </c>
      <c r="P3" s="497"/>
      <c r="Q3" s="498"/>
      <c r="R3" s="494" t="s">
        <v>214</v>
      </c>
      <c r="S3" s="495"/>
      <c r="T3" s="13"/>
      <c r="U3" s="13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</row>
    <row r="4" spans="1:40" ht="20.25">
      <c r="B4" s="11"/>
      <c r="C4" s="14"/>
      <c r="D4" s="15" t="s">
        <v>10</v>
      </c>
      <c r="E4" s="16" t="s">
        <v>11</v>
      </c>
      <c r="F4" s="17" t="s">
        <v>12</v>
      </c>
      <c r="G4" s="18"/>
      <c r="H4" s="16"/>
      <c r="I4" s="17"/>
      <c r="J4" s="18" t="s">
        <v>10</v>
      </c>
      <c r="K4" s="16" t="s">
        <v>13</v>
      </c>
      <c r="L4" s="17" t="s">
        <v>12</v>
      </c>
      <c r="M4" s="18" t="s">
        <v>215</v>
      </c>
      <c r="N4" s="17" t="s">
        <v>12</v>
      </c>
      <c r="O4" s="16" t="s">
        <v>10</v>
      </c>
      <c r="P4" s="16" t="s">
        <v>11</v>
      </c>
      <c r="Q4" s="17" t="s">
        <v>12</v>
      </c>
      <c r="R4" s="18" t="s">
        <v>10</v>
      </c>
      <c r="S4" s="19" t="s">
        <v>12</v>
      </c>
      <c r="T4" s="13"/>
      <c r="U4" s="13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</row>
    <row r="5" spans="1:40" ht="20.25">
      <c r="A5" t="str">
        <f>+B5&amp;C5</f>
        <v>Véhicules neufsVentes nettes</v>
      </c>
      <c r="B5" s="11" t="str">
        <f t="shared" ref="B5:B85" si="0">+$K$1</f>
        <v>Véhicules neufs</v>
      </c>
      <c r="C5" s="20" t="s">
        <v>14</v>
      </c>
      <c r="D5" s="21"/>
      <c r="E5" s="21"/>
      <c r="F5" s="22">
        <v>2407689.1525901831</v>
      </c>
      <c r="G5" s="23"/>
      <c r="H5" s="21"/>
      <c r="I5" s="24"/>
      <c r="J5" s="23"/>
      <c r="K5" s="25"/>
      <c r="L5" s="22">
        <v>3072093.1800000006</v>
      </c>
      <c r="M5" s="26"/>
      <c r="N5" s="27"/>
      <c r="O5" s="23"/>
      <c r="P5" s="25"/>
      <c r="Q5" s="22">
        <v>2506516.83</v>
      </c>
      <c r="R5" s="26"/>
      <c r="S5" s="28"/>
      <c r="T5" s="13"/>
      <c r="U5" s="13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</row>
    <row r="6" spans="1:40" ht="20.25">
      <c r="A6" t="str">
        <f t="shared" ref="A6:A85" si="1">+B6&amp;C6</f>
        <v>Véhicules neufsAutos détail</v>
      </c>
      <c r="B6" s="11" t="str">
        <f t="shared" si="0"/>
        <v>Véhicules neufs</v>
      </c>
      <c r="C6" s="29" t="s">
        <v>15</v>
      </c>
      <c r="D6" s="30">
        <v>9</v>
      </c>
      <c r="E6" s="30">
        <f>IF(D6=0,0,F6/D6)</f>
        <v>5144.9382716049386</v>
      </c>
      <c r="F6" s="30">
        <v>46304.444444444445</v>
      </c>
      <c r="G6" s="31"/>
      <c r="H6" s="30"/>
      <c r="I6" s="30"/>
      <c r="J6" s="31">
        <v>5</v>
      </c>
      <c r="K6" s="30">
        <f>IF(J6=0,0,L6/J6)</f>
        <v>5369.0600000000031</v>
      </c>
      <c r="L6" s="32">
        <v>26845.300000000017</v>
      </c>
      <c r="M6" s="31">
        <f t="shared" ref="M6:M12" si="2">J6-D6</f>
        <v>-4</v>
      </c>
      <c r="N6" s="33">
        <f t="shared" ref="N6:N12" si="3">L6-F6</f>
        <v>-19459.144444444428</v>
      </c>
      <c r="O6" s="31">
        <v>7</v>
      </c>
      <c r="P6" s="30">
        <f t="shared" ref="P6:P12" si="4">IF(O6=0,0,Q6/O6)</f>
        <v>5593.4485714285711</v>
      </c>
      <c r="Q6" s="32">
        <v>39154.14</v>
      </c>
      <c r="R6" s="31">
        <f>J6-O6</f>
        <v>-2</v>
      </c>
      <c r="S6" s="34">
        <f>L6-Q6</f>
        <v>-12308.839999999982</v>
      </c>
      <c r="T6" s="13"/>
      <c r="U6" s="13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</row>
    <row r="7" spans="1:40" ht="20.25">
      <c r="A7" t="str">
        <f>+B7&amp;C7</f>
        <v>Véhicules neufsCamions détail</v>
      </c>
      <c r="B7" s="11" t="str">
        <f t="shared" si="0"/>
        <v>Véhicules neufs</v>
      </c>
      <c r="C7" s="29" t="s">
        <v>16</v>
      </c>
      <c r="D7" s="30">
        <v>15</v>
      </c>
      <c r="E7" s="30">
        <f t="shared" ref="E7:E12" si="5">IF(D7=0,0,F7/D7)</f>
        <v>5386.4238410596026</v>
      </c>
      <c r="F7" s="30">
        <v>80796.357615894041</v>
      </c>
      <c r="G7" s="31"/>
      <c r="H7" s="30"/>
      <c r="I7" s="30"/>
      <c r="J7" s="31">
        <v>17</v>
      </c>
      <c r="K7" s="30">
        <f t="shared" ref="K7:K12" si="6">IF(J7=0,0,L7/J7)</f>
        <v>5159.5535294117581</v>
      </c>
      <c r="L7" s="32">
        <v>87712.409999999887</v>
      </c>
      <c r="M7" s="31">
        <f t="shared" si="2"/>
        <v>2</v>
      </c>
      <c r="N7" s="33">
        <f t="shared" si="3"/>
        <v>6916.0523841058457</v>
      </c>
      <c r="O7" s="31">
        <v>17</v>
      </c>
      <c r="P7" s="30">
        <f t="shared" si="4"/>
        <v>7536.4664705882351</v>
      </c>
      <c r="Q7" s="32">
        <v>128119.93</v>
      </c>
      <c r="R7" s="31">
        <f t="shared" ref="R7:R12" si="7">J7-O7</f>
        <v>0</v>
      </c>
      <c r="S7" s="34">
        <f t="shared" ref="S7:S12" si="8">L7-Q7</f>
        <v>-40407.520000000106</v>
      </c>
      <c r="T7" s="13"/>
      <c r="U7" s="13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</row>
    <row r="8" spans="1:40" ht="20.25" hidden="1">
      <c r="A8" t="str">
        <f>+B8&amp;C8</f>
        <v>Véhicules neufsSprinter</v>
      </c>
      <c r="B8" s="11" t="str">
        <f t="shared" si="0"/>
        <v>Véhicules neufs</v>
      </c>
      <c r="C8" s="29" t="s">
        <v>17</v>
      </c>
      <c r="D8" s="30">
        <v>0</v>
      </c>
      <c r="E8" s="30">
        <f t="shared" si="5"/>
        <v>0</v>
      </c>
      <c r="F8" s="30">
        <v>0</v>
      </c>
      <c r="G8" s="31"/>
      <c r="H8" s="30"/>
      <c r="I8" s="30"/>
      <c r="J8" s="31">
        <v>0</v>
      </c>
      <c r="K8" s="30">
        <f t="shared" si="6"/>
        <v>0</v>
      </c>
      <c r="L8" s="32">
        <v>0</v>
      </c>
      <c r="M8" s="31">
        <f t="shared" si="2"/>
        <v>0</v>
      </c>
      <c r="N8" s="33">
        <f t="shared" si="3"/>
        <v>0</v>
      </c>
      <c r="O8" s="31">
        <v>0</v>
      </c>
      <c r="P8" s="30">
        <f t="shared" si="4"/>
        <v>0</v>
      </c>
      <c r="Q8" s="32">
        <v>0</v>
      </c>
      <c r="R8" s="31">
        <f t="shared" si="7"/>
        <v>0</v>
      </c>
      <c r="S8" s="34">
        <f t="shared" si="8"/>
        <v>0</v>
      </c>
      <c r="T8" s="13"/>
      <c r="U8" s="13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11"/>
    </row>
    <row r="9" spans="1:40" ht="20.25" hidden="1">
      <c r="A9" t="str">
        <f>+B9&amp;C9</f>
        <v>Véhicules neufsMoto détail</v>
      </c>
      <c r="B9" s="11" t="str">
        <f t="shared" si="0"/>
        <v>Véhicules neufs</v>
      </c>
      <c r="C9" s="29" t="s">
        <v>18</v>
      </c>
      <c r="D9" s="30">
        <v>0</v>
      </c>
      <c r="E9" s="30">
        <f t="shared" si="5"/>
        <v>0</v>
      </c>
      <c r="F9" s="30">
        <v>0</v>
      </c>
      <c r="G9" s="31"/>
      <c r="H9" s="30"/>
      <c r="I9" s="30"/>
      <c r="J9" s="31">
        <v>0</v>
      </c>
      <c r="K9" s="30">
        <f t="shared" si="6"/>
        <v>0</v>
      </c>
      <c r="L9" s="32">
        <v>0</v>
      </c>
      <c r="M9" s="31">
        <f t="shared" si="2"/>
        <v>0</v>
      </c>
      <c r="N9" s="33">
        <f t="shared" si="3"/>
        <v>0</v>
      </c>
      <c r="O9" s="31">
        <v>0</v>
      </c>
      <c r="P9" s="30">
        <f t="shared" si="4"/>
        <v>0</v>
      </c>
      <c r="Q9" s="32">
        <v>0</v>
      </c>
      <c r="R9" s="31">
        <f t="shared" si="7"/>
        <v>0</v>
      </c>
      <c r="S9" s="34">
        <f t="shared" si="8"/>
        <v>0</v>
      </c>
      <c r="T9" s="13"/>
      <c r="U9" s="13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11"/>
    </row>
    <row r="10" spans="1:40" ht="20.25" hidden="1">
      <c r="A10" t="str">
        <f>+B10&amp;C10</f>
        <v>Véhicules neufs[...]</v>
      </c>
      <c r="B10" s="11" t="str">
        <f t="shared" si="0"/>
        <v>Véhicules neufs</v>
      </c>
      <c r="C10" s="29" t="s">
        <v>19</v>
      </c>
      <c r="D10" s="30">
        <v>0</v>
      </c>
      <c r="E10" s="30">
        <f t="shared" si="5"/>
        <v>0</v>
      </c>
      <c r="F10" s="30">
        <v>0</v>
      </c>
      <c r="G10" s="31"/>
      <c r="H10" s="30"/>
      <c r="I10" s="30"/>
      <c r="J10" s="31">
        <v>0</v>
      </c>
      <c r="K10" s="30">
        <f t="shared" si="6"/>
        <v>0</v>
      </c>
      <c r="L10" s="32">
        <v>0</v>
      </c>
      <c r="M10" s="31">
        <f t="shared" si="2"/>
        <v>0</v>
      </c>
      <c r="N10" s="33">
        <f t="shared" si="3"/>
        <v>0</v>
      </c>
      <c r="O10" s="31">
        <v>0</v>
      </c>
      <c r="P10" s="30">
        <f t="shared" si="4"/>
        <v>0</v>
      </c>
      <c r="Q10" s="32">
        <v>0</v>
      </c>
      <c r="R10" s="31">
        <f t="shared" si="7"/>
        <v>0</v>
      </c>
      <c r="S10" s="34">
        <f t="shared" si="8"/>
        <v>0</v>
      </c>
      <c r="T10" s="13"/>
      <c r="U10" s="13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1"/>
    </row>
    <row r="11" spans="1:40" ht="20.25" hidden="1">
      <c r="A11" t="str">
        <f>+B11&amp;C11</f>
        <v>Véhicules neufs[...]</v>
      </c>
      <c r="B11" s="11" t="str">
        <f t="shared" si="0"/>
        <v>Véhicules neufs</v>
      </c>
      <c r="C11" s="29" t="s">
        <v>19</v>
      </c>
      <c r="D11" s="30">
        <v>0</v>
      </c>
      <c r="E11" s="30">
        <f t="shared" si="5"/>
        <v>0</v>
      </c>
      <c r="F11" s="30">
        <v>0</v>
      </c>
      <c r="G11" s="31"/>
      <c r="H11" s="30"/>
      <c r="I11" s="30"/>
      <c r="J11" s="31">
        <v>0</v>
      </c>
      <c r="K11" s="30">
        <f t="shared" si="6"/>
        <v>0</v>
      </c>
      <c r="L11" s="32">
        <v>0</v>
      </c>
      <c r="M11" s="31">
        <f t="shared" si="2"/>
        <v>0</v>
      </c>
      <c r="N11" s="33">
        <f t="shared" si="3"/>
        <v>0</v>
      </c>
      <c r="O11" s="31">
        <v>0</v>
      </c>
      <c r="P11" s="30">
        <f t="shared" si="4"/>
        <v>0</v>
      </c>
      <c r="Q11" s="32">
        <v>0</v>
      </c>
      <c r="R11" s="31">
        <f t="shared" si="7"/>
        <v>0</v>
      </c>
      <c r="S11" s="34">
        <f t="shared" si="8"/>
        <v>0</v>
      </c>
      <c r="T11" s="13"/>
      <c r="U11" s="13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/>
    </row>
    <row r="12" spans="1:40" ht="20.25" hidden="1">
      <c r="A12" t="str">
        <f t="shared" ref="A12:A91" si="9">+B12&amp;C12</f>
        <v>Véhicules neufs[...]</v>
      </c>
      <c r="B12" s="11" t="str">
        <f t="shared" si="0"/>
        <v>Véhicules neufs</v>
      </c>
      <c r="C12" s="29" t="s">
        <v>19</v>
      </c>
      <c r="D12" s="30">
        <v>0</v>
      </c>
      <c r="E12" s="30">
        <f t="shared" si="5"/>
        <v>0</v>
      </c>
      <c r="F12" s="30">
        <v>0</v>
      </c>
      <c r="G12" s="31"/>
      <c r="H12" s="30"/>
      <c r="I12" s="30"/>
      <c r="J12" s="31">
        <v>0</v>
      </c>
      <c r="K12" s="30">
        <f t="shared" si="6"/>
        <v>0</v>
      </c>
      <c r="L12" s="32">
        <v>0</v>
      </c>
      <c r="M12" s="31">
        <f t="shared" si="2"/>
        <v>0</v>
      </c>
      <c r="N12" s="33">
        <f t="shared" si="3"/>
        <v>0</v>
      </c>
      <c r="O12" s="31">
        <v>0</v>
      </c>
      <c r="P12" s="30">
        <f t="shared" si="4"/>
        <v>0</v>
      </c>
      <c r="Q12" s="32">
        <v>0</v>
      </c>
      <c r="R12" s="31">
        <f t="shared" si="7"/>
        <v>0</v>
      </c>
      <c r="S12" s="34">
        <f t="shared" si="8"/>
        <v>0</v>
      </c>
      <c r="T12" s="13"/>
      <c r="U12" s="13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1"/>
      <c r="AM12" s="11"/>
      <c r="AN12" s="11"/>
    </row>
    <row r="13" spans="1:40" ht="20.25">
      <c r="A13" t="str">
        <f t="shared" si="9"/>
        <v>Véhicules neufsTotal Neufs</v>
      </c>
      <c r="B13" s="11" t="str">
        <f t="shared" si="0"/>
        <v>Véhicules neufs</v>
      </c>
      <c r="C13" s="35" t="s">
        <v>20</v>
      </c>
      <c r="D13" s="36">
        <f>+SUM(D6:D12)</f>
        <v>24</v>
      </c>
      <c r="E13" s="36">
        <f>IF(D13&lt;=0,0,F13/D13)</f>
        <v>5295.8667525141036</v>
      </c>
      <c r="F13" s="37">
        <f>+SUM(F6:F12)</f>
        <v>127100.80206033849</v>
      </c>
      <c r="G13" s="38"/>
      <c r="H13" s="36"/>
      <c r="I13" s="37"/>
      <c r="J13" s="38">
        <f>+SUM(J6:J12)</f>
        <v>22</v>
      </c>
      <c r="K13" s="36">
        <f>IF(J13&lt;=0,0,L13/J13)</f>
        <v>5207.1686363636318</v>
      </c>
      <c r="L13" s="37">
        <f>+SUM(L6:L12)</f>
        <v>114557.7099999999</v>
      </c>
      <c r="M13" s="38">
        <f>+SUM(M6:M12)</f>
        <v>-2</v>
      </c>
      <c r="N13" s="37">
        <f t="shared" ref="N13" si="10">+SUM(N6:N12)</f>
        <v>-12543.092060338582</v>
      </c>
      <c r="O13" s="38">
        <f>+SUM(O6:O12)</f>
        <v>24</v>
      </c>
      <c r="P13" s="36">
        <f>IF(O13&lt;=0,0,Q13/O13)</f>
        <v>6969.7529166666673</v>
      </c>
      <c r="Q13" s="37">
        <f t="shared" ref="Q13" si="11">+SUM(Q6:Q12)</f>
        <v>167274.07</v>
      </c>
      <c r="R13" s="38">
        <f>+SUM(R6:R12)</f>
        <v>-2</v>
      </c>
      <c r="S13" s="39">
        <f>+SUM(S6:S12)</f>
        <v>-52716.360000000088</v>
      </c>
      <c r="T13" s="13"/>
      <c r="U13" s="13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</row>
    <row r="14" spans="1:40" ht="20.25">
      <c r="A14" t="str">
        <f t="shared" si="9"/>
        <v>Véhicules neufs</v>
      </c>
      <c r="B14" s="11" t="str">
        <f t="shared" si="0"/>
        <v>Véhicules neufs</v>
      </c>
      <c r="C14" s="29"/>
      <c r="D14" s="13"/>
      <c r="E14" s="30"/>
      <c r="F14" s="40"/>
      <c r="G14" s="41"/>
      <c r="H14" s="30"/>
      <c r="I14" s="40"/>
      <c r="J14" s="41"/>
      <c r="K14" s="30"/>
      <c r="L14" s="40"/>
      <c r="M14" s="42">
        <f>IF(D13=0,0,M13/D13)</f>
        <v>-8.3333333333333329E-2</v>
      </c>
      <c r="N14" s="43">
        <f>IF(F13=0,0,N13/F13)</f>
        <v>-9.868617551590278E-2</v>
      </c>
      <c r="O14" s="41"/>
      <c r="P14" s="30"/>
      <c r="Q14" s="40"/>
      <c r="R14" s="42">
        <f>R13/O13</f>
        <v>-8.3333333333333329E-2</v>
      </c>
      <c r="S14" s="44">
        <f>IF(Q13=0,0,(S13/Q13))</f>
        <v>-0.31514962241308581</v>
      </c>
      <c r="T14" s="13"/>
      <c r="U14" s="13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</row>
    <row r="15" spans="1:40" ht="20.25">
      <c r="A15" t="str">
        <f t="shared" si="9"/>
        <v>Véhicules neufsEx-Démos et courtoisies</v>
      </c>
      <c r="B15" s="11" t="str">
        <f t="shared" si="0"/>
        <v>Véhicules neufs</v>
      </c>
      <c r="C15" s="45" t="s">
        <v>21</v>
      </c>
      <c r="D15" s="25">
        <v>2</v>
      </c>
      <c r="E15" s="25">
        <f>IF(D15=0,0,F15/D15)</f>
        <v>2500</v>
      </c>
      <c r="F15" s="22">
        <v>5000</v>
      </c>
      <c r="G15" s="46"/>
      <c r="H15" s="47"/>
      <c r="I15" s="48"/>
      <c r="J15" s="49">
        <v>7</v>
      </c>
      <c r="K15" s="50">
        <f>IF(J15=0,0,L15/J15)</f>
        <v>403.89428571427874</v>
      </c>
      <c r="L15" s="50">
        <v>2827.2599999999511</v>
      </c>
      <c r="M15" s="51">
        <f>J15-D15</f>
        <v>5</v>
      </c>
      <c r="N15" s="48">
        <f>L15-F15</f>
        <v>-2172.7400000000489</v>
      </c>
      <c r="O15" s="49">
        <v>0</v>
      </c>
      <c r="P15" s="50">
        <f>IF(O15=0,0,Q15/O15)</f>
        <v>0</v>
      </c>
      <c r="Q15" s="50">
        <v>-558.61</v>
      </c>
      <c r="R15" s="51">
        <f>J15-O15</f>
        <v>7</v>
      </c>
      <c r="S15" s="52">
        <f>L15-Q15</f>
        <v>3385.8699999999512</v>
      </c>
      <c r="T15" s="13"/>
      <c r="U15" s="13"/>
      <c r="V15" s="11"/>
      <c r="W15" s="458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1"/>
    </row>
    <row r="16" spans="1:40" ht="20.25">
      <c r="A16" t="str">
        <f t="shared" si="9"/>
        <v>Véhicules neufs</v>
      </c>
      <c r="B16" s="11" t="str">
        <f t="shared" si="0"/>
        <v>Véhicules neufs</v>
      </c>
      <c r="C16" s="29"/>
      <c r="D16" s="13"/>
      <c r="E16" s="30"/>
      <c r="F16" s="40"/>
      <c r="G16" s="41"/>
      <c r="H16" s="30"/>
      <c r="I16" s="40"/>
      <c r="J16" s="41"/>
      <c r="K16" s="30"/>
      <c r="L16" s="33"/>
      <c r="M16" s="42"/>
      <c r="N16" s="43"/>
      <c r="O16" s="41"/>
      <c r="P16" s="30"/>
      <c r="Q16" s="33"/>
      <c r="R16" s="42"/>
      <c r="S16" s="44"/>
      <c r="T16" s="13"/>
      <c r="U16" s="13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</row>
    <row r="17" spans="1:40" ht="20.25">
      <c r="A17" t="str">
        <f t="shared" si="9"/>
        <v>Véhicules neufsFlottes</v>
      </c>
      <c r="B17" s="11" t="str">
        <f t="shared" si="0"/>
        <v>Véhicules neufs</v>
      </c>
      <c r="C17" s="53" t="s">
        <v>22</v>
      </c>
      <c r="D17" s="30">
        <v>1</v>
      </c>
      <c r="E17" s="30">
        <f>IF(D17=0,0,F17/D17)</f>
        <v>2500</v>
      </c>
      <c r="F17" s="30">
        <v>2500</v>
      </c>
      <c r="G17" s="31"/>
      <c r="H17" s="30"/>
      <c r="I17" s="30"/>
      <c r="J17" s="51">
        <v>0</v>
      </c>
      <c r="K17" s="30">
        <f>IF(J17=0,0,L17/J17)</f>
        <v>0</v>
      </c>
      <c r="L17" s="33">
        <v>0</v>
      </c>
      <c r="M17" s="51">
        <f>J17-D17</f>
        <v>-1</v>
      </c>
      <c r="N17" s="33">
        <f>L17-F17</f>
        <v>-2500</v>
      </c>
      <c r="O17" s="51">
        <v>0</v>
      </c>
      <c r="P17" s="30">
        <f>IF(O17=0,0,Q17/O17)</f>
        <v>0</v>
      </c>
      <c r="Q17" s="33">
        <v>0</v>
      </c>
      <c r="R17" s="31">
        <f>J17-O17</f>
        <v>0</v>
      </c>
      <c r="S17" s="34">
        <f>L17-Q17</f>
        <v>0</v>
      </c>
      <c r="T17" s="13"/>
      <c r="U17" s="13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</row>
    <row r="18" spans="1:40" ht="20.25">
      <c r="A18" t="str">
        <f t="shared" si="9"/>
        <v>Véhicules neufs</v>
      </c>
      <c r="B18" s="11" t="str">
        <f t="shared" si="0"/>
        <v>Véhicules neufs</v>
      </c>
      <c r="C18" s="35"/>
      <c r="D18" s="54"/>
      <c r="E18" s="54"/>
      <c r="F18" s="55"/>
      <c r="G18" s="56"/>
      <c r="H18" s="54"/>
      <c r="I18" s="55"/>
      <c r="J18" s="31"/>
      <c r="K18" s="54"/>
      <c r="L18" s="55"/>
      <c r="M18" s="31"/>
      <c r="N18" s="55"/>
      <c r="O18" s="31"/>
      <c r="P18" s="54"/>
      <c r="Q18" s="55"/>
      <c r="R18" s="56"/>
      <c r="S18" s="57"/>
      <c r="T18" s="13"/>
      <c r="U18" s="13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</row>
    <row r="19" spans="1:40" ht="20.25">
      <c r="A19" t="str">
        <f t="shared" si="9"/>
        <v>Véhicules neufsRachat bail</v>
      </c>
      <c r="B19" s="11" t="str">
        <f t="shared" si="0"/>
        <v>Véhicules neufs</v>
      </c>
      <c r="C19" s="45" t="s">
        <v>23</v>
      </c>
      <c r="D19" s="30">
        <v>0</v>
      </c>
      <c r="E19" s="30">
        <f>IF(D19=0,0,F19/D19)</f>
        <v>0</v>
      </c>
      <c r="F19" s="30">
        <v>2093.1330449682027</v>
      </c>
      <c r="G19" s="31"/>
      <c r="H19" s="30"/>
      <c r="I19" s="30"/>
      <c r="J19" s="46"/>
      <c r="K19" s="30"/>
      <c r="L19" s="33">
        <v>2371.4000000000015</v>
      </c>
      <c r="M19" s="31"/>
      <c r="N19" s="33">
        <f>L19-F19</f>
        <v>278.26695503179872</v>
      </c>
      <c r="O19" s="46"/>
      <c r="P19" s="30"/>
      <c r="Q19" s="33">
        <v>3996</v>
      </c>
      <c r="R19" s="31">
        <f>O19-K19</f>
        <v>0</v>
      </c>
      <c r="S19" s="34">
        <f>L19-Q19</f>
        <v>-1624.5999999999985</v>
      </c>
      <c r="T19" s="13"/>
      <c r="U19" s="13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</row>
    <row r="20" spans="1:40" ht="20.25">
      <c r="A20" t="str">
        <f t="shared" si="9"/>
        <v>Véhicules neufs</v>
      </c>
      <c r="B20" s="11" t="str">
        <f t="shared" si="0"/>
        <v>Véhicules neufs</v>
      </c>
      <c r="C20" s="35"/>
      <c r="D20" s="54"/>
      <c r="E20" s="54"/>
      <c r="F20" s="55"/>
      <c r="G20" s="56"/>
      <c r="H20" s="54"/>
      <c r="I20" s="55"/>
      <c r="J20" s="31"/>
      <c r="K20" s="54"/>
      <c r="L20" s="55"/>
      <c r="M20" s="56"/>
      <c r="N20" s="55"/>
      <c r="O20" s="31"/>
      <c r="P20" s="54"/>
      <c r="Q20" s="55"/>
      <c r="R20" s="56"/>
      <c r="S20" s="57"/>
      <c r="T20" s="13"/>
      <c r="U20" s="13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</row>
    <row r="21" spans="1:40" ht="20.25">
      <c r="A21" t="str">
        <f t="shared" si="9"/>
        <v>Véhicules neufsRev. Finances</v>
      </c>
      <c r="B21" s="11" t="str">
        <f t="shared" si="0"/>
        <v>Véhicules neufs</v>
      </c>
      <c r="C21" s="29" t="s">
        <v>24</v>
      </c>
      <c r="D21" s="30">
        <v>0</v>
      </c>
      <c r="E21" s="30">
        <f>IF(D21=0,0,F21/D21)</f>
        <v>0</v>
      </c>
      <c r="F21" s="30">
        <v>2210</v>
      </c>
      <c r="G21" s="41"/>
      <c r="H21" s="30"/>
      <c r="I21" s="30"/>
      <c r="J21" s="31"/>
      <c r="K21" s="30">
        <f>IF(J13=0,0,L21/(J13+J15))</f>
        <v>5.1724137931034484</v>
      </c>
      <c r="L21" s="33">
        <v>150</v>
      </c>
      <c r="M21" s="31"/>
      <c r="N21" s="33">
        <f>L21-F21</f>
        <v>-2060</v>
      </c>
      <c r="O21" s="31"/>
      <c r="P21" s="30"/>
      <c r="Q21" s="33">
        <v>-100</v>
      </c>
      <c r="R21" s="31">
        <f>O21-K21</f>
        <v>-5.1724137931034484</v>
      </c>
      <c r="S21" s="34">
        <f>L21-Q21</f>
        <v>250</v>
      </c>
      <c r="T21" s="13"/>
      <c r="U21" s="13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1"/>
      <c r="AL21" s="11"/>
      <c r="AM21" s="11"/>
      <c r="AN21" s="11"/>
    </row>
    <row r="22" spans="1:40" ht="20.25">
      <c r="A22" t="str">
        <f t="shared" si="9"/>
        <v>Véhicules neufsRev. Protections</v>
      </c>
      <c r="B22" s="11" t="str">
        <f t="shared" si="0"/>
        <v>Véhicules neufs</v>
      </c>
      <c r="C22" s="29" t="s">
        <v>25</v>
      </c>
      <c r="D22" s="30">
        <v>0</v>
      </c>
      <c r="E22" s="30">
        <f>IF(D22=0,0,F22/D22)</f>
        <v>0</v>
      </c>
      <c r="F22" s="30">
        <v>26520</v>
      </c>
      <c r="G22" s="41"/>
      <c r="H22" s="30"/>
      <c r="I22" s="30"/>
      <c r="J22" s="31"/>
      <c r="K22" s="30">
        <f>IF(J13=0,0,L22/(J13+J15))</f>
        <v>1040.6896551724137</v>
      </c>
      <c r="L22" s="33">
        <v>30180</v>
      </c>
      <c r="M22" s="31"/>
      <c r="N22" s="33">
        <f>L22-F22</f>
        <v>3660</v>
      </c>
      <c r="O22" s="31"/>
      <c r="P22" s="30"/>
      <c r="Q22" s="33">
        <v>12140</v>
      </c>
      <c r="R22" s="31">
        <f>O22-K22</f>
        <v>-1040.6896551724137</v>
      </c>
      <c r="S22" s="34">
        <f>L22-Q22</f>
        <v>18040</v>
      </c>
      <c r="T22" s="13"/>
      <c r="U22" s="13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  <c r="AI22" s="11"/>
      <c r="AJ22" s="11"/>
      <c r="AK22" s="11"/>
      <c r="AL22" s="11"/>
      <c r="AM22" s="11"/>
      <c r="AN22" s="11"/>
    </row>
    <row r="23" spans="1:40" ht="20.25">
      <c r="A23" t="str">
        <f t="shared" si="9"/>
        <v>Véhicules neufsRev. Autres</v>
      </c>
      <c r="B23" s="11" t="str">
        <f t="shared" si="0"/>
        <v>Véhicules neufs</v>
      </c>
      <c r="C23" s="29" t="s">
        <v>26</v>
      </c>
      <c r="D23" s="30">
        <v>0</v>
      </c>
      <c r="E23" s="30">
        <f>IF(D23=0,0,F23/D23)</f>
        <v>0</v>
      </c>
      <c r="F23" s="30">
        <v>12870</v>
      </c>
      <c r="G23" s="41"/>
      <c r="H23" s="30"/>
      <c r="I23" s="30"/>
      <c r="J23" s="31"/>
      <c r="K23" s="30">
        <f>IF(J13=0,0,L23/(J13+J15))</f>
        <v>564.99620689655171</v>
      </c>
      <c r="L23" s="33">
        <v>16384.89</v>
      </c>
      <c r="M23" s="51"/>
      <c r="N23" s="33">
        <f>L23-F23</f>
        <v>3514.8899999999994</v>
      </c>
      <c r="O23" s="31"/>
      <c r="P23" s="30"/>
      <c r="Q23" s="33">
        <v>9868</v>
      </c>
      <c r="R23" s="31">
        <f>O23-K23</f>
        <v>-564.99620689655171</v>
      </c>
      <c r="S23" s="34">
        <f>L23-Q23</f>
        <v>6516.8899999999994</v>
      </c>
      <c r="T23" s="13"/>
      <c r="U23" s="13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11"/>
      <c r="AL23" s="11"/>
      <c r="AM23" s="11"/>
      <c r="AN23" s="11"/>
    </row>
    <row r="24" spans="1:40" ht="20.25">
      <c r="A24" t="str">
        <f t="shared" si="9"/>
        <v>Véhicules neufsTotal F&amp;I</v>
      </c>
      <c r="B24" s="11" t="str">
        <f t="shared" si="0"/>
        <v>Véhicules neufs</v>
      </c>
      <c r="C24" s="35" t="s">
        <v>27</v>
      </c>
      <c r="D24" s="36">
        <f>+D15+D13</f>
        <v>26</v>
      </c>
      <c r="E24" s="36">
        <f>IF(D24&lt;=0,0,F24/D24)</f>
        <v>1600</v>
      </c>
      <c r="F24" s="37">
        <f>F21+F22+F23</f>
        <v>41600</v>
      </c>
      <c r="G24" s="38"/>
      <c r="H24" s="36"/>
      <c r="I24" s="37"/>
      <c r="J24" s="38">
        <f>+J15+J13</f>
        <v>29</v>
      </c>
      <c r="K24" s="36">
        <f>IF(J24&lt;=0,0,L24/J24)</f>
        <v>1610.8582758620689</v>
      </c>
      <c r="L24" s="37">
        <f>L21+L22+L23</f>
        <v>46714.89</v>
      </c>
      <c r="M24" s="58">
        <f>J24-D24</f>
        <v>3</v>
      </c>
      <c r="N24" s="37">
        <f>L24-F24</f>
        <v>5114.8899999999994</v>
      </c>
      <c r="O24" s="38">
        <f>+O15+O13</f>
        <v>24</v>
      </c>
      <c r="P24" s="36">
        <f>IF(O24&lt;=0,0,Q24/O24)</f>
        <v>912.83333333333337</v>
      </c>
      <c r="Q24" s="37">
        <f>Q21+Q22+Q23</f>
        <v>21908</v>
      </c>
      <c r="R24" s="56"/>
      <c r="S24" s="39">
        <f>L24-Q24</f>
        <v>24806.89</v>
      </c>
      <c r="T24" s="13"/>
      <c r="U24" s="13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11"/>
      <c r="AL24" s="11"/>
      <c r="AM24" s="11"/>
      <c r="AN24" s="11"/>
    </row>
    <row r="25" spans="1:40" ht="20.25">
      <c r="A25" t="str">
        <f t="shared" si="9"/>
        <v>Véhicules neufs</v>
      </c>
      <c r="B25" s="11" t="str">
        <f t="shared" si="0"/>
        <v>Véhicules neufs</v>
      </c>
      <c r="C25" s="29"/>
      <c r="D25" s="13"/>
      <c r="E25" s="13"/>
      <c r="F25" s="59"/>
      <c r="G25" s="41"/>
      <c r="H25" s="13"/>
      <c r="I25" s="59"/>
      <c r="J25" s="41"/>
      <c r="K25" s="13"/>
      <c r="L25" s="59"/>
      <c r="M25" s="42"/>
      <c r="N25" s="43">
        <f>IF(N24=0,0,N24/F24)</f>
        <v>0.12295408653846153</v>
      </c>
      <c r="O25" s="41"/>
      <c r="P25" s="13"/>
      <c r="Q25" s="59"/>
      <c r="R25" s="60"/>
      <c r="S25" s="44">
        <f>IF(Q24=0,0,(S24/Q24))</f>
        <v>1.1323210699287931</v>
      </c>
      <c r="T25" s="13"/>
      <c r="U25" s="13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11"/>
      <c r="AL25" s="11"/>
      <c r="AM25" s="11"/>
      <c r="AN25" s="11"/>
    </row>
    <row r="26" spans="1:40" ht="21" thickBot="1">
      <c r="A26" t="str">
        <f t="shared" si="9"/>
        <v>Véhicules neufs</v>
      </c>
      <c r="B26" s="11" t="str">
        <f t="shared" si="0"/>
        <v>Véhicules neufs</v>
      </c>
      <c r="C26" s="29"/>
      <c r="D26" s="13"/>
      <c r="E26" s="13"/>
      <c r="F26" s="40"/>
      <c r="G26" s="41"/>
      <c r="H26" s="13"/>
      <c r="I26" s="40"/>
      <c r="J26" s="41"/>
      <c r="K26" s="13"/>
      <c r="L26" s="40"/>
      <c r="M26" s="41"/>
      <c r="N26" s="40"/>
      <c r="O26" s="41"/>
      <c r="P26" s="13"/>
      <c r="Q26" s="40"/>
      <c r="R26" s="41"/>
      <c r="S26" s="61"/>
      <c r="T26" s="13"/>
      <c r="U26" s="13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11"/>
      <c r="AL26" s="11"/>
      <c r="AM26" s="11"/>
      <c r="AN26" s="11"/>
    </row>
    <row r="27" spans="1:40" ht="21" thickTop="1">
      <c r="A27" t="str">
        <f t="shared" si="9"/>
        <v>Véhicules neufsTotal Dépt. Neufs</v>
      </c>
      <c r="B27" s="11" t="str">
        <f t="shared" si="0"/>
        <v>Véhicules neufs</v>
      </c>
      <c r="C27" s="62" t="s">
        <v>28</v>
      </c>
      <c r="D27" s="63">
        <f>+D13+D15+D17</f>
        <v>27</v>
      </c>
      <c r="E27" s="64">
        <f>IF(D27&lt;=0,0,F27/D27)</f>
        <v>6603.4790779743225</v>
      </c>
      <c r="F27" s="65">
        <f>F13+F17+F24+F19+F15</f>
        <v>178293.93510530671</v>
      </c>
      <c r="G27" s="66"/>
      <c r="H27" s="67"/>
      <c r="I27" s="65"/>
      <c r="J27" s="66">
        <f>+J13+J15+J17</f>
        <v>29</v>
      </c>
      <c r="K27" s="67">
        <f>IF(J27&lt;=0,0,L27/J27)</f>
        <v>5740.3882758620639</v>
      </c>
      <c r="L27" s="65">
        <f>L13+L17+L24+L19+L15</f>
        <v>166471.25999999986</v>
      </c>
      <c r="M27" s="66">
        <f>J27-D27</f>
        <v>2</v>
      </c>
      <c r="N27" s="65">
        <f>L27-F27</f>
        <v>-11822.675105306844</v>
      </c>
      <c r="O27" s="66">
        <f>+O13+O15+O17</f>
        <v>24</v>
      </c>
      <c r="P27" s="67">
        <f>IF(O27&lt;=0,0,Q27/O27)</f>
        <v>8025.8108333333339</v>
      </c>
      <c r="Q27" s="65">
        <f>Q13+Q17+Q24+Q19+Q15</f>
        <v>192619.46000000002</v>
      </c>
      <c r="R27" s="66">
        <f>J27-O27</f>
        <v>5</v>
      </c>
      <c r="S27" s="68">
        <f>L27-Q27</f>
        <v>-26148.200000000157</v>
      </c>
      <c r="T27" s="13"/>
      <c r="U27" s="13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11"/>
      <c r="AL27" s="11"/>
      <c r="AM27" s="11"/>
      <c r="AN27" s="11"/>
    </row>
    <row r="28" spans="1:40" ht="21" thickBot="1">
      <c r="A28" t="str">
        <f t="shared" si="9"/>
        <v>Véhicules neufs</v>
      </c>
      <c r="B28" s="11" t="str">
        <f t="shared" si="0"/>
        <v>Véhicules neufs</v>
      </c>
      <c r="C28" s="69"/>
      <c r="D28" s="70"/>
      <c r="E28" s="70"/>
      <c r="F28" s="71"/>
      <c r="G28" s="72"/>
      <c r="H28" s="70"/>
      <c r="I28" s="71"/>
      <c r="J28" s="72"/>
      <c r="K28" s="70"/>
      <c r="L28" s="71"/>
      <c r="M28" s="73">
        <f>M27/D27</f>
        <v>7.407407407407407E-2</v>
      </c>
      <c r="N28" s="74">
        <f>N27/F27</f>
        <v>-6.6310023940657062E-2</v>
      </c>
      <c r="O28" s="72"/>
      <c r="P28" s="70"/>
      <c r="Q28" s="71"/>
      <c r="R28" s="73">
        <f>R27/O27</f>
        <v>0.20833333333333334</v>
      </c>
      <c r="S28" s="75">
        <f>IF(Q27=0,0,S27/Q27)</f>
        <v>-0.13575056227444596</v>
      </c>
      <c r="T28" s="13"/>
      <c r="U28" s="13"/>
      <c r="V28" s="11"/>
      <c r="W28" s="11"/>
      <c r="X28" s="11"/>
      <c r="Y28" s="11"/>
      <c r="Z28" s="11"/>
      <c r="AA28" s="11"/>
      <c r="AB28" s="11"/>
      <c r="AC28" s="11"/>
      <c r="AD28" s="11"/>
      <c r="AE28" s="11"/>
      <c r="AF28" s="11"/>
      <c r="AG28" s="11"/>
      <c r="AH28" s="11"/>
      <c r="AI28" s="11"/>
      <c r="AJ28" s="11"/>
      <c r="AK28" s="11"/>
      <c r="AL28" s="11"/>
      <c r="AM28" s="11"/>
      <c r="AN28" s="11"/>
    </row>
    <row r="29" spans="1:40" ht="21" thickTop="1">
      <c r="A29" t="str">
        <f t="shared" si="9"/>
        <v>Véhicules neufs</v>
      </c>
      <c r="B29" s="11" t="str">
        <f t="shared" si="0"/>
        <v>Véhicules neufs</v>
      </c>
      <c r="C29" s="53"/>
      <c r="D29" s="76"/>
      <c r="E29" s="76"/>
      <c r="F29" s="77"/>
      <c r="G29" s="78"/>
      <c r="H29" s="76"/>
      <c r="I29" s="77"/>
      <c r="J29" s="78"/>
      <c r="K29" s="76"/>
      <c r="L29" s="77"/>
      <c r="M29" s="42"/>
      <c r="N29" s="43"/>
      <c r="O29" s="78"/>
      <c r="P29" s="76"/>
      <c r="Q29" s="77"/>
      <c r="R29" s="42"/>
      <c r="S29" s="44"/>
      <c r="T29" s="13"/>
      <c r="U29" s="13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  <c r="AI29" s="11"/>
      <c r="AJ29" s="11"/>
      <c r="AK29" s="11"/>
      <c r="AL29" s="11"/>
      <c r="AM29" s="11"/>
      <c r="AN29" s="11"/>
    </row>
    <row r="30" spans="1:40" ht="20.25">
      <c r="A30" t="str">
        <f t="shared" si="9"/>
        <v>Véhicules neufsDEPENSES</v>
      </c>
      <c r="B30" s="11" t="str">
        <f t="shared" si="0"/>
        <v>Véhicules neufs</v>
      </c>
      <c r="C30" s="79" t="s">
        <v>29</v>
      </c>
      <c r="D30" s="13"/>
      <c r="E30" s="80"/>
      <c r="F30" s="59"/>
      <c r="G30" s="41"/>
      <c r="H30" s="80"/>
      <c r="I30" s="59"/>
      <c r="J30" s="41"/>
      <c r="K30" s="80"/>
      <c r="L30" s="40"/>
      <c r="M30" s="41"/>
      <c r="N30" s="40"/>
      <c r="O30" s="41"/>
      <c r="P30" s="80"/>
      <c r="Q30" s="40"/>
      <c r="R30" s="41"/>
      <c r="S30" s="61"/>
      <c r="T30" s="13"/>
      <c r="U30" s="13"/>
      <c r="V30" s="11"/>
      <c r="W30" s="11"/>
      <c r="X30" s="11"/>
      <c r="Y30" s="11"/>
      <c r="Z30" s="11"/>
      <c r="AA30" s="11"/>
      <c r="AB30" s="11"/>
      <c r="AC30" s="11"/>
      <c r="AD30" s="11"/>
      <c r="AE30" s="11"/>
      <c r="AF30" s="11"/>
      <c r="AG30" s="11"/>
      <c r="AH30" s="11"/>
      <c r="AI30" s="11"/>
      <c r="AJ30" s="11"/>
      <c r="AK30" s="11"/>
      <c r="AL30" s="11"/>
      <c r="AM30" s="11"/>
      <c r="AN30" s="11"/>
    </row>
    <row r="31" spans="1:40" ht="20.25">
      <c r="A31" t="str">
        <f t="shared" si="9"/>
        <v>Véhicules neufsComm. vendeurs</v>
      </c>
      <c r="B31" s="11" t="str">
        <f t="shared" si="0"/>
        <v>Véhicules neufs</v>
      </c>
      <c r="C31" s="29" t="s">
        <v>30</v>
      </c>
      <c r="D31" s="148">
        <f>F31/(F13+F15)</f>
        <v>0.28939000752480071</v>
      </c>
      <c r="E31" s="82">
        <f t="shared" ref="E31:E36" si="12">F31/D$24</f>
        <v>1470.3327731643681</v>
      </c>
      <c r="F31" s="30">
        <v>38228.652102273569</v>
      </c>
      <c r="G31" s="157"/>
      <c r="H31" s="82"/>
      <c r="I31" s="30"/>
      <c r="J31" s="157">
        <f>L31/(L13+L15)</f>
        <v>0.28573266236725231</v>
      </c>
      <c r="K31" s="82">
        <f t="shared" ref="K31:K36" si="13">IF(L31=0,0,L31/J$24)</f>
        <v>1156.576551724138</v>
      </c>
      <c r="L31" s="30">
        <v>33540.720000000001</v>
      </c>
      <c r="M31" s="41"/>
      <c r="N31" s="59">
        <f t="shared" ref="N31:N53" si="14">L31-F31</f>
        <v>-4687.9321022735676</v>
      </c>
      <c r="O31" s="157">
        <f>Q31/(Q13+Q15+Q17)</f>
        <v>0.23023089760241791</v>
      </c>
      <c r="P31" s="82">
        <f t="shared" ref="P31:P40" si="15">Q31/O$24</f>
        <v>1599.29375</v>
      </c>
      <c r="Q31" s="33">
        <v>38383.050000000003</v>
      </c>
      <c r="R31" s="41"/>
      <c r="S31" s="85">
        <f t="shared" ref="S31:S41" si="16">L31-Q31</f>
        <v>-4842.3300000000017</v>
      </c>
      <c r="T31" s="13"/>
      <c r="U31" s="13"/>
      <c r="V31" s="11" t="s">
        <v>267</v>
      </c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11"/>
      <c r="AI31" s="11"/>
      <c r="AJ31" s="11"/>
      <c r="AK31" s="11"/>
      <c r="AL31" s="11"/>
      <c r="AM31" s="11"/>
      <c r="AN31" s="11"/>
    </row>
    <row r="32" spans="1:40" ht="20.25">
      <c r="A32" t="str">
        <f t="shared" si="9"/>
        <v>Véhicules neufsComm. F&amp;I</v>
      </c>
      <c r="B32" s="11" t="str">
        <f t="shared" si="0"/>
        <v>Véhicules neufs</v>
      </c>
      <c r="C32" s="86" t="s">
        <v>31</v>
      </c>
      <c r="D32" s="218">
        <f>F32/F24</f>
        <v>0.25</v>
      </c>
      <c r="E32" s="88">
        <f t="shared" si="12"/>
        <v>400</v>
      </c>
      <c r="F32" s="22">
        <v>10400</v>
      </c>
      <c r="G32" s="162"/>
      <c r="H32" s="90"/>
      <c r="I32" s="22"/>
      <c r="J32" s="162">
        <f>L32/L24</f>
        <v>0.36937387629511703</v>
      </c>
      <c r="K32" s="88">
        <f t="shared" si="13"/>
        <v>595.00896551724134</v>
      </c>
      <c r="L32" s="22">
        <v>17255.259999999998</v>
      </c>
      <c r="M32" s="23"/>
      <c r="N32" s="91">
        <f t="shared" si="14"/>
        <v>6855.2599999999984</v>
      </c>
      <c r="O32" s="162">
        <f>Q32/Q24</f>
        <v>0.25</v>
      </c>
      <c r="P32" s="88">
        <f t="shared" si="15"/>
        <v>228.20833333333334</v>
      </c>
      <c r="Q32" s="22">
        <v>5477</v>
      </c>
      <c r="R32" s="23"/>
      <c r="S32" s="92">
        <f t="shared" si="16"/>
        <v>11778.259999999998</v>
      </c>
      <c r="T32" s="13"/>
      <c r="U32" s="13"/>
      <c r="V32" s="11" t="s">
        <v>268</v>
      </c>
      <c r="W32" s="11"/>
      <c r="X32" s="11"/>
      <c r="Y32" s="11"/>
      <c r="Z32" s="11"/>
      <c r="AA32" s="11"/>
      <c r="AB32" s="11"/>
      <c r="AC32" s="11"/>
      <c r="AD32" s="11"/>
      <c r="AE32" s="11"/>
      <c r="AF32" s="11"/>
      <c r="AG32" s="11"/>
      <c r="AH32" s="11"/>
      <c r="AI32" s="11"/>
      <c r="AJ32" s="11"/>
      <c r="AK32" s="11"/>
      <c r="AL32" s="11"/>
      <c r="AM32" s="11"/>
      <c r="AN32" s="11"/>
    </row>
    <row r="33" spans="1:40" ht="20.25">
      <c r="A33" t="str">
        <f t="shared" si="9"/>
        <v>Véhicules neufsFrais de livraison</v>
      </c>
      <c r="B33" s="11" t="str">
        <f t="shared" si="0"/>
        <v>Véhicules neufs</v>
      </c>
      <c r="C33" s="29" t="s">
        <v>32</v>
      </c>
      <c r="D33" s="81"/>
      <c r="E33" s="82">
        <f t="shared" si="12"/>
        <v>100</v>
      </c>
      <c r="F33" s="30">
        <v>2600</v>
      </c>
      <c r="G33" s="83"/>
      <c r="H33" s="82"/>
      <c r="I33" s="30"/>
      <c r="J33" s="41"/>
      <c r="K33" s="82">
        <f t="shared" si="13"/>
        <v>128.05551724137931</v>
      </c>
      <c r="L33" s="30">
        <v>3713.61</v>
      </c>
      <c r="M33" s="41"/>
      <c r="N33" s="59">
        <f t="shared" si="14"/>
        <v>1113.6100000000001</v>
      </c>
      <c r="O33" s="41"/>
      <c r="P33" s="82">
        <f t="shared" si="15"/>
        <v>142.46208333333334</v>
      </c>
      <c r="Q33" s="33">
        <v>3419.09</v>
      </c>
      <c r="R33" s="41"/>
      <c r="S33" s="85">
        <f t="shared" si="16"/>
        <v>294.52</v>
      </c>
      <c r="T33" s="13"/>
      <c r="U33" s="13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11"/>
      <c r="AI33" s="11"/>
      <c r="AJ33" s="11"/>
      <c r="AK33" s="11"/>
      <c r="AL33" s="11"/>
      <c r="AM33" s="11"/>
      <c r="AN33" s="11"/>
    </row>
    <row r="34" spans="1:40" ht="20.25">
      <c r="A34" t="str">
        <f t="shared" si="9"/>
        <v>Véhicules neufsService gratuit 1</v>
      </c>
      <c r="B34" s="11" t="str">
        <f t="shared" si="0"/>
        <v>Véhicules neufs</v>
      </c>
      <c r="C34" s="29" t="s">
        <v>33</v>
      </c>
      <c r="D34" s="81"/>
      <c r="E34" s="82">
        <f t="shared" si="12"/>
        <v>45</v>
      </c>
      <c r="F34" s="30">
        <v>1170</v>
      </c>
      <c r="G34" s="83"/>
      <c r="H34" s="82"/>
      <c r="I34" s="30"/>
      <c r="J34" s="41"/>
      <c r="K34" s="82">
        <f t="shared" si="13"/>
        <v>73.190344827586202</v>
      </c>
      <c r="L34" s="30">
        <v>2122.52</v>
      </c>
      <c r="M34" s="41"/>
      <c r="N34" s="59">
        <f t="shared" si="14"/>
        <v>952.52</v>
      </c>
      <c r="O34" s="41"/>
      <c r="P34" s="82">
        <f t="shared" si="15"/>
        <v>36.604999999999997</v>
      </c>
      <c r="Q34" s="33">
        <v>878.52</v>
      </c>
      <c r="R34" s="41"/>
      <c r="S34" s="85">
        <f t="shared" si="16"/>
        <v>1244</v>
      </c>
      <c r="T34" s="13"/>
      <c r="U34" s="13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1"/>
      <c r="AM34" s="11"/>
      <c r="AN34" s="11"/>
    </row>
    <row r="35" spans="1:40" ht="20.25">
      <c r="A35" t="str">
        <f t="shared" si="9"/>
        <v>Véhicules neufsEntretien stock</v>
      </c>
      <c r="B35" s="11" t="str">
        <f t="shared" si="0"/>
        <v>Véhicules neufs</v>
      </c>
      <c r="C35" s="86" t="s">
        <v>34</v>
      </c>
      <c r="D35" s="87"/>
      <c r="E35" s="88">
        <f t="shared" si="12"/>
        <v>45.769230769230766</v>
      </c>
      <c r="F35" s="22">
        <v>1190</v>
      </c>
      <c r="G35" s="89"/>
      <c r="H35" s="90"/>
      <c r="I35" s="22"/>
      <c r="J35" s="23"/>
      <c r="K35" s="88">
        <f t="shared" si="13"/>
        <v>60.215862068965514</v>
      </c>
      <c r="L35" s="22">
        <v>1746.26</v>
      </c>
      <c r="M35" s="23"/>
      <c r="N35" s="91">
        <f t="shared" si="14"/>
        <v>556.26</v>
      </c>
      <c r="O35" s="23"/>
      <c r="P35" s="88">
        <f t="shared" si="15"/>
        <v>52.96875</v>
      </c>
      <c r="Q35" s="33">
        <v>1271.25</v>
      </c>
      <c r="R35" s="23"/>
      <c r="S35" s="92">
        <f t="shared" si="16"/>
        <v>475.01</v>
      </c>
      <c r="T35" s="13"/>
      <c r="U35" s="13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11"/>
    </row>
    <row r="36" spans="1:40" ht="20.25">
      <c r="A36" t="str">
        <f t="shared" si="9"/>
        <v>Véhicules neufsPublicité 1</v>
      </c>
      <c r="B36" s="11" t="str">
        <f t="shared" si="0"/>
        <v>Véhicules neufs</v>
      </c>
      <c r="C36" s="29" t="s">
        <v>35</v>
      </c>
      <c r="D36" s="81"/>
      <c r="E36" s="82">
        <f t="shared" si="12"/>
        <v>496.609375</v>
      </c>
      <c r="F36" s="30">
        <v>12911.84375</v>
      </c>
      <c r="G36" s="83"/>
      <c r="H36" s="82"/>
      <c r="I36" s="30"/>
      <c r="J36" s="41"/>
      <c r="K36" s="82">
        <f t="shared" si="13"/>
        <v>712.53413793103459</v>
      </c>
      <c r="L36" s="459">
        <v>20663.490000000002</v>
      </c>
      <c r="M36" s="13"/>
      <c r="N36" s="59">
        <f t="shared" si="14"/>
        <v>7751.6462500000016</v>
      </c>
      <c r="O36" s="41"/>
      <c r="P36" s="82">
        <f t="shared" si="15"/>
        <v>444.47583333333336</v>
      </c>
      <c r="Q36" s="55">
        <v>10667.42</v>
      </c>
      <c r="R36" s="41"/>
      <c r="S36" s="85">
        <f t="shared" si="16"/>
        <v>9996.0700000000015</v>
      </c>
      <c r="T36" s="13"/>
      <c r="U36" s="13"/>
      <c r="V36" s="11" t="s">
        <v>269</v>
      </c>
      <c r="W36" s="11" t="s">
        <v>270</v>
      </c>
      <c r="X36" s="458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1"/>
    </row>
    <row r="37" spans="1:40" ht="20.25">
      <c r="A37" t="str">
        <f>+B37&amp;C37</f>
        <v>Véhicules neufsIntérêt de gros</v>
      </c>
      <c r="B37" s="11" t="str">
        <f t="shared" si="0"/>
        <v>Véhicules neufs</v>
      </c>
      <c r="C37" s="29" t="s">
        <v>36</v>
      </c>
      <c r="D37" s="81"/>
      <c r="E37" s="82">
        <f>F37/D$24</f>
        <v>1035.4638810747895</v>
      </c>
      <c r="F37" s="30">
        <v>26922.060907944528</v>
      </c>
      <c r="G37" s="83"/>
      <c r="H37" s="82"/>
      <c r="I37" s="30"/>
      <c r="J37" s="41"/>
      <c r="K37" s="82">
        <f>IF(L37=0,0,L37/J$24)</f>
        <v>721.52344827586205</v>
      </c>
      <c r="L37" s="460">
        <v>20924.18</v>
      </c>
      <c r="M37" s="13"/>
      <c r="N37" s="59">
        <f t="shared" si="14"/>
        <v>-5997.8809079445273</v>
      </c>
      <c r="O37" s="41"/>
      <c r="P37" s="82">
        <f t="shared" si="15"/>
        <v>711.69708333333335</v>
      </c>
      <c r="Q37" s="33">
        <v>17080.73</v>
      </c>
      <c r="R37" s="41"/>
      <c r="S37" s="85">
        <f>L37-Q37</f>
        <v>3843.4500000000007</v>
      </c>
      <c r="T37" s="13"/>
      <c r="U37" s="13"/>
      <c r="V37" s="458">
        <v>20924</v>
      </c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1"/>
    </row>
    <row r="38" spans="1:40" ht="20.25" hidden="1">
      <c r="A38" t="str">
        <f>+B38&amp;C38</f>
        <v>Véhicules neufs[...]</v>
      </c>
      <c r="B38" s="11" t="str">
        <f t="shared" si="0"/>
        <v>Véhicules neufs</v>
      </c>
      <c r="C38" s="29" t="s">
        <v>19</v>
      </c>
      <c r="D38" s="81"/>
      <c r="E38" s="82">
        <f>F38/D$24</f>
        <v>0</v>
      </c>
      <c r="F38" s="30">
        <v>0</v>
      </c>
      <c r="G38" s="83"/>
      <c r="H38" s="82"/>
      <c r="I38" s="30"/>
      <c r="J38" s="41"/>
      <c r="K38" s="82">
        <f>IF(L38=0,0,L38/J$24)</f>
        <v>0</v>
      </c>
      <c r="L38" s="460">
        <v>0</v>
      </c>
      <c r="M38" s="13"/>
      <c r="N38" s="59">
        <f t="shared" si="14"/>
        <v>0</v>
      </c>
      <c r="O38" s="41"/>
      <c r="P38" s="82">
        <f t="shared" si="15"/>
        <v>0</v>
      </c>
      <c r="Q38" s="33">
        <v>0</v>
      </c>
      <c r="R38" s="41"/>
      <c r="S38" s="85">
        <f>L38-Q38</f>
        <v>0</v>
      </c>
      <c r="T38" s="13"/>
      <c r="U38" s="13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AL38" s="11"/>
      <c r="AM38" s="11"/>
      <c r="AN38" s="11"/>
    </row>
    <row r="39" spans="1:40" ht="20.25" hidden="1">
      <c r="A39" t="str">
        <f>+B39&amp;C39</f>
        <v>Véhicules neufs[...]</v>
      </c>
      <c r="B39" s="11" t="str">
        <f t="shared" si="0"/>
        <v>Véhicules neufs</v>
      </c>
      <c r="C39" s="29" t="s">
        <v>19</v>
      </c>
      <c r="D39" s="81"/>
      <c r="E39" s="82">
        <f>F39/D$24</f>
        <v>0</v>
      </c>
      <c r="F39" s="30">
        <v>0</v>
      </c>
      <c r="G39" s="83"/>
      <c r="H39" s="82"/>
      <c r="I39" s="30"/>
      <c r="J39" s="41"/>
      <c r="K39" s="82">
        <f>IF(L39=0,0,L39/J$24)</f>
        <v>0</v>
      </c>
      <c r="L39" s="460">
        <v>0</v>
      </c>
      <c r="M39" s="13"/>
      <c r="N39" s="59">
        <f t="shared" si="14"/>
        <v>0</v>
      </c>
      <c r="O39" s="41"/>
      <c r="P39" s="82">
        <f t="shared" si="15"/>
        <v>0</v>
      </c>
      <c r="Q39" s="33">
        <v>0</v>
      </c>
      <c r="R39" s="41"/>
      <c r="S39" s="85">
        <f>L39-Q39</f>
        <v>0</v>
      </c>
      <c r="T39" s="13"/>
      <c r="U39" s="13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11"/>
    </row>
    <row r="40" spans="1:40" ht="20.25" hidden="1">
      <c r="A40" t="str">
        <f t="shared" ref="A40:A119" si="17">+B40&amp;C40</f>
        <v>Véhicules neufs[...]</v>
      </c>
      <c r="B40" s="11" t="str">
        <f t="shared" si="0"/>
        <v>Véhicules neufs</v>
      </c>
      <c r="C40" s="29" t="s">
        <v>19</v>
      </c>
      <c r="D40" s="81"/>
      <c r="E40" s="82">
        <f>F40/D$24</f>
        <v>0</v>
      </c>
      <c r="F40" s="30">
        <v>0</v>
      </c>
      <c r="G40" s="83"/>
      <c r="H40" s="82"/>
      <c r="I40" s="30"/>
      <c r="J40" s="41"/>
      <c r="K40" s="82">
        <f>IF(L40=0,0,L40/J$24)</f>
        <v>0</v>
      </c>
      <c r="L40" s="461">
        <v>0</v>
      </c>
      <c r="M40" s="13"/>
      <c r="N40" s="59">
        <f t="shared" si="14"/>
        <v>0</v>
      </c>
      <c r="O40" s="41"/>
      <c r="P40" s="82">
        <f t="shared" si="15"/>
        <v>0</v>
      </c>
      <c r="Q40" s="33">
        <v>0</v>
      </c>
      <c r="R40" s="41"/>
      <c r="S40" s="85">
        <f>L40-Q40</f>
        <v>0</v>
      </c>
      <c r="T40" s="13"/>
      <c r="U40" s="13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11"/>
      <c r="AJ40" s="11"/>
      <c r="AK40" s="11"/>
      <c r="AL40" s="11"/>
      <c r="AM40" s="11"/>
      <c r="AN40" s="11"/>
    </row>
    <row r="41" spans="1:40" ht="20.25">
      <c r="A41" t="str">
        <f t="shared" si="17"/>
        <v>Véhicules neufsTOTAL VARIABLES</v>
      </c>
      <c r="B41" s="11" t="str">
        <f t="shared" si="0"/>
        <v>Véhicules neufs</v>
      </c>
      <c r="C41" s="93" t="s">
        <v>37</v>
      </c>
      <c r="D41" s="94" t="s">
        <v>38</v>
      </c>
      <c r="E41" s="95">
        <f>F41/F$27</f>
        <v>0.52398056448212571</v>
      </c>
      <c r="F41" s="96">
        <f>SUM(F31:F40)</f>
        <v>93422.556760218096</v>
      </c>
      <c r="G41" s="97"/>
      <c r="H41" s="95"/>
      <c r="I41" s="96"/>
      <c r="J41" s="97" t="s">
        <v>38</v>
      </c>
      <c r="K41" s="95">
        <f>L41/L$27</f>
        <v>0.60050029056066545</v>
      </c>
      <c r="L41" s="96">
        <f>SUM(L31:L40)</f>
        <v>99966.040000000008</v>
      </c>
      <c r="M41" s="98"/>
      <c r="N41" s="96">
        <f t="shared" si="14"/>
        <v>6543.4832397819118</v>
      </c>
      <c r="O41" s="97" t="s">
        <v>38</v>
      </c>
      <c r="P41" s="95">
        <f>Q41/Q$27</f>
        <v>0.40067114714162311</v>
      </c>
      <c r="Q41" s="99">
        <f>SUM(Q31:Q40)</f>
        <v>77177.06</v>
      </c>
      <c r="R41" s="100"/>
      <c r="S41" s="101">
        <f t="shared" ref="S41:S51" si="18">L41-Q41</f>
        <v>22788.98000000001</v>
      </c>
      <c r="T41" s="13"/>
      <c r="U41" s="13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AL41" s="11"/>
      <c r="AM41" s="11"/>
      <c r="AN41" s="11"/>
    </row>
    <row r="42" spans="1:40" ht="20.25">
      <c r="A42" t="str">
        <f t="shared" si="17"/>
        <v>Véhicules neufsSalaires cadres</v>
      </c>
      <c r="B42" s="11" t="str">
        <f t="shared" si="0"/>
        <v>Véhicules neufs</v>
      </c>
      <c r="C42" s="102" t="s">
        <v>40</v>
      </c>
      <c r="D42" s="13"/>
      <c r="E42" s="13"/>
      <c r="F42" s="30">
        <v>12353.222264631044</v>
      </c>
      <c r="G42" s="41"/>
      <c r="H42" s="13"/>
      <c r="I42" s="30"/>
      <c r="J42" s="41"/>
      <c r="K42" s="13"/>
      <c r="L42" s="33">
        <v>13019.7</v>
      </c>
      <c r="M42" s="41"/>
      <c r="N42" s="59">
        <f t="shared" si="14"/>
        <v>666.47773536895693</v>
      </c>
      <c r="O42" s="41"/>
      <c r="P42" s="13"/>
      <c r="Q42" s="33">
        <v>18400.43</v>
      </c>
      <c r="R42" s="41"/>
      <c r="S42" s="85">
        <f t="shared" si="18"/>
        <v>-5380.73</v>
      </c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3"/>
      <c r="AG42" s="13"/>
      <c r="AH42" s="13"/>
      <c r="AI42" s="13"/>
      <c r="AJ42" s="13"/>
      <c r="AK42" s="13"/>
      <c r="AL42" s="13"/>
      <c r="AM42" s="13"/>
      <c r="AN42" s="13"/>
    </row>
    <row r="43" spans="1:40" ht="20.25">
      <c r="A43" t="str">
        <f t="shared" si="17"/>
        <v>Véhicules neufsSalaires commis</v>
      </c>
      <c r="B43" s="11" t="str">
        <f t="shared" si="0"/>
        <v>Véhicules neufs</v>
      </c>
      <c r="C43" s="103" t="s">
        <v>41</v>
      </c>
      <c r="D43" s="81"/>
      <c r="E43" s="13"/>
      <c r="F43" s="22">
        <v>8436.5301526717558</v>
      </c>
      <c r="G43" s="83"/>
      <c r="H43" s="13"/>
      <c r="I43" s="22"/>
      <c r="J43" s="41"/>
      <c r="K43" s="13"/>
      <c r="L43" s="33">
        <v>9046.16</v>
      </c>
      <c r="M43" s="41"/>
      <c r="N43" s="59">
        <f t="shared" si="14"/>
        <v>609.62984732824407</v>
      </c>
      <c r="O43" s="41"/>
      <c r="P43" s="13"/>
      <c r="Q43" s="33">
        <v>6065.73</v>
      </c>
      <c r="R43" s="41"/>
      <c r="S43" s="85">
        <f t="shared" si="18"/>
        <v>2980.4300000000003</v>
      </c>
      <c r="T43" s="13"/>
      <c r="U43" s="13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11"/>
      <c r="AJ43" s="11"/>
      <c r="AK43" s="11"/>
      <c r="AL43" s="11"/>
      <c r="AM43" s="11"/>
      <c r="AN43" s="11"/>
    </row>
    <row r="44" spans="1:40" ht="20.25">
      <c r="A44" t="str">
        <f t="shared" si="17"/>
        <v>Véhicules neufsSalaires autres</v>
      </c>
      <c r="B44" s="11" t="str">
        <f t="shared" si="0"/>
        <v>Véhicules neufs</v>
      </c>
      <c r="C44" s="102" t="s">
        <v>42</v>
      </c>
      <c r="D44" s="104"/>
      <c r="E44" s="105"/>
      <c r="F44" s="30">
        <v>342</v>
      </c>
      <c r="G44" s="106"/>
      <c r="H44" s="105"/>
      <c r="I44" s="30"/>
      <c r="J44" s="107"/>
      <c r="K44" s="105"/>
      <c r="L44" s="108">
        <v>342</v>
      </c>
      <c r="M44" s="107"/>
      <c r="N44" s="109">
        <f t="shared" si="14"/>
        <v>0</v>
      </c>
      <c r="O44" s="107"/>
      <c r="P44" s="105"/>
      <c r="Q44" s="108">
        <v>342</v>
      </c>
      <c r="R44" s="107"/>
      <c r="S44" s="110">
        <f t="shared" si="18"/>
        <v>0</v>
      </c>
      <c r="T44" s="13"/>
      <c r="U44" s="13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11"/>
      <c r="AJ44" s="11"/>
      <c r="AK44" s="11"/>
      <c r="AL44" s="11"/>
      <c r="AM44" s="11"/>
      <c r="AN44" s="11"/>
    </row>
    <row r="45" spans="1:40" ht="20.25">
      <c r="A45" t="str">
        <f t="shared" si="17"/>
        <v>Véhicules neufsSalaires spécialistes</v>
      </c>
      <c r="B45" s="11" t="str">
        <f t="shared" si="0"/>
        <v>Véhicules neufs</v>
      </c>
      <c r="C45" s="102" t="s">
        <v>43</v>
      </c>
      <c r="D45" s="81"/>
      <c r="E45" s="13"/>
      <c r="F45" s="30">
        <v>0</v>
      </c>
      <c r="G45" s="83"/>
      <c r="H45" s="13"/>
      <c r="I45" s="30"/>
      <c r="J45" s="41"/>
      <c r="K45" s="13"/>
      <c r="L45" s="33">
        <v>0</v>
      </c>
      <c r="M45" s="41"/>
      <c r="N45" s="59">
        <f t="shared" si="14"/>
        <v>0</v>
      </c>
      <c r="O45" s="41"/>
      <c r="P45" s="13"/>
      <c r="Q45" s="33">
        <v>0</v>
      </c>
      <c r="R45" s="41"/>
      <c r="S45" s="85">
        <f t="shared" si="18"/>
        <v>0</v>
      </c>
      <c r="T45" s="13"/>
      <c r="U45" s="13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11"/>
      <c r="AJ45" s="11"/>
      <c r="AK45" s="11"/>
      <c r="AL45" s="11"/>
      <c r="AM45" s="11"/>
      <c r="AN45" s="11"/>
    </row>
    <row r="46" spans="1:40" ht="20.25" hidden="1">
      <c r="A46" t="str">
        <f>+B46&amp;C46</f>
        <v>Véhicules neufs[...]</v>
      </c>
      <c r="B46" s="11" t="str">
        <f t="shared" si="0"/>
        <v>Véhicules neufs</v>
      </c>
      <c r="C46" s="102" t="s">
        <v>19</v>
      </c>
      <c r="D46" s="81"/>
      <c r="E46" s="13"/>
      <c r="F46" s="30">
        <v>0</v>
      </c>
      <c r="G46" s="83"/>
      <c r="H46" s="13"/>
      <c r="I46" s="30"/>
      <c r="J46" s="41"/>
      <c r="K46" s="13"/>
      <c r="L46" s="33">
        <v>0</v>
      </c>
      <c r="M46" s="41"/>
      <c r="N46" s="59">
        <f t="shared" si="14"/>
        <v>0</v>
      </c>
      <c r="O46" s="41"/>
      <c r="P46" s="13"/>
      <c r="Q46" s="33">
        <v>0</v>
      </c>
      <c r="R46" s="41"/>
      <c r="S46" s="85">
        <f>L46-Q46</f>
        <v>0</v>
      </c>
      <c r="T46" s="13"/>
      <c r="U46" s="13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11"/>
      <c r="AJ46" s="11"/>
      <c r="AK46" s="11"/>
      <c r="AL46" s="11"/>
      <c r="AM46" s="11"/>
      <c r="AN46" s="11"/>
    </row>
    <row r="47" spans="1:40" ht="20.25" hidden="1">
      <c r="A47" t="str">
        <f>+B47&amp;C47</f>
        <v>Véhicules neufs[...]</v>
      </c>
      <c r="B47" s="11" t="str">
        <f t="shared" si="0"/>
        <v>Véhicules neufs</v>
      </c>
      <c r="C47" s="102" t="s">
        <v>19</v>
      </c>
      <c r="D47" s="81"/>
      <c r="E47" s="13"/>
      <c r="F47" s="30">
        <v>0</v>
      </c>
      <c r="G47" s="83"/>
      <c r="H47" s="13"/>
      <c r="I47" s="30"/>
      <c r="J47" s="41"/>
      <c r="K47" s="13"/>
      <c r="L47" s="33">
        <v>0</v>
      </c>
      <c r="M47" s="41"/>
      <c r="N47" s="59">
        <f t="shared" si="14"/>
        <v>0</v>
      </c>
      <c r="O47" s="41"/>
      <c r="P47" s="13"/>
      <c r="Q47" s="33">
        <v>0</v>
      </c>
      <c r="R47" s="41"/>
      <c r="S47" s="85">
        <f>L47-Q47</f>
        <v>0</v>
      </c>
      <c r="T47" s="13"/>
      <c r="U47" s="13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11"/>
      <c r="AJ47" s="11"/>
      <c r="AK47" s="11"/>
      <c r="AL47" s="11"/>
      <c r="AM47" s="11"/>
      <c r="AN47" s="11"/>
    </row>
    <row r="48" spans="1:40" ht="20.25" hidden="1">
      <c r="A48" t="str">
        <f>+B48&amp;C48</f>
        <v>Véhicules neufs[...]</v>
      </c>
      <c r="B48" s="11" t="str">
        <f t="shared" si="0"/>
        <v>Véhicules neufs</v>
      </c>
      <c r="C48" s="102" t="s">
        <v>19</v>
      </c>
      <c r="D48" s="81"/>
      <c r="E48" s="13"/>
      <c r="F48" s="30">
        <v>0</v>
      </c>
      <c r="G48" s="83"/>
      <c r="H48" s="13"/>
      <c r="I48" s="30"/>
      <c r="J48" s="41"/>
      <c r="K48" s="13"/>
      <c r="L48" s="33">
        <v>0</v>
      </c>
      <c r="M48" s="41"/>
      <c r="N48" s="59">
        <f t="shared" si="14"/>
        <v>0</v>
      </c>
      <c r="O48" s="41"/>
      <c r="P48" s="13"/>
      <c r="Q48" s="33">
        <v>0</v>
      </c>
      <c r="R48" s="41"/>
      <c r="S48" s="85">
        <f>L48-Q48</f>
        <v>0</v>
      </c>
      <c r="T48" s="13"/>
      <c r="U48" s="13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11"/>
      <c r="AJ48" s="11"/>
      <c r="AK48" s="11"/>
      <c r="AL48" s="11"/>
      <c r="AM48" s="11"/>
      <c r="AN48" s="11"/>
    </row>
    <row r="49" spans="1:40" ht="20.25">
      <c r="A49" t="str">
        <f t="shared" ref="A49:A128" si="19">+B49&amp;C49</f>
        <v>Véhicules neufsSalaires en absences</v>
      </c>
      <c r="B49" s="11" t="str">
        <f t="shared" si="0"/>
        <v>Véhicules neufs</v>
      </c>
      <c r="C49" s="103" t="s">
        <v>44</v>
      </c>
      <c r="D49" s="81"/>
      <c r="E49" s="13"/>
      <c r="F49" s="22">
        <v>7870.6385057215039</v>
      </c>
      <c r="G49" s="83"/>
      <c r="H49" s="13"/>
      <c r="I49" s="22"/>
      <c r="J49" s="41"/>
      <c r="K49" s="13"/>
      <c r="L49" s="22">
        <v>7379.94</v>
      </c>
      <c r="M49" s="41"/>
      <c r="N49" s="59">
        <f t="shared" si="14"/>
        <v>-490.69850572150426</v>
      </c>
      <c r="O49" s="41"/>
      <c r="P49" s="13"/>
      <c r="Q49" s="22">
        <v>6752.15</v>
      </c>
      <c r="R49" s="41"/>
      <c r="S49" s="85">
        <f t="shared" ref="S49:S60" si="20">L49-Q49</f>
        <v>627.79</v>
      </c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  <c r="AH49" s="13"/>
      <c r="AI49" s="13"/>
      <c r="AJ49" s="13"/>
      <c r="AK49" s="13"/>
      <c r="AL49" s="13"/>
      <c r="AM49" s="13"/>
      <c r="AN49" s="13"/>
    </row>
    <row r="50" spans="1:40" ht="20.25">
      <c r="A50" t="str">
        <f t="shared" si="19"/>
        <v>Véhicules neufsDéduction à la source</v>
      </c>
      <c r="B50" s="11" t="str">
        <f t="shared" si="0"/>
        <v>Véhicules neufs</v>
      </c>
      <c r="C50" s="102" t="s">
        <v>45</v>
      </c>
      <c r="D50" s="104"/>
      <c r="E50" s="105"/>
      <c r="F50" s="30">
        <v>10151.685174481521</v>
      </c>
      <c r="G50" s="106"/>
      <c r="H50" s="105"/>
      <c r="I50" s="30"/>
      <c r="J50" s="107"/>
      <c r="K50" s="105"/>
      <c r="L50" s="33">
        <v>6007.24</v>
      </c>
      <c r="M50" s="107"/>
      <c r="N50" s="109">
        <f t="shared" si="14"/>
        <v>-4144.4451744815215</v>
      </c>
      <c r="O50" s="107"/>
      <c r="P50" s="105"/>
      <c r="Q50" s="33">
        <v>6336.97</v>
      </c>
      <c r="R50" s="107"/>
      <c r="S50" s="110">
        <f t="shared" si="20"/>
        <v>-329.73000000000047</v>
      </c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3"/>
      <c r="AF50" s="13"/>
      <c r="AG50" s="13"/>
      <c r="AH50" s="13"/>
      <c r="AI50" s="13"/>
      <c r="AJ50" s="13"/>
      <c r="AK50" s="13"/>
      <c r="AL50" s="13"/>
      <c r="AM50" s="13"/>
      <c r="AN50" s="13"/>
    </row>
    <row r="51" spans="1:40" ht="20.25">
      <c r="A51" t="str">
        <f t="shared" si="19"/>
        <v>Véhicules neufsBénéfices marginaux</v>
      </c>
      <c r="B51" s="11" t="str">
        <f t="shared" si="0"/>
        <v>Véhicules neufs</v>
      </c>
      <c r="C51" s="102" t="s">
        <v>46</v>
      </c>
      <c r="D51" s="81"/>
      <c r="E51" s="13"/>
      <c r="F51" s="30">
        <v>4732.3645174274761</v>
      </c>
      <c r="G51" s="83"/>
      <c r="H51" s="13"/>
      <c r="I51" s="30"/>
      <c r="J51" s="41"/>
      <c r="K51" s="13"/>
      <c r="L51" s="33">
        <v>4219.84</v>
      </c>
      <c r="M51" s="41"/>
      <c r="N51" s="59">
        <f t="shared" si="14"/>
        <v>-512.52451742747598</v>
      </c>
      <c r="O51" s="41"/>
      <c r="P51" s="13"/>
      <c r="Q51" s="33">
        <v>3350.01</v>
      </c>
      <c r="R51" s="41"/>
      <c r="S51" s="85">
        <f t="shared" si="20"/>
        <v>869.82999999999993</v>
      </c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13"/>
      <c r="AG51" s="13"/>
      <c r="AH51" s="13"/>
      <c r="AI51" s="13"/>
      <c r="AJ51" s="13"/>
      <c r="AK51" s="13"/>
      <c r="AL51" s="13"/>
      <c r="AM51" s="13"/>
      <c r="AN51" s="13"/>
    </row>
    <row r="52" spans="1:40" ht="20.25">
      <c r="A52" t="str">
        <f t="shared" si="19"/>
        <v>Véhicules neufsCsst</v>
      </c>
      <c r="B52" s="11" t="str">
        <f t="shared" si="0"/>
        <v>Véhicules neufs</v>
      </c>
      <c r="C52" s="102" t="s">
        <v>47</v>
      </c>
      <c r="D52" s="81"/>
      <c r="E52" s="13"/>
      <c r="F52" s="30">
        <v>1068.5984394191075</v>
      </c>
      <c r="G52" s="83"/>
      <c r="H52" s="13"/>
      <c r="I52" s="30"/>
      <c r="J52" s="41"/>
      <c r="K52" s="13"/>
      <c r="L52" s="33">
        <v>169.34</v>
      </c>
      <c r="M52" s="41"/>
      <c r="N52" s="59">
        <f t="shared" si="14"/>
        <v>-899.2584394191075</v>
      </c>
      <c r="O52" s="41"/>
      <c r="P52" s="13"/>
      <c r="Q52" s="33">
        <v>100.85</v>
      </c>
      <c r="R52" s="41"/>
      <c r="S52" s="85">
        <f t="shared" si="20"/>
        <v>68.490000000000009</v>
      </c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13"/>
      <c r="AF52" s="13"/>
      <c r="AG52" s="13"/>
      <c r="AH52" s="13"/>
      <c r="AI52" s="13"/>
      <c r="AJ52" s="13"/>
      <c r="AK52" s="13"/>
      <c r="AL52" s="13"/>
      <c r="AM52" s="13"/>
      <c r="AN52" s="13"/>
    </row>
    <row r="53" spans="1:40" ht="20.25" hidden="1">
      <c r="A53" t="str">
        <f t="shared" si="19"/>
        <v>Véhicules neufs[...]</v>
      </c>
      <c r="B53" s="11" t="str">
        <f t="shared" si="0"/>
        <v>Véhicules neufs</v>
      </c>
      <c r="C53" s="29" t="s">
        <v>19</v>
      </c>
      <c r="D53" s="87" t="e">
        <f>VLOOKUP(C53,$B$2:$B$46,1,FALSE)</f>
        <v>#N/A</v>
      </c>
      <c r="E53" s="111"/>
      <c r="F53" s="30">
        <v>0</v>
      </c>
      <c r="G53" s="89"/>
      <c r="H53" s="111"/>
      <c r="I53" s="30"/>
      <c r="J53" s="23"/>
      <c r="K53" s="111"/>
      <c r="L53" s="33">
        <v>0</v>
      </c>
      <c r="M53" s="23"/>
      <c r="N53" s="91">
        <f t="shared" si="14"/>
        <v>0</v>
      </c>
      <c r="O53" s="23"/>
      <c r="P53" s="111"/>
      <c r="Q53" s="33">
        <v>0</v>
      </c>
      <c r="R53" s="23"/>
      <c r="S53" s="92">
        <f t="shared" si="20"/>
        <v>0</v>
      </c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  <c r="AE53" s="13"/>
      <c r="AF53" s="13"/>
      <c r="AG53" s="13"/>
      <c r="AH53" s="13"/>
      <c r="AI53" s="13"/>
      <c r="AJ53" s="13"/>
      <c r="AK53" s="13"/>
      <c r="AL53" s="13"/>
      <c r="AM53" s="13"/>
      <c r="AN53" s="13"/>
    </row>
    <row r="54" spans="1:40" ht="20.25">
      <c r="A54" t="str">
        <f t="shared" si="19"/>
        <v>Véhicules neufsTOTAL PERSONNEL</v>
      </c>
      <c r="B54" s="11" t="str">
        <f t="shared" si="0"/>
        <v>Véhicules neufs</v>
      </c>
      <c r="C54" s="93" t="s">
        <v>48</v>
      </c>
      <c r="D54" s="94" t="s">
        <v>38</v>
      </c>
      <c r="E54" s="95">
        <f>F54/F$27</f>
        <v>0.25214003509317562</v>
      </c>
      <c r="F54" s="96">
        <f>+SUM(F42:F53)</f>
        <v>44955.039054352412</v>
      </c>
      <c r="G54" s="97"/>
      <c r="H54" s="95"/>
      <c r="I54" s="96"/>
      <c r="J54" s="97" t="s">
        <v>38</v>
      </c>
      <c r="K54" s="95">
        <f>L54/L$27</f>
        <v>0.24138833333753848</v>
      </c>
      <c r="L54" s="96">
        <f>+SUM(L42:L53)</f>
        <v>40184.22</v>
      </c>
      <c r="M54" s="100"/>
      <c r="N54" s="96">
        <f>+SUM(N42:N53)</f>
        <v>-4770.8190543524079</v>
      </c>
      <c r="O54" s="97" t="s">
        <v>38</v>
      </c>
      <c r="P54" s="95">
        <f>Q54/Q$27</f>
        <v>0.21466231916546746</v>
      </c>
      <c r="Q54" s="96">
        <f>+SUM(Q42:Q53)</f>
        <v>41348.14</v>
      </c>
      <c r="R54" s="100"/>
      <c r="S54" s="101">
        <f>+SUM(S42:S53)</f>
        <v>-1163.9199999999998</v>
      </c>
      <c r="T54" s="82"/>
      <c r="U54" s="13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11"/>
      <c r="AJ54" s="11"/>
      <c r="AK54" s="11"/>
      <c r="AL54" s="11"/>
      <c r="AM54" s="11"/>
      <c r="AN54" s="11"/>
    </row>
    <row r="55" spans="1:40" ht="20.25">
      <c r="A55" t="str">
        <f t="shared" si="19"/>
        <v>Véhicules neufsPublicité 2</v>
      </c>
      <c r="B55" s="11" t="str">
        <f t="shared" si="0"/>
        <v>Véhicules neufs</v>
      </c>
      <c r="C55" s="29" t="s">
        <v>49</v>
      </c>
      <c r="D55" s="81"/>
      <c r="E55" s="13"/>
      <c r="F55" s="30">
        <v>0</v>
      </c>
      <c r="G55" s="83"/>
      <c r="H55" s="13"/>
      <c r="I55" s="30"/>
      <c r="J55" s="41"/>
      <c r="K55" s="13"/>
      <c r="L55" s="33">
        <v>0</v>
      </c>
      <c r="M55" s="41"/>
      <c r="N55" s="59">
        <f t="shared" ref="N55:N71" si="21">L55-F55</f>
        <v>0</v>
      </c>
      <c r="O55" s="41"/>
      <c r="P55" s="13"/>
      <c r="Q55" s="33">
        <v>0</v>
      </c>
      <c r="R55" s="41"/>
      <c r="S55" s="85">
        <f t="shared" ref="S55:S71" si="22">L55-Q55</f>
        <v>0</v>
      </c>
      <c r="T55" s="82"/>
      <c r="U55" s="13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11"/>
      <c r="AJ55" s="11"/>
      <c r="AK55" s="11"/>
      <c r="AL55" s="11"/>
      <c r="AM55" s="11"/>
      <c r="AN55" s="11"/>
    </row>
    <row r="56" spans="1:40" ht="20.25">
      <c r="A56" t="str">
        <f t="shared" si="19"/>
        <v>Véhicules neufsService gratuit 2</v>
      </c>
      <c r="B56" s="11" t="str">
        <f t="shared" si="0"/>
        <v>Véhicules neufs</v>
      </c>
      <c r="C56" s="29" t="s">
        <v>50</v>
      </c>
      <c r="D56" s="81"/>
      <c r="E56" s="13"/>
      <c r="F56" s="30">
        <v>0</v>
      </c>
      <c r="G56" s="83"/>
      <c r="H56" s="13"/>
      <c r="I56" s="30"/>
      <c r="J56" s="41"/>
      <c r="K56" s="13"/>
      <c r="L56" s="33">
        <v>0</v>
      </c>
      <c r="M56" s="41"/>
      <c r="N56" s="59">
        <f t="shared" si="21"/>
        <v>0</v>
      </c>
      <c r="O56" s="41"/>
      <c r="P56" s="13"/>
      <c r="Q56" s="33">
        <v>0</v>
      </c>
      <c r="R56" s="41"/>
      <c r="S56" s="85">
        <f t="shared" si="22"/>
        <v>0</v>
      </c>
      <c r="T56" s="82"/>
      <c r="U56" s="13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11"/>
      <c r="AJ56" s="11"/>
      <c r="AK56" s="11"/>
      <c r="AL56" s="11"/>
      <c r="AM56" s="11"/>
      <c r="AN56" s="11"/>
    </row>
    <row r="57" spans="1:40" ht="20.25">
      <c r="A57" t="str">
        <f t="shared" si="19"/>
        <v>Véhicules neufsFrais véhicules de cie</v>
      </c>
      <c r="B57" s="11" t="str">
        <f t="shared" si="0"/>
        <v>Véhicules neufs</v>
      </c>
      <c r="C57" s="86" t="s">
        <v>51</v>
      </c>
      <c r="D57" s="87"/>
      <c r="E57" s="111"/>
      <c r="F57" s="22">
        <v>5080.0833333333339</v>
      </c>
      <c r="G57" s="89"/>
      <c r="H57" s="111"/>
      <c r="I57" s="22"/>
      <c r="J57" s="23"/>
      <c r="K57" s="111"/>
      <c r="L57" s="22">
        <v>9006.4699999999993</v>
      </c>
      <c r="M57" s="23"/>
      <c r="N57" s="91">
        <f t="shared" si="21"/>
        <v>3926.3866666666654</v>
      </c>
      <c r="O57" s="23"/>
      <c r="P57" s="111"/>
      <c r="Q57" s="22">
        <v>5975.59</v>
      </c>
      <c r="R57" s="23"/>
      <c r="S57" s="92">
        <f t="shared" si="22"/>
        <v>3030.8799999999992</v>
      </c>
      <c r="T57" s="112"/>
      <c r="U57" s="13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11"/>
      <c r="AJ57" s="11"/>
      <c r="AK57" s="11"/>
      <c r="AL57" s="11"/>
      <c r="AM57" s="11"/>
      <c r="AN57" s="11"/>
    </row>
    <row r="58" spans="1:40" ht="20.25">
      <c r="A58" t="str">
        <f t="shared" si="19"/>
        <v>Véhicules neufsInformatique</v>
      </c>
      <c r="B58" s="11" t="str">
        <f t="shared" si="0"/>
        <v>Véhicules neufs</v>
      </c>
      <c r="C58" s="29" t="s">
        <v>52</v>
      </c>
      <c r="D58" s="81"/>
      <c r="E58" s="13"/>
      <c r="F58" s="30">
        <v>4993.05</v>
      </c>
      <c r="G58" s="83"/>
      <c r="H58" s="13"/>
      <c r="I58" s="30"/>
      <c r="J58" s="41"/>
      <c r="K58" s="13"/>
      <c r="L58" s="33">
        <v>4246.2</v>
      </c>
      <c r="M58" s="41"/>
      <c r="N58" s="59">
        <f t="shared" si="21"/>
        <v>-746.85000000000036</v>
      </c>
      <c r="O58" s="41"/>
      <c r="P58" s="13"/>
      <c r="Q58" s="33">
        <v>4534.6400000000003</v>
      </c>
      <c r="R58" s="41"/>
      <c r="S58" s="85">
        <f t="shared" si="22"/>
        <v>-288.44000000000051</v>
      </c>
      <c r="T58" s="82"/>
      <c r="U58" s="13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11"/>
      <c r="AJ58" s="11"/>
      <c r="AK58" s="11"/>
      <c r="AL58" s="11"/>
      <c r="AM58" s="11"/>
      <c r="AN58" s="11"/>
    </row>
    <row r="59" spans="1:40" ht="20.25">
      <c r="A59" t="str">
        <f t="shared" si="19"/>
        <v>Véhicules neufsFrais de déplacement</v>
      </c>
      <c r="B59" s="11" t="str">
        <f t="shared" si="0"/>
        <v>Véhicules neufs</v>
      </c>
      <c r="C59" s="29" t="s">
        <v>53</v>
      </c>
      <c r="D59" s="81"/>
      <c r="E59" s="13"/>
      <c r="F59" s="30">
        <v>822.6</v>
      </c>
      <c r="G59" s="83"/>
      <c r="H59" s="13"/>
      <c r="I59" s="30"/>
      <c r="J59" s="41"/>
      <c r="K59" s="13"/>
      <c r="L59" s="33">
        <v>975.02</v>
      </c>
      <c r="M59" s="41"/>
      <c r="N59" s="59">
        <f t="shared" si="21"/>
        <v>152.41999999999996</v>
      </c>
      <c r="O59" s="41"/>
      <c r="P59" s="13"/>
      <c r="Q59" s="33">
        <v>342.17</v>
      </c>
      <c r="R59" s="41"/>
      <c r="S59" s="85">
        <f t="shared" si="22"/>
        <v>632.84999999999991</v>
      </c>
      <c r="T59" s="13"/>
      <c r="U59" s="13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11"/>
      <c r="AJ59" s="11"/>
      <c r="AK59" s="11"/>
      <c r="AL59" s="11"/>
      <c r="AM59" s="11"/>
      <c r="AN59" s="11"/>
    </row>
    <row r="60" spans="1:40" ht="20.25">
      <c r="A60" t="str">
        <f t="shared" si="19"/>
        <v>Véhicules neufsServices extérieurs</v>
      </c>
      <c r="B60" s="11" t="str">
        <f t="shared" si="0"/>
        <v>Véhicules neufs</v>
      </c>
      <c r="C60" s="86" t="s">
        <v>54</v>
      </c>
      <c r="D60" s="87"/>
      <c r="E60" s="111"/>
      <c r="F60" s="22">
        <v>2754.4500000000003</v>
      </c>
      <c r="G60" s="89"/>
      <c r="H60" s="111"/>
      <c r="I60" s="22"/>
      <c r="J60" s="23"/>
      <c r="K60" s="111"/>
      <c r="L60" s="22">
        <v>3699.01</v>
      </c>
      <c r="M60" s="23"/>
      <c r="N60" s="91">
        <f t="shared" si="21"/>
        <v>944.56</v>
      </c>
      <c r="O60" s="23"/>
      <c r="P60" s="111"/>
      <c r="Q60" s="22">
        <v>3374.59</v>
      </c>
      <c r="R60" s="23"/>
      <c r="S60" s="92">
        <f t="shared" si="22"/>
        <v>324.42000000000007</v>
      </c>
      <c r="T60" s="13"/>
      <c r="U60" s="13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/>
      <c r="AG60" s="11"/>
      <c r="AH60" s="11"/>
      <c r="AI60" s="11"/>
      <c r="AJ60" s="11"/>
      <c r="AK60" s="11"/>
      <c r="AL60" s="11"/>
      <c r="AM60" s="11"/>
      <c r="AN60" s="11"/>
    </row>
    <row r="61" spans="1:40" ht="20.25">
      <c r="A61" t="str">
        <f t="shared" si="19"/>
        <v>Véhicules neufsFournitures autres</v>
      </c>
      <c r="B61" s="11" t="str">
        <f t="shared" si="0"/>
        <v>Véhicules neufs</v>
      </c>
      <c r="C61" s="29" t="s">
        <v>55</v>
      </c>
      <c r="D61" s="81"/>
      <c r="E61" s="13"/>
      <c r="F61" s="30">
        <v>81.25</v>
      </c>
      <c r="G61" s="83"/>
      <c r="H61" s="13"/>
      <c r="I61" s="30"/>
      <c r="J61" s="41"/>
      <c r="K61" s="13"/>
      <c r="L61" s="33">
        <v>0</v>
      </c>
      <c r="M61" s="41"/>
      <c r="N61" s="59">
        <f t="shared" si="21"/>
        <v>-81.25</v>
      </c>
      <c r="O61" s="41"/>
      <c r="P61" s="13"/>
      <c r="Q61" s="33">
        <v>119.55</v>
      </c>
      <c r="R61" s="41"/>
      <c r="S61" s="85">
        <f t="shared" si="22"/>
        <v>-119.55</v>
      </c>
      <c r="T61" s="13"/>
      <c r="U61" s="13"/>
      <c r="V61" s="13"/>
      <c r="W61" s="13"/>
      <c r="X61" s="13"/>
      <c r="Y61" s="13"/>
      <c r="Z61" s="13"/>
      <c r="AA61" s="13"/>
      <c r="AB61" s="13"/>
      <c r="AC61" s="13"/>
      <c r="AD61" s="13"/>
      <c r="AE61" s="13"/>
      <c r="AF61" s="13"/>
      <c r="AG61" s="13"/>
      <c r="AH61" s="13"/>
      <c r="AI61" s="13"/>
      <c r="AJ61" s="13"/>
      <c r="AK61" s="13"/>
      <c r="AL61" s="13"/>
      <c r="AM61" s="13"/>
      <c r="AN61" s="13"/>
    </row>
    <row r="62" spans="1:40" ht="20.25">
      <c r="A62" t="str">
        <f t="shared" si="19"/>
        <v>Véhicules neufsUniformes</v>
      </c>
      <c r="B62" s="11" t="str">
        <f t="shared" si="0"/>
        <v>Véhicules neufs</v>
      </c>
      <c r="C62" s="29" t="s">
        <v>56</v>
      </c>
      <c r="D62" s="81"/>
      <c r="E62" s="13"/>
      <c r="F62" s="30">
        <v>15</v>
      </c>
      <c r="G62" s="83"/>
      <c r="H62" s="13"/>
      <c r="I62" s="30"/>
      <c r="J62" s="41"/>
      <c r="K62" s="13"/>
      <c r="L62" s="33">
        <v>0</v>
      </c>
      <c r="M62" s="41"/>
      <c r="N62" s="59">
        <f t="shared" si="21"/>
        <v>-15</v>
      </c>
      <c r="O62" s="41"/>
      <c r="P62" s="13"/>
      <c r="Q62" s="33">
        <v>0</v>
      </c>
      <c r="R62" s="41"/>
      <c r="S62" s="85">
        <f t="shared" si="22"/>
        <v>0</v>
      </c>
      <c r="T62" s="13"/>
      <c r="U62" s="13"/>
      <c r="V62" s="13"/>
      <c r="W62" s="13"/>
      <c r="X62" s="13"/>
      <c r="Y62" s="13"/>
      <c r="Z62" s="13"/>
      <c r="AA62" s="13"/>
      <c r="AB62" s="13"/>
      <c r="AC62" s="13"/>
      <c r="AD62" s="13"/>
      <c r="AE62" s="13"/>
      <c r="AF62" s="13"/>
      <c r="AG62" s="13"/>
      <c r="AH62" s="13"/>
      <c r="AI62" s="13"/>
      <c r="AJ62" s="13"/>
      <c r="AK62" s="13"/>
      <c r="AL62" s="13"/>
      <c r="AM62" s="13"/>
      <c r="AN62" s="13"/>
    </row>
    <row r="63" spans="1:40" ht="20.25">
      <c r="A63" t="str">
        <f t="shared" si="19"/>
        <v>Véhicules neufsPapeterie</v>
      </c>
      <c r="B63" s="11" t="str">
        <f t="shared" si="0"/>
        <v>Véhicules neufs</v>
      </c>
      <c r="C63" s="29" t="s">
        <v>57</v>
      </c>
      <c r="D63" s="81"/>
      <c r="E63" s="13"/>
      <c r="F63" s="30">
        <v>787.5</v>
      </c>
      <c r="G63" s="83"/>
      <c r="H63" s="13"/>
      <c r="I63" s="30"/>
      <c r="J63" s="41"/>
      <c r="K63" s="13"/>
      <c r="L63" s="32">
        <v>336.26</v>
      </c>
      <c r="M63" s="41"/>
      <c r="N63" s="59">
        <f t="shared" si="21"/>
        <v>-451.24</v>
      </c>
      <c r="O63" s="41"/>
      <c r="P63" s="13"/>
      <c r="Q63" s="32">
        <v>594.30999999999995</v>
      </c>
      <c r="R63" s="41"/>
      <c r="S63" s="85">
        <f t="shared" si="22"/>
        <v>-258.04999999999995</v>
      </c>
      <c r="T63" s="13"/>
      <c r="U63" s="13"/>
      <c r="V63" s="13"/>
      <c r="W63" s="13"/>
      <c r="X63" s="13"/>
      <c r="Y63" s="13"/>
      <c r="Z63" s="13"/>
      <c r="AA63" s="13"/>
      <c r="AB63" s="13"/>
      <c r="AC63" s="13"/>
      <c r="AD63" s="13"/>
      <c r="AE63" s="13"/>
      <c r="AF63" s="13"/>
      <c r="AG63" s="13"/>
      <c r="AH63" s="13"/>
      <c r="AI63" s="13"/>
      <c r="AJ63" s="13"/>
      <c r="AK63" s="13"/>
      <c r="AL63" s="13"/>
      <c r="AM63" s="13"/>
      <c r="AN63" s="13"/>
    </row>
    <row r="64" spans="1:40" ht="20.25">
      <c r="A64" t="str">
        <f t="shared" si="19"/>
        <v>Véhicules neufsTéléphone</v>
      </c>
      <c r="B64" s="11" t="str">
        <f t="shared" si="0"/>
        <v>Véhicules neufs</v>
      </c>
      <c r="C64" s="29" t="s">
        <v>58</v>
      </c>
      <c r="D64" s="81"/>
      <c r="E64" s="13"/>
      <c r="F64" s="30">
        <v>210.4</v>
      </c>
      <c r="G64" s="83"/>
      <c r="H64" s="13"/>
      <c r="I64" s="30"/>
      <c r="J64" s="41"/>
      <c r="K64" s="13"/>
      <c r="L64" s="33">
        <v>205.64</v>
      </c>
      <c r="M64" s="41"/>
      <c r="N64" s="59">
        <f t="shared" si="21"/>
        <v>-4.7600000000000193</v>
      </c>
      <c r="O64" s="41"/>
      <c r="P64" s="13"/>
      <c r="Q64" s="33">
        <v>219.58</v>
      </c>
      <c r="R64" s="41"/>
      <c r="S64" s="85">
        <f t="shared" si="22"/>
        <v>-13.940000000000026</v>
      </c>
      <c r="T64" s="13"/>
      <c r="U64" s="13"/>
      <c r="V64" s="13"/>
      <c r="W64" s="13"/>
      <c r="X64" s="13"/>
      <c r="Y64" s="13"/>
      <c r="Z64" s="13"/>
      <c r="AA64" s="13"/>
      <c r="AB64" s="13"/>
      <c r="AC64" s="13"/>
      <c r="AD64" s="13"/>
      <c r="AE64" s="13"/>
      <c r="AF64" s="13"/>
      <c r="AG64" s="13"/>
      <c r="AH64" s="13"/>
      <c r="AI64" s="13"/>
      <c r="AJ64" s="13"/>
      <c r="AK64" s="13"/>
      <c r="AL64" s="13"/>
      <c r="AM64" s="13"/>
      <c r="AN64" s="13"/>
    </row>
    <row r="65" spans="1:40" ht="20.25">
      <c r="A65" t="str">
        <f t="shared" si="19"/>
        <v>Véhicules neufsFrais postaux</v>
      </c>
      <c r="B65" s="11" t="str">
        <f t="shared" si="0"/>
        <v>Véhicules neufs</v>
      </c>
      <c r="C65" s="29" t="s">
        <v>59</v>
      </c>
      <c r="D65" s="81"/>
      <c r="E65" s="13"/>
      <c r="F65" s="30">
        <v>225</v>
      </c>
      <c r="G65" s="83"/>
      <c r="H65" s="13"/>
      <c r="I65" s="30"/>
      <c r="J65" s="41"/>
      <c r="K65" s="13"/>
      <c r="L65" s="33">
        <v>58.8</v>
      </c>
      <c r="M65" s="41"/>
      <c r="N65" s="59">
        <f t="shared" si="21"/>
        <v>-166.2</v>
      </c>
      <c r="O65" s="41"/>
      <c r="P65" s="13"/>
      <c r="Q65" s="33">
        <v>268.20999999999998</v>
      </c>
      <c r="R65" s="41"/>
      <c r="S65" s="85">
        <f t="shared" si="22"/>
        <v>-209.40999999999997</v>
      </c>
      <c r="T65" s="13"/>
      <c r="U65" s="13"/>
      <c r="V65" s="13"/>
      <c r="W65" s="13"/>
      <c r="X65" s="13"/>
      <c r="Y65" s="13"/>
      <c r="Z65" s="13"/>
      <c r="AA65" s="13"/>
      <c r="AB65" s="13"/>
      <c r="AC65" s="13"/>
      <c r="AD65" s="13"/>
      <c r="AE65" s="13"/>
      <c r="AF65" s="13"/>
      <c r="AG65" s="13"/>
      <c r="AH65" s="13"/>
      <c r="AI65" s="13"/>
      <c r="AJ65" s="13"/>
      <c r="AK65" s="13"/>
      <c r="AL65" s="13"/>
      <c r="AM65" s="13"/>
      <c r="AN65" s="13"/>
    </row>
    <row r="66" spans="1:40" ht="20.25">
      <c r="A66" t="str">
        <f t="shared" si="19"/>
        <v>Véhicules neufsDivers</v>
      </c>
      <c r="B66" s="11" t="str">
        <f t="shared" si="0"/>
        <v>Véhicules neufs</v>
      </c>
      <c r="C66" s="29" t="s">
        <v>60</v>
      </c>
      <c r="D66" s="81"/>
      <c r="E66" s="13"/>
      <c r="F66" s="30">
        <v>836.1</v>
      </c>
      <c r="G66" s="83"/>
      <c r="H66" s="13"/>
      <c r="I66" s="30"/>
      <c r="J66" s="41"/>
      <c r="K66" s="13"/>
      <c r="L66" s="33">
        <v>650.70000000000005</v>
      </c>
      <c r="M66" s="41"/>
      <c r="N66" s="59">
        <f t="shared" si="21"/>
        <v>-185.39999999999998</v>
      </c>
      <c r="O66" s="41"/>
      <c r="P66" s="13"/>
      <c r="Q66" s="33">
        <v>715.19</v>
      </c>
      <c r="R66" s="41"/>
      <c r="S66" s="85">
        <f t="shared" si="22"/>
        <v>-64.490000000000009</v>
      </c>
      <c r="T66" s="13"/>
      <c r="U66" s="13"/>
      <c r="V66" s="13"/>
      <c r="W66" s="13"/>
      <c r="X66" s="13"/>
      <c r="Y66" s="13"/>
      <c r="Z66" s="13"/>
      <c r="AA66" s="13"/>
      <c r="AB66" s="13"/>
      <c r="AC66" s="13"/>
      <c r="AD66" s="13"/>
      <c r="AE66" s="13"/>
      <c r="AF66" s="13"/>
      <c r="AG66" s="13"/>
      <c r="AH66" s="13"/>
      <c r="AI66" s="13"/>
      <c r="AJ66" s="13"/>
      <c r="AK66" s="13"/>
      <c r="AL66" s="13"/>
      <c r="AM66" s="13"/>
      <c r="AN66" s="13"/>
    </row>
    <row r="67" spans="1:40" ht="20.25">
      <c r="A67" t="str">
        <f>+B67&amp;C67</f>
        <v>Véhicules neufsFormation</v>
      </c>
      <c r="B67" s="11" t="str">
        <f t="shared" si="0"/>
        <v>Véhicules neufs</v>
      </c>
      <c r="C67" s="29" t="s">
        <v>61</v>
      </c>
      <c r="D67" s="81"/>
      <c r="E67" s="13"/>
      <c r="F67" s="30">
        <v>482.16381333333317</v>
      </c>
      <c r="G67" s="83"/>
      <c r="H67" s="13"/>
      <c r="I67" s="30"/>
      <c r="J67" s="41"/>
      <c r="K67" s="13"/>
      <c r="L67" s="59">
        <v>179.84</v>
      </c>
      <c r="M67" s="41"/>
      <c r="N67" s="59">
        <f t="shared" si="21"/>
        <v>-302.32381333333319</v>
      </c>
      <c r="O67" s="41"/>
      <c r="P67" s="13"/>
      <c r="Q67" s="33">
        <v>-256.86</v>
      </c>
      <c r="R67" s="41"/>
      <c r="S67" s="85">
        <f>L67-Q67</f>
        <v>436.70000000000005</v>
      </c>
      <c r="T67" s="13"/>
      <c r="U67" s="13"/>
      <c r="V67" s="13"/>
      <c r="W67" s="13"/>
      <c r="X67" s="13"/>
      <c r="Y67" s="13"/>
      <c r="Z67" s="13"/>
      <c r="AA67" s="13"/>
      <c r="AB67" s="13"/>
      <c r="AC67" s="13"/>
      <c r="AD67" s="13"/>
      <c r="AE67" s="13"/>
      <c r="AF67" s="13"/>
      <c r="AG67" s="13"/>
      <c r="AH67" s="13"/>
      <c r="AI67" s="13"/>
      <c r="AJ67" s="13"/>
      <c r="AK67" s="13"/>
      <c r="AL67" s="13"/>
      <c r="AM67" s="13"/>
      <c r="AN67" s="13"/>
    </row>
    <row r="68" spans="1:40" ht="20.25">
      <c r="A68" t="str">
        <f>+B68&amp;C68</f>
        <v>Véhicules neufsFrais bancaires</v>
      </c>
      <c r="B68" s="11" t="str">
        <f t="shared" si="0"/>
        <v>Véhicules neufs</v>
      </c>
      <c r="C68" s="29" t="s">
        <v>62</v>
      </c>
      <c r="D68" s="81"/>
      <c r="E68" s="13"/>
      <c r="F68" s="30">
        <v>3014.9839532556603</v>
      </c>
      <c r="G68" s="83"/>
      <c r="H68" s="13"/>
      <c r="I68" s="30"/>
      <c r="J68" s="41"/>
      <c r="K68" s="13"/>
      <c r="L68" s="32">
        <v>2664.71</v>
      </c>
      <c r="M68" s="41"/>
      <c r="N68" s="59">
        <f t="shared" si="21"/>
        <v>-350.27395325566022</v>
      </c>
      <c r="O68" s="41"/>
      <c r="P68" s="13"/>
      <c r="Q68" s="33">
        <v>2576.4499999999998</v>
      </c>
      <c r="R68" s="41"/>
      <c r="S68" s="85">
        <f>L68-Q68</f>
        <v>88.260000000000218</v>
      </c>
      <c r="T68" s="13"/>
      <c r="U68" s="13"/>
      <c r="V68" s="13"/>
      <c r="W68" s="13"/>
      <c r="X68" s="13"/>
      <c r="Y68" s="13"/>
      <c r="Z68" s="13"/>
      <c r="AA68" s="13"/>
      <c r="AB68" s="13"/>
      <c r="AC68" s="13"/>
      <c r="AD68" s="13"/>
      <c r="AE68" s="13"/>
      <c r="AF68" s="13"/>
      <c r="AG68" s="13"/>
      <c r="AH68" s="13"/>
      <c r="AI68" s="13"/>
      <c r="AJ68" s="13"/>
      <c r="AK68" s="13"/>
      <c r="AL68" s="13"/>
      <c r="AM68" s="13"/>
      <c r="AN68" s="13"/>
    </row>
    <row r="69" spans="1:40" ht="20.25" hidden="1">
      <c r="A69" t="str">
        <f>+B69&amp;C69</f>
        <v>Véhicules neufs[...]</v>
      </c>
      <c r="B69" s="11" t="str">
        <f t="shared" si="0"/>
        <v>Véhicules neufs</v>
      </c>
      <c r="C69" s="29" t="s">
        <v>19</v>
      </c>
      <c r="D69" s="81"/>
      <c r="E69" s="13"/>
      <c r="F69" s="30">
        <v>0</v>
      </c>
      <c r="G69" s="83"/>
      <c r="H69" s="13"/>
      <c r="I69" s="30"/>
      <c r="J69" s="41"/>
      <c r="K69" s="13"/>
      <c r="L69" s="33"/>
      <c r="M69" s="41"/>
      <c r="N69" s="59">
        <f t="shared" si="21"/>
        <v>0</v>
      </c>
      <c r="O69" s="41"/>
      <c r="P69" s="13"/>
      <c r="Q69" s="33">
        <v>0</v>
      </c>
      <c r="R69" s="41"/>
      <c r="S69" s="85">
        <f>L69-Q69</f>
        <v>0</v>
      </c>
      <c r="T69" s="13"/>
      <c r="U69" s="13"/>
      <c r="V69" s="13"/>
      <c r="W69" s="13"/>
      <c r="X69" s="13"/>
      <c r="Y69" s="13"/>
      <c r="Z69" s="13"/>
      <c r="AA69" s="13"/>
      <c r="AB69" s="13"/>
      <c r="AC69" s="13"/>
      <c r="AD69" s="13"/>
      <c r="AE69" s="13"/>
      <c r="AF69" s="13"/>
      <c r="AG69" s="13"/>
      <c r="AH69" s="13"/>
      <c r="AI69" s="13"/>
      <c r="AJ69" s="13"/>
      <c r="AK69" s="13"/>
      <c r="AL69" s="13"/>
      <c r="AM69" s="13"/>
      <c r="AN69" s="13"/>
    </row>
    <row r="70" spans="1:40" ht="20.25" hidden="1">
      <c r="A70" t="str">
        <f t="shared" ref="A70:A149" si="23">+B70&amp;C70</f>
        <v>Véhicules neufs[...]</v>
      </c>
      <c r="B70" s="11" t="str">
        <f t="shared" si="0"/>
        <v>Véhicules neufs</v>
      </c>
      <c r="C70" s="29" t="s">
        <v>19</v>
      </c>
      <c r="D70" s="81"/>
      <c r="E70" s="13"/>
      <c r="F70" s="30">
        <v>0</v>
      </c>
      <c r="G70" s="83"/>
      <c r="H70" s="13"/>
      <c r="I70" s="30"/>
      <c r="J70" s="41"/>
      <c r="K70" s="13"/>
      <c r="L70" s="33">
        <v>0</v>
      </c>
      <c r="M70" s="41"/>
      <c r="N70" s="59">
        <f t="shared" si="21"/>
        <v>0</v>
      </c>
      <c r="O70" s="41"/>
      <c r="P70" s="13"/>
      <c r="Q70" s="33">
        <v>0</v>
      </c>
      <c r="R70" s="41"/>
      <c r="S70" s="85">
        <f t="shared" ref="S70:S86" si="24">L70-Q70</f>
        <v>0</v>
      </c>
      <c r="T70" s="13"/>
      <c r="U70" s="13"/>
      <c r="V70" s="13"/>
      <c r="W70" s="13"/>
      <c r="X70" s="13"/>
      <c r="Y70" s="13"/>
      <c r="Z70" s="13"/>
      <c r="AA70" s="13"/>
      <c r="AB70" s="13"/>
      <c r="AC70" s="13"/>
      <c r="AD70" s="13"/>
      <c r="AE70" s="13"/>
      <c r="AF70" s="13"/>
      <c r="AG70" s="13"/>
      <c r="AH70" s="13"/>
      <c r="AI70" s="13"/>
      <c r="AJ70" s="13"/>
      <c r="AK70" s="13"/>
      <c r="AL70" s="13"/>
      <c r="AM70" s="13"/>
      <c r="AN70" s="13"/>
    </row>
    <row r="71" spans="1:40" ht="20.25" hidden="1">
      <c r="A71" t="str">
        <f t="shared" si="23"/>
        <v>Véhicules neufs[...]</v>
      </c>
      <c r="B71" s="11" t="str">
        <f t="shared" si="0"/>
        <v>Véhicules neufs</v>
      </c>
      <c r="C71" s="29" t="s">
        <v>19</v>
      </c>
      <c r="D71" s="81"/>
      <c r="E71" s="13"/>
      <c r="F71" s="30">
        <v>0</v>
      </c>
      <c r="G71" s="83"/>
      <c r="H71" s="13"/>
      <c r="I71" s="30"/>
      <c r="J71" s="41"/>
      <c r="K71" s="13"/>
      <c r="L71" s="33">
        <v>0</v>
      </c>
      <c r="M71" s="41"/>
      <c r="N71" s="59">
        <f t="shared" si="21"/>
        <v>0</v>
      </c>
      <c r="O71" s="41"/>
      <c r="P71" s="13"/>
      <c r="Q71" s="33">
        <v>0</v>
      </c>
      <c r="R71" s="41"/>
      <c r="S71" s="85">
        <f t="shared" si="24"/>
        <v>0</v>
      </c>
      <c r="T71" s="13"/>
      <c r="U71" s="13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11"/>
      <c r="AH71" s="11"/>
      <c r="AI71" s="11"/>
      <c r="AJ71" s="11"/>
      <c r="AK71" s="11"/>
      <c r="AL71" s="11"/>
      <c r="AM71" s="11"/>
      <c r="AN71" s="11"/>
    </row>
    <row r="72" spans="1:40" ht="20.25">
      <c r="A72" t="str">
        <f t="shared" si="23"/>
        <v>Véhicules neufsTOTAL SEMI-FIXES</v>
      </c>
      <c r="B72" s="11" t="str">
        <f t="shared" si="0"/>
        <v>Véhicules neufs</v>
      </c>
      <c r="C72" s="93" t="s">
        <v>63</v>
      </c>
      <c r="D72" s="94" t="s">
        <v>38</v>
      </c>
      <c r="E72" s="95">
        <f>F72/F$27</f>
        <v>0.10826269041917518</v>
      </c>
      <c r="F72" s="96">
        <f>+SUM(F55:F71)</f>
        <v>19302.581099922329</v>
      </c>
      <c r="G72" s="97"/>
      <c r="H72" s="95"/>
      <c r="I72" s="96"/>
      <c r="J72" s="97" t="s">
        <v>38</v>
      </c>
      <c r="K72" s="95">
        <f>L72/L$27</f>
        <v>0.13229100326386675</v>
      </c>
      <c r="L72" s="96">
        <f>+SUM(L55:L71)</f>
        <v>22022.649999999994</v>
      </c>
      <c r="M72" s="100"/>
      <c r="N72" s="96">
        <f>+SUM(N55:N71)</f>
        <v>2720.0689000776715</v>
      </c>
      <c r="O72" s="97" t="s">
        <v>38</v>
      </c>
      <c r="P72" s="95">
        <f>Q72/Q$27</f>
        <v>9.5854385636840622E-2</v>
      </c>
      <c r="Q72" s="96">
        <f>+SUM(Q55:Q71)</f>
        <v>18463.419999999998</v>
      </c>
      <c r="R72" s="100"/>
      <c r="S72" s="101">
        <f>+SUM(S55:S71)</f>
        <v>3559.2299999999987</v>
      </c>
      <c r="T72" s="13"/>
      <c r="U72" s="13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1"/>
      <c r="AI72" s="11"/>
      <c r="AJ72" s="11"/>
      <c r="AK72" s="11"/>
      <c r="AL72" s="11"/>
      <c r="AM72" s="11"/>
      <c r="AN72" s="11"/>
    </row>
    <row r="73" spans="1:40" ht="20.25">
      <c r="A73" t="str">
        <f t="shared" si="23"/>
        <v>Véhicules neufs</v>
      </c>
      <c r="B73" s="11" t="str">
        <f t="shared" si="0"/>
        <v>Véhicules neufs</v>
      </c>
      <c r="C73" s="86"/>
      <c r="D73" s="87"/>
      <c r="E73" s="111"/>
      <c r="F73" s="59"/>
      <c r="G73" s="89"/>
      <c r="H73" s="111"/>
      <c r="I73" s="59"/>
      <c r="J73" s="23"/>
      <c r="K73" s="111"/>
      <c r="L73" s="91"/>
      <c r="M73" s="23"/>
      <c r="N73" s="91"/>
      <c r="O73" s="23"/>
      <c r="P73" s="111"/>
      <c r="Q73" s="91"/>
      <c r="R73" s="23"/>
      <c r="S73" s="92"/>
      <c r="T73" s="13"/>
      <c r="U73" s="13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  <c r="AG73" s="11"/>
      <c r="AH73" s="11"/>
      <c r="AI73" s="11"/>
      <c r="AJ73" s="11"/>
      <c r="AK73" s="11"/>
      <c r="AL73" s="11"/>
      <c r="AM73" s="11"/>
      <c r="AN73" s="11"/>
    </row>
    <row r="74" spans="1:40" ht="20.25">
      <c r="A74" t="str">
        <f t="shared" si="23"/>
        <v>Véhicules neufsTOTAL DES DÉPENSES</v>
      </c>
      <c r="B74" s="11" t="str">
        <f t="shared" si="0"/>
        <v>Véhicules neufs</v>
      </c>
      <c r="C74" s="93" t="s">
        <v>64</v>
      </c>
      <c r="D74" s="94" t="s">
        <v>38</v>
      </c>
      <c r="E74" s="95">
        <f>F74/F$27</f>
        <v>0.88438328999447646</v>
      </c>
      <c r="F74" s="96">
        <f>F41+F54+F72</f>
        <v>157680.17691449283</v>
      </c>
      <c r="G74" s="97"/>
      <c r="H74" s="95"/>
      <c r="I74" s="96"/>
      <c r="J74" s="97" t="s">
        <v>38</v>
      </c>
      <c r="K74" s="95">
        <f>L74/L$27</f>
        <v>0.97417962716207074</v>
      </c>
      <c r="L74" s="96">
        <f>L41+L54+L72</f>
        <v>162172.91</v>
      </c>
      <c r="M74" s="100"/>
      <c r="N74" s="113">
        <f t="shared" ref="N74:N82" si="25">L74-F74</f>
        <v>4492.7330855071777</v>
      </c>
      <c r="O74" s="97" t="s">
        <v>38</v>
      </c>
      <c r="P74" s="95">
        <f>Q74/Q$27</f>
        <v>0.71118785194393119</v>
      </c>
      <c r="Q74" s="96">
        <f>Q41+Q54+Q72</f>
        <v>136988.62</v>
      </c>
      <c r="R74" s="100"/>
      <c r="S74" s="114">
        <f>L74-Q74</f>
        <v>25184.290000000008</v>
      </c>
      <c r="T74" s="13"/>
      <c r="U74" s="13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1"/>
      <c r="AG74" s="11"/>
      <c r="AH74" s="11"/>
      <c r="AI74" s="11"/>
      <c r="AJ74" s="11"/>
      <c r="AK74" s="11"/>
      <c r="AL74" s="11"/>
      <c r="AM74" s="11"/>
      <c r="AN74" s="11"/>
    </row>
    <row r="75" spans="1:40" ht="20.25">
      <c r="A75" t="str">
        <f t="shared" si="23"/>
        <v>Véhicules neufsRBSC neuf</v>
      </c>
      <c r="B75" s="11" t="str">
        <f t="shared" si="0"/>
        <v>Véhicules neufs</v>
      </c>
      <c r="C75" s="29" t="s">
        <v>216</v>
      </c>
      <c r="D75" s="81"/>
      <c r="E75" s="13"/>
      <c r="F75" s="30">
        <v>39313.192153846168</v>
      </c>
      <c r="G75" s="83"/>
      <c r="H75" s="13"/>
      <c r="I75" s="30"/>
      <c r="J75" s="41"/>
      <c r="K75" s="13"/>
      <c r="L75" s="32">
        <v>54073.89</v>
      </c>
      <c r="M75" s="41"/>
      <c r="N75" s="59">
        <f t="shared" si="25"/>
        <v>14760.697846153831</v>
      </c>
      <c r="O75" s="41"/>
      <c r="P75" s="13"/>
      <c r="Q75" s="32">
        <v>83436.11</v>
      </c>
      <c r="R75" s="41"/>
      <c r="S75" s="85">
        <f>L75-Q75</f>
        <v>-29362.22</v>
      </c>
      <c r="T75" s="13"/>
      <c r="U75" s="13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11"/>
      <c r="AH75" s="11"/>
      <c r="AI75" s="11"/>
      <c r="AJ75" s="11"/>
      <c r="AK75" s="11"/>
      <c r="AL75" s="11"/>
      <c r="AM75" s="11"/>
      <c r="AN75" s="11"/>
    </row>
    <row r="76" spans="1:40" ht="20.25" hidden="1">
      <c r="A76" t="str">
        <f t="shared" si="23"/>
        <v>Véhicules neufsProgramme neuf 2</v>
      </c>
      <c r="B76" s="11" t="str">
        <f t="shared" si="0"/>
        <v>Véhicules neufs</v>
      </c>
      <c r="C76" s="29" t="s">
        <v>188</v>
      </c>
      <c r="D76" s="81"/>
      <c r="E76" s="13"/>
      <c r="F76" s="30">
        <v>0</v>
      </c>
      <c r="G76" s="83"/>
      <c r="H76" s="13"/>
      <c r="I76" s="30"/>
      <c r="J76" s="41"/>
      <c r="K76" s="13"/>
      <c r="L76" s="32">
        <v>0</v>
      </c>
      <c r="M76" s="41"/>
      <c r="N76" s="59">
        <f t="shared" si="25"/>
        <v>0</v>
      </c>
      <c r="O76" s="41"/>
      <c r="P76" s="13"/>
      <c r="Q76" s="32">
        <v>0</v>
      </c>
      <c r="R76" s="41"/>
      <c r="S76" s="85">
        <f>L76-Q76</f>
        <v>0</v>
      </c>
      <c r="T76" s="13"/>
      <c r="U76" s="13"/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11"/>
      <c r="AG76" s="11"/>
      <c r="AH76" s="11"/>
      <c r="AI76" s="11"/>
      <c r="AJ76" s="11"/>
      <c r="AK76" s="11"/>
      <c r="AL76" s="11"/>
      <c r="AM76" s="11"/>
      <c r="AN76" s="11"/>
    </row>
    <row r="77" spans="1:40" ht="20.25" hidden="1">
      <c r="A77" t="str">
        <f t="shared" si="23"/>
        <v>Véhicules neufsProgramme neuf 3</v>
      </c>
      <c r="B77" s="11" t="str">
        <f t="shared" si="0"/>
        <v>Véhicules neufs</v>
      </c>
      <c r="C77" s="29" t="s">
        <v>65</v>
      </c>
      <c r="D77" s="81"/>
      <c r="E77" s="13"/>
      <c r="F77" s="30">
        <v>0</v>
      </c>
      <c r="G77" s="83"/>
      <c r="H77" s="13"/>
      <c r="I77" s="30"/>
      <c r="J77" s="41"/>
      <c r="K77" s="13"/>
      <c r="L77" s="32">
        <v>0</v>
      </c>
      <c r="M77" s="41"/>
      <c r="N77" s="59">
        <f t="shared" si="25"/>
        <v>0</v>
      </c>
      <c r="O77" s="41"/>
      <c r="P77" s="13"/>
      <c r="Q77" s="32">
        <v>0</v>
      </c>
      <c r="R77" s="41"/>
      <c r="S77" s="85">
        <f t="shared" ref="S77:S82" si="26">L77-Q77</f>
        <v>0</v>
      </c>
      <c r="T77" s="13"/>
      <c r="U77" s="13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11"/>
      <c r="AH77" s="11"/>
      <c r="AI77" s="11"/>
      <c r="AJ77" s="11"/>
      <c r="AK77" s="11"/>
      <c r="AL77" s="11"/>
      <c r="AM77" s="11"/>
      <c r="AN77" s="11"/>
    </row>
    <row r="78" spans="1:40" ht="20.25">
      <c r="A78" t="str">
        <f t="shared" si="23"/>
        <v>Véhicules neufsHoldbacks</v>
      </c>
      <c r="B78" s="11" t="str">
        <f t="shared" si="0"/>
        <v>Véhicules neufs</v>
      </c>
      <c r="C78" s="29" t="s">
        <v>66</v>
      </c>
      <c r="D78" s="81"/>
      <c r="E78" s="13"/>
      <c r="F78" s="30">
        <v>44929.362461538476</v>
      </c>
      <c r="G78" s="83"/>
      <c r="H78" s="13"/>
      <c r="I78" s="30"/>
      <c r="J78" s="41"/>
      <c r="K78" s="13"/>
      <c r="L78" s="33">
        <v>54160.1</v>
      </c>
      <c r="M78" s="41"/>
      <c r="N78" s="59">
        <f t="shared" si="25"/>
        <v>9230.7375384615225</v>
      </c>
      <c r="O78" s="41"/>
      <c r="P78" s="13"/>
      <c r="Q78" s="32">
        <v>49858.9</v>
      </c>
      <c r="R78" s="41"/>
      <c r="S78" s="85">
        <f t="shared" si="26"/>
        <v>4301.1999999999971</v>
      </c>
      <c r="T78" s="13"/>
      <c r="U78" s="13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/>
      <c r="AI78" s="11"/>
      <c r="AJ78" s="11"/>
      <c r="AK78" s="11"/>
      <c r="AL78" s="11"/>
      <c r="AM78" s="11"/>
      <c r="AN78" s="11"/>
    </row>
    <row r="79" spans="1:40" ht="20.25" hidden="1">
      <c r="A79" t="str">
        <f>+B79&amp;C79</f>
        <v>Véhicules neufs[...]</v>
      </c>
      <c r="B79" s="11" t="str">
        <f t="shared" si="0"/>
        <v>Véhicules neufs</v>
      </c>
      <c r="C79" s="29" t="s">
        <v>19</v>
      </c>
      <c r="D79" s="81"/>
      <c r="E79" s="13"/>
      <c r="F79" s="30">
        <v>0</v>
      </c>
      <c r="G79" s="83"/>
      <c r="H79" s="13"/>
      <c r="I79" s="30"/>
      <c r="J79" s="41"/>
      <c r="K79" s="13"/>
      <c r="L79" s="33">
        <v>0</v>
      </c>
      <c r="M79" s="41"/>
      <c r="N79" s="59">
        <f t="shared" si="25"/>
        <v>0</v>
      </c>
      <c r="O79" s="41"/>
      <c r="P79" s="13"/>
      <c r="Q79" s="32">
        <v>0</v>
      </c>
      <c r="R79" s="41"/>
      <c r="S79" s="85">
        <f>L79-Q79</f>
        <v>0</v>
      </c>
      <c r="T79" s="13"/>
      <c r="U79" s="13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11"/>
      <c r="AJ79" s="11"/>
      <c r="AK79" s="11"/>
      <c r="AL79" s="11"/>
      <c r="AM79" s="11"/>
      <c r="AN79" s="11"/>
    </row>
    <row r="80" spans="1:40" ht="20.25" hidden="1">
      <c r="A80" t="str">
        <f>+B80&amp;C80</f>
        <v>Véhicules neufs[...]</v>
      </c>
      <c r="B80" s="11" t="str">
        <f t="shared" si="0"/>
        <v>Véhicules neufs</v>
      </c>
      <c r="C80" s="29" t="s">
        <v>19</v>
      </c>
      <c r="D80" s="81"/>
      <c r="E80" s="13"/>
      <c r="F80" s="30">
        <v>0</v>
      </c>
      <c r="G80" s="83"/>
      <c r="H80" s="13"/>
      <c r="I80" s="30"/>
      <c r="J80" s="41"/>
      <c r="K80" s="13"/>
      <c r="L80" s="33">
        <v>0</v>
      </c>
      <c r="M80" s="41"/>
      <c r="N80" s="59">
        <f t="shared" si="25"/>
        <v>0</v>
      </c>
      <c r="O80" s="41"/>
      <c r="P80" s="13"/>
      <c r="Q80" s="32">
        <v>0</v>
      </c>
      <c r="R80" s="41"/>
      <c r="S80" s="85">
        <f>L80-Q80</f>
        <v>0</v>
      </c>
      <c r="T80" s="13"/>
      <c r="U80" s="13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/>
      <c r="AH80" s="11"/>
      <c r="AI80" s="11"/>
      <c r="AJ80" s="11"/>
      <c r="AK80" s="11"/>
      <c r="AL80" s="11"/>
      <c r="AM80" s="11"/>
      <c r="AN80" s="11"/>
    </row>
    <row r="81" spans="1:40" ht="20.25" hidden="1">
      <c r="A81" t="str">
        <f>+B81&amp;C81</f>
        <v>Véhicules neufs[...]</v>
      </c>
      <c r="B81" s="11" t="str">
        <f t="shared" si="0"/>
        <v>Véhicules neufs</v>
      </c>
      <c r="C81" s="29" t="s">
        <v>19</v>
      </c>
      <c r="D81" s="81"/>
      <c r="E81" s="13"/>
      <c r="F81" s="30">
        <v>0</v>
      </c>
      <c r="G81" s="83"/>
      <c r="H81" s="13"/>
      <c r="I81" s="30"/>
      <c r="J81" s="41"/>
      <c r="K81" s="13"/>
      <c r="L81" s="33">
        <v>0</v>
      </c>
      <c r="M81" s="41"/>
      <c r="N81" s="59">
        <f t="shared" si="25"/>
        <v>0</v>
      </c>
      <c r="O81" s="41"/>
      <c r="P81" s="13"/>
      <c r="Q81" s="32">
        <v>0</v>
      </c>
      <c r="R81" s="41"/>
      <c r="S81" s="85">
        <f>L81-Q81</f>
        <v>0</v>
      </c>
      <c r="T81" s="13"/>
      <c r="U81" s="13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  <c r="AI81" s="11"/>
      <c r="AJ81" s="11"/>
      <c r="AK81" s="11"/>
      <c r="AL81" s="11"/>
      <c r="AM81" s="11"/>
      <c r="AN81" s="11"/>
    </row>
    <row r="82" spans="1:40" ht="20.25">
      <c r="A82" t="str">
        <f t="shared" ref="A82:A161" si="27">+B82&amp;C82</f>
        <v>Véhicules neufsFrais administration</v>
      </c>
      <c r="B82" s="11" t="str">
        <f t="shared" si="0"/>
        <v>Véhicules neufs</v>
      </c>
      <c r="C82" s="29" t="s">
        <v>67</v>
      </c>
      <c r="D82" s="81"/>
      <c r="E82" s="13"/>
      <c r="F82" s="30">
        <v>15315.3</v>
      </c>
      <c r="G82" s="83"/>
      <c r="H82" s="13"/>
      <c r="I82" s="30"/>
      <c r="J82" s="41"/>
      <c r="K82" s="13"/>
      <c r="L82" s="32">
        <v>17255</v>
      </c>
      <c r="M82" s="41"/>
      <c r="N82" s="59">
        <f t="shared" si="25"/>
        <v>1939.7000000000007</v>
      </c>
      <c r="O82" s="41"/>
      <c r="P82" s="13"/>
      <c r="Q82" s="32">
        <v>14280</v>
      </c>
      <c r="R82" s="41"/>
      <c r="S82" s="85">
        <f t="shared" ref="S82:S87" si="28">L82-Q82</f>
        <v>2975</v>
      </c>
      <c r="T82" s="13"/>
      <c r="U82" s="13"/>
      <c r="V82" s="11">
        <f>L82/595</f>
        <v>29</v>
      </c>
      <c r="W82" s="489">
        <f>V82/J27</f>
        <v>1</v>
      </c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/>
      <c r="AI82" s="11"/>
      <c r="AJ82" s="11"/>
      <c r="AK82" s="11"/>
      <c r="AL82" s="11"/>
      <c r="AM82" s="11"/>
      <c r="AN82" s="11"/>
    </row>
    <row r="83" spans="1:40" ht="20.25">
      <c r="A83" t="str">
        <f t="shared" si="27"/>
        <v>Véhicules neufsAUTRES REVENUS</v>
      </c>
      <c r="B83" s="11" t="str">
        <f t="shared" si="0"/>
        <v>Véhicules neufs</v>
      </c>
      <c r="C83" s="93" t="s">
        <v>68</v>
      </c>
      <c r="D83" s="94"/>
      <c r="E83" s="95"/>
      <c r="F83" s="96">
        <f>+SUM(F75:F82)</f>
        <v>99557.85461538464</v>
      </c>
      <c r="G83" s="97"/>
      <c r="H83" s="95"/>
      <c r="I83" s="96"/>
      <c r="J83" s="97"/>
      <c r="K83" s="95"/>
      <c r="L83" s="96">
        <f>+SUM(L75:L82)</f>
        <v>125488.98999999999</v>
      </c>
      <c r="M83" s="100"/>
      <c r="N83" s="96">
        <f>+SUM(N75:N82)</f>
        <v>25931.135384615354</v>
      </c>
      <c r="O83" s="97"/>
      <c r="P83" s="95"/>
      <c r="Q83" s="96">
        <f>+SUM(Q75:Q82)</f>
        <v>147575.01</v>
      </c>
      <c r="R83" s="100"/>
      <c r="S83" s="101">
        <f>+SUM(S75:S82)</f>
        <v>-22086.020000000004</v>
      </c>
      <c r="T83" s="13"/>
      <c r="U83" s="13"/>
      <c r="V83" s="11">
        <v>28</v>
      </c>
      <c r="W83" s="11" t="s">
        <v>242</v>
      </c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  <c r="AI83" s="11"/>
      <c r="AJ83" s="11"/>
      <c r="AK83" s="11"/>
      <c r="AL83" s="11"/>
      <c r="AM83" s="11"/>
      <c r="AN83" s="11"/>
    </row>
    <row r="84" spans="1:40" ht="20.25">
      <c r="A84" t="str">
        <f t="shared" si="27"/>
        <v>Véhicules neufs</v>
      </c>
      <c r="B84" s="11" t="str">
        <f t="shared" si="0"/>
        <v>Véhicules neufs</v>
      </c>
      <c r="C84" s="115"/>
      <c r="D84" s="116"/>
      <c r="E84" s="117"/>
      <c r="F84" s="118"/>
      <c r="G84" s="119"/>
      <c r="H84" s="117"/>
      <c r="I84" s="118"/>
      <c r="J84" s="120"/>
      <c r="K84" s="121"/>
      <c r="L84" s="118"/>
      <c r="M84" s="120"/>
      <c r="N84" s="122"/>
      <c r="O84" s="120"/>
      <c r="P84" s="121"/>
      <c r="Q84" s="118"/>
      <c r="R84" s="120"/>
      <c r="S84" s="123"/>
      <c r="T84" s="13"/>
      <c r="U84" s="13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/>
      <c r="AI84" s="11"/>
      <c r="AJ84" s="11"/>
      <c r="AK84" s="11"/>
      <c r="AL84" s="11"/>
      <c r="AM84" s="11"/>
      <c r="AN84" s="11"/>
    </row>
    <row r="85" spans="1:40" ht="21" thickBot="1">
      <c r="A85" t="str">
        <f t="shared" si="27"/>
        <v>Véhicules neufsPROFIT DÉPARTEMENTAL</v>
      </c>
      <c r="B85" s="11" t="str">
        <f t="shared" si="0"/>
        <v>Véhicules neufs</v>
      </c>
      <c r="C85" s="124" t="s">
        <v>69</v>
      </c>
      <c r="D85" s="125"/>
      <c r="E85" s="126"/>
      <c r="F85" s="127">
        <f>F27-F74+F83</f>
        <v>120171.61280619852</v>
      </c>
      <c r="G85" s="128"/>
      <c r="H85" s="126"/>
      <c r="I85" s="127"/>
      <c r="J85" s="128"/>
      <c r="K85" s="125"/>
      <c r="L85" s="127">
        <f>L27-L74+L83</f>
        <v>129787.33999999985</v>
      </c>
      <c r="M85" s="128"/>
      <c r="N85" s="127">
        <f>N27-N41-N54-N72+N83</f>
        <v>9615.7271938013346</v>
      </c>
      <c r="O85" s="128"/>
      <c r="P85" s="125"/>
      <c r="Q85" s="127">
        <f>Q27-Q74+Q83</f>
        <v>203205.85000000003</v>
      </c>
      <c r="R85" s="128"/>
      <c r="S85" s="129">
        <f>S27-S41-S54-S72+S83</f>
        <v>-73418.510000000169</v>
      </c>
      <c r="T85" s="13"/>
      <c r="U85" s="13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11"/>
      <c r="AH85" s="11"/>
      <c r="AI85" s="11"/>
      <c r="AJ85" s="11"/>
      <c r="AK85" s="11"/>
      <c r="AL85" s="11"/>
      <c r="AM85" s="11"/>
      <c r="AN85" s="11"/>
    </row>
    <row r="86" spans="1:40" ht="24" thickTop="1">
      <c r="B86" s="130"/>
      <c r="C86" s="131"/>
      <c r="D86" s="131"/>
      <c r="E86" s="131"/>
      <c r="F86" s="131"/>
      <c r="G86" s="131"/>
      <c r="H86" s="131"/>
      <c r="I86" s="131"/>
      <c r="J86" s="131"/>
      <c r="K86" s="131"/>
      <c r="L86" s="132"/>
      <c r="M86" s="131"/>
      <c r="N86" s="131"/>
      <c r="O86" s="131"/>
      <c r="P86" s="131"/>
      <c r="Q86" s="131"/>
      <c r="R86" s="131"/>
      <c r="S86" s="131"/>
      <c r="T86" s="131"/>
      <c r="U86" s="131"/>
      <c r="V86" s="130"/>
      <c r="W86" s="130"/>
      <c r="X86" s="130"/>
      <c r="Y86" s="130"/>
      <c r="Z86" s="130"/>
      <c r="AA86" s="130"/>
      <c r="AB86" s="130"/>
      <c r="AC86" s="130"/>
      <c r="AD86" s="130"/>
      <c r="AE86" s="130"/>
      <c r="AF86" s="130"/>
      <c r="AG86" s="130"/>
      <c r="AH86" s="130"/>
      <c r="AI86" s="130"/>
      <c r="AJ86" s="130"/>
      <c r="AK86" s="130"/>
      <c r="AL86" s="130"/>
      <c r="AM86" s="130"/>
      <c r="AN86" s="130"/>
    </row>
    <row r="87" spans="1:40" ht="23.25">
      <c r="B87" s="130"/>
      <c r="C87" s="131"/>
      <c r="D87" s="131"/>
      <c r="E87" s="131"/>
      <c r="F87" s="131"/>
      <c r="G87" s="131"/>
      <c r="H87" s="131"/>
      <c r="I87" s="131"/>
      <c r="J87" s="131"/>
      <c r="K87" s="131"/>
      <c r="L87" s="131"/>
      <c r="M87" s="131"/>
      <c r="N87" s="131"/>
      <c r="O87" s="131"/>
      <c r="P87" s="131"/>
      <c r="Q87" s="131"/>
      <c r="R87" s="131"/>
      <c r="S87" s="131"/>
      <c r="T87" s="131"/>
      <c r="U87" s="131"/>
      <c r="V87" s="130"/>
      <c r="W87" s="130"/>
      <c r="X87" s="130"/>
      <c r="Y87" s="130"/>
      <c r="Z87" s="130"/>
      <c r="AA87" s="130"/>
      <c r="AB87" s="130"/>
      <c r="AC87" s="130"/>
      <c r="AD87" s="130"/>
      <c r="AE87" s="130"/>
      <c r="AF87" s="130"/>
      <c r="AG87" s="130"/>
      <c r="AH87" s="130"/>
      <c r="AI87" s="130"/>
      <c r="AJ87" s="130"/>
      <c r="AK87" s="130"/>
      <c r="AL87" s="130"/>
      <c r="AM87" s="130"/>
      <c r="AN87" s="130"/>
    </row>
    <row r="88" spans="1:40" ht="15.75">
      <c r="B88" s="7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</row>
    <row r="89" spans="1:40" ht="35.25">
      <c r="B89" s="1"/>
      <c r="C89" s="6" t="str">
        <f>C1</f>
        <v>BMW Sherbrooke</v>
      </c>
      <c r="D89" s="2"/>
      <c r="E89" s="2"/>
      <c r="F89" s="2"/>
      <c r="G89" s="2"/>
      <c r="H89" s="1"/>
      <c r="I89" s="1"/>
      <c r="J89" s="1"/>
      <c r="K89" s="3" t="s">
        <v>70</v>
      </c>
      <c r="L89" s="2"/>
      <c r="M89" s="2"/>
      <c r="N89" s="1"/>
      <c r="O89" s="1"/>
      <c r="P89" s="2"/>
      <c r="Q89" s="1"/>
      <c r="R89" s="2"/>
      <c r="S89" s="5" t="str">
        <f>$S$1</f>
        <v>Réalisé, Septembre 2024</v>
      </c>
      <c r="T89" s="6"/>
      <c r="U89" s="6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</row>
    <row r="90" spans="1:40" ht="16.5" thickBot="1">
      <c r="B90" s="7"/>
      <c r="C90" s="8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</row>
    <row r="91" spans="1:40" ht="21" thickTop="1">
      <c r="B91" s="11"/>
      <c r="C91" s="12"/>
      <c r="D91" s="496" t="s">
        <v>5</v>
      </c>
      <c r="E91" s="497"/>
      <c r="F91" s="498"/>
      <c r="G91" s="499"/>
      <c r="H91" s="497"/>
      <c r="I91" s="498"/>
      <c r="J91" s="499" t="s">
        <v>7</v>
      </c>
      <c r="K91" s="497"/>
      <c r="L91" s="498"/>
      <c r="M91" s="499" t="s">
        <v>213</v>
      </c>
      <c r="N91" s="498"/>
      <c r="O91" s="496" t="s">
        <v>8</v>
      </c>
      <c r="P91" s="497"/>
      <c r="Q91" s="498"/>
      <c r="R91" s="494" t="s">
        <v>214</v>
      </c>
      <c r="S91" s="495"/>
      <c r="T91" s="13"/>
      <c r="U91" s="13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11"/>
      <c r="AJ91" s="11"/>
      <c r="AK91" s="11"/>
      <c r="AL91" s="11"/>
      <c r="AM91" s="11"/>
      <c r="AN91" s="11"/>
    </row>
    <row r="92" spans="1:40" ht="20.25">
      <c r="B92" s="11"/>
      <c r="C92" s="29"/>
      <c r="D92" s="133" t="s">
        <v>10</v>
      </c>
      <c r="E92" s="80" t="s">
        <v>11</v>
      </c>
      <c r="F92" s="134" t="s">
        <v>12</v>
      </c>
      <c r="G92" s="135"/>
      <c r="H92" s="80"/>
      <c r="I92" s="134"/>
      <c r="J92" s="135" t="s">
        <v>10</v>
      </c>
      <c r="K92" s="80" t="s">
        <v>13</v>
      </c>
      <c r="L92" s="134" t="s">
        <v>12</v>
      </c>
      <c r="M92" s="135" t="s">
        <v>215</v>
      </c>
      <c r="N92" s="134" t="s">
        <v>217</v>
      </c>
      <c r="O92" s="80" t="s">
        <v>10</v>
      </c>
      <c r="P92" s="80" t="s">
        <v>11</v>
      </c>
      <c r="Q92" s="134" t="s">
        <v>12</v>
      </c>
      <c r="R92" s="135" t="s">
        <v>10</v>
      </c>
      <c r="S92" s="136" t="s">
        <v>12</v>
      </c>
      <c r="T92" s="13"/>
      <c r="U92" s="13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11"/>
      <c r="AJ92" s="11"/>
      <c r="AK92" s="11"/>
      <c r="AL92" s="11"/>
      <c r="AM92" s="11"/>
      <c r="AN92" s="11"/>
    </row>
    <row r="93" spans="1:40" ht="20.25">
      <c r="A93" t="str">
        <f t="shared" ref="A93:A158" si="29">+B93&amp;C93</f>
        <v>Véhicules usagésVentes nettes</v>
      </c>
      <c r="B93" s="11" t="s">
        <v>70</v>
      </c>
      <c r="C93" s="86" t="s">
        <v>14</v>
      </c>
      <c r="D93" s="25"/>
      <c r="E93" s="25"/>
      <c r="F93" s="22">
        <v>1560896.551724138</v>
      </c>
      <c r="G93" s="46"/>
      <c r="H93" s="25"/>
      <c r="I93" s="22"/>
      <c r="J93" s="23"/>
      <c r="K93" s="25"/>
      <c r="L93" s="22">
        <v>1877677.86</v>
      </c>
      <c r="M93" s="137"/>
      <c r="N93" s="138"/>
      <c r="O93" s="23"/>
      <c r="P93" s="25"/>
      <c r="Q93" s="22">
        <v>1028845.17999999</v>
      </c>
      <c r="R93" s="137"/>
      <c r="S93" s="139"/>
      <c r="T93" s="13"/>
      <c r="U93" s="13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11"/>
      <c r="AH93" s="11"/>
      <c r="AI93" s="11"/>
      <c r="AJ93" s="11"/>
      <c r="AK93" s="11"/>
      <c r="AL93" s="11"/>
      <c r="AM93" s="11"/>
      <c r="AN93" s="11"/>
    </row>
    <row r="94" spans="1:40" ht="20.25">
      <c r="A94" t="str">
        <f t="shared" si="29"/>
        <v>Véhicules usagésCertifié</v>
      </c>
      <c r="B94" s="11" t="s">
        <v>70</v>
      </c>
      <c r="C94" s="29" t="s">
        <v>72</v>
      </c>
      <c r="D94" s="30">
        <v>7</v>
      </c>
      <c r="E94" s="30">
        <f>IF(D94=0,0,F94/D94)</f>
        <v>3000</v>
      </c>
      <c r="F94" s="30">
        <v>21000</v>
      </c>
      <c r="G94" s="31"/>
      <c r="H94" s="30"/>
      <c r="I94" s="30"/>
      <c r="J94" s="31">
        <v>4</v>
      </c>
      <c r="K94" s="30">
        <f>IF(J94=0,0,L94/J94)</f>
        <v>3820.3900000000067</v>
      </c>
      <c r="L94" s="33">
        <v>15281.560000000027</v>
      </c>
      <c r="M94" s="31">
        <f>J94-D94</f>
        <v>-3</v>
      </c>
      <c r="N94" s="33">
        <f>L94-F94</f>
        <v>-5718.4399999999732</v>
      </c>
      <c r="O94" s="31">
        <v>4</v>
      </c>
      <c r="P94" s="30">
        <f t="shared" ref="P94:P96" si="30">IF(O94=0,0,Q94/O94)</f>
        <v>1977.9975000000024</v>
      </c>
      <c r="Q94" s="33">
        <v>7911.9900000000098</v>
      </c>
      <c r="R94" s="31">
        <f>J94-O94</f>
        <v>0</v>
      </c>
      <c r="S94" s="34">
        <f>L94-Q94</f>
        <v>7369.570000000017</v>
      </c>
      <c r="T94" s="13"/>
      <c r="U94" s="13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11"/>
      <c r="AJ94" s="11"/>
      <c r="AK94" s="11"/>
      <c r="AL94" s="11"/>
      <c r="AM94" s="11"/>
      <c r="AN94" s="11"/>
    </row>
    <row r="95" spans="1:40" ht="25.5">
      <c r="A95" t="str">
        <f t="shared" si="29"/>
        <v>Véhicules usagésNon Certifié</v>
      </c>
      <c r="B95" s="11" t="s">
        <v>70</v>
      </c>
      <c r="C95" s="29" t="s">
        <v>73</v>
      </c>
      <c r="D95" s="30">
        <v>5</v>
      </c>
      <c r="E95" s="30">
        <f t="shared" ref="E95:E105" si="31">IF(D95=0,0,F95/D95)</f>
        <v>2200</v>
      </c>
      <c r="F95" s="30">
        <v>11000</v>
      </c>
      <c r="G95" s="31"/>
      <c r="H95" s="30"/>
      <c r="I95" s="30"/>
      <c r="J95" s="31">
        <v>6</v>
      </c>
      <c r="K95" s="30">
        <f>IF(J95=0,0,L95/J95)</f>
        <v>1556.0783333333384</v>
      </c>
      <c r="L95" s="32">
        <v>9336.4700000000303</v>
      </c>
      <c r="M95" s="31">
        <f>J95-D95</f>
        <v>1</v>
      </c>
      <c r="N95" s="33">
        <f>L95-F95</f>
        <v>-1663.5299999999697</v>
      </c>
      <c r="O95" s="31">
        <v>7</v>
      </c>
      <c r="P95" s="30">
        <f t="shared" si="30"/>
        <v>1875.0671428571284</v>
      </c>
      <c r="Q95" s="32">
        <v>13125.469999999899</v>
      </c>
      <c r="R95" s="31">
        <f>J95-O95</f>
        <v>-1</v>
      </c>
      <c r="S95" s="34">
        <f>L95-Q95</f>
        <v>-3788.999999999869</v>
      </c>
      <c r="T95" s="13"/>
      <c r="U95" s="13"/>
      <c r="V95" s="140"/>
      <c r="W95" s="13"/>
      <c r="X95" s="13"/>
      <c r="Y95" s="13"/>
      <c r="Z95" s="13"/>
      <c r="AA95" s="13"/>
      <c r="AB95" s="13"/>
      <c r="AC95" s="13"/>
      <c r="AD95" s="13"/>
      <c r="AE95" s="13"/>
      <c r="AF95" s="13"/>
      <c r="AG95" s="13"/>
      <c r="AH95" s="13"/>
      <c r="AI95" s="13"/>
      <c r="AJ95" s="13"/>
      <c r="AK95" s="13"/>
      <c r="AL95" s="13"/>
      <c r="AM95" s="13"/>
      <c r="AN95" s="13"/>
    </row>
    <row r="96" spans="1:40" ht="25.5">
      <c r="A96" t="str">
        <f t="shared" si="29"/>
        <v>Véhicules usagésAutres marques</v>
      </c>
      <c r="B96" s="11" t="s">
        <v>70</v>
      </c>
      <c r="C96" s="29" t="s">
        <v>207</v>
      </c>
      <c r="D96" s="30">
        <v>8</v>
      </c>
      <c r="E96" s="25">
        <f t="shared" si="31"/>
        <v>1850</v>
      </c>
      <c r="F96" s="30">
        <v>14800</v>
      </c>
      <c r="G96" s="31"/>
      <c r="H96" s="30"/>
      <c r="I96" s="30"/>
      <c r="J96" s="31">
        <v>7</v>
      </c>
      <c r="K96" s="30">
        <f>IF(J96=0,0,L96/J96)</f>
        <v>874.9200000000003</v>
      </c>
      <c r="L96" s="32">
        <v>6124.4400000000023</v>
      </c>
      <c r="M96" s="31">
        <f>J96-D96</f>
        <v>-1</v>
      </c>
      <c r="N96" s="33">
        <f>L96-F96</f>
        <v>-8675.5599999999977</v>
      </c>
      <c r="O96" s="31">
        <v>0</v>
      </c>
      <c r="P96" s="30">
        <f t="shared" si="30"/>
        <v>0</v>
      </c>
      <c r="Q96" s="32">
        <v>0</v>
      </c>
      <c r="R96" s="31">
        <f>J96-O96</f>
        <v>7</v>
      </c>
      <c r="S96" s="34">
        <f>L96-Q96</f>
        <v>6124.4400000000023</v>
      </c>
      <c r="T96" s="13"/>
      <c r="U96" s="13"/>
      <c r="V96" s="140"/>
      <c r="W96" s="13"/>
      <c r="X96" s="13"/>
      <c r="Y96" s="13"/>
      <c r="Z96" s="13"/>
      <c r="AA96" s="13"/>
      <c r="AB96" s="13"/>
      <c r="AC96" s="13"/>
      <c r="AD96" s="13"/>
      <c r="AE96" s="13"/>
      <c r="AF96" s="13"/>
      <c r="AG96" s="13"/>
      <c r="AH96" s="13"/>
      <c r="AI96" s="13"/>
      <c r="AJ96" s="13"/>
      <c r="AK96" s="13"/>
      <c r="AL96" s="13"/>
      <c r="AM96" s="13"/>
      <c r="AN96" s="13"/>
    </row>
    <row r="97" spans="1:40" ht="20.25">
      <c r="A97" t="str">
        <f t="shared" si="29"/>
        <v>Véhicules usagésTotal Usagés</v>
      </c>
      <c r="B97" s="11" t="s">
        <v>70</v>
      </c>
      <c r="C97" s="35" t="s">
        <v>74</v>
      </c>
      <c r="D97" s="36">
        <f>+D95+D94+D96</f>
        <v>20</v>
      </c>
      <c r="E97" s="30">
        <f t="shared" si="31"/>
        <v>2340</v>
      </c>
      <c r="F97" s="37">
        <f>+F94+F95+F96</f>
        <v>46800</v>
      </c>
      <c r="G97" s="38"/>
      <c r="H97" s="36"/>
      <c r="I97" s="37"/>
      <c r="J97" s="38">
        <f>+J94+J95+J96</f>
        <v>17</v>
      </c>
      <c r="K97" s="36">
        <f>IF(J97&lt;=0,0,L97/J97)</f>
        <v>1808.3805882352976</v>
      </c>
      <c r="L97" s="37">
        <f>+L94+L95+L96</f>
        <v>30742.470000000059</v>
      </c>
      <c r="M97" s="38">
        <f>J97-D97</f>
        <v>-3</v>
      </c>
      <c r="N97" s="37">
        <f>L97-F97</f>
        <v>-16057.529999999941</v>
      </c>
      <c r="O97" s="38">
        <f>+O95+O94+O96</f>
        <v>11</v>
      </c>
      <c r="P97" s="36">
        <f>IF(O97=0,0,Q97/O97)</f>
        <v>1912.4963636363552</v>
      </c>
      <c r="Q97" s="37">
        <f>+Q94+Q95+Q96</f>
        <v>21037.459999999908</v>
      </c>
      <c r="R97" s="38">
        <f>R94+R95</f>
        <v>-1</v>
      </c>
      <c r="S97" s="39">
        <f>S94+S95</f>
        <v>3580.570000000148</v>
      </c>
      <c r="T97" s="13"/>
      <c r="U97" s="13"/>
      <c r="V97" s="13"/>
      <c r="W97" s="462"/>
      <c r="X97" s="13"/>
      <c r="Y97" s="13"/>
      <c r="Z97" s="13"/>
      <c r="AA97" s="13"/>
      <c r="AB97" s="13"/>
      <c r="AC97" s="82"/>
      <c r="AD97" s="13"/>
      <c r="AE97" s="13"/>
      <c r="AF97" s="82"/>
      <c r="AG97" s="13"/>
      <c r="AH97" s="13"/>
      <c r="AI97" s="13"/>
      <c r="AJ97" s="13"/>
      <c r="AK97" s="13"/>
      <c r="AL97" s="13"/>
      <c r="AM97" s="13"/>
      <c r="AN97" s="13"/>
    </row>
    <row r="98" spans="1:40" ht="20.25">
      <c r="A98" t="str">
        <f t="shared" si="29"/>
        <v>Véhicules usagés</v>
      </c>
      <c r="B98" s="11" t="s">
        <v>70</v>
      </c>
      <c r="C98" s="29"/>
      <c r="D98" s="13"/>
      <c r="E98" s="30"/>
      <c r="F98" s="40"/>
      <c r="G98" s="41"/>
      <c r="H98" s="13"/>
      <c r="I98" s="40"/>
      <c r="J98" s="41"/>
      <c r="K98" s="13"/>
      <c r="L98" s="40"/>
      <c r="M98" s="42">
        <f>M97/D97</f>
        <v>-0.15</v>
      </c>
      <c r="N98" s="43">
        <f>N97/F97</f>
        <v>-0.3431096153846141</v>
      </c>
      <c r="O98" s="41"/>
      <c r="P98" s="13"/>
      <c r="Q98" s="40"/>
      <c r="R98" s="42">
        <f>R97/O97</f>
        <v>-9.0909090909090912E-2</v>
      </c>
      <c r="S98" s="44">
        <f>IF(Q97=0,0,(S97/Q97))</f>
        <v>0.17019972943502512</v>
      </c>
      <c r="T98" s="13"/>
      <c r="U98" s="13"/>
      <c r="V98" s="13"/>
      <c r="W98" s="13"/>
      <c r="X98" s="13"/>
      <c r="Y98" s="13"/>
      <c r="Z98" s="13"/>
      <c r="AA98" s="13"/>
      <c r="AB98" s="13"/>
      <c r="AC98" s="11"/>
      <c r="AD98" s="13"/>
      <c r="AE98" s="13"/>
      <c r="AF98" s="13"/>
      <c r="AG98" s="13"/>
      <c r="AH98" s="13"/>
      <c r="AI98" s="13"/>
      <c r="AJ98" s="13"/>
      <c r="AK98" s="13"/>
      <c r="AL98" s="13"/>
      <c r="AM98" s="13"/>
      <c r="AN98" s="13"/>
    </row>
    <row r="99" spans="1:40" ht="20.25">
      <c r="A99" t="str">
        <f t="shared" si="29"/>
        <v>Véhicules usagés</v>
      </c>
      <c r="B99" s="11" t="s">
        <v>70</v>
      </c>
      <c r="C99" s="29"/>
      <c r="D99" s="30"/>
      <c r="E99" s="30"/>
      <c r="F99" s="30"/>
      <c r="G99" s="41"/>
      <c r="H99" s="30"/>
      <c r="I99" s="30"/>
      <c r="J99" s="31"/>
      <c r="K99" s="30"/>
      <c r="L99" s="33"/>
      <c r="M99" s="31"/>
      <c r="N99" s="33"/>
      <c r="O99" s="31"/>
      <c r="P99" s="30"/>
      <c r="Q99" s="33"/>
      <c r="R99" s="31"/>
      <c r="S99" s="34"/>
      <c r="T99" s="13"/>
      <c r="U99" s="13"/>
      <c r="V99" s="13"/>
      <c r="W99" s="13"/>
      <c r="X99" s="13"/>
      <c r="Y99" s="13"/>
      <c r="Z99" s="13"/>
      <c r="AA99" s="13"/>
      <c r="AB99" s="13"/>
      <c r="AC99" s="11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</row>
    <row r="100" spans="1:40" ht="20.25">
      <c r="A100" t="str">
        <f t="shared" si="29"/>
        <v>Véhicules usagésVentes au Gros</v>
      </c>
      <c r="B100" s="11" t="s">
        <v>70</v>
      </c>
      <c r="C100" s="29" t="s">
        <v>75</v>
      </c>
      <c r="D100" s="30">
        <v>21</v>
      </c>
      <c r="E100" s="30">
        <f t="shared" si="31"/>
        <v>375</v>
      </c>
      <c r="F100" s="30">
        <v>7875</v>
      </c>
      <c r="G100" s="31"/>
      <c r="H100" s="30"/>
      <c r="I100" s="30"/>
      <c r="J100" s="31">
        <v>29</v>
      </c>
      <c r="K100" s="30">
        <f>IF(J100=0,0,L100/J100)</f>
        <v>654.29103448275669</v>
      </c>
      <c r="L100" s="33">
        <v>18974.439999999944</v>
      </c>
      <c r="M100" s="31">
        <f>J100-D100</f>
        <v>8</v>
      </c>
      <c r="N100" s="33">
        <f>L100-F100</f>
        <v>11099.439999999944</v>
      </c>
      <c r="O100" s="31">
        <v>13</v>
      </c>
      <c r="P100" s="30">
        <f>IF(O100=0,0,Q100/O100)</f>
        <v>333.00461538461002</v>
      </c>
      <c r="Q100" s="33">
        <v>4329.0599999999304</v>
      </c>
      <c r="R100" s="31">
        <f>J100-O100</f>
        <v>16</v>
      </c>
      <c r="S100" s="34">
        <f>L100-Q100</f>
        <v>14645.380000000014</v>
      </c>
      <c r="T100" s="13"/>
      <c r="U100" s="13"/>
      <c r="V100" s="13"/>
      <c r="W100" s="462"/>
      <c r="X100" s="13"/>
      <c r="Y100" s="13"/>
      <c r="Z100" s="13"/>
      <c r="AA100" s="13"/>
      <c r="AB100" s="13"/>
      <c r="AC100" s="82"/>
      <c r="AD100" s="13"/>
      <c r="AE100" s="13"/>
      <c r="AF100" s="141"/>
      <c r="AG100" s="13"/>
      <c r="AH100" s="13"/>
      <c r="AI100" s="13"/>
      <c r="AJ100" s="13"/>
      <c r="AK100" s="13"/>
      <c r="AL100" s="13"/>
      <c r="AM100" s="13"/>
      <c r="AN100" s="13"/>
    </row>
    <row r="101" spans="1:40" ht="20.25">
      <c r="A101" t="str">
        <f t="shared" si="29"/>
        <v>Véhicules usagés</v>
      </c>
      <c r="B101" s="11" t="s">
        <v>70</v>
      </c>
      <c r="C101" s="86"/>
      <c r="D101" s="25"/>
      <c r="E101" s="25"/>
      <c r="F101" s="48"/>
      <c r="G101" s="51"/>
      <c r="H101" s="47"/>
      <c r="I101" s="48"/>
      <c r="J101" s="51"/>
      <c r="K101" s="47"/>
      <c r="L101" s="48"/>
      <c r="M101" s="49"/>
      <c r="N101" s="142"/>
      <c r="O101" s="51"/>
      <c r="P101" s="47"/>
      <c r="Q101" s="48"/>
      <c r="R101" s="49"/>
      <c r="S101" s="14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41"/>
      <c r="AG101" s="13"/>
      <c r="AH101" s="13"/>
      <c r="AI101" s="13"/>
      <c r="AJ101" s="13"/>
      <c r="AK101" s="13"/>
      <c r="AL101" s="13"/>
      <c r="AM101" s="13"/>
      <c r="AN101" s="13"/>
    </row>
    <row r="102" spans="1:40" ht="20.25">
      <c r="A102" t="str">
        <f t="shared" si="29"/>
        <v>Véhicules usagésRev. Finances</v>
      </c>
      <c r="B102" s="11" t="s">
        <v>70</v>
      </c>
      <c r="C102" s="29" t="s">
        <v>24</v>
      </c>
      <c r="D102" s="30">
        <v>0</v>
      </c>
      <c r="E102" s="30">
        <f t="shared" ref="E102:E112" si="32">IF(D102=0,0,F102/D102)</f>
        <v>0</v>
      </c>
      <c r="F102" s="33">
        <v>12000</v>
      </c>
      <c r="G102" s="31"/>
      <c r="H102" s="30"/>
      <c r="I102" s="30"/>
      <c r="J102" s="31"/>
      <c r="K102" s="30">
        <f>IF(J97=0,0,L102/J97)</f>
        <v>458.39647058823527</v>
      </c>
      <c r="L102" s="33">
        <v>7792.74</v>
      </c>
      <c r="M102" s="31"/>
      <c r="N102" s="33">
        <f>L102-F102</f>
        <v>-4207.26</v>
      </c>
      <c r="O102" s="31"/>
      <c r="P102" s="30"/>
      <c r="Q102" s="33">
        <v>5988.69</v>
      </c>
      <c r="R102" s="31">
        <f>O102-K102</f>
        <v>-458.39647058823527</v>
      </c>
      <c r="S102" s="34">
        <f>L102-Q102</f>
        <v>1804.0500000000002</v>
      </c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</row>
    <row r="103" spans="1:40" ht="20.25">
      <c r="A103" t="str">
        <f t="shared" si="29"/>
        <v>Véhicules usagésRev. Protections</v>
      </c>
      <c r="B103" s="11" t="s">
        <v>70</v>
      </c>
      <c r="C103" s="29" t="s">
        <v>25</v>
      </c>
      <c r="D103" s="30">
        <v>0</v>
      </c>
      <c r="E103" s="30">
        <f t="shared" si="32"/>
        <v>0</v>
      </c>
      <c r="F103" s="33">
        <v>17600</v>
      </c>
      <c r="G103" s="31"/>
      <c r="H103" s="30"/>
      <c r="I103" s="30"/>
      <c r="J103" s="31"/>
      <c r="K103" s="30">
        <f>IF(J97=0,0,L103/J97)</f>
        <v>740.54705882352937</v>
      </c>
      <c r="L103" s="33">
        <v>12589.3</v>
      </c>
      <c r="M103" s="31"/>
      <c r="N103" s="33">
        <f>L103-F103</f>
        <v>-5010.7000000000007</v>
      </c>
      <c r="O103" s="31"/>
      <c r="P103" s="30"/>
      <c r="Q103" s="33">
        <v>5101.2299999999996</v>
      </c>
      <c r="R103" s="31">
        <f>O103-K103</f>
        <v>-740.54705882352937</v>
      </c>
      <c r="S103" s="34">
        <f>L103-Q103</f>
        <v>7488.07</v>
      </c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</row>
    <row r="104" spans="1:40" ht="20.25">
      <c r="A104" t="str">
        <f t="shared" si="29"/>
        <v>Véhicules usagésRev. Autres</v>
      </c>
      <c r="B104" s="11" t="s">
        <v>70</v>
      </c>
      <c r="C104" s="29" t="s">
        <v>26</v>
      </c>
      <c r="D104" s="30">
        <v>0</v>
      </c>
      <c r="E104" s="25">
        <f t="shared" si="32"/>
        <v>0</v>
      </c>
      <c r="F104" s="33">
        <v>3400</v>
      </c>
      <c r="G104" s="31"/>
      <c r="H104" s="47"/>
      <c r="I104" s="30"/>
      <c r="J104" s="31"/>
      <c r="K104" s="47">
        <f>IF(J97=0,0,L104/J97)</f>
        <v>135.47058823529412</v>
      </c>
      <c r="L104" s="33">
        <v>2303</v>
      </c>
      <c r="M104" s="51"/>
      <c r="N104" s="33">
        <f>L104-F104</f>
        <v>-1097</v>
      </c>
      <c r="O104" s="31"/>
      <c r="P104" s="47"/>
      <c r="Q104" s="33">
        <v>1316</v>
      </c>
      <c r="R104" s="31">
        <f>O104-K104</f>
        <v>-135.47058823529412</v>
      </c>
      <c r="S104" s="34">
        <f>L104-Q104</f>
        <v>987</v>
      </c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</row>
    <row r="105" spans="1:40" ht="20.25">
      <c r="A105" t="str">
        <f t="shared" si="29"/>
        <v>Véhicules usagésTotal F&amp;I</v>
      </c>
      <c r="B105" s="11" t="s">
        <v>70</v>
      </c>
      <c r="C105" s="35" t="s">
        <v>27</v>
      </c>
      <c r="D105" s="36">
        <f>D97</f>
        <v>20</v>
      </c>
      <c r="E105" s="30">
        <f t="shared" si="32"/>
        <v>1650</v>
      </c>
      <c r="F105" s="37">
        <f>F102+F103+F104</f>
        <v>33000</v>
      </c>
      <c r="G105" s="38"/>
      <c r="H105" s="36"/>
      <c r="I105" s="37"/>
      <c r="J105" s="38">
        <f>J97</f>
        <v>17</v>
      </c>
      <c r="K105" s="36">
        <f>IF(J105&lt;=0,0,L105/J105)</f>
        <v>1334.4141176470589</v>
      </c>
      <c r="L105" s="37">
        <f>L102+L103+L104</f>
        <v>22685.040000000001</v>
      </c>
      <c r="M105" s="31">
        <f>J105-D105</f>
        <v>-3</v>
      </c>
      <c r="N105" s="37">
        <f>L105-F105</f>
        <v>-10314.959999999999</v>
      </c>
      <c r="O105" s="38">
        <f>O97</f>
        <v>11</v>
      </c>
      <c r="P105" s="36">
        <f t="shared" ref="P105" si="33">IF(O105=0,0,Q105/O105)</f>
        <v>1127.810909090909</v>
      </c>
      <c r="Q105" s="37">
        <f>Q102+Q103+Q104</f>
        <v>12405.919999999998</v>
      </c>
      <c r="R105" s="56"/>
      <c r="S105" s="39">
        <f>L105-Q105</f>
        <v>10279.120000000003</v>
      </c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</row>
    <row r="106" spans="1:40" ht="20.25">
      <c r="A106" t="str">
        <f t="shared" si="29"/>
        <v>Véhicules usagés</v>
      </c>
      <c r="B106" s="11" t="s">
        <v>70</v>
      </c>
      <c r="C106" s="29"/>
      <c r="D106" s="13"/>
      <c r="E106" s="13"/>
      <c r="F106" s="59"/>
      <c r="G106" s="41"/>
      <c r="H106" s="144"/>
      <c r="I106" s="59"/>
      <c r="J106" s="41"/>
      <c r="K106" s="13"/>
      <c r="L106" s="59"/>
      <c r="M106" s="42"/>
      <c r="N106" s="43">
        <f>N105/F105</f>
        <v>-0.31257454545454544</v>
      </c>
      <c r="O106" s="41"/>
      <c r="P106" s="13"/>
      <c r="Q106" s="59"/>
      <c r="R106" s="60"/>
      <c r="S106" s="44">
        <f>IF(Q105=0,0,(S105/Q105))</f>
        <v>0.82856571701252335</v>
      </c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</row>
    <row r="107" spans="1:40" ht="21" thickBot="1">
      <c r="A107" t="str">
        <f t="shared" si="29"/>
        <v>Véhicules usagés</v>
      </c>
      <c r="B107" s="11" t="s">
        <v>70</v>
      </c>
      <c r="C107" s="29"/>
      <c r="D107" s="13"/>
      <c r="E107" s="13"/>
      <c r="F107" s="59"/>
      <c r="G107" s="41"/>
      <c r="H107" s="144"/>
      <c r="I107" s="59"/>
      <c r="J107" s="41"/>
      <c r="K107" s="13"/>
      <c r="L107" s="59"/>
      <c r="M107" s="42"/>
      <c r="N107" s="43"/>
      <c r="O107" s="41"/>
      <c r="P107" s="13"/>
      <c r="Q107" s="59"/>
      <c r="R107" s="60"/>
      <c r="S107" s="44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</row>
    <row r="108" spans="1:40" ht="21" thickTop="1">
      <c r="A108" t="str">
        <f t="shared" si="29"/>
        <v>Véhicules usagésTotal Dépt. Usagés</v>
      </c>
      <c r="B108" s="11" t="s">
        <v>70</v>
      </c>
      <c r="C108" s="62" t="s">
        <v>76</v>
      </c>
      <c r="D108" s="63">
        <f>D97+D100</f>
        <v>41</v>
      </c>
      <c r="E108" s="67">
        <f>IF(D108&lt;=0,0,F108/D108)</f>
        <v>2138.4146341463415</v>
      </c>
      <c r="F108" s="65">
        <f>F97+F105+F100</f>
        <v>87675</v>
      </c>
      <c r="G108" s="66"/>
      <c r="H108" s="67"/>
      <c r="I108" s="65"/>
      <c r="J108" s="66">
        <f>J97+J100</f>
        <v>46</v>
      </c>
      <c r="K108" s="67">
        <f>IF(J108&lt;=0,0,L108/J108)</f>
        <v>1573.955434782609</v>
      </c>
      <c r="L108" s="65">
        <f>L97+L105+L100</f>
        <v>72401.950000000012</v>
      </c>
      <c r="M108" s="66">
        <f>J108-D108</f>
        <v>5</v>
      </c>
      <c r="N108" s="65">
        <f>L108-F108</f>
        <v>-15273.049999999988</v>
      </c>
      <c r="O108" s="66">
        <f>O97+O100</f>
        <v>24</v>
      </c>
      <c r="P108" s="67">
        <f>IF(O108&lt;=0,0,Q108/O108)</f>
        <v>1573.8516666666599</v>
      </c>
      <c r="Q108" s="65">
        <f>Q97+Q105+Q100</f>
        <v>37772.439999999835</v>
      </c>
      <c r="R108" s="66">
        <f>J108-O108</f>
        <v>22</v>
      </c>
      <c r="S108" s="68">
        <f>L108-Q108</f>
        <v>34629.510000000177</v>
      </c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</row>
    <row r="109" spans="1:40" ht="21" thickBot="1">
      <c r="A109" t="str">
        <f t="shared" si="29"/>
        <v>Véhicules usagés</v>
      </c>
      <c r="B109" s="11" t="s">
        <v>70</v>
      </c>
      <c r="C109" s="69"/>
      <c r="D109" s="70"/>
      <c r="E109" s="70"/>
      <c r="F109" s="71"/>
      <c r="G109" s="72"/>
      <c r="H109" s="70"/>
      <c r="I109" s="71"/>
      <c r="J109" s="72"/>
      <c r="K109" s="70"/>
      <c r="L109" s="71"/>
      <c r="M109" s="73">
        <f>M108/D108</f>
        <v>0.12195121951219512</v>
      </c>
      <c r="N109" s="74">
        <f>N108/F108</f>
        <v>-0.17420074137439392</v>
      </c>
      <c r="O109" s="72"/>
      <c r="P109" s="70"/>
      <c r="Q109" s="71"/>
      <c r="R109" s="73">
        <f>O108/R108</f>
        <v>1.0909090909090908</v>
      </c>
      <c r="S109" s="145">
        <f>IF(Q108=0,0,(S108/Q108))</f>
        <v>0.91679303746330199</v>
      </c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</row>
    <row r="110" spans="1:40" ht="21" thickTop="1">
      <c r="A110" t="str">
        <f t="shared" si="29"/>
        <v>Véhicules usagés</v>
      </c>
      <c r="B110" s="11" t="s">
        <v>70</v>
      </c>
      <c r="C110" s="53"/>
      <c r="D110" s="76"/>
      <c r="E110" s="76"/>
      <c r="F110" s="77"/>
      <c r="G110" s="78"/>
      <c r="H110" s="76"/>
      <c r="I110" s="77"/>
      <c r="J110" s="78"/>
      <c r="K110" s="76"/>
      <c r="L110" s="77"/>
      <c r="M110" s="42"/>
      <c r="N110" s="43"/>
      <c r="O110" s="78"/>
      <c r="P110" s="76"/>
      <c r="Q110" s="77"/>
      <c r="R110" s="42"/>
      <c r="S110" s="44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</row>
    <row r="111" spans="1:40" ht="20.25">
      <c r="A111" t="str">
        <f t="shared" si="29"/>
        <v>Véhicules usagésDEPENSES</v>
      </c>
      <c r="B111" s="11" t="s">
        <v>70</v>
      </c>
      <c r="C111" s="79" t="s">
        <v>29</v>
      </c>
      <c r="D111" s="13"/>
      <c r="E111" s="80"/>
      <c r="F111" s="59"/>
      <c r="G111" s="41"/>
      <c r="H111" s="80"/>
      <c r="I111" s="59"/>
      <c r="J111" s="41"/>
      <c r="K111" s="80"/>
      <c r="L111" s="40"/>
      <c r="M111" s="41"/>
      <c r="N111" s="40"/>
      <c r="O111" s="41"/>
      <c r="P111" s="80"/>
      <c r="Q111" s="40"/>
      <c r="R111" s="41"/>
      <c r="S111" s="61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</row>
    <row r="112" spans="1:40" ht="20.25">
      <c r="A112" t="str">
        <f t="shared" si="29"/>
        <v>Véhicules usagésComm. vendeurs</v>
      </c>
      <c r="B112" s="11" t="s">
        <v>70</v>
      </c>
      <c r="C112" s="29" t="s">
        <v>30</v>
      </c>
      <c r="D112" s="148">
        <f>F112/(F97+F105)</f>
        <v>0.19422028353326065</v>
      </c>
      <c r="E112" s="82">
        <f t="shared" ref="E112:E121" si="34">F112/D$97</f>
        <v>774.93893129770993</v>
      </c>
      <c r="F112" s="30">
        <v>15498.778625954199</v>
      </c>
      <c r="G112" s="157"/>
      <c r="H112" s="82"/>
      <c r="I112" s="30"/>
      <c r="J112" s="157">
        <f>L112/L97</f>
        <v>0.3406831006096771</v>
      </c>
      <c r="K112" s="82">
        <f>IF($J$97=0,0,L112/(J$94+J$95+J96))</f>
        <v>616.08470588235298</v>
      </c>
      <c r="L112" s="33">
        <v>10473.44</v>
      </c>
      <c r="M112" s="41"/>
      <c r="N112" s="59">
        <f t="shared" ref="N112:N153" si="35">L112-F112</f>
        <v>-5025.3386259541985</v>
      </c>
      <c r="O112" s="157">
        <f>Q112/Q97</f>
        <v>0.34660362990589316</v>
      </c>
      <c r="P112" s="82">
        <f t="shared" ref="P112:P121" si="36">Q112/O$97</f>
        <v>662.87818181818182</v>
      </c>
      <c r="Q112" s="33">
        <v>7291.66</v>
      </c>
      <c r="R112" s="41"/>
      <c r="S112" s="85">
        <f t="shared" ref="S112:S122" si="37">L112-Q112</f>
        <v>3181.7800000000007</v>
      </c>
      <c r="T112" s="13"/>
      <c r="U112" s="13"/>
      <c r="V112" s="11" t="s">
        <v>271</v>
      </c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</row>
    <row r="113" spans="1:40" ht="20.25">
      <c r="A113" t="str">
        <f t="shared" si="29"/>
        <v>Véhicules usagésComm. F&amp;I</v>
      </c>
      <c r="B113" s="11" t="s">
        <v>70</v>
      </c>
      <c r="C113" s="86" t="s">
        <v>31</v>
      </c>
      <c r="D113" s="218">
        <f>F113/(F105+F19)</f>
        <v>0.23508872774136419</v>
      </c>
      <c r="E113" s="88">
        <f t="shared" si="34"/>
        <v>412.5</v>
      </c>
      <c r="F113" s="22">
        <v>8250</v>
      </c>
      <c r="G113" s="162"/>
      <c r="H113" s="88"/>
      <c r="I113" s="22"/>
      <c r="J113" s="162">
        <f>L113/L105</f>
        <v>0.30246761742540457</v>
      </c>
      <c r="K113" s="88">
        <f>IF($J$97=0,0,L113/(J$94+J$95+J96))</f>
        <v>403.61705882352942</v>
      </c>
      <c r="L113" s="33">
        <v>6861.49</v>
      </c>
      <c r="M113" s="23"/>
      <c r="N113" s="91">
        <f t="shared" si="35"/>
        <v>-1388.5100000000002</v>
      </c>
      <c r="O113" s="162">
        <f>Q113/(Q105+Q19)</f>
        <v>0.16545197147651008</v>
      </c>
      <c r="P113" s="88">
        <f t="shared" si="36"/>
        <v>246.70272727272729</v>
      </c>
      <c r="Q113" s="33">
        <v>2713.73</v>
      </c>
      <c r="R113" s="23"/>
      <c r="S113" s="92">
        <f t="shared" si="37"/>
        <v>4147.76</v>
      </c>
      <c r="T113" s="13"/>
      <c r="U113" s="13"/>
      <c r="V113" s="11" t="s">
        <v>272</v>
      </c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</row>
    <row r="114" spans="1:40" ht="20.25">
      <c r="A114" t="str">
        <f t="shared" si="29"/>
        <v>Véhicules usagésFrais de livraison</v>
      </c>
      <c r="B114" s="11" t="s">
        <v>70</v>
      </c>
      <c r="C114" s="29" t="s">
        <v>32</v>
      </c>
      <c r="D114" s="81"/>
      <c r="E114" s="82">
        <f t="shared" si="34"/>
        <v>110</v>
      </c>
      <c r="F114" s="30">
        <v>2200</v>
      </c>
      <c r="G114" s="83"/>
      <c r="H114" s="82"/>
      <c r="I114" s="30"/>
      <c r="J114" s="41"/>
      <c r="K114" s="82">
        <f>IF($J$97=0,0,L114/(J$94+J$95+J96))</f>
        <v>77.989411764705878</v>
      </c>
      <c r="L114" s="108">
        <v>1325.82</v>
      </c>
      <c r="M114" s="41"/>
      <c r="N114" s="59">
        <f t="shared" si="35"/>
        <v>-874.18000000000006</v>
      </c>
      <c r="O114" s="41"/>
      <c r="P114" s="82">
        <f t="shared" si="36"/>
        <v>152.9609090909091</v>
      </c>
      <c r="Q114" s="108">
        <v>1682.57</v>
      </c>
      <c r="R114" s="41"/>
      <c r="S114" s="85">
        <f t="shared" si="37"/>
        <v>-356.75</v>
      </c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</row>
    <row r="115" spans="1:40" ht="20.25">
      <c r="A115" t="str">
        <f t="shared" si="29"/>
        <v>Véhicules usagésService gratuit 1</v>
      </c>
      <c r="B115" s="11" t="s">
        <v>70</v>
      </c>
      <c r="C115" s="29" t="s">
        <v>33</v>
      </c>
      <c r="D115" s="81"/>
      <c r="E115" s="82">
        <f t="shared" si="34"/>
        <v>90</v>
      </c>
      <c r="F115" s="30">
        <v>1800</v>
      </c>
      <c r="G115" s="83"/>
      <c r="H115" s="82"/>
      <c r="I115" s="30"/>
      <c r="J115" s="41"/>
      <c r="K115" s="82">
        <f>IF($J$97=0,0,L115/(J$94+J$95+J96))</f>
        <v>121.64235294117647</v>
      </c>
      <c r="L115" s="33">
        <v>2067.92</v>
      </c>
      <c r="M115" s="41"/>
      <c r="N115" s="59">
        <f t="shared" si="35"/>
        <v>267.92000000000007</v>
      </c>
      <c r="O115" s="41"/>
      <c r="P115" s="82">
        <f t="shared" si="36"/>
        <v>255.2709090909091</v>
      </c>
      <c r="Q115" s="33">
        <v>2807.98</v>
      </c>
      <c r="R115" s="41"/>
      <c r="S115" s="85">
        <f t="shared" si="37"/>
        <v>-740.06</v>
      </c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</row>
    <row r="116" spans="1:40" ht="20.25">
      <c r="A116" t="str">
        <f t="shared" si="29"/>
        <v>Véhicules usagésEntretien stock</v>
      </c>
      <c r="B116" s="11" t="s">
        <v>70</v>
      </c>
      <c r="C116" s="86" t="s">
        <v>34</v>
      </c>
      <c r="D116" s="87"/>
      <c r="E116" s="88">
        <f t="shared" si="34"/>
        <v>105</v>
      </c>
      <c r="F116" s="22">
        <v>2100</v>
      </c>
      <c r="G116" s="89"/>
      <c r="H116" s="88"/>
      <c r="I116" s="22"/>
      <c r="J116" s="23"/>
      <c r="K116" s="88">
        <f>IF($J$97=0,0,L116/(J$94+J$95+J96))</f>
        <v>112.93294117647058</v>
      </c>
      <c r="L116" s="48">
        <v>1919.86</v>
      </c>
      <c r="M116" s="23"/>
      <c r="N116" s="91">
        <f t="shared" si="35"/>
        <v>-180.1400000000001</v>
      </c>
      <c r="O116" s="23"/>
      <c r="P116" s="88">
        <f t="shared" si="36"/>
        <v>220.67090909090911</v>
      </c>
      <c r="Q116" s="48">
        <v>2427.38</v>
      </c>
      <c r="R116" s="23"/>
      <c r="S116" s="92">
        <f t="shared" si="37"/>
        <v>-507.52000000000021</v>
      </c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</row>
    <row r="117" spans="1:40" ht="20.25">
      <c r="A117" t="str">
        <f t="shared" si="29"/>
        <v>Véhicules usagésPublicité 1</v>
      </c>
      <c r="B117" s="11" t="s">
        <v>70</v>
      </c>
      <c r="C117" s="29" t="s">
        <v>35</v>
      </c>
      <c r="D117" s="81"/>
      <c r="E117" s="82">
        <f t="shared" si="34"/>
        <v>321.80416666666667</v>
      </c>
      <c r="F117" s="30">
        <v>6436.0833333333339</v>
      </c>
      <c r="G117" s="83"/>
      <c r="H117" s="82"/>
      <c r="I117" s="30"/>
      <c r="J117" s="41"/>
      <c r="K117" s="82">
        <f>IF($J$97=0,0,L117/(J$94+J$95+J96))</f>
        <v>400.34470588235291</v>
      </c>
      <c r="L117" s="33">
        <v>6805.86</v>
      </c>
      <c r="M117" s="41"/>
      <c r="N117" s="59">
        <f t="shared" si="35"/>
        <v>369.77666666666573</v>
      </c>
      <c r="O117" s="41"/>
      <c r="P117" s="82">
        <f t="shared" si="36"/>
        <v>555.55272727272722</v>
      </c>
      <c r="Q117" s="33">
        <v>6111.08</v>
      </c>
      <c r="R117" s="41"/>
      <c r="S117" s="85">
        <f t="shared" si="37"/>
        <v>694.77999999999975</v>
      </c>
      <c r="T117" s="13"/>
      <c r="U117" s="13"/>
      <c r="V117" s="13"/>
      <c r="W117" s="13" t="s">
        <v>273</v>
      </c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</row>
    <row r="118" spans="1:40" ht="20.25">
      <c r="A118" t="str">
        <f>+B118&amp;C118</f>
        <v>Véhicules usagésIntérêt de gros</v>
      </c>
      <c r="B118" s="11" t="s">
        <v>70</v>
      </c>
      <c r="C118" s="29" t="s">
        <v>36</v>
      </c>
      <c r="D118" s="81"/>
      <c r="E118" s="82">
        <f t="shared" si="34"/>
        <v>400.55275233044034</v>
      </c>
      <c r="F118" s="30">
        <v>8011.0550466088071</v>
      </c>
      <c r="G118" s="83"/>
      <c r="H118" s="82"/>
      <c r="I118" s="30"/>
      <c r="J118" s="41"/>
      <c r="K118" s="82">
        <f>IF($J$97=0,0,L118/(J$94+J$95+J96))</f>
        <v>278.03647058823526</v>
      </c>
      <c r="L118" s="33">
        <v>4726.62</v>
      </c>
      <c r="M118" s="41"/>
      <c r="N118" s="59">
        <f t="shared" si="35"/>
        <v>-3284.4350466088072</v>
      </c>
      <c r="O118" s="41"/>
      <c r="P118" s="82">
        <f t="shared" si="36"/>
        <v>474.48363636363632</v>
      </c>
      <c r="Q118" s="33">
        <v>5219.32</v>
      </c>
      <c r="R118" s="41"/>
      <c r="S118" s="85">
        <f>L118-Q118</f>
        <v>-492.69999999999982</v>
      </c>
      <c r="T118" s="13"/>
      <c r="U118" s="13"/>
      <c r="V118" s="13">
        <v>4727</v>
      </c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</row>
    <row r="119" spans="1:40" ht="20.25" hidden="1">
      <c r="A119" t="str">
        <f>+B119&amp;C119</f>
        <v>Véhicules usagés[...]</v>
      </c>
      <c r="B119" s="11" t="s">
        <v>70</v>
      </c>
      <c r="C119" s="29" t="s">
        <v>19</v>
      </c>
      <c r="D119" s="81"/>
      <c r="E119" s="82">
        <f t="shared" si="34"/>
        <v>0</v>
      </c>
      <c r="F119" s="30">
        <v>0</v>
      </c>
      <c r="G119" s="83"/>
      <c r="H119" s="82"/>
      <c r="I119" s="30"/>
      <c r="J119" s="41"/>
      <c r="K119" s="82">
        <f t="shared" ref="K119:K121" si="38">IF($J$97=0,0,L119/(J$94+J$95))</f>
        <v>0</v>
      </c>
      <c r="L119" s="33">
        <v>0</v>
      </c>
      <c r="M119" s="41"/>
      <c r="N119" s="59">
        <f t="shared" si="35"/>
        <v>0</v>
      </c>
      <c r="O119" s="41"/>
      <c r="P119" s="82">
        <f t="shared" si="36"/>
        <v>0</v>
      </c>
      <c r="Q119" s="33">
        <v>0</v>
      </c>
      <c r="R119" s="41"/>
      <c r="S119" s="85">
        <f>L119-Q119</f>
        <v>0</v>
      </c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</row>
    <row r="120" spans="1:40" ht="20.25" hidden="1">
      <c r="A120" t="str">
        <f>+B120&amp;C120</f>
        <v>Véhicules usagés[...]</v>
      </c>
      <c r="B120" s="11" t="s">
        <v>70</v>
      </c>
      <c r="C120" s="29" t="s">
        <v>19</v>
      </c>
      <c r="D120" s="81"/>
      <c r="E120" s="82">
        <f t="shared" si="34"/>
        <v>0</v>
      </c>
      <c r="F120" s="30">
        <v>0</v>
      </c>
      <c r="G120" s="83"/>
      <c r="H120" s="82"/>
      <c r="I120" s="30"/>
      <c r="J120" s="41"/>
      <c r="K120" s="82">
        <f t="shared" si="38"/>
        <v>0</v>
      </c>
      <c r="L120" s="33">
        <v>0</v>
      </c>
      <c r="M120" s="41"/>
      <c r="N120" s="59">
        <f t="shared" si="35"/>
        <v>0</v>
      </c>
      <c r="O120" s="41"/>
      <c r="P120" s="82">
        <f t="shared" si="36"/>
        <v>0</v>
      </c>
      <c r="Q120" s="33">
        <v>0</v>
      </c>
      <c r="R120" s="41"/>
      <c r="S120" s="85">
        <f>L120-Q120</f>
        <v>0</v>
      </c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</row>
    <row r="121" spans="1:40" ht="20.25" hidden="1">
      <c r="A121" t="str">
        <f>+B121&amp;C121</f>
        <v>Véhicules usagés[...]</v>
      </c>
      <c r="B121" s="11" t="s">
        <v>70</v>
      </c>
      <c r="C121" s="29" t="s">
        <v>19</v>
      </c>
      <c r="D121" s="81"/>
      <c r="E121" s="82">
        <f t="shared" si="34"/>
        <v>0</v>
      </c>
      <c r="F121" s="30">
        <v>0</v>
      </c>
      <c r="G121" s="83"/>
      <c r="H121" s="82"/>
      <c r="I121" s="30"/>
      <c r="J121" s="41"/>
      <c r="K121" s="82">
        <f t="shared" si="38"/>
        <v>0</v>
      </c>
      <c r="L121" s="33">
        <v>0</v>
      </c>
      <c r="M121" s="41"/>
      <c r="N121" s="59">
        <f t="shared" si="35"/>
        <v>0</v>
      </c>
      <c r="O121" s="41"/>
      <c r="P121" s="82">
        <f t="shared" si="36"/>
        <v>0</v>
      </c>
      <c r="Q121" s="33">
        <v>0</v>
      </c>
      <c r="R121" s="41"/>
      <c r="S121" s="85">
        <f t="shared" ref="S121:S131" si="39">L121-Q121</f>
        <v>0</v>
      </c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</row>
    <row r="122" spans="1:40" ht="20.25">
      <c r="A122" t="str">
        <f t="shared" ref="A122:A187" si="40">+B122&amp;C122</f>
        <v>Véhicules usagésTOTAL VARIABLES</v>
      </c>
      <c r="B122" s="11" t="s">
        <v>70</v>
      </c>
      <c r="C122" s="93" t="s">
        <v>37</v>
      </c>
      <c r="D122" s="94" t="s">
        <v>38</v>
      </c>
      <c r="E122" s="95">
        <f>F122/F$108</f>
        <v>0.50522859430734357</v>
      </c>
      <c r="F122" s="96">
        <f>SUM(F112:F121)</f>
        <v>44295.917005896343</v>
      </c>
      <c r="G122" s="97"/>
      <c r="H122" s="95"/>
      <c r="I122" s="96"/>
      <c r="J122" s="97" t="s">
        <v>38</v>
      </c>
      <c r="K122" s="95">
        <f>L122/L$108</f>
        <v>0.47210068237112396</v>
      </c>
      <c r="L122" s="96">
        <f>SUM(L112:L121)</f>
        <v>34181.01</v>
      </c>
      <c r="M122" s="100"/>
      <c r="N122" s="96">
        <f t="shared" si="35"/>
        <v>-10114.907005896341</v>
      </c>
      <c r="O122" s="97" t="s">
        <v>38</v>
      </c>
      <c r="P122" s="95">
        <f>Q122/Q$108</f>
        <v>0.74799827599170521</v>
      </c>
      <c r="Q122" s="96">
        <f>SUM(Q112:Q121)</f>
        <v>28253.72</v>
      </c>
      <c r="R122" s="100"/>
      <c r="S122" s="101">
        <f t="shared" si="39"/>
        <v>5927.2900000000009</v>
      </c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</row>
    <row r="123" spans="1:40" ht="20.25">
      <c r="A123" t="str">
        <f t="shared" si="40"/>
        <v>Véhicules usagésSalaires cadres</v>
      </c>
      <c r="B123" s="11" t="s">
        <v>70</v>
      </c>
      <c r="C123" s="102" t="s">
        <v>40</v>
      </c>
      <c r="D123" s="13"/>
      <c r="E123" s="13"/>
      <c r="F123" s="30">
        <v>4919.7081424936387</v>
      </c>
      <c r="G123" s="41"/>
      <c r="H123" s="13"/>
      <c r="I123" s="30"/>
      <c r="J123" s="41"/>
      <c r="K123" s="13"/>
      <c r="L123" s="33">
        <v>4551.6499999999996</v>
      </c>
      <c r="M123" s="41"/>
      <c r="N123" s="59">
        <f t="shared" si="35"/>
        <v>-368.05814249363902</v>
      </c>
      <c r="O123" s="41"/>
      <c r="P123" s="13"/>
      <c r="Q123" s="33">
        <v>1417.1</v>
      </c>
      <c r="R123" s="41"/>
      <c r="S123" s="85">
        <f t="shared" si="39"/>
        <v>3134.5499999999997</v>
      </c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</row>
    <row r="124" spans="1:40" ht="20.25">
      <c r="A124" t="str">
        <f t="shared" si="40"/>
        <v>Véhicules usagésSalaires commis</v>
      </c>
      <c r="B124" s="11" t="s">
        <v>70</v>
      </c>
      <c r="C124" s="103" t="s">
        <v>41</v>
      </c>
      <c r="D124" s="81"/>
      <c r="E124" s="13"/>
      <c r="F124" s="22">
        <v>2625.1595419847326</v>
      </c>
      <c r="G124" s="83"/>
      <c r="H124" s="13"/>
      <c r="I124" s="22"/>
      <c r="J124" s="41"/>
      <c r="K124" s="13"/>
      <c r="L124" s="22">
        <v>2836.3</v>
      </c>
      <c r="M124" s="41"/>
      <c r="N124" s="59">
        <f t="shared" si="35"/>
        <v>211.14045801526754</v>
      </c>
      <c r="O124" s="41"/>
      <c r="P124" s="13"/>
      <c r="Q124" s="22">
        <v>4267.43</v>
      </c>
      <c r="R124" s="41"/>
      <c r="S124" s="85">
        <f t="shared" si="39"/>
        <v>-1431.13</v>
      </c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</row>
    <row r="125" spans="1:40" ht="20.25">
      <c r="A125" t="str">
        <f t="shared" si="40"/>
        <v>Véhicules usagésSalaires autres</v>
      </c>
      <c r="B125" s="11" t="s">
        <v>70</v>
      </c>
      <c r="C125" s="102" t="s">
        <v>42</v>
      </c>
      <c r="D125" s="104"/>
      <c r="E125" s="105"/>
      <c r="F125" s="30">
        <v>2809</v>
      </c>
      <c r="G125" s="106"/>
      <c r="H125" s="105"/>
      <c r="I125" s="30"/>
      <c r="J125" s="107"/>
      <c r="K125" s="105"/>
      <c r="L125" s="33">
        <v>2809</v>
      </c>
      <c r="M125" s="107"/>
      <c r="N125" s="109">
        <f t="shared" si="35"/>
        <v>0</v>
      </c>
      <c r="O125" s="107"/>
      <c r="P125" s="105"/>
      <c r="Q125" s="33">
        <v>2809</v>
      </c>
      <c r="R125" s="107"/>
      <c r="S125" s="110">
        <f t="shared" si="39"/>
        <v>0</v>
      </c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</row>
    <row r="126" spans="1:40" ht="20.25">
      <c r="A126" t="str">
        <f t="shared" si="40"/>
        <v>Véhicules usagésSalaires spécialistes</v>
      </c>
      <c r="B126" s="11" t="s">
        <v>70</v>
      </c>
      <c r="C126" s="102" t="s">
        <v>43</v>
      </c>
      <c r="D126" s="81"/>
      <c r="E126" s="13"/>
      <c r="F126" s="30">
        <v>0</v>
      </c>
      <c r="G126" s="83"/>
      <c r="H126" s="13"/>
      <c r="I126" s="30"/>
      <c r="J126" s="41"/>
      <c r="K126" s="13"/>
      <c r="L126" s="33">
        <v>0</v>
      </c>
      <c r="M126" s="41"/>
      <c r="N126" s="59">
        <f t="shared" si="35"/>
        <v>0</v>
      </c>
      <c r="O126" s="41"/>
      <c r="P126" s="13"/>
      <c r="Q126" s="33">
        <v>0</v>
      </c>
      <c r="R126" s="41"/>
      <c r="S126" s="85">
        <f t="shared" si="39"/>
        <v>0</v>
      </c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</row>
    <row r="127" spans="1:40" ht="20.25" hidden="1">
      <c r="A127" t="str">
        <f>+B127&amp;C127</f>
        <v>Véhicules usagés[...]</v>
      </c>
      <c r="B127" s="11" t="s">
        <v>70</v>
      </c>
      <c r="C127" s="102" t="s">
        <v>19</v>
      </c>
      <c r="D127" s="81"/>
      <c r="E127" s="13"/>
      <c r="F127" s="30">
        <v>0</v>
      </c>
      <c r="G127" s="83"/>
      <c r="H127" s="13"/>
      <c r="I127" s="30"/>
      <c r="J127" s="41"/>
      <c r="K127" s="13"/>
      <c r="L127" s="33">
        <v>0</v>
      </c>
      <c r="M127" s="41"/>
      <c r="N127" s="59">
        <f t="shared" si="35"/>
        <v>0</v>
      </c>
      <c r="O127" s="41"/>
      <c r="P127" s="13"/>
      <c r="Q127" s="33">
        <v>0</v>
      </c>
      <c r="R127" s="41"/>
      <c r="S127" s="85">
        <f>L127-Q127</f>
        <v>0</v>
      </c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</row>
    <row r="128" spans="1:40" ht="20.25" hidden="1">
      <c r="A128" t="str">
        <f>+B128&amp;C128</f>
        <v>Véhicules usagés[...]</v>
      </c>
      <c r="B128" s="11" t="s">
        <v>70</v>
      </c>
      <c r="C128" s="102" t="s">
        <v>19</v>
      </c>
      <c r="D128" s="81"/>
      <c r="E128" s="13"/>
      <c r="F128" s="30">
        <v>0</v>
      </c>
      <c r="G128" s="83"/>
      <c r="H128" s="13"/>
      <c r="I128" s="30"/>
      <c r="J128" s="41"/>
      <c r="K128" s="13"/>
      <c r="L128" s="33">
        <v>0</v>
      </c>
      <c r="M128" s="41"/>
      <c r="N128" s="59">
        <f t="shared" si="35"/>
        <v>0</v>
      </c>
      <c r="O128" s="41"/>
      <c r="P128" s="13"/>
      <c r="Q128" s="33">
        <v>0</v>
      </c>
      <c r="R128" s="41"/>
      <c r="S128" s="85">
        <f>L128-Q128</f>
        <v>0</v>
      </c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</row>
    <row r="129" spans="1:40" ht="20.25" hidden="1">
      <c r="A129" t="str">
        <f>+B129&amp;C129</f>
        <v>Véhicules usagés[...]</v>
      </c>
      <c r="B129" s="11" t="s">
        <v>70</v>
      </c>
      <c r="C129" s="102" t="s">
        <v>19</v>
      </c>
      <c r="D129" s="81"/>
      <c r="E129" s="13"/>
      <c r="F129" s="30">
        <v>0</v>
      </c>
      <c r="G129" s="83"/>
      <c r="H129" s="13"/>
      <c r="I129" s="30"/>
      <c r="J129" s="41"/>
      <c r="K129" s="13"/>
      <c r="L129" s="33">
        <v>0</v>
      </c>
      <c r="M129" s="41"/>
      <c r="N129" s="59">
        <f t="shared" si="35"/>
        <v>0</v>
      </c>
      <c r="O129" s="41"/>
      <c r="P129" s="13"/>
      <c r="Q129" s="33">
        <v>0</v>
      </c>
      <c r="R129" s="41"/>
      <c r="S129" s="85">
        <f>L129-Q129</f>
        <v>0</v>
      </c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</row>
    <row r="130" spans="1:40" ht="20.25">
      <c r="A130" t="str">
        <f t="shared" ref="A130:A195" si="41">+B130&amp;C130</f>
        <v>Véhicules usagésSalaires en absences</v>
      </c>
      <c r="B130" s="11" t="s">
        <v>70</v>
      </c>
      <c r="C130" s="103" t="s">
        <v>44</v>
      </c>
      <c r="D130" s="81"/>
      <c r="E130" s="13"/>
      <c r="F130" s="30">
        <v>3667.0113935383638</v>
      </c>
      <c r="G130" s="83"/>
      <c r="H130" s="13"/>
      <c r="I130" s="30"/>
      <c r="J130" s="41"/>
      <c r="K130" s="13"/>
      <c r="L130" s="33">
        <v>3250.99</v>
      </c>
      <c r="M130" s="41"/>
      <c r="N130" s="59">
        <f t="shared" si="35"/>
        <v>-416.02139353836401</v>
      </c>
      <c r="O130" s="41"/>
      <c r="P130" s="13"/>
      <c r="Q130" s="33">
        <v>5208.51</v>
      </c>
      <c r="R130" s="41"/>
      <c r="S130" s="85">
        <f>L130-Q130</f>
        <v>-1957.5200000000004</v>
      </c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</row>
    <row r="131" spans="1:40" ht="20.25">
      <c r="A131" t="str">
        <f t="shared" si="41"/>
        <v>Véhicules usagésDéduction à la source</v>
      </c>
      <c r="B131" s="11" t="s">
        <v>70</v>
      </c>
      <c r="C131" s="102" t="s">
        <v>45</v>
      </c>
      <c r="D131" s="104"/>
      <c r="E131" s="105"/>
      <c r="F131" s="54">
        <v>4729.774486704835</v>
      </c>
      <c r="G131" s="106"/>
      <c r="H131" s="105"/>
      <c r="I131" s="54"/>
      <c r="J131" s="107"/>
      <c r="K131" s="105"/>
      <c r="L131" s="55">
        <v>2007.03</v>
      </c>
      <c r="M131" s="107"/>
      <c r="N131" s="109">
        <f t="shared" si="35"/>
        <v>-2722.7444867048353</v>
      </c>
      <c r="O131" s="107"/>
      <c r="P131" s="105"/>
      <c r="Q131" s="55">
        <v>3224</v>
      </c>
      <c r="R131" s="107"/>
      <c r="S131" s="110">
        <f t="shared" ref="S131:S148" si="42">L131-Q131</f>
        <v>-1216.97</v>
      </c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</row>
    <row r="132" spans="1:40" ht="20.25">
      <c r="A132" t="str">
        <f t="shared" si="41"/>
        <v>Véhicules usagésBénéfices marginaux</v>
      </c>
      <c r="B132" s="11" t="s">
        <v>70</v>
      </c>
      <c r="C132" s="102" t="s">
        <v>46</v>
      </c>
      <c r="D132" s="81"/>
      <c r="E132" s="13"/>
      <c r="F132" s="30">
        <v>2204.8572795165396</v>
      </c>
      <c r="G132" s="83"/>
      <c r="H132" s="13"/>
      <c r="I132" s="30"/>
      <c r="J132" s="41"/>
      <c r="K132" s="13"/>
      <c r="L132" s="33">
        <v>2020.73</v>
      </c>
      <c r="M132" s="41"/>
      <c r="N132" s="59">
        <f t="shared" si="35"/>
        <v>-184.1272795165396</v>
      </c>
      <c r="O132" s="41"/>
      <c r="P132" s="13"/>
      <c r="Q132" s="33">
        <v>1866.89</v>
      </c>
      <c r="R132" s="41"/>
      <c r="S132" s="85">
        <f t="shared" si="42"/>
        <v>153.83999999999992</v>
      </c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</row>
    <row r="133" spans="1:40" ht="20.25">
      <c r="A133" t="str">
        <f t="shared" si="41"/>
        <v>Véhicules usagésCsst</v>
      </c>
      <c r="B133" s="11" t="s">
        <v>70</v>
      </c>
      <c r="C133" s="102" t="s">
        <v>47</v>
      </c>
      <c r="D133" s="81"/>
      <c r="E133" s="13"/>
      <c r="F133" s="30">
        <v>497.87099860050893</v>
      </c>
      <c r="G133" s="83"/>
      <c r="H133" s="13"/>
      <c r="I133" s="30"/>
      <c r="J133" s="41"/>
      <c r="K133" s="13"/>
      <c r="L133" s="33">
        <v>65.36</v>
      </c>
      <c r="M133" s="41"/>
      <c r="N133" s="59">
        <f t="shared" si="35"/>
        <v>-432.51099860050891</v>
      </c>
      <c r="O133" s="41"/>
      <c r="P133" s="13"/>
      <c r="Q133" s="33">
        <v>65.16</v>
      </c>
      <c r="R133" s="41"/>
      <c r="S133" s="85">
        <f t="shared" si="42"/>
        <v>0.20000000000000284</v>
      </c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</row>
    <row r="134" spans="1:40" ht="20.25" hidden="1">
      <c r="A134" t="str">
        <f t="shared" si="41"/>
        <v>Véhicules usagés[...]</v>
      </c>
      <c r="B134" s="11" t="s">
        <v>70</v>
      </c>
      <c r="C134" s="29" t="s">
        <v>19</v>
      </c>
      <c r="D134" s="87"/>
      <c r="E134" s="111"/>
      <c r="F134" s="30">
        <v>0</v>
      </c>
      <c r="G134" s="89"/>
      <c r="H134" s="111"/>
      <c r="I134" s="30"/>
      <c r="J134" s="23"/>
      <c r="K134" s="111"/>
      <c r="L134" s="33">
        <v>0</v>
      </c>
      <c r="M134" s="41"/>
      <c r="N134" s="59">
        <f t="shared" si="35"/>
        <v>0</v>
      </c>
      <c r="O134" s="23"/>
      <c r="P134" s="111"/>
      <c r="Q134" s="33">
        <v>0</v>
      </c>
      <c r="R134" s="23"/>
      <c r="S134" s="92">
        <f t="shared" si="42"/>
        <v>0</v>
      </c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</row>
    <row r="135" spans="1:40" ht="20.25">
      <c r="A135" t="str">
        <f t="shared" si="41"/>
        <v>Véhicules usagésTOTAL PERSONNEL</v>
      </c>
      <c r="B135" s="11" t="s">
        <v>70</v>
      </c>
      <c r="C135" s="93" t="s">
        <v>48</v>
      </c>
      <c r="D135" s="94" t="s">
        <v>38</v>
      </c>
      <c r="E135" s="95">
        <f>F135/F$108</f>
        <v>0.24469212253023803</v>
      </c>
      <c r="F135" s="96">
        <f>+SUM(F123:F134)</f>
        <v>21453.381842838618</v>
      </c>
      <c r="G135" s="97"/>
      <c r="H135" s="95"/>
      <c r="I135" s="96"/>
      <c r="J135" s="97" t="s">
        <v>38</v>
      </c>
      <c r="K135" s="95">
        <f>L135/L$108</f>
        <v>0.24227330893712115</v>
      </c>
      <c r="L135" s="96">
        <f>SUM(L123:L134)</f>
        <v>17541.060000000001</v>
      </c>
      <c r="M135" s="463"/>
      <c r="N135" s="464">
        <f t="shared" si="35"/>
        <v>-3912.3218428386172</v>
      </c>
      <c r="O135" s="97" t="s">
        <v>38</v>
      </c>
      <c r="P135" s="95">
        <f>Q135/Q$108</f>
        <v>0.49925527712798229</v>
      </c>
      <c r="Q135" s="96">
        <f>+SUM(Q123:Q134)</f>
        <v>18858.09</v>
      </c>
      <c r="R135" s="147"/>
      <c r="S135" s="114">
        <f t="shared" si="42"/>
        <v>-1317.0299999999988</v>
      </c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</row>
    <row r="136" spans="1:40" ht="20.25">
      <c r="A136" t="str">
        <f t="shared" si="41"/>
        <v>Véhicules usagésPublicité 2</v>
      </c>
      <c r="B136" s="11" t="s">
        <v>70</v>
      </c>
      <c r="C136" s="29" t="s">
        <v>49</v>
      </c>
      <c r="D136" s="81"/>
      <c r="E136" s="13"/>
      <c r="F136" s="30">
        <v>0</v>
      </c>
      <c r="G136" s="83"/>
      <c r="H136" s="13"/>
      <c r="I136" s="30"/>
      <c r="J136" s="41"/>
      <c r="K136" s="13"/>
      <c r="L136" s="33">
        <v>0</v>
      </c>
      <c r="M136" s="41"/>
      <c r="N136" s="59">
        <f t="shared" si="35"/>
        <v>0</v>
      </c>
      <c r="O136" s="41"/>
      <c r="P136" s="13"/>
      <c r="Q136" s="33">
        <v>0</v>
      </c>
      <c r="R136" s="41"/>
      <c r="S136" s="85">
        <f t="shared" si="42"/>
        <v>0</v>
      </c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</row>
    <row r="137" spans="1:40" ht="20.25">
      <c r="A137" t="str">
        <f t="shared" si="41"/>
        <v>Véhicules usagésService gratuit 2</v>
      </c>
      <c r="B137" s="11" t="s">
        <v>70</v>
      </c>
      <c r="C137" s="29" t="s">
        <v>50</v>
      </c>
      <c r="D137" s="81"/>
      <c r="E137" s="13"/>
      <c r="F137" s="30">
        <v>0</v>
      </c>
      <c r="G137" s="83"/>
      <c r="H137" s="13"/>
      <c r="I137" s="30"/>
      <c r="J137" s="41"/>
      <c r="K137" s="13"/>
      <c r="L137" s="33">
        <v>0</v>
      </c>
      <c r="M137" s="41"/>
      <c r="N137" s="59">
        <f t="shared" si="35"/>
        <v>0</v>
      </c>
      <c r="O137" s="41"/>
      <c r="P137" s="13"/>
      <c r="Q137" s="33">
        <v>0</v>
      </c>
      <c r="R137" s="41"/>
      <c r="S137" s="85">
        <f t="shared" si="42"/>
        <v>0</v>
      </c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</row>
    <row r="138" spans="1:40" ht="20.25">
      <c r="A138" t="str">
        <f t="shared" si="41"/>
        <v>Véhicules usagésFrais véhicules de cie</v>
      </c>
      <c r="B138" s="11" t="s">
        <v>70</v>
      </c>
      <c r="C138" s="86" t="s">
        <v>51</v>
      </c>
      <c r="D138" s="87"/>
      <c r="E138" s="111"/>
      <c r="F138" s="22">
        <v>857.83333333333326</v>
      </c>
      <c r="G138" s="89"/>
      <c r="H138" s="111"/>
      <c r="I138" s="22"/>
      <c r="J138" s="23"/>
      <c r="K138" s="111"/>
      <c r="L138" s="22">
        <v>867.37</v>
      </c>
      <c r="M138" s="23"/>
      <c r="N138" s="91">
        <f t="shared" si="35"/>
        <v>9.536666666666747</v>
      </c>
      <c r="O138" s="23"/>
      <c r="P138" s="111"/>
      <c r="Q138" s="22">
        <v>887.24</v>
      </c>
      <c r="R138" s="23"/>
      <c r="S138" s="92">
        <f t="shared" si="42"/>
        <v>-19.870000000000005</v>
      </c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</row>
    <row r="139" spans="1:40" ht="20.25">
      <c r="A139" t="str">
        <f t="shared" si="41"/>
        <v>Véhicules usagésInformatique</v>
      </c>
      <c r="B139" s="11" t="s">
        <v>70</v>
      </c>
      <c r="C139" s="29" t="s">
        <v>52</v>
      </c>
      <c r="D139" s="81"/>
      <c r="E139" s="13"/>
      <c r="F139" s="30">
        <v>1419.9</v>
      </c>
      <c r="G139" s="83"/>
      <c r="H139" s="13"/>
      <c r="I139" s="30"/>
      <c r="J139" s="41"/>
      <c r="K139" s="13"/>
      <c r="L139" s="33">
        <v>1472.05</v>
      </c>
      <c r="M139" s="41"/>
      <c r="N139" s="59">
        <f t="shared" si="35"/>
        <v>52.149999999999864</v>
      </c>
      <c r="O139" s="41"/>
      <c r="P139" s="13"/>
      <c r="Q139" s="33">
        <v>1275.48</v>
      </c>
      <c r="R139" s="41"/>
      <c r="S139" s="85">
        <f t="shared" si="42"/>
        <v>196.56999999999994</v>
      </c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</row>
    <row r="140" spans="1:40" ht="20.25">
      <c r="A140" t="str">
        <f t="shared" si="41"/>
        <v>Véhicules usagésFrais de déplacement</v>
      </c>
      <c r="B140" s="11" t="s">
        <v>70</v>
      </c>
      <c r="C140" s="29" t="s">
        <v>53</v>
      </c>
      <c r="D140" s="81"/>
      <c r="E140" s="13"/>
      <c r="F140" s="30">
        <v>182.8</v>
      </c>
      <c r="G140" s="83"/>
      <c r="H140" s="13"/>
      <c r="I140" s="30"/>
      <c r="J140" s="41"/>
      <c r="K140" s="13"/>
      <c r="L140" s="33">
        <v>191.14</v>
      </c>
      <c r="M140" s="41"/>
      <c r="N140" s="59">
        <f t="shared" si="35"/>
        <v>8.339999999999975</v>
      </c>
      <c r="O140" s="41"/>
      <c r="P140" s="13"/>
      <c r="Q140" s="33">
        <v>29.47</v>
      </c>
      <c r="R140" s="41"/>
      <c r="S140" s="85">
        <f t="shared" si="42"/>
        <v>161.66999999999999</v>
      </c>
      <c r="T140" s="148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</row>
    <row r="141" spans="1:40" ht="20.25">
      <c r="A141" t="str">
        <f t="shared" si="41"/>
        <v>Véhicules usagésServices extérieurs</v>
      </c>
      <c r="B141" s="11" t="s">
        <v>70</v>
      </c>
      <c r="C141" s="86" t="s">
        <v>54</v>
      </c>
      <c r="D141" s="87"/>
      <c r="E141" s="111"/>
      <c r="F141" s="22">
        <v>612.1</v>
      </c>
      <c r="G141" s="89"/>
      <c r="H141" s="111"/>
      <c r="I141" s="22"/>
      <c r="J141" s="23"/>
      <c r="K141" s="111"/>
      <c r="L141" s="22">
        <v>1038.4000000000001</v>
      </c>
      <c r="M141" s="23"/>
      <c r="N141" s="91">
        <f t="shared" si="35"/>
        <v>426.30000000000007</v>
      </c>
      <c r="O141" s="23"/>
      <c r="P141" s="111"/>
      <c r="Q141" s="22">
        <v>845.9</v>
      </c>
      <c r="R141" s="23"/>
      <c r="S141" s="92">
        <f t="shared" si="42"/>
        <v>192.50000000000011</v>
      </c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</row>
    <row r="142" spans="1:40" ht="20.25">
      <c r="A142" t="str">
        <f t="shared" si="41"/>
        <v>Véhicules usagésFournitures autres</v>
      </c>
      <c r="B142" s="11" t="s">
        <v>70</v>
      </c>
      <c r="C142" s="29" t="s">
        <v>55</v>
      </c>
      <c r="D142" s="81"/>
      <c r="E142" s="13"/>
      <c r="F142" s="30">
        <v>44.117647058823536</v>
      </c>
      <c r="G142" s="83"/>
      <c r="H142" s="13"/>
      <c r="I142" s="30"/>
      <c r="J142" s="41"/>
      <c r="K142" s="13"/>
      <c r="L142" s="33">
        <v>0</v>
      </c>
      <c r="M142" s="41"/>
      <c r="N142" s="59">
        <f t="shared" si="35"/>
        <v>-44.117647058823536</v>
      </c>
      <c r="O142" s="41"/>
      <c r="P142" s="13"/>
      <c r="Q142" s="33">
        <v>26.57</v>
      </c>
      <c r="R142" s="41"/>
      <c r="S142" s="85">
        <f t="shared" si="42"/>
        <v>-26.57</v>
      </c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</row>
    <row r="143" spans="1:40" ht="20.25">
      <c r="A143" t="str">
        <f t="shared" si="41"/>
        <v>Véhicules usagésUniformes</v>
      </c>
      <c r="B143" s="11" t="s">
        <v>70</v>
      </c>
      <c r="C143" s="29" t="s">
        <v>56</v>
      </c>
      <c r="D143" s="81"/>
      <c r="E143" s="13"/>
      <c r="F143" s="30">
        <v>5</v>
      </c>
      <c r="G143" s="83"/>
      <c r="H143" s="13"/>
      <c r="I143" s="30"/>
      <c r="J143" s="41"/>
      <c r="K143" s="13"/>
      <c r="L143" s="33">
        <v>0</v>
      </c>
      <c r="M143" s="41"/>
      <c r="N143" s="59">
        <f t="shared" si="35"/>
        <v>-5</v>
      </c>
      <c r="O143" s="41"/>
      <c r="P143" s="13"/>
      <c r="Q143" s="33">
        <v>0</v>
      </c>
      <c r="R143" s="41"/>
      <c r="S143" s="85">
        <f t="shared" si="42"/>
        <v>0</v>
      </c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</row>
    <row r="144" spans="1:40" ht="20.25">
      <c r="A144" t="str">
        <f t="shared" si="41"/>
        <v>Véhicules usagésPapeterie</v>
      </c>
      <c r="B144" s="11" t="s">
        <v>70</v>
      </c>
      <c r="C144" s="29" t="s">
        <v>57</v>
      </c>
      <c r="D144" s="81"/>
      <c r="E144" s="13"/>
      <c r="F144" s="30">
        <v>175</v>
      </c>
      <c r="G144" s="83"/>
      <c r="H144" s="13"/>
      <c r="I144" s="30"/>
      <c r="J144" s="41"/>
      <c r="K144" s="13"/>
      <c r="L144" s="32">
        <v>74.72</v>
      </c>
      <c r="M144" s="41"/>
      <c r="N144" s="59">
        <f t="shared" si="35"/>
        <v>-100.28</v>
      </c>
      <c r="O144" s="41"/>
      <c r="P144" s="13"/>
      <c r="Q144" s="32">
        <v>455.23</v>
      </c>
      <c r="R144" s="41"/>
      <c r="S144" s="85">
        <f t="shared" si="42"/>
        <v>-380.51</v>
      </c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</row>
    <row r="145" spans="1:40" ht="20.25">
      <c r="A145" t="str">
        <f t="shared" si="41"/>
        <v>Véhicules usagésTéléphone</v>
      </c>
      <c r="B145" s="11" t="s">
        <v>70</v>
      </c>
      <c r="C145" s="29" t="s">
        <v>58</v>
      </c>
      <c r="D145" s="81"/>
      <c r="E145" s="13"/>
      <c r="F145" s="30">
        <v>63.2</v>
      </c>
      <c r="G145" s="83"/>
      <c r="H145" s="13"/>
      <c r="I145" s="30"/>
      <c r="J145" s="41"/>
      <c r="K145" s="13"/>
      <c r="L145" s="33">
        <v>75.25</v>
      </c>
      <c r="M145" s="41"/>
      <c r="N145" s="59">
        <f t="shared" si="35"/>
        <v>12.049999999999997</v>
      </c>
      <c r="O145" s="41"/>
      <c r="P145" s="13"/>
      <c r="Q145" s="33">
        <v>84.72</v>
      </c>
      <c r="R145" s="41"/>
      <c r="S145" s="85">
        <f t="shared" si="42"/>
        <v>-9.4699999999999989</v>
      </c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</row>
    <row r="146" spans="1:40" ht="20.25">
      <c r="A146" t="str">
        <f t="shared" si="41"/>
        <v>Véhicules usagésFrais postaux</v>
      </c>
      <c r="B146" s="11" t="s">
        <v>70</v>
      </c>
      <c r="C146" s="29" t="s">
        <v>59</v>
      </c>
      <c r="D146" s="81"/>
      <c r="E146" s="13"/>
      <c r="F146" s="30">
        <v>50</v>
      </c>
      <c r="G146" s="83"/>
      <c r="H146" s="13"/>
      <c r="I146" s="30"/>
      <c r="J146" s="41"/>
      <c r="K146" s="13"/>
      <c r="L146" s="33">
        <v>78.02</v>
      </c>
      <c r="M146" s="41"/>
      <c r="N146" s="59">
        <f t="shared" si="35"/>
        <v>28.019999999999996</v>
      </c>
      <c r="O146" s="41"/>
      <c r="P146" s="13"/>
      <c r="Q146" s="33">
        <v>118</v>
      </c>
      <c r="R146" s="41"/>
      <c r="S146" s="85">
        <f t="shared" si="42"/>
        <v>-39.980000000000004</v>
      </c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</row>
    <row r="147" spans="1:40" ht="20.25">
      <c r="A147" t="str">
        <f t="shared" si="41"/>
        <v>Véhicules usagésDivers</v>
      </c>
      <c r="B147" s="11" t="s">
        <v>70</v>
      </c>
      <c r="C147" s="29" t="s">
        <v>60</v>
      </c>
      <c r="D147" s="81"/>
      <c r="E147" s="13"/>
      <c r="F147" s="30">
        <v>185.8</v>
      </c>
      <c r="G147" s="83"/>
      <c r="H147" s="13"/>
      <c r="I147" s="30"/>
      <c r="J147" s="41"/>
      <c r="K147" s="13"/>
      <c r="L147" s="33">
        <v>144.6</v>
      </c>
      <c r="M147" s="41"/>
      <c r="N147" s="59">
        <f t="shared" si="35"/>
        <v>-41.200000000000017</v>
      </c>
      <c r="O147" s="41"/>
      <c r="P147" s="13"/>
      <c r="Q147" s="33">
        <v>158.93</v>
      </c>
      <c r="R147" s="41"/>
      <c r="S147" s="85">
        <f t="shared" si="42"/>
        <v>-14.330000000000013</v>
      </c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</row>
    <row r="148" spans="1:40" ht="20.25">
      <c r="A148" t="str">
        <f t="shared" si="41"/>
        <v>Véhicules usagésFormation</v>
      </c>
      <c r="B148" s="11" t="s">
        <v>70</v>
      </c>
      <c r="C148" s="29" t="s">
        <v>61</v>
      </c>
      <c r="D148" s="81"/>
      <c r="E148" s="13"/>
      <c r="F148" s="30">
        <v>137.24010666666663</v>
      </c>
      <c r="G148" s="83"/>
      <c r="H148" s="13"/>
      <c r="I148" s="30"/>
      <c r="J148" s="41"/>
      <c r="K148" s="13"/>
      <c r="L148" s="59">
        <v>39.97</v>
      </c>
      <c r="M148" s="41"/>
      <c r="N148" s="59">
        <f t="shared" si="35"/>
        <v>-97.270106666666635</v>
      </c>
      <c r="O148" s="41"/>
      <c r="P148" s="13"/>
      <c r="Q148" s="33">
        <v>-21.88</v>
      </c>
      <c r="R148" s="41"/>
      <c r="S148" s="85">
        <f t="shared" si="42"/>
        <v>61.849999999999994</v>
      </c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</row>
    <row r="149" spans="1:40" ht="20.25">
      <c r="A149" t="str">
        <f>+B149&amp;C149</f>
        <v>Véhicules usagésFrais bancaires</v>
      </c>
      <c r="B149" s="11" t="s">
        <v>70</v>
      </c>
      <c r="C149" s="29" t="s">
        <v>62</v>
      </c>
      <c r="D149" s="81"/>
      <c r="E149" s="13"/>
      <c r="F149" s="30">
        <v>669.99643405681343</v>
      </c>
      <c r="G149" s="83"/>
      <c r="H149" s="13"/>
      <c r="I149" s="30"/>
      <c r="J149" s="41"/>
      <c r="K149" s="13"/>
      <c r="L149" s="33">
        <v>592.16</v>
      </c>
      <c r="M149" s="41"/>
      <c r="N149" s="59">
        <f t="shared" si="35"/>
        <v>-77.836434056813459</v>
      </c>
      <c r="O149" s="41"/>
      <c r="P149" s="13"/>
      <c r="Q149" s="33">
        <v>572.54999999999995</v>
      </c>
      <c r="R149" s="41"/>
      <c r="S149" s="85">
        <f>L149-Q149</f>
        <v>19.610000000000014</v>
      </c>
      <c r="T149" s="82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</row>
    <row r="150" spans="1:40" ht="20.25" hidden="1">
      <c r="A150" t="str">
        <f>+B150&amp;C150</f>
        <v>Véhicules usagés[...]</v>
      </c>
      <c r="B150" s="11" t="s">
        <v>70</v>
      </c>
      <c r="C150" s="29" t="s">
        <v>19</v>
      </c>
      <c r="D150" s="81"/>
      <c r="E150" s="13"/>
      <c r="F150" s="30">
        <v>0</v>
      </c>
      <c r="G150" s="83"/>
      <c r="H150" s="13"/>
      <c r="I150" s="30"/>
      <c r="J150" s="41"/>
      <c r="K150" s="13"/>
      <c r="L150" s="33">
        <v>0</v>
      </c>
      <c r="M150" s="41"/>
      <c r="N150" s="59">
        <f t="shared" si="35"/>
        <v>0</v>
      </c>
      <c r="O150" s="41"/>
      <c r="P150" s="13"/>
      <c r="Q150" s="33">
        <v>0</v>
      </c>
      <c r="R150" s="41"/>
      <c r="S150" s="85">
        <f>L150-Q150</f>
        <v>0</v>
      </c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</row>
    <row r="151" spans="1:40" ht="20.25" hidden="1">
      <c r="A151" t="str">
        <f>+B151&amp;C151</f>
        <v>Véhicules usagés[...]</v>
      </c>
      <c r="B151" s="11" t="s">
        <v>70</v>
      </c>
      <c r="C151" s="29" t="s">
        <v>19</v>
      </c>
      <c r="D151" s="81"/>
      <c r="E151" s="13"/>
      <c r="F151" s="30">
        <v>0</v>
      </c>
      <c r="G151" s="83"/>
      <c r="H151" s="13"/>
      <c r="I151" s="30"/>
      <c r="J151" s="41"/>
      <c r="K151" s="13"/>
      <c r="L151" s="33">
        <v>0</v>
      </c>
      <c r="M151" s="41"/>
      <c r="N151" s="59">
        <f t="shared" si="35"/>
        <v>0</v>
      </c>
      <c r="O151" s="41"/>
      <c r="P151" s="13"/>
      <c r="Q151" s="33">
        <v>0</v>
      </c>
      <c r="R151" s="41"/>
      <c r="S151" s="85">
        <f>L151-Q151</f>
        <v>0</v>
      </c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</row>
    <row r="152" spans="1:40" ht="20.25" hidden="1">
      <c r="A152" t="str">
        <f>+B152&amp;C152</f>
        <v>Véhicules usagés[...]</v>
      </c>
      <c r="B152" s="11" t="s">
        <v>70</v>
      </c>
      <c r="C152" s="29" t="s">
        <v>19</v>
      </c>
      <c r="D152" s="81"/>
      <c r="E152" s="13"/>
      <c r="F152" s="30">
        <v>0</v>
      </c>
      <c r="G152" s="83"/>
      <c r="H152" s="13"/>
      <c r="I152" s="30"/>
      <c r="J152" s="41"/>
      <c r="K152" s="13"/>
      <c r="L152" s="33">
        <v>0</v>
      </c>
      <c r="M152" s="41"/>
      <c r="N152" s="59">
        <f t="shared" si="35"/>
        <v>0</v>
      </c>
      <c r="O152" s="41"/>
      <c r="P152" s="13"/>
      <c r="Q152" s="33">
        <v>0</v>
      </c>
      <c r="R152" s="41"/>
      <c r="S152" s="85">
        <f>L152-Q152</f>
        <v>0</v>
      </c>
      <c r="T152" s="82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</row>
    <row r="153" spans="1:40" ht="20.25">
      <c r="A153" t="str">
        <f t="shared" ref="A153:A218" si="43">+B153&amp;C153</f>
        <v>Véhicules usagésTOTAL SEMI-FIXES</v>
      </c>
      <c r="B153" s="11" t="s">
        <v>70</v>
      </c>
      <c r="C153" s="93" t="s">
        <v>63</v>
      </c>
      <c r="D153" s="94" t="s">
        <v>38</v>
      </c>
      <c r="E153" s="95">
        <f>F153/F$108</f>
        <v>5.0219418547084539E-2</v>
      </c>
      <c r="F153" s="96">
        <f>+SUM(F136:F152)</f>
        <v>4402.9875211156368</v>
      </c>
      <c r="G153" s="97"/>
      <c r="H153" s="95"/>
      <c r="I153" s="96"/>
      <c r="J153" s="97" t="s">
        <v>38</v>
      </c>
      <c r="K153" s="95">
        <f>L153/L$108</f>
        <v>6.3170674270513413E-2</v>
      </c>
      <c r="L153" s="96">
        <f>+SUM(L136:L152)</f>
        <v>4573.6799999999994</v>
      </c>
      <c r="M153" s="100"/>
      <c r="N153" s="96">
        <f t="shared" si="35"/>
        <v>170.69247888436257</v>
      </c>
      <c r="O153" s="97" t="s">
        <v>38</v>
      </c>
      <c r="P153" s="95">
        <f>Q153/Q$108</f>
        <v>0.11733978530378285</v>
      </c>
      <c r="Q153" s="96">
        <f>+SUM(Q136:Q152)</f>
        <v>4432.21</v>
      </c>
      <c r="R153" s="100"/>
      <c r="S153" s="101">
        <f>L153-Q153</f>
        <v>141.46999999999935</v>
      </c>
      <c r="T153" s="112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</row>
    <row r="154" spans="1:40" ht="20.25">
      <c r="A154" t="str">
        <f t="shared" si="43"/>
        <v>Véhicules usagés</v>
      </c>
      <c r="B154" s="11" t="s">
        <v>70</v>
      </c>
      <c r="C154" s="86"/>
      <c r="D154" s="87"/>
      <c r="E154" s="111"/>
      <c r="F154" s="59"/>
      <c r="G154" s="89"/>
      <c r="H154" s="111"/>
      <c r="I154" s="59"/>
      <c r="J154" s="23"/>
      <c r="K154" s="111"/>
      <c r="L154" s="91"/>
      <c r="M154" s="23"/>
      <c r="N154" s="91"/>
      <c r="O154" s="23"/>
      <c r="P154" s="111"/>
      <c r="Q154" s="91"/>
      <c r="R154" s="23"/>
      <c r="S154" s="92"/>
      <c r="T154" s="112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</row>
    <row r="155" spans="1:40" ht="20.25">
      <c r="A155" t="str">
        <f t="shared" si="43"/>
        <v>Véhicules usagésTOTAL DES DÉPENSES</v>
      </c>
      <c r="B155" s="11" t="s">
        <v>70</v>
      </c>
      <c r="C155" s="93" t="s">
        <v>64</v>
      </c>
      <c r="D155" s="94" t="s">
        <v>38</v>
      </c>
      <c r="E155" s="95">
        <f>F155/F$108</f>
        <v>0.80014013538466611</v>
      </c>
      <c r="F155" s="96">
        <f>F122+F135+F153</f>
        <v>70152.286369850597</v>
      </c>
      <c r="G155" s="97"/>
      <c r="H155" s="95"/>
      <c r="I155" s="96"/>
      <c r="J155" s="97" t="s">
        <v>38</v>
      </c>
      <c r="K155" s="95">
        <f>L155/L$108</f>
        <v>0.77754466557875856</v>
      </c>
      <c r="L155" s="96">
        <f>L122+L135+L153</f>
        <v>56295.750000000007</v>
      </c>
      <c r="M155" s="100"/>
      <c r="N155" s="113">
        <f t="shared" ref="N155:N162" si="44">L155-F155</f>
        <v>-13856.53636985059</v>
      </c>
      <c r="O155" s="97" t="s">
        <v>38</v>
      </c>
      <c r="P155" s="95">
        <f>Q155/Q$108</f>
        <v>1.3645933384234701</v>
      </c>
      <c r="Q155" s="96">
        <f>Q122+Q135+Q153</f>
        <v>51544.02</v>
      </c>
      <c r="R155" s="100"/>
      <c r="S155" s="114">
        <f t="shared" ref="S155:S162" si="45">L155-Q155</f>
        <v>4751.7300000000105</v>
      </c>
      <c r="T155" s="112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</row>
    <row r="156" spans="1:40" ht="20.25">
      <c r="A156" t="str">
        <f t="shared" si="43"/>
        <v>Véhicules usagésRBSC used</v>
      </c>
      <c r="B156" s="11" t="s">
        <v>70</v>
      </c>
      <c r="C156" s="29" t="s">
        <v>218</v>
      </c>
      <c r="D156" s="149"/>
      <c r="E156" s="150"/>
      <c r="F156" s="30">
        <v>2625</v>
      </c>
      <c r="G156" s="151"/>
      <c r="H156" s="150"/>
      <c r="I156" s="30"/>
      <c r="J156" s="151"/>
      <c r="K156" s="150"/>
      <c r="L156" s="32">
        <v>0</v>
      </c>
      <c r="M156" s="41"/>
      <c r="N156" s="59">
        <f t="shared" si="44"/>
        <v>-2625</v>
      </c>
      <c r="O156" s="151"/>
      <c r="P156" s="150"/>
      <c r="Q156" s="33">
        <v>1500</v>
      </c>
      <c r="R156" s="41"/>
      <c r="S156" s="85">
        <f t="shared" si="45"/>
        <v>-1500</v>
      </c>
      <c r="T156" s="112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</row>
    <row r="157" spans="1:40" ht="20.25">
      <c r="A157" t="str">
        <f t="shared" si="43"/>
        <v>Véhicules usagésProgramme 360</v>
      </c>
      <c r="B157" s="11" t="s">
        <v>70</v>
      </c>
      <c r="C157" s="29" t="s">
        <v>219</v>
      </c>
      <c r="D157" s="149"/>
      <c r="E157" s="150"/>
      <c r="F157" s="30">
        <v>1735.294117647059</v>
      </c>
      <c r="G157" s="151"/>
      <c r="H157" s="150"/>
      <c r="I157" s="30"/>
      <c r="J157" s="151"/>
      <c r="K157" s="150"/>
      <c r="L157" s="33">
        <v>0</v>
      </c>
      <c r="M157" s="41"/>
      <c r="N157" s="59">
        <f t="shared" si="44"/>
        <v>-1735.294117647059</v>
      </c>
      <c r="O157" s="151"/>
      <c r="P157" s="150"/>
      <c r="Q157" s="33">
        <v>0</v>
      </c>
      <c r="R157" s="41"/>
      <c r="S157" s="85">
        <f t="shared" si="45"/>
        <v>0</v>
      </c>
      <c r="T157" s="112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</row>
    <row r="158" spans="1:40" ht="20.25" hidden="1">
      <c r="A158" t="str">
        <f t="shared" si="43"/>
        <v>Véhicules usagésProgramme used 3</v>
      </c>
      <c r="B158" s="11" t="s">
        <v>70</v>
      </c>
      <c r="C158" s="29" t="s">
        <v>77</v>
      </c>
      <c r="D158" s="81"/>
      <c r="E158" s="13"/>
      <c r="F158" s="30">
        <v>0</v>
      </c>
      <c r="G158" s="83"/>
      <c r="H158" s="13"/>
      <c r="I158" s="30"/>
      <c r="J158" s="41"/>
      <c r="K158" s="13"/>
      <c r="L158" s="33">
        <v>0</v>
      </c>
      <c r="M158" s="41"/>
      <c r="N158" s="59">
        <f t="shared" si="44"/>
        <v>0</v>
      </c>
      <c r="O158" s="41"/>
      <c r="P158" s="13"/>
      <c r="Q158" s="33">
        <v>0</v>
      </c>
      <c r="R158" s="41"/>
      <c r="S158" s="85">
        <f t="shared" si="45"/>
        <v>0</v>
      </c>
      <c r="T158" s="112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</row>
    <row r="159" spans="1:40" ht="20.25">
      <c r="A159" t="str">
        <f>+B159&amp;C159</f>
        <v>Véhicules usagésFrais administration</v>
      </c>
      <c r="B159" s="11" t="s">
        <v>70</v>
      </c>
      <c r="C159" s="29" t="s">
        <v>67</v>
      </c>
      <c r="D159" s="81"/>
      <c r="E159" s="13"/>
      <c r="F159" s="30">
        <v>10115</v>
      </c>
      <c r="G159" s="83"/>
      <c r="H159" s="13"/>
      <c r="I159" s="30"/>
      <c r="J159" s="41"/>
      <c r="K159" s="13"/>
      <c r="L159" s="32">
        <v>7735</v>
      </c>
      <c r="M159" s="41"/>
      <c r="N159" s="59">
        <f t="shared" si="44"/>
        <v>-2380</v>
      </c>
      <c r="O159" s="41"/>
      <c r="P159" s="13"/>
      <c r="Q159" s="33">
        <v>4760</v>
      </c>
      <c r="R159" s="41"/>
      <c r="S159" s="85">
        <f t="shared" si="45"/>
        <v>2975</v>
      </c>
      <c r="T159" s="112"/>
      <c r="U159" s="13"/>
      <c r="V159" s="13">
        <f>L159/595</f>
        <v>13</v>
      </c>
      <c r="W159" s="454">
        <f>V159/J97</f>
        <v>0.76470588235294112</v>
      </c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</row>
    <row r="160" spans="1:40" ht="20.25" hidden="1">
      <c r="A160" t="str">
        <f>+B160&amp;C160</f>
        <v>Véhicules usagés[...]</v>
      </c>
      <c r="B160" s="11" t="s">
        <v>70</v>
      </c>
      <c r="C160" s="29" t="s">
        <v>19</v>
      </c>
      <c r="D160" s="81"/>
      <c r="E160" s="13"/>
      <c r="F160" s="30">
        <v>0</v>
      </c>
      <c r="G160" s="83"/>
      <c r="H160" s="13"/>
      <c r="I160" s="30"/>
      <c r="J160" s="41"/>
      <c r="K160" s="13"/>
      <c r="L160" s="32">
        <v>0</v>
      </c>
      <c r="M160" s="41"/>
      <c r="N160" s="59">
        <f t="shared" si="44"/>
        <v>0</v>
      </c>
      <c r="O160" s="41"/>
      <c r="P160" s="13"/>
      <c r="Q160" s="33">
        <v>0</v>
      </c>
      <c r="R160" s="41"/>
      <c r="S160" s="85">
        <f t="shared" si="45"/>
        <v>0</v>
      </c>
      <c r="T160" s="112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</row>
    <row r="161" spans="1:40" ht="20.25" hidden="1">
      <c r="A161" t="str">
        <f>+B161&amp;C161</f>
        <v>Véhicules usagés[...]</v>
      </c>
      <c r="B161" s="11" t="s">
        <v>70</v>
      </c>
      <c r="C161" s="29" t="s">
        <v>19</v>
      </c>
      <c r="D161" s="81"/>
      <c r="E161" s="13"/>
      <c r="F161" s="30">
        <v>0</v>
      </c>
      <c r="G161" s="83"/>
      <c r="H161" s="13"/>
      <c r="I161" s="30"/>
      <c r="J161" s="41"/>
      <c r="K161" s="13"/>
      <c r="L161" s="32">
        <v>0</v>
      </c>
      <c r="M161" s="41"/>
      <c r="N161" s="59">
        <f t="shared" si="44"/>
        <v>0</v>
      </c>
      <c r="O161" s="41"/>
      <c r="P161" s="13"/>
      <c r="Q161" s="33">
        <v>0</v>
      </c>
      <c r="R161" s="41"/>
      <c r="S161" s="85">
        <f t="shared" si="45"/>
        <v>0</v>
      </c>
      <c r="T161" s="112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</row>
    <row r="162" spans="1:40" ht="20.25" hidden="1">
      <c r="A162" t="str">
        <f>+B162&amp;C162</f>
        <v>Véhicules usagés[...]</v>
      </c>
      <c r="B162" s="11" t="s">
        <v>70</v>
      </c>
      <c r="C162" s="86" t="s">
        <v>19</v>
      </c>
      <c r="D162" s="87"/>
      <c r="E162" s="111"/>
      <c r="F162" s="30">
        <v>0</v>
      </c>
      <c r="G162" s="83"/>
      <c r="H162" s="13"/>
      <c r="I162" s="30"/>
      <c r="J162" s="41"/>
      <c r="K162" s="13"/>
      <c r="L162" s="32">
        <v>0</v>
      </c>
      <c r="M162" s="41"/>
      <c r="N162" s="59">
        <f t="shared" si="44"/>
        <v>0</v>
      </c>
      <c r="O162" s="41"/>
      <c r="P162" s="13"/>
      <c r="Q162" s="33">
        <v>0</v>
      </c>
      <c r="R162" s="41"/>
      <c r="S162" s="85">
        <f t="shared" si="45"/>
        <v>0</v>
      </c>
      <c r="T162" s="112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</row>
    <row r="163" spans="1:40" ht="20.25">
      <c r="B163" s="11"/>
      <c r="C163" s="93" t="s">
        <v>68</v>
      </c>
      <c r="D163" s="94"/>
      <c r="E163" s="95"/>
      <c r="F163" s="96">
        <f>+SUM(F156:F162)</f>
        <v>14475.294117647059</v>
      </c>
      <c r="G163" s="97"/>
      <c r="H163" s="95"/>
      <c r="I163" s="96"/>
      <c r="J163" s="97"/>
      <c r="K163" s="95"/>
      <c r="L163" s="96">
        <f>+SUM(L156:L162)</f>
        <v>7735</v>
      </c>
      <c r="M163" s="100"/>
      <c r="N163" s="96">
        <f>SUM(N156:N159)</f>
        <v>-6740.2941176470595</v>
      </c>
      <c r="O163" s="97"/>
      <c r="P163" s="95"/>
      <c r="Q163" s="96">
        <f>+SUM(Q156:Q162)</f>
        <v>6260</v>
      </c>
      <c r="R163" s="100"/>
      <c r="S163" s="101">
        <f>+SUM(S156:S162)</f>
        <v>1475</v>
      </c>
      <c r="T163" s="112"/>
      <c r="U163" s="13"/>
      <c r="V163" s="13">
        <v>19</v>
      </c>
      <c r="W163" s="13" t="s">
        <v>242</v>
      </c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</row>
    <row r="164" spans="1:40" ht="20.25">
      <c r="B164" s="11"/>
      <c r="C164" s="29"/>
      <c r="D164" s="81"/>
      <c r="E164" s="13"/>
      <c r="F164" s="59"/>
      <c r="G164" s="83"/>
      <c r="H164" s="13"/>
      <c r="I164" s="59"/>
      <c r="J164" s="41"/>
      <c r="K164" s="13"/>
      <c r="L164" s="59"/>
      <c r="M164" s="41"/>
      <c r="N164" s="59"/>
      <c r="O164" s="41"/>
      <c r="P164" s="13"/>
      <c r="Q164" s="59"/>
      <c r="R164" s="41"/>
      <c r="S164" s="85"/>
      <c r="T164" s="150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</row>
    <row r="165" spans="1:40" ht="21" thickBot="1">
      <c r="B165" s="11"/>
      <c r="C165" s="124" t="s">
        <v>69</v>
      </c>
      <c r="D165" s="152"/>
      <c r="E165" s="125"/>
      <c r="F165" s="127">
        <f>F108-F155+F163</f>
        <v>31998.007747796462</v>
      </c>
      <c r="G165" s="153"/>
      <c r="H165" s="125"/>
      <c r="I165" s="127"/>
      <c r="J165" s="154"/>
      <c r="K165" s="126"/>
      <c r="L165" s="127">
        <f>L108-L155+L163</f>
        <v>23841.200000000004</v>
      </c>
      <c r="M165" s="154"/>
      <c r="N165" s="127">
        <f>L165-F165</f>
        <v>-8156.807747796458</v>
      </c>
      <c r="O165" s="154"/>
      <c r="P165" s="126"/>
      <c r="Q165" s="127">
        <f>Q108-Q155+Q163</f>
        <v>-7511.5800000001618</v>
      </c>
      <c r="R165" s="154"/>
      <c r="S165" s="129">
        <f>L165-Q165</f>
        <v>31352.780000000166</v>
      </c>
      <c r="T165" s="82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</row>
    <row r="166" spans="1:40" ht="21" thickTop="1">
      <c r="B166" s="11"/>
      <c r="C166" s="10"/>
      <c r="D166" s="10"/>
      <c r="E166" s="10"/>
      <c r="F166" s="10"/>
      <c r="G166" s="10"/>
      <c r="H166" s="10"/>
      <c r="I166" s="10"/>
      <c r="J166" s="10"/>
      <c r="K166" s="10"/>
      <c r="L166" s="155"/>
      <c r="M166" s="10"/>
      <c r="N166" s="10"/>
      <c r="O166" s="10"/>
      <c r="P166" s="10"/>
      <c r="Q166" s="10"/>
      <c r="R166" s="10"/>
      <c r="S166" s="10"/>
      <c r="T166" s="155"/>
      <c r="U166" s="10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</row>
    <row r="167" spans="1:40" ht="20.25">
      <c r="B167" s="11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55"/>
      <c r="U167" s="10"/>
      <c r="V167" s="10"/>
      <c r="W167" s="10"/>
      <c r="X167" s="10"/>
      <c r="Y167" s="10"/>
      <c r="Z167" s="10"/>
      <c r="AA167" s="10"/>
      <c r="AB167" s="10"/>
      <c r="AC167" s="10"/>
      <c r="AD167" s="10"/>
      <c r="AE167" s="10"/>
      <c r="AF167" s="10"/>
      <c r="AG167" s="10"/>
      <c r="AH167" s="10"/>
      <c r="AI167" s="10"/>
      <c r="AJ167" s="10"/>
      <c r="AK167" s="10"/>
      <c r="AL167" s="10"/>
      <c r="AM167" s="10"/>
      <c r="AN167" s="10"/>
    </row>
    <row r="168" spans="1:40" ht="35.25">
      <c r="B168" s="11"/>
      <c r="C168" s="6" t="str">
        <f>C1</f>
        <v>BMW Sherbrooke</v>
      </c>
      <c r="D168" s="2"/>
      <c r="E168" s="2"/>
      <c r="F168" s="2"/>
      <c r="G168" s="2"/>
      <c r="H168" s="1"/>
      <c r="I168" s="1"/>
      <c r="J168" s="1"/>
      <c r="K168" s="3" t="s">
        <v>78</v>
      </c>
      <c r="L168" s="2"/>
      <c r="M168" s="2"/>
      <c r="N168" s="1"/>
      <c r="O168" s="1"/>
      <c r="P168" s="2"/>
      <c r="Q168" s="1"/>
      <c r="R168" s="2"/>
      <c r="S168" s="5" t="str">
        <f>$S$1</f>
        <v>Réalisé, Septembre 2024</v>
      </c>
      <c r="T168" s="2"/>
      <c r="U168" s="6"/>
      <c r="V168" s="10"/>
      <c r="W168" s="10"/>
      <c r="X168" s="10"/>
      <c r="Y168" s="10"/>
      <c r="Z168" s="10"/>
      <c r="AA168" s="10"/>
      <c r="AB168" s="10"/>
      <c r="AC168" s="10"/>
      <c r="AD168" s="10"/>
      <c r="AE168" s="10"/>
      <c r="AF168" s="10"/>
      <c r="AG168" s="10"/>
      <c r="AH168" s="10"/>
      <c r="AI168" s="10"/>
      <c r="AJ168" s="10"/>
      <c r="AK168" s="10"/>
      <c r="AL168" s="10"/>
      <c r="AM168" s="10"/>
      <c r="AN168" s="10"/>
    </row>
    <row r="169" spans="1:40" ht="36" thickBot="1">
      <c r="B169" s="11"/>
      <c r="C169" s="8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6"/>
      <c r="W169" s="6"/>
      <c r="X169" s="6"/>
      <c r="Y169" s="6"/>
      <c r="Z169" s="6"/>
      <c r="AA169" s="6"/>
      <c r="AB169" s="6"/>
      <c r="AC169" s="6"/>
      <c r="AD169" s="6"/>
      <c r="AE169" s="6"/>
      <c r="AF169" s="6"/>
      <c r="AG169" s="6"/>
      <c r="AH169" s="6"/>
      <c r="AI169" s="6"/>
      <c r="AJ169" s="6"/>
      <c r="AK169" s="6"/>
      <c r="AL169" s="6"/>
      <c r="AM169" s="6"/>
      <c r="AN169" s="6"/>
    </row>
    <row r="170" spans="1:40" ht="21" thickTop="1">
      <c r="B170" s="11"/>
      <c r="C170" s="12"/>
      <c r="D170" s="496" t="s">
        <v>5</v>
      </c>
      <c r="E170" s="497"/>
      <c r="F170" s="498"/>
      <c r="G170" s="499"/>
      <c r="H170" s="497"/>
      <c r="I170" s="498"/>
      <c r="J170" s="499" t="s">
        <v>7</v>
      </c>
      <c r="K170" s="497"/>
      <c r="L170" s="498"/>
      <c r="M170" s="499" t="s">
        <v>213</v>
      </c>
      <c r="N170" s="498"/>
      <c r="O170" s="496" t="s">
        <v>8</v>
      </c>
      <c r="P170" s="497"/>
      <c r="Q170" s="498"/>
      <c r="R170" s="494" t="s">
        <v>214</v>
      </c>
      <c r="S170" s="495"/>
      <c r="T170" s="149"/>
      <c r="U170" s="13"/>
      <c r="V170" s="10"/>
      <c r="W170" s="10"/>
      <c r="X170" s="10"/>
      <c r="Y170" s="10"/>
      <c r="Z170" s="10"/>
      <c r="AA170" s="10"/>
      <c r="AB170" s="10"/>
      <c r="AC170" s="10"/>
      <c r="AD170" s="10"/>
      <c r="AE170" s="10"/>
      <c r="AF170" s="10"/>
      <c r="AG170" s="10"/>
      <c r="AH170" s="10"/>
      <c r="AI170" s="10"/>
      <c r="AJ170" s="10"/>
      <c r="AK170" s="10"/>
      <c r="AL170" s="10"/>
      <c r="AM170" s="10"/>
      <c r="AN170" s="10"/>
    </row>
    <row r="171" spans="1:40" ht="20.25">
      <c r="A171" t="str">
        <f t="shared" ref="A171:A228" si="46">+B171&amp;C171</f>
        <v>Service</v>
      </c>
      <c r="B171" s="11" t="s">
        <v>78</v>
      </c>
      <c r="C171" s="29"/>
      <c r="D171" s="80" t="s">
        <v>39</v>
      </c>
      <c r="E171" s="80" t="s">
        <v>79</v>
      </c>
      <c r="F171" s="134" t="s">
        <v>12</v>
      </c>
      <c r="G171" s="135"/>
      <c r="H171" s="80"/>
      <c r="I171" s="134"/>
      <c r="J171" s="135" t="s">
        <v>39</v>
      </c>
      <c r="K171" s="80" t="s">
        <v>79</v>
      </c>
      <c r="L171" s="134" t="s">
        <v>12</v>
      </c>
      <c r="M171" s="135" t="s">
        <v>220</v>
      </c>
      <c r="N171" s="134" t="s">
        <v>217</v>
      </c>
      <c r="O171" s="80" t="s">
        <v>39</v>
      </c>
      <c r="P171" s="80" t="s">
        <v>79</v>
      </c>
      <c r="Q171" s="134" t="s">
        <v>12</v>
      </c>
      <c r="R171" s="135" t="s">
        <v>80</v>
      </c>
      <c r="S171" s="136" t="s">
        <v>12</v>
      </c>
      <c r="T171" s="80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</row>
    <row r="172" spans="1:40" ht="20.25">
      <c r="A172" t="str">
        <f t="shared" si="46"/>
        <v>ServiceM/O Client</v>
      </c>
      <c r="B172" s="11" t="s">
        <v>78</v>
      </c>
      <c r="C172" s="29" t="s">
        <v>81</v>
      </c>
      <c r="D172" s="13">
        <v>0</v>
      </c>
      <c r="E172" s="82">
        <v>53665.931108825767</v>
      </c>
      <c r="F172" s="82">
        <v>42718.081162625313</v>
      </c>
      <c r="G172" s="156"/>
      <c r="H172" s="82"/>
      <c r="I172" s="82"/>
      <c r="J172" s="60">
        <v>116</v>
      </c>
      <c r="K172" s="30">
        <v>36184.840000000004</v>
      </c>
      <c r="L172" s="33">
        <v>29560.800000000003</v>
      </c>
      <c r="M172" s="157">
        <f>(K172-E172)/E172</f>
        <v>-0.32573908152971309</v>
      </c>
      <c r="N172" s="59">
        <f>L172-F172</f>
        <v>-13157.28116262531</v>
      </c>
      <c r="O172" s="60">
        <v>159</v>
      </c>
      <c r="P172" s="30">
        <v>52980.82</v>
      </c>
      <c r="Q172" s="33">
        <v>41769.319999999898</v>
      </c>
      <c r="R172" s="157">
        <f>IF(O172=0,0,J172/O172)</f>
        <v>0.72955974842767291</v>
      </c>
      <c r="S172" s="85">
        <f>L172-Q172</f>
        <v>-12208.519999999895</v>
      </c>
      <c r="T172" s="82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</row>
    <row r="173" spans="1:40" ht="20.25">
      <c r="A173" t="str">
        <f t="shared" si="46"/>
        <v>Service% profit / ventes</v>
      </c>
      <c r="B173" s="11" t="s">
        <v>78</v>
      </c>
      <c r="C173" s="29" t="s">
        <v>82</v>
      </c>
      <c r="D173" s="13"/>
      <c r="E173" s="144"/>
      <c r="F173" s="158">
        <f>F172/E172</f>
        <v>0.79600000000000004</v>
      </c>
      <c r="G173" s="41"/>
      <c r="H173" s="144"/>
      <c r="I173" s="158"/>
      <c r="J173" s="60"/>
      <c r="K173" s="13"/>
      <c r="L173" s="158">
        <f>IF(L172=0,0,L172/K172)</f>
        <v>0.81693880641727312</v>
      </c>
      <c r="M173" s="157"/>
      <c r="N173" s="59"/>
      <c r="O173" s="60"/>
      <c r="P173" s="13"/>
      <c r="Q173" s="158">
        <f>Q172/P172</f>
        <v>0.78838568372478757</v>
      </c>
      <c r="R173" s="60"/>
      <c r="S173" s="85"/>
      <c r="T173" s="82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</row>
    <row r="174" spans="1:40" ht="20.25">
      <c r="A174" t="str">
        <f t="shared" si="46"/>
        <v>Service</v>
      </c>
      <c r="B174" s="11" t="s">
        <v>78</v>
      </c>
      <c r="C174" s="86"/>
      <c r="D174" s="111"/>
      <c r="E174" s="159">
        <f>IFERROR(E172/D172,0)</f>
        <v>0</v>
      </c>
      <c r="F174" s="160"/>
      <c r="G174" s="23"/>
      <c r="H174" s="159"/>
      <c r="I174" s="160"/>
      <c r="J174" s="161"/>
      <c r="K174" s="465">
        <f>IFERROR(K172/J172,0)</f>
        <v>311.93827586206902</v>
      </c>
      <c r="L174" s="160"/>
      <c r="M174" s="162"/>
      <c r="N174" s="91"/>
      <c r="O174" s="161"/>
      <c r="P174" s="465">
        <f>IFERROR(P172/O172,0)</f>
        <v>333.21270440251573</v>
      </c>
      <c r="Q174" s="160"/>
      <c r="R174" s="161"/>
      <c r="S174" s="92"/>
      <c r="T174" s="82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</row>
    <row r="175" spans="1:40" ht="20.25">
      <c r="A175" t="str">
        <f t="shared" si="46"/>
        <v>ServiceM/O Garantie</v>
      </c>
      <c r="B175" s="11" t="s">
        <v>78</v>
      </c>
      <c r="C175" s="14" t="s">
        <v>83</v>
      </c>
      <c r="D175" s="163">
        <v>0</v>
      </c>
      <c r="E175" s="82">
        <v>32235.573387709155</v>
      </c>
      <c r="F175" s="82">
        <v>23241.8484125383</v>
      </c>
      <c r="G175" s="164"/>
      <c r="H175" s="82"/>
      <c r="I175" s="82"/>
      <c r="J175" s="164">
        <v>162</v>
      </c>
      <c r="K175" s="165">
        <v>32483.789999999997</v>
      </c>
      <c r="L175" s="33">
        <v>22886.019999999997</v>
      </c>
      <c r="M175" s="157">
        <f>(K175-E175)/E175</f>
        <v>7.7000836717079323E-3</v>
      </c>
      <c r="N175" s="109">
        <f>L175-F175</f>
        <v>-355.82841253830338</v>
      </c>
      <c r="O175" s="164">
        <v>206</v>
      </c>
      <c r="P175" s="165">
        <v>34800.549999999901</v>
      </c>
      <c r="Q175" s="33">
        <v>25221.659999999902</v>
      </c>
      <c r="R175" s="157">
        <f>IF(O175=0,0,J175/O175)</f>
        <v>0.78640776699029125</v>
      </c>
      <c r="S175" s="85">
        <f>L175-Q175</f>
        <v>-2335.6399999999048</v>
      </c>
      <c r="T175" s="82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</row>
    <row r="176" spans="1:40" ht="20.25">
      <c r="A176" t="str">
        <f t="shared" si="46"/>
        <v>Service% profit / ventes</v>
      </c>
      <c r="B176" s="11" t="s">
        <v>78</v>
      </c>
      <c r="C176" s="29" t="s">
        <v>82</v>
      </c>
      <c r="D176" s="13"/>
      <c r="E176" s="13"/>
      <c r="F176" s="158">
        <f>F175/E175</f>
        <v>0.72099999999999997</v>
      </c>
      <c r="G176" s="41"/>
      <c r="H176" s="13"/>
      <c r="I176" s="158"/>
      <c r="J176" s="41"/>
      <c r="K176" s="13"/>
      <c r="L176" s="158">
        <f>IF(L175=0,0,L175/K175)</f>
        <v>0.70453663196320371</v>
      </c>
      <c r="M176" s="42"/>
      <c r="N176" s="43"/>
      <c r="O176" s="41"/>
      <c r="P176" s="13"/>
      <c r="Q176" s="158">
        <f>Q175/P175</f>
        <v>0.72474889046293733</v>
      </c>
      <c r="R176" s="42"/>
      <c r="S176" s="44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</row>
    <row r="177" spans="1:40" ht="20.25">
      <c r="A177" t="str">
        <f t="shared" si="46"/>
        <v>Service</v>
      </c>
      <c r="B177" s="11" t="s">
        <v>78</v>
      </c>
      <c r="C177" s="86"/>
      <c r="D177" s="111"/>
      <c r="E177" s="111"/>
      <c r="F177" s="160"/>
      <c r="G177" s="23"/>
      <c r="H177" s="111"/>
      <c r="I177" s="160"/>
      <c r="J177" s="23"/>
      <c r="K177" s="166"/>
      <c r="L177" s="160"/>
      <c r="M177" s="167"/>
      <c r="N177" s="168"/>
      <c r="O177" s="23"/>
      <c r="P177" s="166">
        <f>IFERROR(P175/O175,0)</f>
        <v>168.93470873786359</v>
      </c>
      <c r="Q177" s="160"/>
      <c r="R177" s="167"/>
      <c r="S177" s="169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</row>
    <row r="178" spans="1:40" ht="20.25">
      <c r="A178" t="str">
        <f t="shared" si="46"/>
        <v>ServiceM/O Interne</v>
      </c>
      <c r="B178" s="11" t="s">
        <v>78</v>
      </c>
      <c r="C178" s="29" t="s">
        <v>84</v>
      </c>
      <c r="D178" s="13">
        <v>0</v>
      </c>
      <c r="E178" s="82">
        <v>35848.810769582196</v>
      </c>
      <c r="F178" s="82">
        <v>22154.565055601797</v>
      </c>
      <c r="G178" s="41"/>
      <c r="H178" s="82"/>
      <c r="I178" s="82"/>
      <c r="J178" s="60">
        <v>170</v>
      </c>
      <c r="K178" s="165">
        <v>44891.799999999996</v>
      </c>
      <c r="L178" s="33">
        <v>25877.229999999992</v>
      </c>
      <c r="M178" s="157">
        <f>(K178-E178)/E178</f>
        <v>0.2522535346720845</v>
      </c>
      <c r="N178" s="59">
        <f>L178-F178</f>
        <v>3722.6649443981951</v>
      </c>
      <c r="O178" s="60">
        <v>176</v>
      </c>
      <c r="P178" s="165">
        <v>40046.6499999999</v>
      </c>
      <c r="Q178" s="33">
        <v>25343.85</v>
      </c>
      <c r="R178" s="157">
        <f>IF(O178=0,0,J178/O178)</f>
        <v>0.96590909090909094</v>
      </c>
      <c r="S178" s="85">
        <f>L178-Q178</f>
        <v>533.37999999999374</v>
      </c>
      <c r="T178" s="82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</row>
    <row r="179" spans="1:40" ht="20.25">
      <c r="A179" t="str">
        <f t="shared" si="46"/>
        <v>Service% profit / ventes</v>
      </c>
      <c r="B179" s="11" t="s">
        <v>78</v>
      </c>
      <c r="C179" s="29" t="s">
        <v>82</v>
      </c>
      <c r="D179" s="13"/>
      <c r="E179" s="144"/>
      <c r="F179" s="158">
        <f>F178/E178</f>
        <v>0.61799999999999999</v>
      </c>
      <c r="G179" s="41"/>
      <c r="H179" s="144"/>
      <c r="I179" s="158"/>
      <c r="J179" s="60"/>
      <c r="K179" s="144"/>
      <c r="L179" s="158">
        <f>IF(L178=0,0,L178/K178)</f>
        <v>0.57643556284221165</v>
      </c>
      <c r="M179" s="157"/>
      <c r="N179" s="59">
        <f>L179-F179</f>
        <v>-4.1564437157788348E-2</v>
      </c>
      <c r="O179" s="60"/>
      <c r="P179" s="144"/>
      <c r="Q179" s="158">
        <f>Q178/P178</f>
        <v>0.63285817914856957</v>
      </c>
      <c r="R179" s="60">
        <f>O179-K179</f>
        <v>0</v>
      </c>
      <c r="S179" s="85"/>
      <c r="T179" s="82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</row>
    <row r="180" spans="1:40" ht="20.25">
      <c r="A180" t="str">
        <f t="shared" si="46"/>
        <v>Service</v>
      </c>
      <c r="B180" s="11" t="s">
        <v>78</v>
      </c>
      <c r="C180" s="29"/>
      <c r="D180" s="13"/>
      <c r="E180" s="170"/>
      <c r="F180" s="171"/>
      <c r="G180" s="41"/>
      <c r="H180" s="170"/>
      <c r="I180" s="160"/>
      <c r="J180" s="60"/>
      <c r="K180" s="455"/>
      <c r="L180" s="158"/>
      <c r="M180" s="157"/>
      <c r="N180" s="59"/>
      <c r="O180" s="60"/>
      <c r="P180" s="455">
        <f>IFERROR(P178/O178,0)</f>
        <v>227.53778409090853</v>
      </c>
      <c r="Q180" s="158"/>
      <c r="R180" s="172"/>
      <c r="S180" s="85"/>
      <c r="T180" s="82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</row>
    <row r="181" spans="1:40" ht="20.25">
      <c r="A181" t="str">
        <f t="shared" si="46"/>
        <v>ServiceM/O Esthétique</v>
      </c>
      <c r="B181" s="11" t="s">
        <v>78</v>
      </c>
      <c r="C181" s="14" t="s">
        <v>85</v>
      </c>
      <c r="D181" s="105">
        <v>0</v>
      </c>
      <c r="E181" s="82">
        <v>8224.027672521921</v>
      </c>
      <c r="F181" s="82">
        <v>3289.6110690087685</v>
      </c>
      <c r="G181" s="107"/>
      <c r="H181" s="82"/>
      <c r="I181" s="82"/>
      <c r="J181" s="164">
        <v>35</v>
      </c>
      <c r="K181" s="165">
        <v>6441.76</v>
      </c>
      <c r="L181" s="108">
        <v>1643.6500000000005</v>
      </c>
      <c r="M181" s="173">
        <f>IF(E181=0,0,(K181-E181)/E181)</f>
        <v>-0.2167146978939315</v>
      </c>
      <c r="N181" s="109">
        <f>L181-F181</f>
        <v>-1645.9610690087679</v>
      </c>
      <c r="O181" s="164">
        <v>43</v>
      </c>
      <c r="P181" s="165">
        <v>7910.06</v>
      </c>
      <c r="Q181" s="108">
        <v>2982.41</v>
      </c>
      <c r="R181" s="157">
        <f>IF(O181=0,0,J181/O181)</f>
        <v>0.81395348837209303</v>
      </c>
      <c r="S181" s="110">
        <f>L181-Q181</f>
        <v>-1338.7599999999993</v>
      </c>
      <c r="T181" s="82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</row>
    <row r="182" spans="1:40" ht="20.25">
      <c r="A182" t="str">
        <f t="shared" si="46"/>
        <v>Service% profit / ventes</v>
      </c>
      <c r="B182" s="11" t="s">
        <v>78</v>
      </c>
      <c r="C182" s="29" t="s">
        <v>82</v>
      </c>
      <c r="D182" s="76"/>
      <c r="E182" s="174"/>
      <c r="F182" s="158">
        <f>IFERROR(F181/E181,0)</f>
        <v>0.4</v>
      </c>
      <c r="G182" s="78"/>
      <c r="H182" s="174"/>
      <c r="I182" s="158"/>
      <c r="J182" s="175"/>
      <c r="K182" s="174"/>
      <c r="L182" s="158">
        <f>IF(L181=0,0,L181/K181)</f>
        <v>0.25515542336255936</v>
      </c>
      <c r="M182" s="60">
        <f>J182-D182</f>
        <v>0</v>
      </c>
      <c r="N182" s="176"/>
      <c r="O182" s="175"/>
      <c r="P182" s="174"/>
      <c r="Q182" s="158">
        <f>IFERROR(Q181/P181,0)</f>
        <v>0.37704012358945438</v>
      </c>
      <c r="R182" s="41"/>
      <c r="S182" s="177"/>
      <c r="T182" s="112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</row>
    <row r="183" spans="1:40" ht="20.25">
      <c r="A183" t="str">
        <f t="shared" si="46"/>
        <v>Service</v>
      </c>
      <c r="B183" s="11" t="s">
        <v>78</v>
      </c>
      <c r="C183" s="86"/>
      <c r="D183" s="178"/>
      <c r="E183" s="179"/>
      <c r="F183" s="160"/>
      <c r="G183" s="180"/>
      <c r="H183" s="179"/>
      <c r="I183" s="160"/>
      <c r="J183" s="181"/>
      <c r="K183" s="25"/>
      <c r="L183" s="160"/>
      <c r="M183" s="161"/>
      <c r="N183" s="182"/>
      <c r="O183" s="181"/>
      <c r="P183" s="25">
        <f>IFERROR(P181/O181,0)</f>
        <v>183.95488372093024</v>
      </c>
      <c r="Q183" s="160"/>
      <c r="R183" s="23"/>
      <c r="S183" s="183"/>
      <c r="T183" s="112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</row>
    <row r="184" spans="1:40" ht="21" thickBot="1">
      <c r="A184" t="str">
        <f t="shared" si="46"/>
        <v>ServiceAjustement M/O</v>
      </c>
      <c r="B184" s="11" t="s">
        <v>78</v>
      </c>
      <c r="C184" s="29" t="s">
        <v>86</v>
      </c>
      <c r="D184" s="13"/>
      <c r="E184" s="13"/>
      <c r="F184" s="59">
        <v>-1928.5118619432426</v>
      </c>
      <c r="G184" s="41"/>
      <c r="H184" s="82"/>
      <c r="I184" s="82"/>
      <c r="J184" s="60"/>
      <c r="K184" s="82"/>
      <c r="L184" s="82">
        <v>-4460.45</v>
      </c>
      <c r="M184" s="175"/>
      <c r="N184" s="59">
        <f>L184-F184</f>
        <v>-2531.9381380567575</v>
      </c>
      <c r="O184" s="60"/>
      <c r="P184" s="82"/>
      <c r="Q184" s="82">
        <v>-4235.5600000000004</v>
      </c>
      <c r="R184" s="184"/>
      <c r="S184" s="85">
        <f>L184-Q184</f>
        <v>-224.88999999999942</v>
      </c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</row>
    <row r="185" spans="1:40" ht="21" thickTop="1">
      <c r="A185" t="str">
        <f t="shared" si="46"/>
        <v>ServiceSous-total M/O</v>
      </c>
      <c r="B185" s="11" t="s">
        <v>78</v>
      </c>
      <c r="C185" s="185" t="s">
        <v>87</v>
      </c>
      <c r="D185" s="186">
        <f>D172+D175+D178+D181+D184</f>
        <v>0</v>
      </c>
      <c r="E185" s="186">
        <f>E172+E175+E178+E181+E184</f>
        <v>129974.34293863903</v>
      </c>
      <c r="F185" s="187">
        <f>F172+F175+F178+F181+F184</f>
        <v>89475.593837830922</v>
      </c>
      <c r="G185" s="188"/>
      <c r="H185" s="186"/>
      <c r="I185" s="187"/>
      <c r="J185" s="188">
        <f>J172+J175+J178+J181+J184</f>
        <v>483</v>
      </c>
      <c r="K185" s="186">
        <f>K172+K175+K178+K181+K184</f>
        <v>120002.18999999999</v>
      </c>
      <c r="L185" s="187">
        <f>L172+L175+L178+L181+L184</f>
        <v>75507.249999999985</v>
      </c>
      <c r="M185" s="189">
        <f>(K185-E185)/E185</f>
        <v>-7.6724011163856437E-2</v>
      </c>
      <c r="N185" s="187">
        <f>L185-F185</f>
        <v>-13968.343837830937</v>
      </c>
      <c r="O185" s="188">
        <f t="shared" ref="O185:Q185" si="47">O172+O175+O178+O181+O184</f>
        <v>584</v>
      </c>
      <c r="P185" s="186">
        <f t="shared" si="47"/>
        <v>135738.07999999981</v>
      </c>
      <c r="Q185" s="187">
        <f t="shared" si="47"/>
        <v>91081.679999999818</v>
      </c>
      <c r="R185" s="42">
        <f>IF(O185=0,0,J185/O185)</f>
        <v>0.82705479452054798</v>
      </c>
      <c r="S185" s="190">
        <f>L185-Q185</f>
        <v>-15574.429999999833</v>
      </c>
      <c r="T185" s="112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</row>
    <row r="186" spans="1:40" ht="20.25">
      <c r="A186" t="str">
        <f t="shared" si="46"/>
        <v>Service% protit / ventes</v>
      </c>
      <c r="B186" s="11" t="s">
        <v>78</v>
      </c>
      <c r="C186" s="191" t="s">
        <v>88</v>
      </c>
      <c r="D186" s="192"/>
      <c r="E186" s="192"/>
      <c r="F186" s="193">
        <f>F185/E185</f>
        <v>0.6884096646679907</v>
      </c>
      <c r="G186" s="194"/>
      <c r="H186" s="192"/>
      <c r="I186" s="43"/>
      <c r="J186" s="194"/>
      <c r="K186" s="443">
        <f>IF(J185=0,0,K185/J185)</f>
        <v>248.45173913043476</v>
      </c>
      <c r="L186" s="43">
        <f>IF(L185=0,0,L185/K185)</f>
        <v>0.62921560014863054</v>
      </c>
      <c r="M186" s="194"/>
      <c r="N186" s="193">
        <f>N185/F185</f>
        <v>-0.15611345215710679</v>
      </c>
      <c r="O186" s="194"/>
      <c r="P186" s="443">
        <f>IF(O185=0,0,P185/O185)</f>
        <v>232.42821917808186</v>
      </c>
      <c r="Q186" s="43">
        <f>Q185/P185</f>
        <v>0.67101052261826555</v>
      </c>
      <c r="R186" s="194"/>
      <c r="S186" s="44">
        <f>IF(R185=0,0,S185/R185)</f>
        <v>-18831.19486542423</v>
      </c>
      <c r="T186" s="112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</row>
    <row r="187" spans="1:40" ht="20.25">
      <c r="A187" t="str">
        <f t="shared" si="46"/>
        <v>Service</v>
      </c>
      <c r="B187" s="11" t="s">
        <v>78</v>
      </c>
      <c r="C187" s="35"/>
      <c r="D187" s="195"/>
      <c r="E187" s="196"/>
      <c r="F187" s="197"/>
      <c r="G187" s="198"/>
      <c r="H187" s="196"/>
      <c r="I187" s="197"/>
      <c r="J187" s="198"/>
      <c r="K187" s="196"/>
      <c r="L187" s="197"/>
      <c r="M187" s="198"/>
      <c r="N187" s="197"/>
      <c r="O187" s="198"/>
      <c r="P187" s="196"/>
      <c r="Q187" s="197"/>
      <c r="R187" s="198"/>
      <c r="S187" s="199"/>
      <c r="T187" s="112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</row>
    <row r="188" spans="1:40" ht="20.25">
      <c r="A188" t="str">
        <f t="shared" si="46"/>
        <v>ServiceSous-traitement</v>
      </c>
      <c r="B188" s="11" t="s">
        <v>78</v>
      </c>
      <c r="C188" s="29" t="s">
        <v>89</v>
      </c>
      <c r="D188" s="82"/>
      <c r="E188" s="82">
        <v>3833.2253788490943</v>
      </c>
      <c r="F188" s="82">
        <v>655.48153978319522</v>
      </c>
      <c r="G188" s="60"/>
      <c r="H188" s="82"/>
      <c r="I188" s="82"/>
      <c r="J188" s="60"/>
      <c r="K188" s="30">
        <v>176</v>
      </c>
      <c r="L188" s="33">
        <v>65</v>
      </c>
      <c r="M188" s="84">
        <f>IF(E188=0,0,(K188-E188)/E188)</f>
        <v>-0.95408566348038659</v>
      </c>
      <c r="N188" s="59">
        <f>L188-F188</f>
        <v>-590.48153978319522</v>
      </c>
      <c r="O188" s="60"/>
      <c r="P188" s="30">
        <v>129.849999999999</v>
      </c>
      <c r="Q188" s="33">
        <v>95.349999999999895</v>
      </c>
      <c r="R188" s="157">
        <f>IF(O188=0,0,J188/O188)</f>
        <v>0</v>
      </c>
      <c r="S188" s="85">
        <f>L188-Q188</f>
        <v>-30.349999999999895</v>
      </c>
      <c r="T188" s="112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</row>
    <row r="189" spans="1:40" ht="20.25">
      <c r="A189" t="str">
        <f t="shared" si="46"/>
        <v>Service% profit / ventes</v>
      </c>
      <c r="B189" s="11" t="s">
        <v>78</v>
      </c>
      <c r="C189" s="29" t="s">
        <v>82</v>
      </c>
      <c r="D189" s="13"/>
      <c r="E189" s="144"/>
      <c r="F189" s="158">
        <f>IFERROR(F188/E188,0)</f>
        <v>0.17100000000000001</v>
      </c>
      <c r="G189" s="41"/>
      <c r="H189" s="144"/>
      <c r="I189" s="158"/>
      <c r="J189" s="175"/>
      <c r="K189" s="174"/>
      <c r="L189" s="158">
        <f>IF(L188=0,0,L188/K188)</f>
        <v>0.36931818181818182</v>
      </c>
      <c r="M189" s="175"/>
      <c r="N189" s="176"/>
      <c r="O189" s="175"/>
      <c r="P189" s="174"/>
      <c r="Q189" s="158">
        <f>IFERROR(Q188/P188,0)</f>
        <v>0.73430881786677416</v>
      </c>
      <c r="R189" s="175"/>
      <c r="S189" s="177"/>
      <c r="T189" s="112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</row>
    <row r="190" spans="1:40" ht="20.25" hidden="1">
      <c r="A190" t="str">
        <f t="shared" si="46"/>
        <v>Service</v>
      </c>
      <c r="B190" s="11" t="s">
        <v>78</v>
      </c>
      <c r="C190" s="29"/>
      <c r="D190" s="13"/>
      <c r="E190" s="144"/>
      <c r="F190" s="158"/>
      <c r="G190" s="41"/>
      <c r="H190" s="144"/>
      <c r="I190" s="158"/>
      <c r="J190" s="175"/>
      <c r="K190" s="174"/>
      <c r="L190" s="158"/>
      <c r="M190" s="175"/>
      <c r="N190" s="176"/>
      <c r="O190" s="175"/>
      <c r="P190" s="174"/>
      <c r="Q190" s="158"/>
      <c r="R190" s="175"/>
      <c r="S190" s="177"/>
      <c r="T190" s="112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</row>
    <row r="191" spans="1:40" ht="20.25" hidden="1">
      <c r="A191" t="str">
        <f t="shared" si="46"/>
        <v>ServiceM.O. Recond. MCPA</v>
      </c>
      <c r="B191" s="11" t="s">
        <v>78</v>
      </c>
      <c r="C191" s="29" t="s">
        <v>90</v>
      </c>
      <c r="D191" s="13"/>
      <c r="E191" s="82">
        <v>0</v>
      </c>
      <c r="F191" s="82">
        <v>0</v>
      </c>
      <c r="G191" s="41"/>
      <c r="H191" s="82"/>
      <c r="I191" s="82"/>
      <c r="J191" s="175"/>
      <c r="K191" s="30">
        <v>0</v>
      </c>
      <c r="L191" s="158"/>
      <c r="M191" s="175"/>
      <c r="N191" s="176"/>
      <c r="O191" s="175"/>
      <c r="P191" s="30">
        <v>0</v>
      </c>
      <c r="Q191" s="158">
        <v>0</v>
      </c>
      <c r="R191" s="175"/>
      <c r="S191" s="177"/>
      <c r="T191" s="112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</row>
    <row r="192" spans="1:40" ht="20.25" hidden="1">
      <c r="A192" t="str">
        <f t="shared" si="46"/>
        <v>Service% profit / ventes</v>
      </c>
      <c r="B192" s="11" t="s">
        <v>78</v>
      </c>
      <c r="C192" s="29" t="s">
        <v>82</v>
      </c>
      <c r="D192" s="13"/>
      <c r="E192" s="144"/>
      <c r="F192" s="158">
        <f>IF(F191=0,0,F191/E191)</f>
        <v>0</v>
      </c>
      <c r="G192" s="41"/>
      <c r="H192" s="144"/>
      <c r="I192" s="158"/>
      <c r="J192" s="175"/>
      <c r="K192" s="174"/>
      <c r="L192" s="158">
        <f>IF(L191=0,0,L191/K191)</f>
        <v>0</v>
      </c>
      <c r="M192" s="175"/>
      <c r="N192" s="176"/>
      <c r="O192" s="175"/>
      <c r="P192" s="174"/>
      <c r="Q192" s="158">
        <f>IF(Q191=0,0,Q191/P191)</f>
        <v>0</v>
      </c>
      <c r="R192" s="175"/>
      <c r="S192" s="177"/>
      <c r="T192" s="112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</row>
    <row r="193" spans="1:40" ht="21" thickBot="1">
      <c r="A193" t="str">
        <f t="shared" si="46"/>
        <v>Service</v>
      </c>
      <c r="B193" s="11" t="s">
        <v>78</v>
      </c>
      <c r="C193" s="200"/>
      <c r="D193" s="201"/>
      <c r="E193" s="202"/>
      <c r="F193" s="203"/>
      <c r="G193" s="204"/>
      <c r="H193" s="202"/>
      <c r="I193" s="203"/>
      <c r="J193" s="204"/>
      <c r="K193" s="202"/>
      <c r="L193" s="203"/>
      <c r="M193" s="204"/>
      <c r="N193" s="203"/>
      <c r="O193" s="204"/>
      <c r="P193" s="202"/>
      <c r="Q193" s="203"/>
      <c r="R193" s="204"/>
      <c r="S193" s="205"/>
      <c r="T193" s="112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</row>
    <row r="194" spans="1:40" ht="21" thickTop="1">
      <c r="A194" t="str">
        <f t="shared" si="46"/>
        <v>ServiceTotal Mécanique</v>
      </c>
      <c r="B194" s="11" t="s">
        <v>78</v>
      </c>
      <c r="C194" s="62" t="s">
        <v>91</v>
      </c>
      <c r="D194" s="63"/>
      <c r="E194" s="63">
        <f>E185+E188+E191</f>
        <v>133807.56831748813</v>
      </c>
      <c r="F194" s="65">
        <f>F185+F188+F191</f>
        <v>90131.075377614121</v>
      </c>
      <c r="G194" s="66"/>
      <c r="H194" s="63"/>
      <c r="I194" s="65"/>
      <c r="J194" s="66"/>
      <c r="K194" s="63">
        <f>K185+K188+K191</f>
        <v>120178.18999999999</v>
      </c>
      <c r="L194" s="65">
        <f>L185+L188+L191</f>
        <v>75572.249999999985</v>
      </c>
      <c r="M194" s="206">
        <f>L195-F195</f>
        <v>-4.4752292996384391E-2</v>
      </c>
      <c r="N194" s="65">
        <f>L194-F194</f>
        <v>-14558.825377614136</v>
      </c>
      <c r="O194" s="66"/>
      <c r="P194" s="63">
        <f t="shared" ref="P194:Q194" si="48">P185+P188+P191</f>
        <v>135867.92999999982</v>
      </c>
      <c r="Q194" s="65">
        <f t="shared" si="48"/>
        <v>91177.029999999824</v>
      </c>
      <c r="R194" s="206">
        <f>L195-Q195</f>
        <v>-4.2236034819935764E-2</v>
      </c>
      <c r="S194" s="68">
        <f>L194-Q194</f>
        <v>-15604.779999999839</v>
      </c>
      <c r="T194" s="112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</row>
    <row r="195" spans="1:40" ht="21" thickBot="1">
      <c r="A195" t="str">
        <f t="shared" si="46"/>
        <v>Service</v>
      </c>
      <c r="B195" s="11" t="s">
        <v>78</v>
      </c>
      <c r="C195" s="69"/>
      <c r="D195" s="70"/>
      <c r="E195" s="70"/>
      <c r="F195" s="74">
        <f>F194/E194</f>
        <v>0.67358727545035535</v>
      </c>
      <c r="G195" s="72"/>
      <c r="H195" s="70"/>
      <c r="I195" s="74"/>
      <c r="J195" s="72"/>
      <c r="K195" s="70"/>
      <c r="L195" s="74">
        <f>L194/K194</f>
        <v>0.62883498245397096</v>
      </c>
      <c r="M195" s="73"/>
      <c r="N195" s="74">
        <f>N194/F194</f>
        <v>-0.16152947600612025</v>
      </c>
      <c r="O195" s="72"/>
      <c r="P195" s="70"/>
      <c r="Q195" s="74">
        <f>Q194/P194</f>
        <v>0.67107101727390672</v>
      </c>
      <c r="R195" s="73"/>
      <c r="S195" s="75">
        <f>L194/S194</f>
        <v>-4.8428910884998553</v>
      </c>
      <c r="T195" s="76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</row>
    <row r="196" spans="1:40" ht="21" thickTop="1">
      <c r="A196" t="str">
        <f t="shared" si="46"/>
        <v>Service</v>
      </c>
      <c r="B196" s="11" t="s">
        <v>78</v>
      </c>
      <c r="C196" s="53"/>
      <c r="D196" s="76"/>
      <c r="E196" s="76"/>
      <c r="F196" s="43"/>
      <c r="G196" s="78"/>
      <c r="H196" s="76"/>
      <c r="I196" s="43"/>
      <c r="J196" s="78"/>
      <c r="K196" s="76"/>
      <c r="L196" s="466"/>
      <c r="M196" s="42"/>
      <c r="N196" s="43"/>
      <c r="O196" s="78"/>
      <c r="P196" s="76"/>
      <c r="Q196" s="43"/>
      <c r="R196" s="42"/>
      <c r="S196" s="44"/>
      <c r="T196" s="76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</row>
    <row r="197" spans="1:40" ht="20.25">
      <c r="A197" t="str">
        <f t="shared" si="46"/>
        <v>ServiceDEPENSES</v>
      </c>
      <c r="B197" s="11" t="s">
        <v>78</v>
      </c>
      <c r="C197" s="79" t="s">
        <v>29</v>
      </c>
      <c r="D197" s="13"/>
      <c r="E197" s="13"/>
      <c r="F197" s="59"/>
      <c r="G197" s="41"/>
      <c r="H197" s="13"/>
      <c r="I197" s="59"/>
      <c r="J197" s="41"/>
      <c r="K197" s="13"/>
      <c r="L197" s="40"/>
      <c r="M197" s="41"/>
      <c r="N197" s="40"/>
      <c r="O197" s="41"/>
      <c r="P197" s="13"/>
      <c r="Q197" s="40"/>
      <c r="R197" s="41"/>
      <c r="S197" s="61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</row>
    <row r="198" spans="1:40" ht="20.25">
      <c r="A198" t="str">
        <f t="shared" si="46"/>
        <v>ServiceSalaires cadres</v>
      </c>
      <c r="B198" s="11" t="s">
        <v>78</v>
      </c>
      <c r="C198" s="102" t="s">
        <v>40</v>
      </c>
      <c r="D198" s="13"/>
      <c r="E198" s="13"/>
      <c r="F198" s="30">
        <v>9513.0297073791353</v>
      </c>
      <c r="G198" s="41"/>
      <c r="H198" s="13"/>
      <c r="I198" s="30"/>
      <c r="J198" s="41"/>
      <c r="K198" s="13"/>
      <c r="L198" s="33">
        <v>9296.8799999999992</v>
      </c>
      <c r="M198" s="41"/>
      <c r="N198" s="59">
        <f t="shared" ref="N198:N229" si="49">L198-F198</f>
        <v>-216.14970737913609</v>
      </c>
      <c r="O198" s="41"/>
      <c r="P198" s="13"/>
      <c r="Q198" s="33">
        <v>8020.19</v>
      </c>
      <c r="R198" s="41"/>
      <c r="S198" s="85">
        <f t="shared" ref="S198:S228" si="50">L198-Q198</f>
        <v>1276.6899999999996</v>
      </c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</row>
    <row r="199" spans="1:40" ht="20.25">
      <c r="A199" t="str">
        <f t="shared" si="46"/>
        <v>ServiceSalaires commis</v>
      </c>
      <c r="B199" s="11" t="s">
        <v>78</v>
      </c>
      <c r="C199" s="103" t="s">
        <v>41</v>
      </c>
      <c r="D199" s="81"/>
      <c r="E199" s="13"/>
      <c r="F199" s="22">
        <v>4981.9445928753184</v>
      </c>
      <c r="G199" s="83"/>
      <c r="H199" s="13"/>
      <c r="I199" s="22"/>
      <c r="J199" s="41"/>
      <c r="K199" s="13"/>
      <c r="L199" s="33">
        <v>4601.2700000000004</v>
      </c>
      <c r="M199" s="41"/>
      <c r="N199" s="59">
        <f t="shared" si="49"/>
        <v>-380.67459287531801</v>
      </c>
      <c r="O199" s="41"/>
      <c r="P199" s="13"/>
      <c r="Q199" s="33">
        <v>4493.79</v>
      </c>
      <c r="R199" s="41"/>
      <c r="S199" s="85">
        <f t="shared" si="50"/>
        <v>107.48000000000047</v>
      </c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</row>
    <row r="200" spans="1:40" ht="20.25">
      <c r="A200" t="str">
        <f t="shared" si="46"/>
        <v>ServiceSalaires autres</v>
      </c>
      <c r="B200" s="11" t="s">
        <v>78</v>
      </c>
      <c r="C200" s="102" t="s">
        <v>42</v>
      </c>
      <c r="D200" s="104"/>
      <c r="E200" s="105"/>
      <c r="F200" s="30">
        <v>4322.1221374045799</v>
      </c>
      <c r="G200" s="106"/>
      <c r="H200" s="105"/>
      <c r="I200" s="30"/>
      <c r="J200" s="107"/>
      <c r="K200" s="105"/>
      <c r="L200" s="108">
        <v>4542.45</v>
      </c>
      <c r="M200" s="107"/>
      <c r="N200" s="109">
        <f t="shared" si="49"/>
        <v>220.3278625954199</v>
      </c>
      <c r="O200" s="107"/>
      <c r="P200" s="105"/>
      <c r="Q200" s="108">
        <v>4104</v>
      </c>
      <c r="R200" s="107"/>
      <c r="S200" s="110">
        <f t="shared" si="50"/>
        <v>438.44999999999982</v>
      </c>
      <c r="T200" s="13"/>
      <c r="U200" s="13"/>
      <c r="V200" s="13" t="s">
        <v>258</v>
      </c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</row>
    <row r="201" spans="1:40" ht="20.25">
      <c r="A201" t="str">
        <f t="shared" si="46"/>
        <v>ServiceSalaires spécialistes</v>
      </c>
      <c r="B201" s="11" t="s">
        <v>78</v>
      </c>
      <c r="C201" s="102" t="s">
        <v>43</v>
      </c>
      <c r="D201" s="81"/>
      <c r="E201" s="13"/>
      <c r="F201" s="30">
        <v>13283.797831091724</v>
      </c>
      <c r="G201" s="83"/>
      <c r="H201" s="13"/>
      <c r="I201" s="30"/>
      <c r="J201" s="41"/>
      <c r="K201" s="13"/>
      <c r="L201" s="33">
        <v>12462.65</v>
      </c>
      <c r="M201" s="41"/>
      <c r="N201" s="59">
        <f t="shared" si="49"/>
        <v>-821.14783109172458</v>
      </c>
      <c r="O201" s="41"/>
      <c r="P201" s="13"/>
      <c r="Q201" s="33">
        <v>13814.13</v>
      </c>
      <c r="R201" s="41"/>
      <c r="S201" s="85">
        <f t="shared" si="50"/>
        <v>-1351.4799999999996</v>
      </c>
      <c r="T201" s="13"/>
      <c r="U201" s="13"/>
      <c r="V201" s="13" t="s">
        <v>259</v>
      </c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</row>
    <row r="202" spans="1:40" ht="20.25" hidden="1">
      <c r="A202" t="str">
        <f t="shared" si="46"/>
        <v>Service[...]</v>
      </c>
      <c r="B202" s="11" t="s">
        <v>78</v>
      </c>
      <c r="C202" s="29" t="s">
        <v>19</v>
      </c>
      <c r="D202" s="81"/>
      <c r="E202" s="13"/>
      <c r="F202" s="30">
        <v>0</v>
      </c>
      <c r="G202" s="83"/>
      <c r="H202" s="13"/>
      <c r="I202" s="30"/>
      <c r="J202" s="41"/>
      <c r="K202" s="13"/>
      <c r="L202" s="33">
        <v>0</v>
      </c>
      <c r="M202" s="41"/>
      <c r="N202" s="59">
        <f t="shared" si="49"/>
        <v>0</v>
      </c>
      <c r="O202" s="41"/>
      <c r="P202" s="13"/>
      <c r="Q202" s="33">
        <v>0</v>
      </c>
      <c r="R202" s="41"/>
      <c r="S202" s="85">
        <f t="shared" si="50"/>
        <v>0</v>
      </c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</row>
    <row r="203" spans="1:40" ht="20.25" hidden="1">
      <c r="A203" t="str">
        <f t="shared" si="46"/>
        <v>Service[...]</v>
      </c>
      <c r="B203" s="11" t="s">
        <v>78</v>
      </c>
      <c r="C203" s="29" t="s">
        <v>19</v>
      </c>
      <c r="D203" s="81"/>
      <c r="E203" s="13"/>
      <c r="F203" s="30">
        <v>0</v>
      </c>
      <c r="G203" s="83"/>
      <c r="H203" s="13"/>
      <c r="I203" s="30"/>
      <c r="J203" s="41"/>
      <c r="K203" s="13"/>
      <c r="L203" s="33">
        <v>0</v>
      </c>
      <c r="M203" s="41"/>
      <c r="N203" s="59">
        <f t="shared" si="49"/>
        <v>0</v>
      </c>
      <c r="O203" s="41"/>
      <c r="P203" s="13"/>
      <c r="Q203" s="33">
        <v>0</v>
      </c>
      <c r="R203" s="41"/>
      <c r="S203" s="85">
        <f t="shared" si="50"/>
        <v>0</v>
      </c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</row>
    <row r="204" spans="1:40" ht="20.25" hidden="1">
      <c r="A204" t="str">
        <f t="shared" si="46"/>
        <v>Service[...]</v>
      </c>
      <c r="B204" s="11" t="s">
        <v>78</v>
      </c>
      <c r="C204" s="29" t="s">
        <v>19</v>
      </c>
      <c r="D204" s="81"/>
      <c r="E204" s="13"/>
      <c r="F204" s="30">
        <v>0</v>
      </c>
      <c r="G204" s="83"/>
      <c r="H204" s="13"/>
      <c r="I204" s="30"/>
      <c r="J204" s="41"/>
      <c r="K204" s="13"/>
      <c r="L204" s="33">
        <v>0</v>
      </c>
      <c r="M204" s="41"/>
      <c r="N204" s="59">
        <f t="shared" si="49"/>
        <v>0</v>
      </c>
      <c r="O204" s="41"/>
      <c r="P204" s="13"/>
      <c r="Q204" s="33">
        <v>0</v>
      </c>
      <c r="R204" s="41"/>
      <c r="S204" s="85">
        <f>L204-Q204</f>
        <v>0</v>
      </c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</row>
    <row r="205" spans="1:40" ht="20.25">
      <c r="A205" t="str">
        <f t="shared" si="46"/>
        <v>ServiceSalaires en absences</v>
      </c>
      <c r="B205" s="11" t="s">
        <v>78</v>
      </c>
      <c r="C205" s="103" t="s">
        <v>44</v>
      </c>
      <c r="D205" s="81"/>
      <c r="E205" s="13"/>
      <c r="F205" s="30">
        <v>7495.9862884003151</v>
      </c>
      <c r="G205" s="83"/>
      <c r="H205" s="13"/>
      <c r="I205" s="30"/>
      <c r="J205" s="41"/>
      <c r="K205" s="13"/>
      <c r="L205" s="33">
        <v>6859.45</v>
      </c>
      <c r="M205" s="41"/>
      <c r="N205" s="59">
        <f t="shared" si="49"/>
        <v>-636.53628840031524</v>
      </c>
      <c r="O205" s="41"/>
      <c r="P205" s="13"/>
      <c r="Q205" s="33">
        <v>8091.4</v>
      </c>
      <c r="R205" s="41"/>
      <c r="S205" s="85">
        <f>L205-Q205</f>
        <v>-1231.9499999999998</v>
      </c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</row>
    <row r="206" spans="1:40" ht="20.25">
      <c r="A206" t="str">
        <f t="shared" si="46"/>
        <v>ServiceDéduction à la source</v>
      </c>
      <c r="B206" s="11" t="s">
        <v>78</v>
      </c>
      <c r="C206" s="102" t="s">
        <v>45</v>
      </c>
      <c r="D206" s="104"/>
      <c r="E206" s="105"/>
      <c r="F206" s="55">
        <v>9668.4522884327816</v>
      </c>
      <c r="G206" s="106"/>
      <c r="H206" s="105"/>
      <c r="I206" s="55"/>
      <c r="J206" s="107"/>
      <c r="K206" s="105"/>
      <c r="L206" s="108">
        <v>8617.6</v>
      </c>
      <c r="M206" s="107"/>
      <c r="N206" s="109">
        <f t="shared" si="49"/>
        <v>-1050.8522884327813</v>
      </c>
      <c r="O206" s="107"/>
      <c r="P206" s="105"/>
      <c r="Q206" s="108">
        <v>9592.84</v>
      </c>
      <c r="R206" s="107"/>
      <c r="S206" s="110">
        <f t="shared" ref="S206:S236" si="51">L206-Q206</f>
        <v>-975.23999999999978</v>
      </c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</row>
    <row r="207" spans="1:40" ht="20.25">
      <c r="A207" t="str">
        <f t="shared" si="46"/>
        <v>ServiceBénéfices marginaux</v>
      </c>
      <c r="B207" s="11" t="s">
        <v>78</v>
      </c>
      <c r="C207" s="102" t="s">
        <v>46</v>
      </c>
      <c r="D207" s="81"/>
      <c r="E207" s="13"/>
      <c r="F207" s="30">
        <v>4507.0980592694168</v>
      </c>
      <c r="G207" s="83"/>
      <c r="H207" s="13"/>
      <c r="I207" s="30"/>
      <c r="J207" s="41"/>
      <c r="K207" s="13"/>
      <c r="L207" s="33">
        <v>3787.46</v>
      </c>
      <c r="M207" s="41"/>
      <c r="N207" s="59">
        <f t="shared" si="49"/>
        <v>-719.63805926941677</v>
      </c>
      <c r="O207" s="41"/>
      <c r="P207" s="13"/>
      <c r="Q207" s="33">
        <v>4736.3</v>
      </c>
      <c r="R207" s="41"/>
      <c r="S207" s="85">
        <f t="shared" si="51"/>
        <v>-948.84000000000015</v>
      </c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</row>
    <row r="208" spans="1:40" ht="20.25">
      <c r="A208" t="str">
        <f t="shared" si="46"/>
        <v>ServiceCsst</v>
      </c>
      <c r="B208" s="11" t="s">
        <v>78</v>
      </c>
      <c r="C208" s="102" t="s">
        <v>47</v>
      </c>
      <c r="D208" s="81"/>
      <c r="E208" s="13"/>
      <c r="F208" s="30">
        <v>1017.7318198350297</v>
      </c>
      <c r="G208" s="83"/>
      <c r="H208" s="13"/>
      <c r="I208" s="30"/>
      <c r="J208" s="41"/>
      <c r="K208" s="13"/>
      <c r="L208" s="33">
        <v>1035.9000000000001</v>
      </c>
      <c r="M208" s="467"/>
      <c r="N208" s="146">
        <f t="shared" si="49"/>
        <v>18.168180164970408</v>
      </c>
      <c r="O208" s="467"/>
      <c r="P208" s="468"/>
      <c r="Q208" s="22">
        <v>1104.32</v>
      </c>
      <c r="R208" s="467"/>
      <c r="S208" s="469">
        <f t="shared" si="51"/>
        <v>-68.419999999999845</v>
      </c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</row>
    <row r="209" spans="1:40" ht="20.25" hidden="1">
      <c r="A209" t="str">
        <f t="shared" si="46"/>
        <v>Service[...]</v>
      </c>
      <c r="B209" s="11" t="s">
        <v>78</v>
      </c>
      <c r="C209" s="29" t="s">
        <v>19</v>
      </c>
      <c r="D209" s="87"/>
      <c r="E209" s="111"/>
      <c r="F209" s="30">
        <v>0</v>
      </c>
      <c r="G209" s="89"/>
      <c r="H209" s="111"/>
      <c r="I209" s="30"/>
      <c r="J209" s="23"/>
      <c r="K209" s="111"/>
      <c r="L209" s="33">
        <v>0</v>
      </c>
      <c r="M209" s="23"/>
      <c r="N209" s="91">
        <f t="shared" si="49"/>
        <v>0</v>
      </c>
      <c r="O209" s="23"/>
      <c r="P209" s="111"/>
      <c r="Q209" s="33">
        <v>0</v>
      </c>
      <c r="R209" s="23"/>
      <c r="S209" s="92">
        <f t="shared" si="51"/>
        <v>0</v>
      </c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</row>
    <row r="210" spans="1:40" ht="20.25">
      <c r="A210" t="str">
        <f t="shared" si="46"/>
        <v>ServiceTOTAL PERSONNEL</v>
      </c>
      <c r="B210" s="11" t="s">
        <v>78</v>
      </c>
      <c r="C210" s="93" t="s">
        <v>48</v>
      </c>
      <c r="D210" s="94" t="s">
        <v>92</v>
      </c>
      <c r="E210" s="95">
        <f>F210/F$194</f>
        <v>0.60789425284385934</v>
      </c>
      <c r="F210" s="96">
        <f>+SUM(F198:F209)</f>
        <v>54790.162724688307</v>
      </c>
      <c r="G210" s="97"/>
      <c r="H210" s="95"/>
      <c r="I210" s="96"/>
      <c r="J210" s="97" t="s">
        <v>92</v>
      </c>
      <c r="K210" s="95">
        <f>L210/L$194</f>
        <v>0.67754579227163414</v>
      </c>
      <c r="L210" s="96">
        <f>+SUM(L198:L209)</f>
        <v>51203.659999999996</v>
      </c>
      <c r="M210" s="147"/>
      <c r="N210" s="113">
        <f t="shared" si="49"/>
        <v>-3586.502724688311</v>
      </c>
      <c r="O210" s="97" t="s">
        <v>92</v>
      </c>
      <c r="P210" s="95">
        <f>Q210/Q$194</f>
        <v>0.59178249170871344</v>
      </c>
      <c r="Q210" s="96">
        <f>+SUM(Q198:Q209)</f>
        <v>53956.970000000008</v>
      </c>
      <c r="R210" s="147"/>
      <c r="S210" s="114">
        <f t="shared" si="51"/>
        <v>-2753.3100000000122</v>
      </c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</row>
    <row r="211" spans="1:40" ht="20.25">
      <c r="A211" t="str">
        <f t="shared" si="46"/>
        <v>ServicePublicité 2</v>
      </c>
      <c r="B211" s="11" t="s">
        <v>78</v>
      </c>
      <c r="C211" s="29" t="s">
        <v>49</v>
      </c>
      <c r="D211" s="81"/>
      <c r="E211" s="13"/>
      <c r="F211" s="30">
        <v>4203.5361377004756</v>
      </c>
      <c r="G211" s="83"/>
      <c r="H211" s="13"/>
      <c r="I211" s="30"/>
      <c r="J211" s="41"/>
      <c r="K211" s="13"/>
      <c r="L211" s="33">
        <v>7320.4</v>
      </c>
      <c r="M211" s="41"/>
      <c r="N211" s="59">
        <f t="shared" si="49"/>
        <v>3116.863862299524</v>
      </c>
      <c r="O211" s="41"/>
      <c r="P211" s="13"/>
      <c r="Q211" s="33">
        <v>4243.2700000000004</v>
      </c>
      <c r="R211" s="41"/>
      <c r="S211" s="85">
        <f t="shared" si="51"/>
        <v>3077.1299999999992</v>
      </c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</row>
    <row r="212" spans="1:40" ht="20.25">
      <c r="A212" t="str">
        <f t="shared" si="46"/>
        <v>ServiceService gratuit 2</v>
      </c>
      <c r="B212" s="11" t="s">
        <v>78</v>
      </c>
      <c r="C212" s="29" t="s">
        <v>50</v>
      </c>
      <c r="D212" s="81"/>
      <c r="E212" s="13"/>
      <c r="F212" s="30">
        <v>3700</v>
      </c>
      <c r="G212" s="83"/>
      <c r="H212" s="13"/>
      <c r="I212" s="30"/>
      <c r="J212" s="41"/>
      <c r="K212" s="13"/>
      <c r="L212" s="33">
        <v>1948.2800000000002</v>
      </c>
      <c r="M212" s="41"/>
      <c r="N212" s="59">
        <f t="shared" si="49"/>
        <v>-1751.7199999999998</v>
      </c>
      <c r="O212" s="41"/>
      <c r="P212" s="13"/>
      <c r="Q212" s="33">
        <v>1805.34</v>
      </c>
      <c r="R212" s="41"/>
      <c r="S212" s="85">
        <f t="shared" si="51"/>
        <v>142.94000000000028</v>
      </c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</row>
    <row r="213" spans="1:40" ht="20.25">
      <c r="A213" t="str">
        <f t="shared" si="46"/>
        <v>ServiceFrais véhicules de cie</v>
      </c>
      <c r="B213" s="11" t="s">
        <v>78</v>
      </c>
      <c r="C213" s="86" t="s">
        <v>51</v>
      </c>
      <c r="D213" s="87"/>
      <c r="E213" s="111"/>
      <c r="F213" s="22">
        <v>4822.7083333333339</v>
      </c>
      <c r="G213" s="89"/>
      <c r="H213" s="111"/>
      <c r="I213" s="22"/>
      <c r="J213" s="23"/>
      <c r="K213" s="111"/>
      <c r="L213" s="33">
        <v>4543.43</v>
      </c>
      <c r="M213" s="23"/>
      <c r="N213" s="91">
        <f t="shared" si="49"/>
        <v>-279.27833333333365</v>
      </c>
      <c r="O213" s="23"/>
      <c r="P213" s="111"/>
      <c r="Q213" s="33">
        <v>11532.63</v>
      </c>
      <c r="R213" s="23"/>
      <c r="S213" s="92">
        <f t="shared" si="51"/>
        <v>-6989.1999999999989</v>
      </c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</row>
    <row r="214" spans="1:40" ht="20.25">
      <c r="A214" t="str">
        <f t="shared" si="46"/>
        <v>ServiceInformatique</v>
      </c>
      <c r="B214" s="11" t="s">
        <v>78</v>
      </c>
      <c r="C214" s="29" t="s">
        <v>52</v>
      </c>
      <c r="D214" s="81"/>
      <c r="E214" s="13"/>
      <c r="F214" s="30">
        <v>5527.0249999999996</v>
      </c>
      <c r="G214" s="83"/>
      <c r="H214" s="13"/>
      <c r="I214" s="30"/>
      <c r="J214" s="41"/>
      <c r="K214" s="13"/>
      <c r="L214" s="108">
        <v>5458.02</v>
      </c>
      <c r="M214" s="41"/>
      <c r="N214" s="59">
        <f t="shared" si="49"/>
        <v>-69.0049999999992</v>
      </c>
      <c r="O214" s="41"/>
      <c r="P214" s="13"/>
      <c r="Q214" s="108">
        <v>4680.08</v>
      </c>
      <c r="R214" s="41"/>
      <c r="S214" s="85">
        <f t="shared" si="51"/>
        <v>777.94000000000051</v>
      </c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</row>
    <row r="215" spans="1:40" ht="20.25">
      <c r="A215" t="str">
        <f t="shared" si="46"/>
        <v>ServiceFrais de déplacement</v>
      </c>
      <c r="B215" s="11" t="s">
        <v>78</v>
      </c>
      <c r="C215" s="29" t="s">
        <v>53</v>
      </c>
      <c r="D215" s="81"/>
      <c r="E215" s="13"/>
      <c r="F215" s="30">
        <v>411.3</v>
      </c>
      <c r="G215" s="83"/>
      <c r="H215" s="13"/>
      <c r="I215" s="30"/>
      <c r="J215" s="41"/>
      <c r="K215" s="13"/>
      <c r="L215" s="33">
        <v>404.77</v>
      </c>
      <c r="M215" s="41"/>
      <c r="N215" s="59">
        <f t="shared" si="49"/>
        <v>-6.5300000000000296</v>
      </c>
      <c r="O215" s="41"/>
      <c r="P215" s="13"/>
      <c r="Q215" s="33">
        <v>1607.14</v>
      </c>
      <c r="R215" s="41"/>
      <c r="S215" s="85">
        <f t="shared" si="51"/>
        <v>-1202.3700000000001</v>
      </c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</row>
    <row r="216" spans="1:40" ht="20.25">
      <c r="A216" t="str">
        <f t="shared" si="46"/>
        <v>ServiceServices extérieurs</v>
      </c>
      <c r="B216" s="11" t="s">
        <v>78</v>
      </c>
      <c r="C216" s="86" t="s">
        <v>54</v>
      </c>
      <c r="D216" s="87"/>
      <c r="E216" s="111"/>
      <c r="F216" s="22">
        <v>5452.2250000000004</v>
      </c>
      <c r="G216" s="89"/>
      <c r="H216" s="111"/>
      <c r="I216" s="22"/>
      <c r="J216" s="23"/>
      <c r="K216" s="111"/>
      <c r="L216" s="33">
        <v>4402.0600000000004</v>
      </c>
      <c r="M216" s="23"/>
      <c r="N216" s="91">
        <f t="shared" si="49"/>
        <v>-1050.165</v>
      </c>
      <c r="O216" s="23"/>
      <c r="P216" s="111"/>
      <c r="Q216" s="33">
        <v>4303.29</v>
      </c>
      <c r="R216" s="23"/>
      <c r="S216" s="92">
        <f t="shared" si="51"/>
        <v>98.770000000000437</v>
      </c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</row>
    <row r="217" spans="1:40" ht="20.25">
      <c r="A217" t="str">
        <f>+B217&amp;C217</f>
        <v>ServiceFournitures d'atelier</v>
      </c>
      <c r="B217" s="11" t="s">
        <v>78</v>
      </c>
      <c r="C217" s="29" t="s">
        <v>93</v>
      </c>
      <c r="D217" s="81"/>
      <c r="E217" s="13"/>
      <c r="F217" s="30"/>
      <c r="G217" s="83"/>
      <c r="H217" s="13"/>
      <c r="I217" s="30"/>
      <c r="J217" s="41"/>
      <c r="K217" s="13"/>
      <c r="L217" s="108">
        <v>0</v>
      </c>
      <c r="M217" s="41"/>
      <c r="N217" s="59">
        <f t="shared" si="49"/>
        <v>0</v>
      </c>
      <c r="O217" s="41"/>
      <c r="P217" s="13"/>
      <c r="Q217" s="108">
        <v>0</v>
      </c>
      <c r="R217" s="41"/>
      <c r="S217" s="85">
        <f>L217-Q217</f>
        <v>0</v>
      </c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</row>
    <row r="218" spans="1:40" ht="20.25">
      <c r="A218" t="str">
        <f t="shared" ref="A218:A275" si="52">+B218&amp;C218</f>
        <v>ServiceFournitures autres</v>
      </c>
      <c r="B218" s="11" t="s">
        <v>78</v>
      </c>
      <c r="C218" s="29" t="s">
        <v>55</v>
      </c>
      <c r="D218" s="81"/>
      <c r="E218" s="13"/>
      <c r="F218" s="30">
        <v>1231.3253012048192</v>
      </c>
      <c r="G218" s="83"/>
      <c r="H218" s="13"/>
      <c r="I218" s="30"/>
      <c r="J218" s="41"/>
      <c r="K218" s="13"/>
      <c r="L218" s="33">
        <v>520.05999999999995</v>
      </c>
      <c r="M218" s="41"/>
      <c r="N218" s="59">
        <f t="shared" si="49"/>
        <v>-711.26530120481925</v>
      </c>
      <c r="O218" s="41"/>
      <c r="P218" s="13"/>
      <c r="Q218" s="33">
        <v>794.47</v>
      </c>
      <c r="R218" s="41"/>
      <c r="S218" s="85">
        <f t="shared" ref="S218:S248" si="53">L218-Q218</f>
        <v>-274.41000000000008</v>
      </c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</row>
    <row r="219" spans="1:40" ht="20.25">
      <c r="A219" t="str">
        <f t="shared" si="52"/>
        <v>ServiceUniformes</v>
      </c>
      <c r="B219" s="11" t="s">
        <v>78</v>
      </c>
      <c r="C219" s="29" t="s">
        <v>56</v>
      </c>
      <c r="D219" s="81"/>
      <c r="E219" s="13"/>
      <c r="F219" s="30">
        <v>950</v>
      </c>
      <c r="G219" s="83"/>
      <c r="H219" s="13"/>
      <c r="I219" s="30"/>
      <c r="J219" s="41"/>
      <c r="K219" s="13"/>
      <c r="L219" s="33">
        <v>1072.2</v>
      </c>
      <c r="M219" s="41"/>
      <c r="N219" s="59">
        <f t="shared" si="49"/>
        <v>122.20000000000005</v>
      </c>
      <c r="O219" s="41"/>
      <c r="P219" s="13"/>
      <c r="Q219" s="33">
        <v>930.02</v>
      </c>
      <c r="R219" s="41"/>
      <c r="S219" s="85">
        <f t="shared" si="53"/>
        <v>142.18000000000006</v>
      </c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</row>
    <row r="220" spans="1:40" ht="20.25">
      <c r="A220" t="str">
        <f t="shared" si="52"/>
        <v>ServicePapeterie</v>
      </c>
      <c r="B220" s="11" t="s">
        <v>78</v>
      </c>
      <c r="C220" s="29" t="s">
        <v>57</v>
      </c>
      <c r="D220" s="81"/>
      <c r="E220" s="13"/>
      <c r="F220" s="30">
        <v>393.75</v>
      </c>
      <c r="G220" s="83"/>
      <c r="H220" s="13"/>
      <c r="I220" s="30"/>
      <c r="J220" s="41"/>
      <c r="K220" s="13"/>
      <c r="L220" s="32">
        <v>168.13</v>
      </c>
      <c r="M220" s="41"/>
      <c r="N220" s="59">
        <f t="shared" si="49"/>
        <v>-225.62</v>
      </c>
      <c r="O220" s="41"/>
      <c r="P220" s="13"/>
      <c r="Q220" s="32">
        <v>119.55</v>
      </c>
      <c r="R220" s="41"/>
      <c r="S220" s="85">
        <f t="shared" si="53"/>
        <v>48.58</v>
      </c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</row>
    <row r="221" spans="1:40" ht="20.25">
      <c r="A221" t="str">
        <f t="shared" si="52"/>
        <v>ServiceTéléphone</v>
      </c>
      <c r="B221" s="11" t="s">
        <v>78</v>
      </c>
      <c r="C221" s="29" t="s">
        <v>58</v>
      </c>
      <c r="D221" s="81"/>
      <c r="E221" s="13"/>
      <c r="F221" s="30">
        <v>111.2</v>
      </c>
      <c r="G221" s="83"/>
      <c r="H221" s="13"/>
      <c r="I221" s="30"/>
      <c r="J221" s="41"/>
      <c r="K221" s="13"/>
      <c r="L221" s="33">
        <v>69.62</v>
      </c>
      <c r="M221" s="41"/>
      <c r="N221" s="59">
        <f t="shared" si="49"/>
        <v>-41.58</v>
      </c>
      <c r="O221" s="41"/>
      <c r="P221" s="13"/>
      <c r="Q221" s="33">
        <v>105.27</v>
      </c>
      <c r="R221" s="41"/>
      <c r="S221" s="85">
        <f t="shared" si="53"/>
        <v>-35.649999999999991</v>
      </c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</row>
    <row r="222" spans="1:40" ht="20.25">
      <c r="A222" t="str">
        <f t="shared" si="52"/>
        <v>ServiceFrais postaux</v>
      </c>
      <c r="B222" s="11" t="s">
        <v>78</v>
      </c>
      <c r="C222" s="29" t="s">
        <v>59</v>
      </c>
      <c r="D222" s="81"/>
      <c r="E222" s="13"/>
      <c r="F222" s="30">
        <v>112.5</v>
      </c>
      <c r="G222" s="83"/>
      <c r="H222" s="13"/>
      <c r="I222" s="30"/>
      <c r="J222" s="41"/>
      <c r="K222" s="13"/>
      <c r="L222" s="33">
        <v>7.43</v>
      </c>
      <c r="M222" s="41"/>
      <c r="N222" s="59">
        <f t="shared" si="49"/>
        <v>-105.07</v>
      </c>
      <c r="O222" s="41"/>
      <c r="P222" s="13"/>
      <c r="Q222" s="33">
        <v>68.41</v>
      </c>
      <c r="R222" s="41"/>
      <c r="S222" s="85">
        <f t="shared" si="53"/>
        <v>-60.98</v>
      </c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</row>
    <row r="223" spans="1:40" ht="20.25">
      <c r="A223" t="str">
        <f t="shared" si="52"/>
        <v>ServiceDivers</v>
      </c>
      <c r="B223" s="11" t="s">
        <v>78</v>
      </c>
      <c r="C223" s="29" t="s">
        <v>60</v>
      </c>
      <c r="D223" s="81"/>
      <c r="E223" s="13"/>
      <c r="F223" s="30">
        <v>418.05</v>
      </c>
      <c r="G223" s="83"/>
      <c r="H223" s="13"/>
      <c r="I223" s="30"/>
      <c r="J223" s="41"/>
      <c r="K223" s="13"/>
      <c r="L223" s="33">
        <v>1215.3600000000001</v>
      </c>
      <c r="M223" s="41"/>
      <c r="N223" s="59">
        <f t="shared" si="49"/>
        <v>797.31000000000017</v>
      </c>
      <c r="O223" s="41"/>
      <c r="P223" s="13"/>
      <c r="Q223" s="33">
        <v>357.61</v>
      </c>
      <c r="R223" s="41"/>
      <c r="S223" s="85">
        <f t="shared" si="53"/>
        <v>857.75000000000011</v>
      </c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</row>
    <row r="224" spans="1:40" ht="20.25">
      <c r="A224" t="str">
        <f t="shared" si="52"/>
        <v>ServiceFormation</v>
      </c>
      <c r="B224" s="11" t="s">
        <v>78</v>
      </c>
      <c r="C224" s="29" t="s">
        <v>61</v>
      </c>
      <c r="D224" s="81"/>
      <c r="E224" s="13"/>
      <c r="F224" s="30">
        <v>1728.5819066666668</v>
      </c>
      <c r="G224" s="83"/>
      <c r="H224" s="13"/>
      <c r="I224" s="30"/>
      <c r="J224" s="41"/>
      <c r="K224" s="13"/>
      <c r="L224" s="33">
        <v>459.54</v>
      </c>
      <c r="M224" s="41"/>
      <c r="N224" s="59">
        <f t="shared" si="49"/>
        <v>-1269.0419066666668</v>
      </c>
      <c r="O224" s="41"/>
      <c r="P224" s="13"/>
      <c r="Q224" s="33">
        <v>2257.33</v>
      </c>
      <c r="R224" s="41"/>
      <c r="S224" s="85">
        <f t="shared" si="53"/>
        <v>-1797.79</v>
      </c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</row>
    <row r="225" spans="1:40" ht="20.25">
      <c r="A225" t="str">
        <f t="shared" si="52"/>
        <v>ServiceFrais bancaires</v>
      </c>
      <c r="B225" s="11" t="s">
        <v>78</v>
      </c>
      <c r="C225" s="29" t="s">
        <v>62</v>
      </c>
      <c r="D225" s="81"/>
      <c r="E225" s="13"/>
      <c r="F225" s="30">
        <v>1507.4919766278301</v>
      </c>
      <c r="G225" s="83"/>
      <c r="H225" s="13"/>
      <c r="I225" s="30"/>
      <c r="J225" s="41"/>
      <c r="K225" s="13"/>
      <c r="L225" s="33">
        <v>1332.37</v>
      </c>
      <c r="M225" s="41"/>
      <c r="N225" s="59">
        <f t="shared" si="49"/>
        <v>-175.12197662783024</v>
      </c>
      <c r="O225" s="41"/>
      <c r="P225" s="13"/>
      <c r="Q225" s="33">
        <v>1288.22</v>
      </c>
      <c r="R225" s="41"/>
      <c r="S225" s="85">
        <f t="shared" si="53"/>
        <v>44.149999999999864</v>
      </c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</row>
    <row r="226" spans="1:40" ht="20.25" hidden="1">
      <c r="A226" t="str">
        <f t="shared" si="52"/>
        <v>Service[...]</v>
      </c>
      <c r="B226" s="11" t="s">
        <v>78</v>
      </c>
      <c r="C226" s="29" t="s">
        <v>19</v>
      </c>
      <c r="D226" s="81"/>
      <c r="E226" s="13"/>
      <c r="F226" s="30">
        <v>0</v>
      </c>
      <c r="G226" s="83"/>
      <c r="H226" s="13"/>
      <c r="I226" s="30"/>
      <c r="J226" s="41"/>
      <c r="K226" s="13"/>
      <c r="L226" s="33">
        <v>0</v>
      </c>
      <c r="M226" s="41"/>
      <c r="N226" s="59">
        <f t="shared" si="49"/>
        <v>0</v>
      </c>
      <c r="O226" s="41"/>
      <c r="P226" s="13"/>
      <c r="Q226" s="33">
        <v>0</v>
      </c>
      <c r="R226" s="41"/>
      <c r="S226" s="85">
        <f t="shared" si="53"/>
        <v>0</v>
      </c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</row>
    <row r="227" spans="1:40" ht="20.25" hidden="1">
      <c r="A227" t="str">
        <f>+B227&amp;C227</f>
        <v>Service[...]</v>
      </c>
      <c r="B227" s="11" t="s">
        <v>78</v>
      </c>
      <c r="C227" s="29" t="s">
        <v>19</v>
      </c>
      <c r="D227" s="81"/>
      <c r="E227" s="13"/>
      <c r="F227" s="30">
        <v>0</v>
      </c>
      <c r="G227" s="83"/>
      <c r="H227" s="13"/>
      <c r="I227" s="30"/>
      <c r="J227" s="41"/>
      <c r="K227" s="13"/>
      <c r="L227" s="33">
        <v>0</v>
      </c>
      <c r="M227" s="41"/>
      <c r="N227" s="59">
        <f t="shared" si="49"/>
        <v>0</v>
      </c>
      <c r="O227" s="41"/>
      <c r="P227" s="13"/>
      <c r="Q227" s="33">
        <v>0</v>
      </c>
      <c r="R227" s="41"/>
      <c r="S227" s="85">
        <f>L227-Q227</f>
        <v>0</v>
      </c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</row>
    <row r="228" spans="1:40" ht="20.25" hidden="1">
      <c r="A228" t="str">
        <f t="shared" ref="A228:A285" si="54">+B228&amp;C228</f>
        <v>Service[...]</v>
      </c>
      <c r="B228" s="11" t="s">
        <v>78</v>
      </c>
      <c r="C228" s="29" t="s">
        <v>19</v>
      </c>
      <c r="D228" s="81"/>
      <c r="E228" s="13"/>
      <c r="F228" s="30">
        <v>0</v>
      </c>
      <c r="G228" s="83"/>
      <c r="H228" s="13"/>
      <c r="I228" s="30"/>
      <c r="J228" s="41"/>
      <c r="K228" s="13"/>
      <c r="L228" s="33">
        <v>0</v>
      </c>
      <c r="M228" s="41"/>
      <c r="N228" s="59">
        <f t="shared" si="49"/>
        <v>0</v>
      </c>
      <c r="O228" s="41"/>
      <c r="P228" s="13"/>
      <c r="Q228" s="33">
        <v>0</v>
      </c>
      <c r="R228" s="41"/>
      <c r="S228" s="85">
        <f t="shared" ref="S228:S258" si="55">L228-Q228</f>
        <v>0</v>
      </c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</row>
    <row r="229" spans="1:40" ht="20.25">
      <c r="B229" s="11"/>
      <c r="C229" s="93" t="s">
        <v>63</v>
      </c>
      <c r="D229" s="94" t="s">
        <v>92</v>
      </c>
      <c r="E229" s="95">
        <f>F229/F$194</f>
        <v>0.33916929901765858</v>
      </c>
      <c r="F229" s="96">
        <f>+SUM(F211:F228)</f>
        <v>30569.693655533127</v>
      </c>
      <c r="G229" s="97"/>
      <c r="H229" s="95"/>
      <c r="I229" s="96"/>
      <c r="J229" s="97" t="s">
        <v>92</v>
      </c>
      <c r="K229" s="95">
        <f>L229/L$194</f>
        <v>0.38270224851053147</v>
      </c>
      <c r="L229" s="96">
        <f>+SUM(L211:L228)</f>
        <v>28921.670000000006</v>
      </c>
      <c r="M229" s="100"/>
      <c r="N229" s="96">
        <f t="shared" si="49"/>
        <v>-1648.0236555331212</v>
      </c>
      <c r="O229" s="97" t="s">
        <v>92</v>
      </c>
      <c r="P229" s="95">
        <f>Q229/Q$194</f>
        <v>0.3739168735809893</v>
      </c>
      <c r="Q229" s="96">
        <f>+SUM(Q211:Q228)</f>
        <v>34092.630000000005</v>
      </c>
      <c r="R229" s="100"/>
      <c r="S229" s="101">
        <f>L229-Q229</f>
        <v>-5170.9599999999991</v>
      </c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</row>
    <row r="230" spans="1:40" ht="20.25">
      <c r="B230" s="11"/>
      <c r="C230" s="86"/>
      <c r="D230" s="87"/>
      <c r="E230" s="111"/>
      <c r="F230" s="59"/>
      <c r="G230" s="89"/>
      <c r="H230" s="111"/>
      <c r="I230" s="59"/>
      <c r="J230" s="23"/>
      <c r="K230" s="111"/>
      <c r="L230" s="91"/>
      <c r="M230" s="23"/>
      <c r="N230" s="91"/>
      <c r="O230" s="23"/>
      <c r="P230" s="111"/>
      <c r="Q230" s="91"/>
      <c r="R230" s="23"/>
      <c r="S230" s="92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</row>
    <row r="231" spans="1:40" ht="20.25">
      <c r="B231" s="11"/>
      <c r="C231" s="93" t="s">
        <v>64</v>
      </c>
      <c r="D231" s="94" t="s">
        <v>38</v>
      </c>
      <c r="E231" s="95">
        <f>F231/F$194</f>
        <v>0.94706355186151792</v>
      </c>
      <c r="F231" s="96">
        <f>F210+F229</f>
        <v>85359.856380221434</v>
      </c>
      <c r="G231" s="97"/>
      <c r="H231" s="95"/>
      <c r="I231" s="96"/>
      <c r="J231" s="97" t="s">
        <v>38</v>
      </c>
      <c r="K231" s="95">
        <f>L231/L$194</f>
        <v>1.0602480407821657</v>
      </c>
      <c r="L231" s="96">
        <f>L210+L229</f>
        <v>80125.33</v>
      </c>
      <c r="M231" s="100"/>
      <c r="N231" s="113">
        <f>L231-F231</f>
        <v>-5234.5263802214322</v>
      </c>
      <c r="O231" s="97" t="s">
        <v>38</v>
      </c>
      <c r="P231" s="95">
        <f>Q231/Q$194</f>
        <v>0.96569936528970268</v>
      </c>
      <c r="Q231" s="96">
        <f>Q210+Q229</f>
        <v>88049.600000000006</v>
      </c>
      <c r="R231" s="100"/>
      <c r="S231" s="114">
        <f>L231-Q231</f>
        <v>-7924.2700000000041</v>
      </c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</row>
    <row r="232" spans="1:40" ht="20.25">
      <c r="B232" s="11"/>
      <c r="C232" s="29"/>
      <c r="D232" s="81"/>
      <c r="E232" s="13"/>
      <c r="F232" s="59"/>
      <c r="G232" s="83"/>
      <c r="H232" s="13"/>
      <c r="I232" s="59"/>
      <c r="J232" s="41"/>
      <c r="K232" s="13"/>
      <c r="L232" s="59"/>
      <c r="M232" s="41"/>
      <c r="N232" s="59">
        <f>L232-F232</f>
        <v>0</v>
      </c>
      <c r="O232" s="41"/>
      <c r="P232" s="13"/>
      <c r="Q232" s="59"/>
      <c r="R232" s="41"/>
      <c r="S232" s="85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</row>
    <row r="233" spans="1:40" ht="21" thickBot="1">
      <c r="B233" s="11"/>
      <c r="C233" s="124" t="s">
        <v>69</v>
      </c>
      <c r="D233" s="152"/>
      <c r="E233" s="125"/>
      <c r="F233" s="127">
        <f>F194-F231</f>
        <v>4771.218997392687</v>
      </c>
      <c r="G233" s="153"/>
      <c r="H233" s="125"/>
      <c r="I233" s="127"/>
      <c r="J233" s="154"/>
      <c r="K233" s="126"/>
      <c r="L233" s="127">
        <f>L194-L231</f>
        <v>-4553.0800000000163</v>
      </c>
      <c r="M233" s="154"/>
      <c r="N233" s="127">
        <f>L233-F233</f>
        <v>-9324.2989973927033</v>
      </c>
      <c r="O233" s="154"/>
      <c r="P233" s="126"/>
      <c r="Q233" s="127">
        <f>Q194-Q231</f>
        <v>3127.4299999998184</v>
      </c>
      <c r="R233" s="154"/>
      <c r="S233" s="129">
        <f>L233-Q233</f>
        <v>-7680.5099999998347</v>
      </c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  <c r="AM233" s="13"/>
      <c r="AN233" s="13"/>
    </row>
    <row r="234" spans="1:40" ht="21" thickTop="1">
      <c r="B234" s="11"/>
      <c r="C234" s="13"/>
      <c r="D234" s="13"/>
      <c r="E234" s="13"/>
      <c r="F234" s="13"/>
      <c r="G234" s="13"/>
      <c r="H234" s="13"/>
      <c r="I234" s="13"/>
      <c r="J234" s="13"/>
      <c r="K234" s="13"/>
      <c r="L234" s="82"/>
      <c r="M234" s="82"/>
      <c r="N234" s="13"/>
      <c r="O234" s="82"/>
      <c r="P234" s="13"/>
      <c r="Q234" s="82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  <c r="AL234" s="13"/>
      <c r="AM234" s="13"/>
      <c r="AN234" s="13"/>
    </row>
    <row r="235" spans="1:40" ht="20.25">
      <c r="B235" s="11"/>
      <c r="C235" s="10"/>
      <c r="D235" s="10"/>
      <c r="E235" s="10"/>
      <c r="F235" s="10"/>
      <c r="G235" s="10"/>
      <c r="H235" s="10"/>
      <c r="I235" s="10"/>
      <c r="J235" s="10"/>
      <c r="K235" s="10"/>
      <c r="L235" s="155"/>
      <c r="M235" s="155"/>
      <c r="N235" s="10"/>
      <c r="O235" s="155"/>
      <c r="P235" s="10"/>
      <c r="Q235" s="155"/>
      <c r="R235" s="10"/>
      <c r="S235" s="10"/>
      <c r="T235" s="10"/>
      <c r="U235" s="10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  <c r="AL235" s="13"/>
      <c r="AM235" s="13"/>
      <c r="AN235" s="13"/>
    </row>
    <row r="236" spans="1:40" ht="35.25">
      <c r="B236" s="11"/>
      <c r="C236" s="6" t="str">
        <f>C1</f>
        <v>BMW Sherbrooke</v>
      </c>
      <c r="D236" s="2"/>
      <c r="E236" s="2"/>
      <c r="F236" s="2"/>
      <c r="G236" s="2"/>
      <c r="H236" s="1"/>
      <c r="I236" s="1"/>
      <c r="J236" s="1"/>
      <c r="K236" s="3" t="s">
        <v>94</v>
      </c>
      <c r="L236" s="2"/>
      <c r="M236" s="2"/>
      <c r="N236" s="1"/>
      <c r="O236" s="1"/>
      <c r="P236" s="2"/>
      <c r="Q236" s="1"/>
      <c r="R236" s="2"/>
      <c r="S236" s="5" t="str">
        <f>$S$1</f>
        <v>Réalisé, Septembre 2024</v>
      </c>
      <c r="T236" s="2"/>
      <c r="U236" s="6"/>
      <c r="V236" s="10"/>
      <c r="W236" s="10"/>
      <c r="X236" s="10"/>
      <c r="Y236" s="10"/>
      <c r="Z236" s="10"/>
      <c r="AA236" s="10"/>
      <c r="AB236" s="10"/>
      <c r="AC236" s="10"/>
      <c r="AD236" s="10"/>
      <c r="AE236" s="10"/>
      <c r="AF236" s="10"/>
      <c r="AG236" s="10"/>
      <c r="AH236" s="10"/>
      <c r="AI236" s="10"/>
      <c r="AJ236" s="10"/>
      <c r="AK236" s="10"/>
      <c r="AL236" s="10"/>
      <c r="AM236" s="10"/>
      <c r="AN236" s="10"/>
    </row>
    <row r="237" spans="1:40" ht="36" thickBot="1">
      <c r="B237" s="11"/>
      <c r="C237" s="8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6"/>
      <c r="W237" s="6"/>
      <c r="X237" s="6"/>
      <c r="Y237" s="6"/>
      <c r="Z237" s="6"/>
      <c r="AA237" s="6"/>
      <c r="AB237" s="6"/>
      <c r="AC237" s="6"/>
      <c r="AD237" s="6"/>
      <c r="AE237" s="6"/>
      <c r="AF237" s="6"/>
      <c r="AG237" s="6"/>
      <c r="AH237" s="6"/>
      <c r="AI237" s="6"/>
      <c r="AJ237" s="6"/>
      <c r="AK237" s="6"/>
      <c r="AL237" s="6"/>
      <c r="AM237" s="6"/>
      <c r="AN237" s="6"/>
    </row>
    <row r="238" spans="1:40" ht="21" thickTop="1">
      <c r="B238" s="11"/>
      <c r="C238" s="12"/>
      <c r="D238" s="496" t="s">
        <v>5</v>
      </c>
      <c r="E238" s="497"/>
      <c r="F238" s="498"/>
      <c r="G238" s="499"/>
      <c r="H238" s="497"/>
      <c r="I238" s="498"/>
      <c r="J238" s="499" t="s">
        <v>7</v>
      </c>
      <c r="K238" s="497"/>
      <c r="L238" s="498"/>
      <c r="M238" s="499" t="s">
        <v>213</v>
      </c>
      <c r="N238" s="498"/>
      <c r="O238" s="496" t="s">
        <v>8</v>
      </c>
      <c r="P238" s="497"/>
      <c r="Q238" s="498"/>
      <c r="R238" s="494" t="s">
        <v>214</v>
      </c>
      <c r="S238" s="495"/>
      <c r="T238" s="149"/>
      <c r="U238" s="13"/>
      <c r="V238" s="10"/>
      <c r="W238" s="10"/>
      <c r="X238" s="10"/>
      <c r="Y238" s="10"/>
      <c r="Z238" s="10"/>
      <c r="AA238" s="10"/>
      <c r="AB238" s="10"/>
      <c r="AC238" s="10"/>
      <c r="AD238" s="10"/>
      <c r="AE238" s="10"/>
      <c r="AF238" s="10"/>
      <c r="AG238" s="10"/>
      <c r="AH238" s="10"/>
      <c r="AI238" s="10"/>
      <c r="AJ238" s="10"/>
      <c r="AK238" s="10"/>
      <c r="AL238" s="10"/>
      <c r="AM238" s="10"/>
      <c r="AN238" s="10"/>
    </row>
    <row r="239" spans="1:40" ht="20.25">
      <c r="A239" t="str">
        <f t="shared" ref="A239:A284" si="56">+B239&amp;C239</f>
        <v>Carrosserie</v>
      </c>
      <c r="B239" s="11" t="s">
        <v>94</v>
      </c>
      <c r="C239" s="29"/>
      <c r="D239" s="80" t="s">
        <v>39</v>
      </c>
      <c r="E239" s="80" t="s">
        <v>79</v>
      </c>
      <c r="F239" s="134" t="s">
        <v>12</v>
      </c>
      <c r="G239" s="135"/>
      <c r="H239" s="80"/>
      <c r="I239" s="134"/>
      <c r="J239" s="135" t="s">
        <v>39</v>
      </c>
      <c r="K239" s="80" t="s">
        <v>79</v>
      </c>
      <c r="L239" s="134" t="s">
        <v>12</v>
      </c>
      <c r="M239" s="135" t="s">
        <v>39</v>
      </c>
      <c r="N239" s="134" t="s">
        <v>217</v>
      </c>
      <c r="O239" s="80" t="s">
        <v>39</v>
      </c>
      <c r="P239" s="80" t="s">
        <v>79</v>
      </c>
      <c r="Q239" s="134" t="s">
        <v>12</v>
      </c>
      <c r="R239" s="135" t="s">
        <v>80</v>
      </c>
      <c r="S239" s="136" t="s">
        <v>12</v>
      </c>
      <c r="T239" s="80"/>
      <c r="U239" s="13"/>
      <c r="V239" s="13"/>
      <c r="W239" s="13"/>
      <c r="X239" s="13"/>
      <c r="Y239" s="13"/>
      <c r="Z239" s="13"/>
      <c r="AA239" s="13"/>
      <c r="AB239" s="13"/>
      <c r="AC239" s="13"/>
      <c r="AD239" s="13"/>
      <c r="AE239" s="13"/>
      <c r="AF239" s="13"/>
      <c r="AG239" s="13"/>
      <c r="AH239" s="13"/>
      <c r="AI239" s="13"/>
      <c r="AJ239" s="13"/>
      <c r="AK239" s="13"/>
      <c r="AL239" s="13"/>
      <c r="AM239" s="13"/>
      <c r="AN239" s="13"/>
    </row>
    <row r="240" spans="1:40" ht="20.25">
      <c r="A240" t="str">
        <f t="shared" si="56"/>
        <v>Carrosserie</v>
      </c>
      <c r="B240" s="11" t="s">
        <v>94</v>
      </c>
      <c r="C240" s="29"/>
      <c r="D240" s="80"/>
      <c r="E240" s="80"/>
      <c r="F240" s="134"/>
      <c r="G240" s="135"/>
      <c r="H240" s="80"/>
      <c r="I240" s="134"/>
      <c r="J240" s="135"/>
      <c r="K240" s="30"/>
      <c r="L240" s="33"/>
      <c r="M240" s="135"/>
      <c r="N240" s="134"/>
      <c r="O240" s="80"/>
      <c r="P240" s="80"/>
      <c r="Q240" s="134"/>
      <c r="R240" s="135"/>
      <c r="S240" s="136"/>
      <c r="T240" s="80"/>
      <c r="U240" s="13"/>
      <c r="V240" s="13"/>
      <c r="W240" s="13"/>
      <c r="X240" s="13"/>
      <c r="Y240" s="13"/>
      <c r="Z240" s="13"/>
      <c r="AA240" s="13"/>
      <c r="AB240" s="13"/>
      <c r="AC240" s="13"/>
      <c r="AD240" s="13"/>
      <c r="AE240" s="13"/>
      <c r="AF240" s="13"/>
      <c r="AG240" s="13"/>
      <c r="AH240" s="13"/>
      <c r="AI240" s="13"/>
      <c r="AJ240" s="13"/>
      <c r="AK240" s="13"/>
      <c r="AL240" s="13"/>
      <c r="AM240" s="13"/>
      <c r="AN240" s="13"/>
    </row>
    <row r="241" spans="1:40" ht="20.25">
      <c r="A241" t="str">
        <f t="shared" si="56"/>
        <v>CarrosserieM/O Sous-traitement</v>
      </c>
      <c r="B241" s="11" t="s">
        <v>94</v>
      </c>
      <c r="C241" s="29" t="s">
        <v>95</v>
      </c>
      <c r="D241" s="80">
        <v>0</v>
      </c>
      <c r="E241" s="82">
        <v>1787.0152440361242</v>
      </c>
      <c r="F241" s="82">
        <v>321.66274392650234</v>
      </c>
      <c r="G241" s="156"/>
      <c r="H241" s="82"/>
      <c r="I241" s="82"/>
      <c r="J241" s="60">
        <v>4</v>
      </c>
      <c r="K241" s="30">
        <v>1126.9000000000001</v>
      </c>
      <c r="L241" s="33">
        <v>774.6400000000001</v>
      </c>
      <c r="M241" s="157">
        <f>IFERROR((K241-E241)/E241,0)</f>
        <v>-0.3693954185556908</v>
      </c>
      <c r="N241" s="59">
        <f>L241-F241</f>
        <v>452.97725607349776</v>
      </c>
      <c r="O241" s="60">
        <v>9</v>
      </c>
      <c r="P241" s="30">
        <v>2857.92</v>
      </c>
      <c r="Q241" s="33">
        <v>283.89999999999998</v>
      </c>
      <c r="R241" s="157">
        <f>IF(O241=0,0,J241/O241)</f>
        <v>0.44444444444444442</v>
      </c>
      <c r="S241" s="85">
        <f>L241-Q241</f>
        <v>490.74000000000012</v>
      </c>
      <c r="T241" s="80"/>
      <c r="U241" s="13"/>
      <c r="V241" s="13"/>
      <c r="W241" s="13"/>
      <c r="X241" s="13"/>
      <c r="Y241" s="13"/>
      <c r="Z241" s="13"/>
      <c r="AA241" s="13"/>
      <c r="AB241" s="13"/>
      <c r="AC241" s="13"/>
      <c r="AD241" s="13"/>
      <c r="AE241" s="13"/>
      <c r="AF241" s="13"/>
      <c r="AG241" s="13"/>
      <c r="AH241" s="13"/>
      <c r="AI241" s="13"/>
      <c r="AJ241" s="13"/>
      <c r="AK241" s="13"/>
      <c r="AL241" s="13"/>
      <c r="AM241" s="13"/>
      <c r="AN241" s="13"/>
    </row>
    <row r="242" spans="1:40" ht="20.25">
      <c r="A242" t="str">
        <f t="shared" si="56"/>
        <v>Carrosserie% profit / ventes</v>
      </c>
      <c r="B242" s="11" t="s">
        <v>94</v>
      </c>
      <c r="C242" s="29" t="s">
        <v>82</v>
      </c>
      <c r="D242" s="80"/>
      <c r="E242" s="144"/>
      <c r="F242" s="158">
        <f>IFERROR(F241/E241,0)</f>
        <v>0.18</v>
      </c>
      <c r="G242" s="41"/>
      <c r="H242" s="144"/>
      <c r="I242" s="158"/>
      <c r="J242" s="60"/>
      <c r="K242" s="13"/>
      <c r="L242" s="158">
        <f>IFERROR(L241/K241,0)</f>
        <v>0.68740793326825811</v>
      </c>
      <c r="M242" s="157"/>
      <c r="N242" s="470">
        <f>IFERROR(N241/M241,0)</f>
        <v>-1226.2665786289549</v>
      </c>
      <c r="O242" s="60"/>
      <c r="P242" s="13"/>
      <c r="Q242" s="158">
        <f>IFERROR(Q241/P241,0)</f>
        <v>9.93379800694211E-2</v>
      </c>
      <c r="R242" s="60"/>
      <c r="S242" s="85">
        <f>IFERROR(S241/R241,0)</f>
        <v>1104.1650000000004</v>
      </c>
      <c r="T242" s="80"/>
      <c r="U242" s="13"/>
      <c r="V242" s="13"/>
      <c r="W242" s="13"/>
      <c r="X242" s="13"/>
      <c r="Y242" s="13"/>
      <c r="Z242" s="13"/>
      <c r="AA242" s="13"/>
      <c r="AB242" s="13"/>
      <c r="AC242" s="13"/>
      <c r="AD242" s="13"/>
      <c r="AE242" s="13"/>
      <c r="AF242" s="13"/>
      <c r="AG242" s="13"/>
      <c r="AH242" s="13"/>
      <c r="AI242" s="13"/>
      <c r="AJ242" s="13"/>
      <c r="AK242" s="13"/>
      <c r="AL242" s="13"/>
      <c r="AM242" s="13"/>
      <c r="AN242" s="13"/>
    </row>
    <row r="243" spans="1:40" ht="20.25">
      <c r="A243" t="str">
        <f t="shared" si="56"/>
        <v>Carrosserie</v>
      </c>
      <c r="B243" s="11" t="s">
        <v>94</v>
      </c>
      <c r="C243" s="29"/>
      <c r="D243" s="80"/>
      <c r="E243" s="207"/>
      <c r="F243" s="471"/>
      <c r="G243" s="135"/>
      <c r="H243" s="207"/>
      <c r="I243" s="471"/>
      <c r="J243" s="135"/>
      <c r="K243" s="80"/>
      <c r="L243" s="134"/>
      <c r="M243" s="135"/>
      <c r="N243" s="134"/>
      <c r="O243" s="135"/>
      <c r="P243" s="80"/>
      <c r="Q243" s="134"/>
      <c r="R243" s="208"/>
      <c r="S243" s="136"/>
      <c r="T243" s="80"/>
      <c r="U243" s="13"/>
      <c r="V243" s="13"/>
      <c r="W243" s="13"/>
      <c r="X243" s="13"/>
      <c r="Y243" s="13"/>
      <c r="Z243" s="13"/>
      <c r="AA243" s="13"/>
      <c r="AB243" s="13"/>
      <c r="AC243" s="13"/>
      <c r="AD243" s="13"/>
      <c r="AE243" s="13"/>
      <c r="AF243" s="13"/>
      <c r="AG243" s="13"/>
      <c r="AH243" s="13"/>
      <c r="AI243" s="13"/>
      <c r="AJ243" s="13"/>
      <c r="AK243" s="13"/>
      <c r="AL243" s="13"/>
      <c r="AM243" s="13"/>
      <c r="AN243" s="13"/>
    </row>
    <row r="244" spans="1:40" ht="20.25">
      <c r="A244" t="str">
        <f t="shared" si="56"/>
        <v>CarrosserieM/O Carrosserie</v>
      </c>
      <c r="B244" s="11" t="s">
        <v>94</v>
      </c>
      <c r="C244" s="14" t="s">
        <v>96</v>
      </c>
      <c r="D244" s="105">
        <v>0</v>
      </c>
      <c r="E244" s="82">
        <v>0</v>
      </c>
      <c r="F244" s="82">
        <v>0</v>
      </c>
      <c r="G244" s="209"/>
      <c r="H244" s="82"/>
      <c r="I244" s="82"/>
      <c r="J244" s="164">
        <v>0</v>
      </c>
      <c r="K244" s="165">
        <v>0</v>
      </c>
      <c r="L244" s="108">
        <v>0</v>
      </c>
      <c r="M244" s="173">
        <f>IFERROR((K244-E244)/E244,0)</f>
        <v>0</v>
      </c>
      <c r="N244" s="109">
        <f>L244-F244</f>
        <v>0</v>
      </c>
      <c r="O244" s="164">
        <v>0</v>
      </c>
      <c r="P244" s="165">
        <v>0</v>
      </c>
      <c r="Q244" s="108">
        <v>0</v>
      </c>
      <c r="R244" s="157">
        <f>IF(O244=0,0,J244/O244)</f>
        <v>0</v>
      </c>
      <c r="S244" s="110">
        <f>L244-Q244</f>
        <v>0</v>
      </c>
      <c r="T244" s="148"/>
      <c r="U244" s="13"/>
      <c r="V244" s="13"/>
      <c r="W244" s="13"/>
      <c r="X244" s="13"/>
      <c r="Y244" s="13"/>
      <c r="Z244" s="13"/>
      <c r="AA244" s="13"/>
      <c r="AB244" s="13"/>
      <c r="AC244" s="13"/>
      <c r="AD244" s="13"/>
      <c r="AE244" s="13"/>
      <c r="AF244" s="13"/>
      <c r="AG244" s="13"/>
      <c r="AH244" s="13"/>
      <c r="AI244" s="13"/>
      <c r="AJ244" s="13"/>
      <c r="AK244" s="13"/>
      <c r="AL244" s="13"/>
      <c r="AM244" s="13"/>
      <c r="AN244" s="13"/>
    </row>
    <row r="245" spans="1:40" ht="20.25">
      <c r="A245" t="str">
        <f t="shared" si="56"/>
        <v>Carrosserie% profit / ventes</v>
      </c>
      <c r="B245" s="11" t="s">
        <v>94</v>
      </c>
      <c r="C245" s="29" t="s">
        <v>82</v>
      </c>
      <c r="D245" s="13"/>
      <c r="E245" s="144"/>
      <c r="F245" s="158" t="e">
        <f>F244/E244</f>
        <v>#DIV/0!</v>
      </c>
      <c r="G245" s="41"/>
      <c r="H245" s="144"/>
      <c r="I245" s="158"/>
      <c r="J245" s="60"/>
      <c r="K245" s="13"/>
      <c r="L245" s="158">
        <f>IFERROR(L244/K244,0)</f>
        <v>0</v>
      </c>
      <c r="M245" s="157"/>
      <c r="N245" s="59">
        <f>IFERROR(N244/F244,0)</f>
        <v>0</v>
      </c>
      <c r="O245" s="60"/>
      <c r="P245" s="13"/>
      <c r="Q245" s="158">
        <f>IFERROR(Q244/P244,0)</f>
        <v>0</v>
      </c>
      <c r="R245" s="60"/>
      <c r="S245" s="85">
        <f>IF(Q244=0,0,S244/Q244)</f>
        <v>0</v>
      </c>
      <c r="T245" s="148"/>
      <c r="U245" s="13"/>
      <c r="V245" s="13"/>
      <c r="W245" s="13"/>
      <c r="X245" s="13"/>
      <c r="Y245" s="13"/>
      <c r="Z245" s="13"/>
      <c r="AA245" s="13"/>
      <c r="AB245" s="13"/>
      <c r="AC245" s="13"/>
      <c r="AD245" s="13"/>
      <c r="AE245" s="13"/>
      <c r="AF245" s="13"/>
      <c r="AG245" s="13"/>
      <c r="AH245" s="13"/>
      <c r="AI245" s="13"/>
      <c r="AJ245" s="13"/>
      <c r="AK245" s="13"/>
      <c r="AL245" s="13"/>
      <c r="AM245" s="13"/>
      <c r="AN245" s="13"/>
    </row>
    <row r="246" spans="1:40" ht="20.25">
      <c r="A246" t="str">
        <f t="shared" si="56"/>
        <v>Carrosserie</v>
      </c>
      <c r="B246" s="11" t="s">
        <v>94</v>
      </c>
      <c r="C246" s="86"/>
      <c r="D246" s="111"/>
      <c r="E246" s="159"/>
      <c r="F246" s="160"/>
      <c r="G246" s="23"/>
      <c r="H246" s="170"/>
      <c r="I246" s="160"/>
      <c r="J246" s="161"/>
      <c r="K246" s="210"/>
      <c r="L246" s="160"/>
      <c r="M246" s="162"/>
      <c r="N246" s="91"/>
      <c r="O246" s="161"/>
      <c r="P246" s="210"/>
      <c r="Q246" s="160"/>
      <c r="R246" s="161"/>
      <c r="S246" s="92"/>
      <c r="T246" s="148"/>
      <c r="U246" s="13"/>
      <c r="V246" s="13"/>
      <c r="W246" s="13"/>
      <c r="X246" s="13"/>
      <c r="Y246" s="13"/>
      <c r="Z246" s="13"/>
      <c r="AA246" s="13"/>
      <c r="AB246" s="13"/>
      <c r="AC246" s="13"/>
      <c r="AD246" s="13"/>
      <c r="AE246" s="13"/>
      <c r="AF246" s="13"/>
      <c r="AG246" s="13"/>
      <c r="AH246" s="13"/>
      <c r="AI246" s="13"/>
      <c r="AJ246" s="13"/>
      <c r="AK246" s="13"/>
      <c r="AL246" s="13"/>
      <c r="AM246" s="13"/>
      <c r="AN246" s="13"/>
    </row>
    <row r="247" spans="1:40" ht="20.25">
      <c r="A247" t="str">
        <f t="shared" si="56"/>
        <v>CarrosserieM/O Esthétique Carr.</v>
      </c>
      <c r="B247" s="11" t="s">
        <v>94</v>
      </c>
      <c r="C247" s="14" t="s">
        <v>97</v>
      </c>
      <c r="D247" s="163">
        <v>0</v>
      </c>
      <c r="E247" s="82">
        <v>0</v>
      </c>
      <c r="F247" s="82">
        <v>0</v>
      </c>
      <c r="G247" s="164"/>
      <c r="H247" s="82"/>
      <c r="I247" s="82"/>
      <c r="J247" s="164">
        <v>0</v>
      </c>
      <c r="K247" s="30">
        <v>0</v>
      </c>
      <c r="L247" s="33">
        <v>0</v>
      </c>
      <c r="M247" s="157">
        <f>IFERROR((K247-E247)/E247,0)</f>
        <v>0</v>
      </c>
      <c r="N247" s="109">
        <f>L247-F247</f>
        <v>0</v>
      </c>
      <c r="O247" s="164">
        <v>0</v>
      </c>
      <c r="P247" s="30">
        <v>0</v>
      </c>
      <c r="Q247" s="33">
        <v>0</v>
      </c>
      <c r="R247" s="157">
        <f>IF(O247=0,0,J247/O247)</f>
        <v>0</v>
      </c>
      <c r="S247" s="85">
        <f>L247-Q247</f>
        <v>0</v>
      </c>
      <c r="T247" s="148"/>
      <c r="U247" s="13"/>
      <c r="V247" s="13"/>
      <c r="W247" s="13"/>
      <c r="X247" s="13"/>
      <c r="Y247" s="13"/>
      <c r="Z247" s="13"/>
      <c r="AA247" s="13"/>
      <c r="AB247" s="13"/>
      <c r="AC247" s="13"/>
      <c r="AD247" s="13"/>
      <c r="AE247" s="13"/>
      <c r="AF247" s="13"/>
      <c r="AG247" s="13"/>
      <c r="AH247" s="13"/>
      <c r="AI247" s="13"/>
      <c r="AJ247" s="13"/>
      <c r="AK247" s="13"/>
      <c r="AL247" s="13"/>
      <c r="AM247" s="13"/>
      <c r="AN247" s="13"/>
    </row>
    <row r="248" spans="1:40" ht="20.25">
      <c r="A248" t="str">
        <f t="shared" si="56"/>
        <v>Carrosserie% profit / ventes</v>
      </c>
      <c r="B248" s="11" t="s">
        <v>94</v>
      </c>
      <c r="C248" s="29" t="s">
        <v>82</v>
      </c>
      <c r="D248" s="13"/>
      <c r="E248" s="13"/>
      <c r="F248" s="158" t="e">
        <f>F247/E247</f>
        <v>#DIV/0!</v>
      </c>
      <c r="G248" s="41"/>
      <c r="H248" s="13"/>
      <c r="I248" s="158"/>
      <c r="J248" s="41"/>
      <c r="K248" s="13"/>
      <c r="L248" s="158">
        <f>IFERROR(L247/K247,0)</f>
        <v>0</v>
      </c>
      <c r="M248" s="42"/>
      <c r="N248" s="43">
        <f>IF(L247=0,0,N247/L247)</f>
        <v>0</v>
      </c>
      <c r="O248" s="41"/>
      <c r="P248" s="13"/>
      <c r="Q248" s="158">
        <f>IFERROR(Q247/P247,0)</f>
        <v>0</v>
      </c>
      <c r="R248" s="42"/>
      <c r="S248" s="44">
        <f>IF(Q247=0,0,S247/Q247)</f>
        <v>0</v>
      </c>
      <c r="T248" s="148"/>
      <c r="U248" s="13"/>
      <c r="V248" s="13"/>
      <c r="W248" s="13"/>
      <c r="X248" s="13"/>
      <c r="Y248" s="13"/>
      <c r="Z248" s="13"/>
      <c r="AA248" s="13"/>
      <c r="AB248" s="13"/>
      <c r="AC248" s="13"/>
      <c r="AD248" s="13"/>
      <c r="AE248" s="13"/>
      <c r="AF248" s="13"/>
      <c r="AG248" s="13"/>
      <c r="AH248" s="13"/>
      <c r="AI248" s="13"/>
      <c r="AJ248" s="13"/>
      <c r="AK248" s="13"/>
      <c r="AL248" s="13"/>
      <c r="AM248" s="13"/>
      <c r="AN248" s="13"/>
    </row>
    <row r="249" spans="1:40" ht="21" thickBot="1">
      <c r="A249" t="str">
        <f t="shared" si="56"/>
        <v>Carrosserie</v>
      </c>
      <c r="B249" s="11" t="s">
        <v>94</v>
      </c>
      <c r="C249" s="29"/>
      <c r="D249" s="13"/>
      <c r="E249" s="13"/>
      <c r="F249" s="158"/>
      <c r="G249" s="41"/>
      <c r="H249" s="13"/>
      <c r="I249" s="158"/>
      <c r="J249" s="41"/>
      <c r="K249" s="13"/>
      <c r="L249" s="158"/>
      <c r="M249" s="42"/>
      <c r="N249" s="43"/>
      <c r="O249" s="41"/>
      <c r="P249" s="13"/>
      <c r="Q249" s="158"/>
      <c r="R249" s="42"/>
      <c r="S249" s="44"/>
      <c r="T249" s="148"/>
      <c r="U249" s="13"/>
      <c r="V249" s="13"/>
      <c r="W249" s="13"/>
      <c r="X249" s="13"/>
      <c r="Y249" s="13"/>
      <c r="Z249" s="13"/>
      <c r="AA249" s="13"/>
      <c r="AB249" s="13"/>
      <c r="AC249" s="13"/>
      <c r="AD249" s="13"/>
      <c r="AE249" s="13"/>
      <c r="AF249" s="13"/>
      <c r="AG249" s="13"/>
      <c r="AH249" s="13"/>
      <c r="AI249" s="13"/>
      <c r="AJ249" s="13"/>
      <c r="AK249" s="13"/>
      <c r="AL249" s="13"/>
      <c r="AM249" s="13"/>
      <c r="AN249" s="13"/>
    </row>
    <row r="250" spans="1:40" ht="21" thickTop="1">
      <c r="A250" t="str">
        <f t="shared" si="56"/>
        <v>CarrosserieTotal Mécanique</v>
      </c>
      <c r="B250" s="11" t="s">
        <v>94</v>
      </c>
      <c r="C250" s="62" t="s">
        <v>91</v>
      </c>
      <c r="D250" s="63"/>
      <c r="E250" s="63">
        <f>E244+E247+E241</f>
        <v>1787.0152440361242</v>
      </c>
      <c r="F250" s="65">
        <f>F244+F247+F241</f>
        <v>321.66274392650234</v>
      </c>
      <c r="G250" s="66"/>
      <c r="H250" s="63"/>
      <c r="I250" s="65"/>
      <c r="J250" s="66"/>
      <c r="K250" s="63">
        <f>K244+K247+K241</f>
        <v>1126.9000000000001</v>
      </c>
      <c r="L250" s="65">
        <f>L244+L247+L241</f>
        <v>774.6400000000001</v>
      </c>
      <c r="M250" s="206">
        <f>L251-F251</f>
        <v>0.50740793326825817</v>
      </c>
      <c r="N250" s="65">
        <f>L250-F250</f>
        <v>452.97725607349776</v>
      </c>
      <c r="O250" s="66"/>
      <c r="P250" s="63">
        <f t="shared" ref="P250:Q250" si="57">P244+P247+P241</f>
        <v>2857.92</v>
      </c>
      <c r="Q250" s="65">
        <f t="shared" si="57"/>
        <v>283.89999999999998</v>
      </c>
      <c r="R250" s="206">
        <f>L251-Q251</f>
        <v>0.58806995319883704</v>
      </c>
      <c r="S250" s="68">
        <f>L250-Q250</f>
        <v>490.74000000000012</v>
      </c>
      <c r="T250" s="148"/>
      <c r="U250" s="13"/>
      <c r="V250" s="13"/>
      <c r="W250" s="13"/>
      <c r="X250" s="13"/>
      <c r="Y250" s="13"/>
      <c r="Z250" s="13"/>
      <c r="AA250" s="13"/>
      <c r="AB250" s="13"/>
      <c r="AC250" s="13"/>
      <c r="AD250" s="13"/>
      <c r="AE250" s="13"/>
      <c r="AF250" s="13"/>
      <c r="AG250" s="13"/>
      <c r="AH250" s="13"/>
      <c r="AI250" s="13"/>
      <c r="AJ250" s="13"/>
      <c r="AK250" s="13"/>
      <c r="AL250" s="13"/>
      <c r="AM250" s="13"/>
      <c r="AN250" s="13"/>
    </row>
    <row r="251" spans="1:40" ht="21" thickBot="1">
      <c r="A251" t="str">
        <f t="shared" si="56"/>
        <v>Carrosserie</v>
      </c>
      <c r="B251" s="11" t="s">
        <v>94</v>
      </c>
      <c r="C251" s="69"/>
      <c r="D251" s="70"/>
      <c r="E251" s="70"/>
      <c r="F251" s="74">
        <f>F250/E250</f>
        <v>0.18</v>
      </c>
      <c r="G251" s="72"/>
      <c r="H251" s="70"/>
      <c r="I251" s="74"/>
      <c r="J251" s="72"/>
      <c r="K251" s="70"/>
      <c r="L251" s="74">
        <f>IF(K250=0,0,L250/K250)</f>
        <v>0.68740793326825811</v>
      </c>
      <c r="M251" s="73"/>
      <c r="N251" s="74">
        <f>N250/F250</f>
        <v>1.4082366224451528</v>
      </c>
      <c r="O251" s="72"/>
      <c r="P251" s="70"/>
      <c r="Q251" s="74">
        <f>Q250/P250</f>
        <v>9.93379800694211E-2</v>
      </c>
      <c r="R251" s="73"/>
      <c r="S251" s="75">
        <f>IF(R250=0,0,S250/R250)</f>
        <v>834.49255880290161</v>
      </c>
      <c r="T251" s="148"/>
      <c r="U251" s="13"/>
      <c r="V251" s="13"/>
      <c r="W251" s="13"/>
      <c r="X251" s="13"/>
      <c r="Y251" s="13"/>
      <c r="Z251" s="13"/>
      <c r="AA251" s="13"/>
      <c r="AB251" s="13"/>
      <c r="AC251" s="13"/>
      <c r="AD251" s="13"/>
      <c r="AE251" s="13"/>
      <c r="AF251" s="13"/>
      <c r="AG251" s="13"/>
      <c r="AH251" s="13"/>
      <c r="AI251" s="13"/>
      <c r="AJ251" s="13"/>
      <c r="AK251" s="13"/>
      <c r="AL251" s="13"/>
      <c r="AM251" s="13"/>
      <c r="AN251" s="13"/>
    </row>
    <row r="252" spans="1:40" ht="21" thickTop="1">
      <c r="A252" t="str">
        <f t="shared" si="56"/>
        <v>Carrosserie</v>
      </c>
      <c r="B252" s="11" t="s">
        <v>94</v>
      </c>
      <c r="C252" s="29"/>
      <c r="D252" s="13"/>
      <c r="E252" s="13"/>
      <c r="F252" s="59"/>
      <c r="G252" s="41"/>
      <c r="H252" s="13"/>
      <c r="I252" s="59"/>
      <c r="J252" s="41"/>
      <c r="K252" s="13"/>
      <c r="L252" s="40"/>
      <c r="M252" s="41"/>
      <c r="N252" s="40"/>
      <c r="O252" s="41"/>
      <c r="P252" s="13"/>
      <c r="Q252" s="40"/>
      <c r="R252" s="41"/>
      <c r="S252" s="61"/>
      <c r="T252" s="13"/>
      <c r="U252" s="13"/>
      <c r="V252" s="13"/>
      <c r="W252" s="13"/>
      <c r="X252" s="13"/>
      <c r="Y252" s="13"/>
      <c r="Z252" s="13"/>
      <c r="AA252" s="13"/>
      <c r="AB252" s="13"/>
      <c r="AC252" s="13"/>
      <c r="AD252" s="13"/>
      <c r="AE252" s="13"/>
      <c r="AF252" s="13"/>
      <c r="AG252" s="13"/>
      <c r="AH252" s="13"/>
      <c r="AI252" s="13"/>
      <c r="AJ252" s="13"/>
      <c r="AK252" s="13"/>
      <c r="AL252" s="13"/>
      <c r="AM252" s="13"/>
      <c r="AN252" s="13"/>
    </row>
    <row r="253" spans="1:40" ht="20.25">
      <c r="A253" t="str">
        <f t="shared" si="56"/>
        <v>CarrosserieDEPENSES</v>
      </c>
      <c r="B253" s="11" t="s">
        <v>94</v>
      </c>
      <c r="C253" s="79" t="s">
        <v>29</v>
      </c>
      <c r="D253" s="13"/>
      <c r="E253" s="13"/>
      <c r="F253" s="59"/>
      <c r="G253" s="41"/>
      <c r="H253" s="13"/>
      <c r="I253" s="59"/>
      <c r="J253" s="41"/>
      <c r="K253" s="13"/>
      <c r="L253" s="40"/>
      <c r="M253" s="41"/>
      <c r="N253" s="40"/>
      <c r="O253" s="41"/>
      <c r="P253" s="13"/>
      <c r="Q253" s="40"/>
      <c r="R253" s="41"/>
      <c r="S253" s="61"/>
      <c r="T253" s="13"/>
      <c r="U253" s="13"/>
      <c r="V253" s="13"/>
      <c r="W253" s="13"/>
      <c r="X253" s="13"/>
      <c r="Y253" s="13"/>
      <c r="Z253" s="13"/>
      <c r="AA253" s="13"/>
      <c r="AB253" s="13"/>
      <c r="AC253" s="13"/>
      <c r="AD253" s="13"/>
      <c r="AE253" s="13"/>
      <c r="AF253" s="13"/>
      <c r="AG253" s="13"/>
      <c r="AH253" s="13"/>
      <c r="AI253" s="13"/>
      <c r="AJ253" s="13"/>
      <c r="AK253" s="13"/>
      <c r="AL253" s="13"/>
      <c r="AM253" s="13"/>
      <c r="AN253" s="13"/>
    </row>
    <row r="254" spans="1:40" ht="20.25">
      <c r="A254" t="str">
        <f t="shared" si="56"/>
        <v>CarrosserieSalaires cadres</v>
      </c>
      <c r="B254" s="11" t="s">
        <v>94</v>
      </c>
      <c r="C254" s="102" t="s">
        <v>40</v>
      </c>
      <c r="D254" s="13"/>
      <c r="E254" s="13"/>
      <c r="F254" s="30">
        <v>304.27500000000003</v>
      </c>
      <c r="G254" s="41"/>
      <c r="H254" s="13"/>
      <c r="I254" s="30"/>
      <c r="J254" s="41"/>
      <c r="K254" s="13"/>
      <c r="L254" s="33">
        <v>304.27</v>
      </c>
      <c r="M254" s="41"/>
      <c r="N254" s="59">
        <f t="shared" ref="N254:N284" si="58">L254-F254</f>
        <v>-5.0000000000522959E-3</v>
      </c>
      <c r="O254" s="41"/>
      <c r="P254" s="13"/>
      <c r="Q254" s="33">
        <v>304.27</v>
      </c>
      <c r="R254" s="41"/>
      <c r="S254" s="85">
        <f t="shared" ref="S254:S265" si="59">L254-Q254</f>
        <v>0</v>
      </c>
      <c r="T254" s="13"/>
      <c r="U254" s="13"/>
      <c r="V254" s="13"/>
      <c r="W254" s="13"/>
      <c r="X254" s="13"/>
      <c r="Y254" s="13"/>
      <c r="Z254" s="13"/>
      <c r="AA254" s="13"/>
      <c r="AB254" s="13"/>
      <c r="AC254" s="13"/>
      <c r="AD254" s="13"/>
      <c r="AE254" s="13"/>
      <c r="AF254" s="13"/>
      <c r="AG254" s="13"/>
      <c r="AH254" s="13"/>
      <c r="AI254" s="13"/>
      <c r="AJ254" s="13"/>
      <c r="AK254" s="13"/>
      <c r="AL254" s="13"/>
      <c r="AM254" s="13"/>
      <c r="AN254" s="13"/>
    </row>
    <row r="255" spans="1:40" ht="20.25">
      <c r="A255" t="str">
        <f t="shared" si="56"/>
        <v>CarrosserieSalaires commis</v>
      </c>
      <c r="B255" s="11" t="s">
        <v>94</v>
      </c>
      <c r="C255" s="103" t="s">
        <v>41</v>
      </c>
      <c r="D255" s="81"/>
      <c r="E255" s="13"/>
      <c r="F255" s="22">
        <v>336.87347328244277</v>
      </c>
      <c r="G255" s="83"/>
      <c r="H255" s="13"/>
      <c r="I255" s="22"/>
      <c r="J255" s="41"/>
      <c r="K255" s="13"/>
      <c r="L255" s="33">
        <v>357.43</v>
      </c>
      <c r="M255" s="41"/>
      <c r="N255" s="59">
        <f t="shared" si="58"/>
        <v>20.556526717557233</v>
      </c>
      <c r="O255" s="41"/>
      <c r="P255" s="13"/>
      <c r="Q255" s="33">
        <v>294.02999999999997</v>
      </c>
      <c r="R255" s="41"/>
      <c r="S255" s="85">
        <f>L255-Q255</f>
        <v>63.400000000000034</v>
      </c>
      <c r="T255" s="13"/>
      <c r="U255" s="13"/>
      <c r="V255" s="13"/>
      <c r="W255" s="13"/>
      <c r="X255" s="13"/>
      <c r="Y255" s="13"/>
      <c r="Z255" s="13"/>
      <c r="AA255" s="13"/>
      <c r="AB255" s="13"/>
      <c r="AC255" s="13"/>
      <c r="AD255" s="13"/>
      <c r="AE255" s="13"/>
      <c r="AF255" s="13"/>
      <c r="AG255" s="13"/>
      <c r="AH255" s="13"/>
      <c r="AI255" s="13"/>
      <c r="AJ255" s="13"/>
      <c r="AK255" s="13"/>
      <c r="AL255" s="13"/>
      <c r="AM255" s="13"/>
      <c r="AN255" s="13"/>
    </row>
    <row r="256" spans="1:40" ht="20.25">
      <c r="A256" t="str">
        <f t="shared" si="56"/>
        <v>CarrosserieSalaires autres</v>
      </c>
      <c r="B256" s="11" t="s">
        <v>94</v>
      </c>
      <c r="C256" s="102" t="s">
        <v>42</v>
      </c>
      <c r="D256" s="104"/>
      <c r="E256" s="105"/>
      <c r="F256" s="30">
        <v>19</v>
      </c>
      <c r="G256" s="106"/>
      <c r="H256" s="105"/>
      <c r="I256" s="30"/>
      <c r="J256" s="107"/>
      <c r="K256" s="105"/>
      <c r="L256" s="108">
        <v>19</v>
      </c>
      <c r="M256" s="107"/>
      <c r="N256" s="109">
        <f t="shared" si="58"/>
        <v>0</v>
      </c>
      <c r="O256" s="107"/>
      <c r="P256" s="105"/>
      <c r="Q256" s="108">
        <v>19</v>
      </c>
      <c r="R256" s="107"/>
      <c r="S256" s="110">
        <f t="shared" ref="S256:S272" si="60">L256-Q256</f>
        <v>0</v>
      </c>
      <c r="T256" s="13"/>
      <c r="U256" s="13"/>
      <c r="V256" s="13"/>
      <c r="W256" s="13"/>
      <c r="X256" s="13"/>
      <c r="Y256" s="13"/>
      <c r="Z256" s="13"/>
      <c r="AA256" s="13"/>
      <c r="AB256" s="13"/>
      <c r="AC256" s="13"/>
      <c r="AD256" s="13"/>
      <c r="AE256" s="13"/>
      <c r="AF256" s="13"/>
      <c r="AG256" s="13"/>
      <c r="AH256" s="13"/>
      <c r="AI256" s="13"/>
      <c r="AJ256" s="13"/>
      <c r="AK256" s="13"/>
      <c r="AL256" s="13"/>
      <c r="AM256" s="13"/>
      <c r="AN256" s="13"/>
    </row>
    <row r="257" spans="1:40" ht="20.25">
      <c r="A257" t="str">
        <f t="shared" si="56"/>
        <v>CarrosserieSalaires spécialistes</v>
      </c>
      <c r="B257" s="11" t="s">
        <v>94</v>
      </c>
      <c r="C257" s="102" t="s">
        <v>43</v>
      </c>
      <c r="D257" s="81"/>
      <c r="E257" s="13"/>
      <c r="F257" s="30">
        <v>0</v>
      </c>
      <c r="G257" s="83"/>
      <c r="H257" s="13"/>
      <c r="I257" s="30"/>
      <c r="J257" s="41"/>
      <c r="K257" s="13"/>
      <c r="L257" s="33">
        <v>0</v>
      </c>
      <c r="M257" s="41"/>
      <c r="N257" s="59">
        <f t="shared" si="58"/>
        <v>0</v>
      </c>
      <c r="O257" s="41"/>
      <c r="P257" s="13"/>
      <c r="Q257" s="33">
        <v>0</v>
      </c>
      <c r="R257" s="41"/>
      <c r="S257" s="85">
        <f t="shared" si="60"/>
        <v>0</v>
      </c>
      <c r="T257" s="13"/>
      <c r="U257" s="13"/>
      <c r="V257" s="13"/>
      <c r="W257" s="13"/>
      <c r="X257" s="13"/>
      <c r="Y257" s="13"/>
      <c r="Z257" s="13"/>
      <c r="AA257" s="13"/>
      <c r="AB257" s="13"/>
      <c r="AC257" s="13"/>
      <c r="AD257" s="13"/>
      <c r="AE257" s="13"/>
      <c r="AF257" s="13"/>
      <c r="AG257" s="13"/>
      <c r="AH257" s="13"/>
      <c r="AI257" s="13"/>
      <c r="AJ257" s="13"/>
      <c r="AK257" s="13"/>
      <c r="AL257" s="13"/>
      <c r="AM257" s="13"/>
      <c r="AN257" s="13"/>
    </row>
    <row r="258" spans="1:40" ht="20.25" hidden="1">
      <c r="A258" t="str">
        <f t="shared" si="56"/>
        <v>Carrosserie[...]</v>
      </c>
      <c r="B258" s="11" t="s">
        <v>94</v>
      </c>
      <c r="C258" s="29" t="s">
        <v>19</v>
      </c>
      <c r="D258" s="81"/>
      <c r="E258" s="13"/>
      <c r="F258" s="30">
        <v>0</v>
      </c>
      <c r="G258" s="83"/>
      <c r="H258" s="13"/>
      <c r="I258" s="30"/>
      <c r="J258" s="41"/>
      <c r="K258" s="13"/>
      <c r="L258" s="33">
        <v>0</v>
      </c>
      <c r="M258" s="41"/>
      <c r="N258" s="59">
        <f t="shared" si="58"/>
        <v>0</v>
      </c>
      <c r="O258" s="41"/>
      <c r="P258" s="13"/>
      <c r="Q258" s="33">
        <v>0</v>
      </c>
      <c r="R258" s="41"/>
      <c r="S258" s="85">
        <f t="shared" si="60"/>
        <v>0</v>
      </c>
      <c r="T258" s="13"/>
      <c r="U258" s="13"/>
      <c r="V258" s="13"/>
      <c r="W258" s="13"/>
      <c r="X258" s="13"/>
      <c r="Y258" s="13"/>
      <c r="Z258" s="13"/>
      <c r="AA258" s="13"/>
      <c r="AB258" s="13"/>
      <c r="AC258" s="13"/>
      <c r="AD258" s="13"/>
      <c r="AE258" s="13"/>
      <c r="AF258" s="13"/>
      <c r="AG258" s="13"/>
      <c r="AH258" s="13"/>
      <c r="AI258" s="13"/>
      <c r="AJ258" s="13"/>
      <c r="AK258" s="13"/>
      <c r="AL258" s="13"/>
      <c r="AM258" s="13"/>
      <c r="AN258" s="13"/>
    </row>
    <row r="259" spans="1:40" ht="20.25" hidden="1">
      <c r="A259" t="str">
        <f t="shared" si="56"/>
        <v>Carrosserie[...]</v>
      </c>
      <c r="B259" s="11" t="s">
        <v>94</v>
      </c>
      <c r="C259" s="29" t="s">
        <v>19</v>
      </c>
      <c r="D259" s="81"/>
      <c r="E259" s="13"/>
      <c r="F259" s="30">
        <v>0</v>
      </c>
      <c r="G259" s="83"/>
      <c r="H259" s="13"/>
      <c r="I259" s="30"/>
      <c r="J259" s="41"/>
      <c r="K259" s="13"/>
      <c r="L259" s="33">
        <v>0</v>
      </c>
      <c r="M259" s="41"/>
      <c r="N259" s="59">
        <f t="shared" si="58"/>
        <v>0</v>
      </c>
      <c r="O259" s="41"/>
      <c r="P259" s="13"/>
      <c r="Q259" s="33">
        <v>0</v>
      </c>
      <c r="R259" s="41"/>
      <c r="S259" s="85">
        <f t="shared" si="60"/>
        <v>0</v>
      </c>
      <c r="T259" s="13"/>
      <c r="U259" s="13"/>
      <c r="V259" s="13"/>
      <c r="W259" s="13"/>
      <c r="X259" s="13"/>
      <c r="Y259" s="13"/>
      <c r="Z259" s="13"/>
      <c r="AA259" s="13"/>
      <c r="AB259" s="13"/>
      <c r="AC259" s="13"/>
      <c r="AD259" s="13"/>
      <c r="AE259" s="13"/>
      <c r="AF259" s="13"/>
      <c r="AG259" s="13"/>
      <c r="AH259" s="13"/>
      <c r="AI259" s="13"/>
      <c r="AJ259" s="13"/>
      <c r="AK259" s="13"/>
      <c r="AL259" s="13"/>
      <c r="AM259" s="13"/>
      <c r="AN259" s="13"/>
    </row>
    <row r="260" spans="1:40" ht="20.25" hidden="1">
      <c r="A260" t="str">
        <f t="shared" si="56"/>
        <v>Carrosserie[...]</v>
      </c>
      <c r="B260" s="11" t="s">
        <v>94</v>
      </c>
      <c r="C260" s="29" t="s">
        <v>19</v>
      </c>
      <c r="D260" s="81"/>
      <c r="E260" s="13"/>
      <c r="F260" s="30">
        <v>0</v>
      </c>
      <c r="G260" s="83"/>
      <c r="H260" s="13"/>
      <c r="I260" s="30"/>
      <c r="J260" s="41"/>
      <c r="K260" s="13"/>
      <c r="L260" s="33">
        <v>0</v>
      </c>
      <c r="M260" s="41"/>
      <c r="N260" s="59">
        <f t="shared" si="58"/>
        <v>0</v>
      </c>
      <c r="O260" s="41"/>
      <c r="P260" s="13"/>
      <c r="Q260" s="33">
        <v>0</v>
      </c>
      <c r="R260" s="41"/>
      <c r="S260" s="85">
        <f t="shared" si="60"/>
        <v>0</v>
      </c>
      <c r="T260" s="13"/>
      <c r="U260" s="13"/>
      <c r="V260" s="13"/>
      <c r="W260" s="13"/>
      <c r="X260" s="13"/>
      <c r="Y260" s="13"/>
      <c r="Z260" s="13"/>
      <c r="AA260" s="13"/>
      <c r="AB260" s="13"/>
      <c r="AC260" s="13"/>
      <c r="AD260" s="13"/>
      <c r="AE260" s="13"/>
      <c r="AF260" s="13"/>
      <c r="AG260" s="13"/>
      <c r="AH260" s="13"/>
      <c r="AI260" s="13"/>
      <c r="AJ260" s="13"/>
      <c r="AK260" s="13"/>
      <c r="AL260" s="13"/>
      <c r="AM260" s="13"/>
      <c r="AN260" s="13"/>
    </row>
    <row r="261" spans="1:40" ht="20.25">
      <c r="A261" t="str">
        <f t="shared" si="56"/>
        <v>CarrosserieSalaires en absences</v>
      </c>
      <c r="B261" s="11" t="s">
        <v>94</v>
      </c>
      <c r="C261" s="103" t="s">
        <v>44</v>
      </c>
      <c r="D261" s="81"/>
      <c r="E261" s="13"/>
      <c r="F261" s="22">
        <v>105.69743943469859</v>
      </c>
      <c r="G261" s="83"/>
      <c r="H261" s="13"/>
      <c r="I261" s="22"/>
      <c r="J261" s="41"/>
      <c r="K261" s="13"/>
      <c r="L261" s="33">
        <v>127</v>
      </c>
      <c r="M261" s="41"/>
      <c r="N261" s="59">
        <f t="shared" si="58"/>
        <v>21.302560565301405</v>
      </c>
      <c r="O261" s="41"/>
      <c r="P261" s="13"/>
      <c r="Q261" s="33">
        <v>54.27</v>
      </c>
      <c r="R261" s="41"/>
      <c r="S261" s="85">
        <f t="shared" si="60"/>
        <v>72.72999999999999</v>
      </c>
      <c r="T261" s="13"/>
      <c r="U261" s="13"/>
      <c r="V261" s="13"/>
      <c r="W261" s="13"/>
      <c r="X261" s="13"/>
      <c r="Y261" s="13"/>
      <c r="Z261" s="13"/>
      <c r="AA261" s="13"/>
      <c r="AB261" s="13"/>
      <c r="AC261" s="13"/>
      <c r="AD261" s="13"/>
      <c r="AE261" s="13"/>
      <c r="AF261" s="13"/>
      <c r="AG261" s="13"/>
      <c r="AH261" s="13"/>
      <c r="AI261" s="13"/>
      <c r="AJ261" s="13"/>
      <c r="AK261" s="13"/>
      <c r="AL261" s="13"/>
      <c r="AM261" s="13"/>
      <c r="AN261" s="13"/>
    </row>
    <row r="262" spans="1:40" ht="20.25">
      <c r="A262" t="str">
        <f t="shared" si="56"/>
        <v>CarrosserieDéduction à la source</v>
      </c>
      <c r="B262" s="11" t="s">
        <v>94</v>
      </c>
      <c r="C262" s="102" t="s">
        <v>45</v>
      </c>
      <c r="D262" s="104"/>
      <c r="E262" s="105"/>
      <c r="F262" s="30">
        <v>136.33037880089063</v>
      </c>
      <c r="G262" s="106"/>
      <c r="H262" s="105"/>
      <c r="I262" s="30"/>
      <c r="J262" s="107"/>
      <c r="K262" s="105"/>
      <c r="L262" s="108">
        <v>215.66</v>
      </c>
      <c r="M262" s="107"/>
      <c r="N262" s="109">
        <f t="shared" si="58"/>
        <v>79.329621199109368</v>
      </c>
      <c r="O262" s="107"/>
      <c r="P262" s="105"/>
      <c r="Q262" s="108">
        <v>206.51</v>
      </c>
      <c r="R262" s="107"/>
      <c r="S262" s="110">
        <f t="shared" si="60"/>
        <v>9.1500000000000057</v>
      </c>
      <c r="T262" s="13"/>
      <c r="U262" s="13"/>
      <c r="V262" s="13"/>
      <c r="W262" s="13"/>
      <c r="X262" s="13"/>
      <c r="Y262" s="13"/>
      <c r="Z262" s="13"/>
      <c r="AA262" s="13"/>
      <c r="AB262" s="13"/>
      <c r="AC262" s="13"/>
      <c r="AD262" s="13"/>
      <c r="AE262" s="13"/>
      <c r="AF262" s="13"/>
      <c r="AG262" s="13"/>
      <c r="AH262" s="13"/>
      <c r="AI262" s="13"/>
      <c r="AJ262" s="13"/>
      <c r="AK262" s="13"/>
      <c r="AL262" s="13"/>
      <c r="AM262" s="13"/>
      <c r="AN262" s="13"/>
    </row>
    <row r="263" spans="1:40" ht="20.25">
      <c r="A263" t="str">
        <f t="shared" si="56"/>
        <v>CarrosserieBénéfices marginaux</v>
      </c>
      <c r="B263" s="11" t="s">
        <v>94</v>
      </c>
      <c r="C263" s="102" t="s">
        <v>46</v>
      </c>
      <c r="D263" s="81"/>
      <c r="E263" s="13"/>
      <c r="F263" s="30">
        <v>63.552507410941487</v>
      </c>
      <c r="G263" s="83"/>
      <c r="H263" s="13"/>
      <c r="I263" s="30"/>
      <c r="J263" s="41"/>
      <c r="K263" s="13"/>
      <c r="L263" s="33">
        <v>44.18</v>
      </c>
      <c r="M263" s="41"/>
      <c r="N263" s="59">
        <f t="shared" si="58"/>
        <v>-19.372507410941488</v>
      </c>
      <c r="O263" s="41"/>
      <c r="P263" s="13"/>
      <c r="Q263" s="33">
        <v>35.67</v>
      </c>
      <c r="R263" s="41"/>
      <c r="S263" s="85">
        <f t="shared" si="60"/>
        <v>8.509999999999998</v>
      </c>
      <c r="T263" s="13"/>
      <c r="U263" s="13"/>
      <c r="V263" s="13"/>
      <c r="W263" s="13"/>
      <c r="X263" s="13"/>
      <c r="Y263" s="13"/>
      <c r="Z263" s="13"/>
      <c r="AA263" s="13"/>
      <c r="AB263" s="13"/>
      <c r="AC263" s="13"/>
      <c r="AD263" s="13"/>
      <c r="AE263" s="13"/>
      <c r="AF263" s="13"/>
      <c r="AG263" s="13"/>
      <c r="AH263" s="13"/>
      <c r="AI263" s="13"/>
      <c r="AJ263" s="13"/>
      <c r="AK263" s="13"/>
      <c r="AL263" s="13"/>
      <c r="AM263" s="13"/>
      <c r="AN263" s="13"/>
    </row>
    <row r="264" spans="1:40" ht="20.25">
      <c r="A264" t="str">
        <f t="shared" si="56"/>
        <v>CarrosserieCsst</v>
      </c>
      <c r="B264" s="11" t="s">
        <v>94</v>
      </c>
      <c r="C264" s="102" t="s">
        <v>47</v>
      </c>
      <c r="D264" s="81"/>
      <c r="E264" s="13"/>
      <c r="F264" s="30">
        <v>14.350566189567433</v>
      </c>
      <c r="G264" s="83"/>
      <c r="H264" s="13"/>
      <c r="I264" s="30"/>
      <c r="J264" s="41"/>
      <c r="K264" s="13"/>
      <c r="L264" s="33">
        <v>4.58</v>
      </c>
      <c r="M264" s="467"/>
      <c r="N264" s="146">
        <f t="shared" si="58"/>
        <v>-9.7705661895674325</v>
      </c>
      <c r="O264" s="41"/>
      <c r="P264" s="13"/>
      <c r="Q264" s="33">
        <v>2.91</v>
      </c>
      <c r="R264" s="41"/>
      <c r="S264" s="85">
        <f t="shared" si="60"/>
        <v>1.67</v>
      </c>
      <c r="T264" s="13"/>
      <c r="U264" s="13"/>
      <c r="V264" s="13"/>
      <c r="W264" s="13"/>
      <c r="X264" s="13"/>
      <c r="Y264" s="13"/>
      <c r="Z264" s="13"/>
      <c r="AA264" s="13"/>
      <c r="AB264" s="13"/>
      <c r="AC264" s="13"/>
      <c r="AD264" s="13"/>
      <c r="AE264" s="13"/>
      <c r="AF264" s="13"/>
      <c r="AG264" s="13"/>
      <c r="AH264" s="13"/>
      <c r="AI264" s="13"/>
      <c r="AJ264" s="13"/>
      <c r="AK264" s="13"/>
      <c r="AL264" s="13"/>
      <c r="AM264" s="13"/>
      <c r="AN264" s="13"/>
    </row>
    <row r="265" spans="1:40" ht="20.25" hidden="1">
      <c r="A265" t="str">
        <f t="shared" si="56"/>
        <v>Carrosserie[...]</v>
      </c>
      <c r="B265" s="11" t="s">
        <v>94</v>
      </c>
      <c r="C265" s="29" t="s">
        <v>19</v>
      </c>
      <c r="D265" s="87"/>
      <c r="E265" s="111"/>
      <c r="F265" s="30">
        <v>0</v>
      </c>
      <c r="G265" s="89"/>
      <c r="H265" s="111"/>
      <c r="I265" s="30"/>
      <c r="J265" s="23"/>
      <c r="K265" s="111"/>
      <c r="L265" s="33">
        <v>0</v>
      </c>
      <c r="M265" s="23"/>
      <c r="N265" s="91">
        <f t="shared" si="58"/>
        <v>0</v>
      </c>
      <c r="O265" s="23"/>
      <c r="P265" s="111"/>
      <c r="Q265" s="33">
        <v>0</v>
      </c>
      <c r="R265" s="23"/>
      <c r="S265" s="92">
        <f t="shared" si="60"/>
        <v>0</v>
      </c>
      <c r="T265" s="13"/>
      <c r="U265" s="13"/>
      <c r="V265" s="13"/>
      <c r="W265" s="13"/>
      <c r="X265" s="13"/>
      <c r="Y265" s="13"/>
      <c r="Z265" s="13"/>
      <c r="AA265" s="13"/>
      <c r="AB265" s="13"/>
      <c r="AC265" s="13"/>
      <c r="AD265" s="13"/>
      <c r="AE265" s="13"/>
      <c r="AF265" s="13"/>
      <c r="AG265" s="13"/>
      <c r="AH265" s="13"/>
      <c r="AI265" s="13"/>
      <c r="AJ265" s="13"/>
      <c r="AK265" s="13"/>
      <c r="AL265" s="13"/>
      <c r="AM265" s="13"/>
      <c r="AN265" s="13"/>
    </row>
    <row r="266" spans="1:40" ht="20.25">
      <c r="A266" t="str">
        <f t="shared" si="56"/>
        <v>CarrosserieTOTAL PERSONNEL</v>
      </c>
      <c r="B266" s="11" t="s">
        <v>94</v>
      </c>
      <c r="C266" s="93" t="s">
        <v>48</v>
      </c>
      <c r="D266" s="94" t="s">
        <v>38</v>
      </c>
      <c r="E266" s="95" t="e">
        <f>F266/F$244</f>
        <v>#DIV/0!</v>
      </c>
      <c r="F266" s="96">
        <f>+SUM(F254:F265)</f>
        <v>980.07936511854098</v>
      </c>
      <c r="G266" s="97"/>
      <c r="H266" s="95"/>
      <c r="I266" s="96"/>
      <c r="J266" s="97" t="s">
        <v>38</v>
      </c>
      <c r="K266" s="95">
        <f>IF(L244=0,0,L266/L$244)</f>
        <v>0</v>
      </c>
      <c r="L266" s="96">
        <f>+SUM(L254:L265)</f>
        <v>1072.1199999999999</v>
      </c>
      <c r="M266" s="147"/>
      <c r="N266" s="113">
        <f t="shared" si="58"/>
        <v>92.040634881458914</v>
      </c>
      <c r="O266" s="97" t="s">
        <v>38</v>
      </c>
      <c r="P266" s="95">
        <f>IF(Q244=0,0,Q266/Q$244)</f>
        <v>0</v>
      </c>
      <c r="Q266" s="96">
        <f>+SUM(Q254:Q265)</f>
        <v>916.65999999999985</v>
      </c>
      <c r="R266" s="147"/>
      <c r="S266" s="114">
        <f t="shared" si="60"/>
        <v>155.46000000000004</v>
      </c>
      <c r="T266" s="13"/>
      <c r="U266" s="13"/>
      <c r="V266" s="13"/>
      <c r="W266" s="13"/>
      <c r="X266" s="13"/>
      <c r="Y266" s="13"/>
      <c r="Z266" s="13"/>
      <c r="AA266" s="13"/>
      <c r="AB266" s="13"/>
      <c r="AC266" s="13"/>
      <c r="AD266" s="13"/>
      <c r="AE266" s="13"/>
      <c r="AF266" s="13"/>
      <c r="AG266" s="13"/>
      <c r="AH266" s="13"/>
      <c r="AI266" s="13"/>
      <c r="AJ266" s="13"/>
      <c r="AK266" s="13"/>
      <c r="AL266" s="13"/>
      <c r="AM266" s="13"/>
      <c r="AN266" s="13"/>
    </row>
    <row r="267" spans="1:40" ht="20.25">
      <c r="A267" t="str">
        <f t="shared" si="56"/>
        <v>CarrosseriePublicité 2</v>
      </c>
      <c r="B267" s="11" t="s">
        <v>94</v>
      </c>
      <c r="C267" s="211" t="s">
        <v>49</v>
      </c>
      <c r="D267" s="81"/>
      <c r="E267" s="13"/>
      <c r="F267" s="30">
        <v>0</v>
      </c>
      <c r="G267" s="83"/>
      <c r="H267" s="13"/>
      <c r="I267" s="30"/>
      <c r="J267" s="41"/>
      <c r="K267" s="13"/>
      <c r="L267" s="33">
        <v>47.47</v>
      </c>
      <c r="M267" s="41"/>
      <c r="N267" s="59">
        <f t="shared" si="58"/>
        <v>47.47</v>
      </c>
      <c r="O267" s="41"/>
      <c r="P267" s="13"/>
      <c r="Q267" s="33">
        <v>6.25</v>
      </c>
      <c r="R267" s="41"/>
      <c r="S267" s="85">
        <f t="shared" si="60"/>
        <v>41.22</v>
      </c>
      <c r="T267" s="13"/>
      <c r="U267" s="13"/>
      <c r="V267" s="13"/>
      <c r="W267" s="13"/>
      <c r="X267" s="13"/>
      <c r="Y267" s="13"/>
      <c r="Z267" s="13"/>
      <c r="AA267" s="13"/>
      <c r="AB267" s="13"/>
      <c r="AC267" s="13"/>
      <c r="AD267" s="13"/>
      <c r="AE267" s="13"/>
      <c r="AF267" s="13"/>
      <c r="AG267" s="13"/>
      <c r="AH267" s="13"/>
      <c r="AI267" s="13"/>
      <c r="AJ267" s="13"/>
      <c r="AK267" s="13"/>
      <c r="AL267" s="13"/>
      <c r="AM267" s="13"/>
      <c r="AN267" s="13"/>
    </row>
    <row r="268" spans="1:40" ht="20.25">
      <c r="A268" t="str">
        <f t="shared" si="56"/>
        <v>CarrosserieService gratuit 2</v>
      </c>
      <c r="B268" s="11" t="s">
        <v>94</v>
      </c>
      <c r="C268" s="102" t="s">
        <v>50</v>
      </c>
      <c r="D268" s="81"/>
      <c r="E268" s="13"/>
      <c r="F268" s="30">
        <v>0</v>
      </c>
      <c r="G268" s="83"/>
      <c r="H268" s="13"/>
      <c r="I268" s="30"/>
      <c r="J268" s="41"/>
      <c r="K268" s="13"/>
      <c r="L268" s="33">
        <v>0</v>
      </c>
      <c r="M268" s="41"/>
      <c r="N268" s="59">
        <f t="shared" si="58"/>
        <v>0</v>
      </c>
      <c r="O268" s="41"/>
      <c r="P268" s="13"/>
      <c r="Q268" s="33">
        <v>16.829999999999998</v>
      </c>
      <c r="R268" s="41"/>
      <c r="S268" s="85">
        <f t="shared" si="60"/>
        <v>-16.829999999999998</v>
      </c>
      <c r="T268" s="13"/>
      <c r="U268" s="13"/>
      <c r="V268" s="13"/>
      <c r="W268" s="13"/>
      <c r="X268" s="13"/>
      <c r="Y268" s="13"/>
      <c r="Z268" s="13"/>
      <c r="AA268" s="13"/>
      <c r="AB268" s="13"/>
      <c r="AC268" s="13"/>
      <c r="AD268" s="13"/>
      <c r="AE268" s="13"/>
      <c r="AF268" s="13"/>
      <c r="AG268" s="13"/>
      <c r="AH268" s="13"/>
      <c r="AI268" s="13"/>
      <c r="AJ268" s="13"/>
      <c r="AK268" s="13"/>
      <c r="AL268" s="13"/>
      <c r="AM268" s="13"/>
      <c r="AN268" s="13"/>
    </row>
    <row r="269" spans="1:40" ht="20.25">
      <c r="A269" t="str">
        <f t="shared" si="56"/>
        <v>CarrosserieFrais véhicules de cie</v>
      </c>
      <c r="B269" s="11" t="s">
        <v>94</v>
      </c>
      <c r="C269" s="103" t="s">
        <v>51</v>
      </c>
      <c r="D269" s="87"/>
      <c r="E269" s="111"/>
      <c r="F269" s="22">
        <v>119.375</v>
      </c>
      <c r="G269" s="89"/>
      <c r="H269" s="111"/>
      <c r="I269" s="22"/>
      <c r="J269" s="23"/>
      <c r="K269" s="111"/>
      <c r="L269" s="33">
        <v>109</v>
      </c>
      <c r="M269" s="23"/>
      <c r="N269" s="91">
        <f t="shared" si="58"/>
        <v>-10.375</v>
      </c>
      <c r="O269" s="23"/>
      <c r="P269" s="111"/>
      <c r="Q269" s="33">
        <v>158.58000000000001</v>
      </c>
      <c r="R269" s="23"/>
      <c r="S269" s="92">
        <f t="shared" si="60"/>
        <v>-49.580000000000013</v>
      </c>
      <c r="T269" s="13"/>
      <c r="U269" s="13"/>
      <c r="V269" s="13"/>
      <c r="W269" s="13"/>
      <c r="X269" s="13"/>
      <c r="Y269" s="13"/>
      <c r="Z269" s="13"/>
      <c r="AA269" s="13"/>
      <c r="AB269" s="13"/>
      <c r="AC269" s="13"/>
      <c r="AD269" s="13"/>
      <c r="AE269" s="13"/>
      <c r="AF269" s="13"/>
      <c r="AG269" s="13"/>
      <c r="AH269" s="13"/>
      <c r="AI269" s="13"/>
      <c r="AJ269" s="13"/>
      <c r="AK269" s="13"/>
      <c r="AL269" s="13"/>
      <c r="AM269" s="13"/>
      <c r="AN269" s="13"/>
    </row>
    <row r="270" spans="1:40" ht="20.25">
      <c r="A270" t="str">
        <f t="shared" si="56"/>
        <v>CarrosserieInformatique</v>
      </c>
      <c r="B270" s="11" t="s">
        <v>94</v>
      </c>
      <c r="C270" s="102" t="s">
        <v>52</v>
      </c>
      <c r="D270" s="81"/>
      <c r="E270" s="13"/>
      <c r="F270" s="30">
        <v>239.22500000000002</v>
      </c>
      <c r="G270" s="83"/>
      <c r="H270" s="13"/>
      <c r="I270" s="30"/>
      <c r="J270" s="41"/>
      <c r="K270" s="13"/>
      <c r="L270" s="108">
        <v>208.26</v>
      </c>
      <c r="M270" s="41"/>
      <c r="N270" s="59">
        <f t="shared" si="58"/>
        <v>-30.965000000000032</v>
      </c>
      <c r="O270" s="41"/>
      <c r="P270" s="13"/>
      <c r="Q270" s="108">
        <v>215.1</v>
      </c>
      <c r="R270" s="41"/>
      <c r="S270" s="85">
        <f t="shared" si="60"/>
        <v>-6.8400000000000034</v>
      </c>
      <c r="T270" s="13"/>
      <c r="U270" s="13"/>
      <c r="V270" s="13"/>
      <c r="W270" s="13"/>
      <c r="X270" s="13"/>
      <c r="Y270" s="13"/>
      <c r="Z270" s="13"/>
      <c r="AA270" s="13"/>
      <c r="AB270" s="13"/>
      <c r="AC270" s="13"/>
      <c r="AD270" s="13"/>
      <c r="AE270" s="13"/>
      <c r="AF270" s="13"/>
      <c r="AG270" s="13"/>
      <c r="AH270" s="13"/>
      <c r="AI270" s="13"/>
      <c r="AJ270" s="13"/>
      <c r="AK270" s="13"/>
      <c r="AL270" s="13"/>
      <c r="AM270" s="13"/>
      <c r="AN270" s="13"/>
    </row>
    <row r="271" spans="1:40" ht="20.25">
      <c r="A271" t="str">
        <f t="shared" si="56"/>
        <v>CarrosserieFrais de déplacement</v>
      </c>
      <c r="B271" s="11" t="s">
        <v>94</v>
      </c>
      <c r="C271" s="102" t="s">
        <v>53</v>
      </c>
      <c r="D271" s="81"/>
      <c r="E271" s="13"/>
      <c r="F271" s="30">
        <v>45.7</v>
      </c>
      <c r="G271" s="83"/>
      <c r="H271" s="13"/>
      <c r="I271" s="30"/>
      <c r="J271" s="41"/>
      <c r="K271" s="13"/>
      <c r="L271" s="33">
        <v>47.78</v>
      </c>
      <c r="M271" s="41"/>
      <c r="N271" s="59">
        <f t="shared" si="58"/>
        <v>2.0799999999999983</v>
      </c>
      <c r="O271" s="41"/>
      <c r="P271" s="13"/>
      <c r="Q271" s="33">
        <v>7.36</v>
      </c>
      <c r="R271" s="41"/>
      <c r="S271" s="85">
        <f t="shared" si="60"/>
        <v>40.42</v>
      </c>
      <c r="T271" s="13"/>
      <c r="U271" s="13"/>
      <c r="V271" s="13"/>
      <c r="W271" s="13"/>
      <c r="X271" s="13"/>
      <c r="Y271" s="13"/>
      <c r="Z271" s="13"/>
      <c r="AA271" s="13"/>
      <c r="AB271" s="13"/>
      <c r="AC271" s="13"/>
      <c r="AD271" s="13"/>
      <c r="AE271" s="13"/>
      <c r="AF271" s="13"/>
      <c r="AG271" s="13"/>
      <c r="AH271" s="13"/>
      <c r="AI271" s="13"/>
      <c r="AJ271" s="13"/>
      <c r="AK271" s="13"/>
      <c r="AL271" s="13"/>
      <c r="AM271" s="13"/>
      <c r="AN271" s="13"/>
    </row>
    <row r="272" spans="1:40" ht="20.25">
      <c r="A272" t="str">
        <f t="shared" si="56"/>
        <v>CarrosserieServices extérieurs</v>
      </c>
      <c r="B272" s="11" t="s">
        <v>94</v>
      </c>
      <c r="C272" s="102" t="s">
        <v>54</v>
      </c>
      <c r="D272" s="87"/>
      <c r="E272" s="111"/>
      <c r="F272" s="22">
        <v>153.02500000000001</v>
      </c>
      <c r="G272" s="89"/>
      <c r="H272" s="111"/>
      <c r="I272" s="22"/>
      <c r="J272" s="23"/>
      <c r="K272" s="111"/>
      <c r="L272" s="33">
        <v>178.46</v>
      </c>
      <c r="M272" s="23"/>
      <c r="N272" s="91">
        <f t="shared" si="58"/>
        <v>25.435000000000002</v>
      </c>
      <c r="O272" s="23"/>
      <c r="P272" s="111"/>
      <c r="Q272" s="22">
        <v>175.45</v>
      </c>
      <c r="R272" s="23"/>
      <c r="S272" s="92">
        <f t="shared" si="60"/>
        <v>3.0100000000000193</v>
      </c>
      <c r="T272" s="13"/>
      <c r="U272" s="13"/>
      <c r="V272" s="13"/>
      <c r="W272" s="13"/>
      <c r="X272" s="13"/>
      <c r="Y272" s="13"/>
      <c r="Z272" s="13"/>
      <c r="AA272" s="13"/>
      <c r="AB272" s="13"/>
      <c r="AC272" s="13"/>
      <c r="AD272" s="13"/>
      <c r="AE272" s="13"/>
      <c r="AF272" s="13"/>
      <c r="AG272" s="13"/>
      <c r="AH272" s="13"/>
      <c r="AI272" s="13"/>
      <c r="AJ272" s="13"/>
      <c r="AK272" s="13"/>
      <c r="AL272" s="13"/>
      <c r="AM272" s="13"/>
      <c r="AN272" s="13"/>
    </row>
    <row r="273" spans="1:40" ht="20.25">
      <c r="A273" t="str">
        <f>+B273&amp;C273</f>
        <v>CarrosserieFournitures d'atelier</v>
      </c>
      <c r="B273" s="11" t="s">
        <v>94</v>
      </c>
      <c r="C273" s="212" t="s">
        <v>93</v>
      </c>
      <c r="D273" s="81"/>
      <c r="E273" s="13"/>
      <c r="F273" s="30"/>
      <c r="G273" s="83"/>
      <c r="H273" s="13"/>
      <c r="I273" s="30"/>
      <c r="J273" s="41"/>
      <c r="K273" s="13"/>
      <c r="L273" s="55">
        <v>0</v>
      </c>
      <c r="M273" s="41"/>
      <c r="N273" s="59">
        <f t="shared" si="58"/>
        <v>0</v>
      </c>
      <c r="O273" s="41"/>
      <c r="P273" s="13"/>
      <c r="Q273" s="33">
        <v>0</v>
      </c>
      <c r="R273" s="41"/>
      <c r="S273" s="85">
        <f>L273-Q273</f>
        <v>0</v>
      </c>
      <c r="T273" s="13"/>
      <c r="U273" s="13"/>
      <c r="V273" s="13"/>
      <c r="W273" s="13"/>
      <c r="X273" s="13"/>
      <c r="Y273" s="13"/>
      <c r="Z273" s="13"/>
      <c r="AA273" s="13"/>
      <c r="AB273" s="13"/>
      <c r="AC273" s="13"/>
      <c r="AD273" s="13"/>
      <c r="AE273" s="13"/>
      <c r="AF273" s="13"/>
      <c r="AG273" s="13"/>
      <c r="AH273" s="13"/>
      <c r="AI273" s="13"/>
      <c r="AJ273" s="13"/>
      <c r="AK273" s="13"/>
      <c r="AL273" s="13"/>
      <c r="AM273" s="13"/>
      <c r="AN273" s="13"/>
    </row>
    <row r="274" spans="1:40" ht="20.25">
      <c r="A274" t="str">
        <f t="shared" ref="A274:A319" si="61">+B274&amp;C274</f>
        <v>CarrosserieFournitures autres</v>
      </c>
      <c r="B274" s="11" t="s">
        <v>94</v>
      </c>
      <c r="C274" s="102" t="s">
        <v>55</v>
      </c>
      <c r="D274" s="81"/>
      <c r="E274" s="13"/>
      <c r="F274" s="30">
        <v>2.5301204819277108</v>
      </c>
      <c r="G274" s="83"/>
      <c r="H274" s="13"/>
      <c r="I274" s="30"/>
      <c r="J274" s="41"/>
      <c r="K274" s="13"/>
      <c r="L274" s="33">
        <v>0</v>
      </c>
      <c r="M274" s="41"/>
      <c r="N274" s="59">
        <f t="shared" si="58"/>
        <v>-2.5301204819277108</v>
      </c>
      <c r="O274" s="41"/>
      <c r="P274" s="13"/>
      <c r="Q274" s="33">
        <v>6.64</v>
      </c>
      <c r="R274" s="41"/>
      <c r="S274" s="85">
        <f t="shared" ref="S274:S292" si="62">L274-Q274</f>
        <v>-6.64</v>
      </c>
      <c r="T274" s="13"/>
      <c r="U274" s="13"/>
      <c r="V274" s="13"/>
      <c r="W274" s="13"/>
      <c r="X274" s="13"/>
      <c r="Y274" s="13"/>
      <c r="Z274" s="13"/>
      <c r="AA274" s="13"/>
      <c r="AB274" s="13"/>
      <c r="AC274" s="13"/>
      <c r="AD274" s="13"/>
      <c r="AE274" s="13"/>
      <c r="AF274" s="13"/>
      <c r="AG274" s="13"/>
      <c r="AH274" s="13"/>
      <c r="AI274" s="13"/>
      <c r="AJ274" s="13"/>
      <c r="AK274" s="13"/>
      <c r="AL274" s="13"/>
      <c r="AM274" s="13"/>
      <c r="AN274" s="13"/>
    </row>
    <row r="275" spans="1:40" ht="20.25">
      <c r="A275" t="str">
        <f t="shared" si="61"/>
        <v>CarrosserieUniformes</v>
      </c>
      <c r="B275" s="11" t="s">
        <v>94</v>
      </c>
      <c r="C275" s="102" t="s">
        <v>56</v>
      </c>
      <c r="D275" s="81"/>
      <c r="E275" s="13"/>
      <c r="F275" s="30">
        <v>0</v>
      </c>
      <c r="G275" s="83"/>
      <c r="H275" s="13"/>
      <c r="I275" s="30"/>
      <c r="J275" s="41"/>
      <c r="K275" s="13"/>
      <c r="L275" s="33">
        <v>0</v>
      </c>
      <c r="M275" s="41"/>
      <c r="N275" s="59">
        <f t="shared" si="58"/>
        <v>0</v>
      </c>
      <c r="O275" s="41"/>
      <c r="P275" s="13"/>
      <c r="Q275" s="33">
        <v>0</v>
      </c>
      <c r="R275" s="41"/>
      <c r="S275" s="85">
        <f t="shared" si="62"/>
        <v>0</v>
      </c>
      <c r="T275" s="13"/>
      <c r="U275" s="13"/>
      <c r="V275" s="13"/>
      <c r="W275" s="13"/>
      <c r="X275" s="13"/>
      <c r="Y275" s="13"/>
      <c r="Z275" s="13"/>
      <c r="AA275" s="13"/>
      <c r="AB275" s="13"/>
      <c r="AC275" s="13"/>
      <c r="AD275" s="13"/>
      <c r="AE275" s="13"/>
      <c r="AF275" s="13"/>
      <c r="AG275" s="13"/>
      <c r="AH275" s="13"/>
      <c r="AI275" s="13"/>
      <c r="AJ275" s="13"/>
      <c r="AK275" s="13"/>
      <c r="AL275" s="13"/>
      <c r="AM275" s="13"/>
      <c r="AN275" s="13"/>
    </row>
    <row r="276" spans="1:40" ht="20.25">
      <c r="A276" t="str">
        <f t="shared" si="61"/>
        <v>CarrosseriePapeterie</v>
      </c>
      <c r="B276" s="11" t="s">
        <v>94</v>
      </c>
      <c r="C276" s="102" t="s">
        <v>57</v>
      </c>
      <c r="D276" s="81"/>
      <c r="E276" s="13"/>
      <c r="F276" s="30">
        <v>43.75</v>
      </c>
      <c r="G276" s="83"/>
      <c r="H276" s="13"/>
      <c r="I276" s="30"/>
      <c r="J276" s="41"/>
      <c r="K276" s="13"/>
      <c r="L276" s="32">
        <v>18.68</v>
      </c>
      <c r="M276" s="41"/>
      <c r="N276" s="59">
        <f t="shared" si="58"/>
        <v>-25.07</v>
      </c>
      <c r="O276" s="41"/>
      <c r="P276" s="13"/>
      <c r="Q276" s="32">
        <v>12.62</v>
      </c>
      <c r="R276" s="41"/>
      <c r="S276" s="85">
        <f t="shared" si="62"/>
        <v>6.0600000000000005</v>
      </c>
      <c r="T276" s="13"/>
      <c r="U276" s="13"/>
      <c r="V276" s="13"/>
      <c r="W276" s="13"/>
      <c r="X276" s="13"/>
      <c r="Y276" s="13"/>
      <c r="Z276" s="13"/>
      <c r="AA276" s="13"/>
      <c r="AB276" s="13"/>
      <c r="AC276" s="13"/>
      <c r="AD276" s="13"/>
      <c r="AE276" s="13"/>
      <c r="AF276" s="13"/>
      <c r="AG276" s="13"/>
      <c r="AH276" s="13"/>
      <c r="AI276" s="13"/>
      <c r="AJ276" s="13"/>
      <c r="AK276" s="13"/>
      <c r="AL276" s="13"/>
      <c r="AM276" s="13"/>
      <c r="AN276" s="13"/>
    </row>
    <row r="277" spans="1:40" ht="20.25">
      <c r="A277" t="str">
        <f t="shared" si="61"/>
        <v>CarrosserieTéléphone</v>
      </c>
      <c r="B277" s="11" t="s">
        <v>94</v>
      </c>
      <c r="C277" s="102" t="s">
        <v>58</v>
      </c>
      <c r="D277" s="81"/>
      <c r="E277" s="13"/>
      <c r="F277" s="30">
        <v>8.8000000000000007</v>
      </c>
      <c r="G277" s="83"/>
      <c r="H277" s="13"/>
      <c r="I277" s="30"/>
      <c r="J277" s="41"/>
      <c r="K277" s="13"/>
      <c r="L277" s="33">
        <v>7.73</v>
      </c>
      <c r="M277" s="41"/>
      <c r="N277" s="59">
        <f t="shared" si="58"/>
        <v>-1.0700000000000003</v>
      </c>
      <c r="O277" s="41"/>
      <c r="P277" s="13"/>
      <c r="Q277" s="33">
        <v>7.69</v>
      </c>
      <c r="R277" s="41"/>
      <c r="S277" s="85">
        <f t="shared" si="62"/>
        <v>4.0000000000000036E-2</v>
      </c>
      <c r="T277" s="13"/>
      <c r="U277" s="13"/>
      <c r="V277" s="13"/>
      <c r="W277" s="13"/>
      <c r="X277" s="13"/>
      <c r="Y277" s="13"/>
      <c r="Z277" s="13"/>
      <c r="AA277" s="13"/>
      <c r="AB277" s="13"/>
      <c r="AC277" s="13"/>
      <c r="AD277" s="13"/>
      <c r="AE277" s="13"/>
      <c r="AF277" s="13"/>
      <c r="AG277" s="13"/>
      <c r="AH277" s="13"/>
      <c r="AI277" s="13"/>
      <c r="AJ277" s="13"/>
      <c r="AK277" s="13"/>
      <c r="AL277" s="13"/>
      <c r="AM277" s="13"/>
      <c r="AN277" s="13"/>
    </row>
    <row r="278" spans="1:40" ht="20.25">
      <c r="A278" t="str">
        <f t="shared" si="61"/>
        <v>CarrosserieFrais postaux</v>
      </c>
      <c r="B278" s="11" t="s">
        <v>94</v>
      </c>
      <c r="C278" s="102" t="s">
        <v>59</v>
      </c>
      <c r="D278" s="81"/>
      <c r="E278" s="13"/>
      <c r="F278" s="30">
        <v>12.5</v>
      </c>
      <c r="G278" s="83"/>
      <c r="H278" s="13"/>
      <c r="I278" s="30"/>
      <c r="J278" s="41"/>
      <c r="K278" s="13"/>
      <c r="L278" s="33">
        <v>0.82</v>
      </c>
      <c r="M278" s="41"/>
      <c r="N278" s="59">
        <f t="shared" si="58"/>
        <v>-11.68</v>
      </c>
      <c r="O278" s="41"/>
      <c r="P278" s="13"/>
      <c r="Q278" s="33">
        <v>7.59</v>
      </c>
      <c r="R278" s="41"/>
      <c r="S278" s="85">
        <f t="shared" si="62"/>
        <v>-6.77</v>
      </c>
      <c r="T278" s="13"/>
      <c r="U278" s="13"/>
      <c r="V278" s="13"/>
      <c r="W278" s="13"/>
      <c r="X278" s="13"/>
      <c r="Y278" s="13"/>
      <c r="Z278" s="13"/>
      <c r="AA278" s="13"/>
      <c r="AB278" s="13"/>
      <c r="AC278" s="13"/>
      <c r="AD278" s="13"/>
      <c r="AE278" s="13"/>
      <c r="AF278" s="13"/>
      <c r="AG278" s="13"/>
      <c r="AH278" s="13"/>
      <c r="AI278" s="13"/>
      <c r="AJ278" s="13"/>
      <c r="AK278" s="13"/>
      <c r="AL278" s="13"/>
      <c r="AM278" s="13"/>
      <c r="AN278" s="13"/>
    </row>
    <row r="279" spans="1:40" ht="20.25">
      <c r="A279" t="str">
        <f t="shared" si="61"/>
        <v>CarrosserieDivers</v>
      </c>
      <c r="B279" s="11" t="s">
        <v>94</v>
      </c>
      <c r="C279" s="102" t="s">
        <v>60</v>
      </c>
      <c r="D279" s="81"/>
      <c r="E279" s="13"/>
      <c r="F279" s="30">
        <v>46.45</v>
      </c>
      <c r="G279" s="83"/>
      <c r="H279" s="13"/>
      <c r="I279" s="30"/>
      <c r="J279" s="41"/>
      <c r="K279" s="13"/>
      <c r="L279" s="33">
        <v>36.14</v>
      </c>
      <c r="M279" s="41"/>
      <c r="N279" s="59">
        <f t="shared" si="58"/>
        <v>-10.310000000000002</v>
      </c>
      <c r="O279" s="41"/>
      <c r="P279" s="13"/>
      <c r="Q279" s="33">
        <v>39.72</v>
      </c>
      <c r="R279" s="41"/>
      <c r="S279" s="85">
        <f t="shared" si="62"/>
        <v>-3.5799999999999983</v>
      </c>
      <c r="T279" s="13"/>
      <c r="U279" s="13"/>
      <c r="V279" s="13"/>
      <c r="W279" s="13"/>
      <c r="X279" s="13"/>
      <c r="Y279" s="13"/>
      <c r="Z279" s="13"/>
      <c r="AA279" s="13"/>
      <c r="AB279" s="13"/>
      <c r="AC279" s="13"/>
      <c r="AD279" s="13"/>
      <c r="AE279" s="13"/>
      <c r="AF279" s="13"/>
      <c r="AG279" s="13"/>
      <c r="AH279" s="13"/>
      <c r="AI279" s="13"/>
      <c r="AJ279" s="13"/>
      <c r="AK279" s="13"/>
      <c r="AL279" s="13"/>
      <c r="AM279" s="13"/>
      <c r="AN279" s="13"/>
    </row>
    <row r="280" spans="1:40" ht="20.25">
      <c r="A280" t="str">
        <f t="shared" si="61"/>
        <v>CarrosserieFormation</v>
      </c>
      <c r="B280" s="11" t="s">
        <v>94</v>
      </c>
      <c r="C280" s="102" t="s">
        <v>61</v>
      </c>
      <c r="D280" s="81"/>
      <c r="E280" s="13"/>
      <c r="F280" s="30">
        <v>20.768359999999994</v>
      </c>
      <c r="G280" s="83"/>
      <c r="H280" s="13"/>
      <c r="I280" s="30"/>
      <c r="J280" s="41"/>
      <c r="K280" s="13"/>
      <c r="L280" s="33">
        <v>9.99</v>
      </c>
      <c r="M280" s="41"/>
      <c r="N280" s="59">
        <f t="shared" si="58"/>
        <v>-10.778359999999994</v>
      </c>
      <c r="O280" s="41"/>
      <c r="P280" s="13"/>
      <c r="Q280" s="33">
        <v>-18.690000000000001</v>
      </c>
      <c r="R280" s="41"/>
      <c r="S280" s="85">
        <f t="shared" si="62"/>
        <v>28.68</v>
      </c>
      <c r="T280" s="13"/>
      <c r="U280" s="13"/>
      <c r="V280" s="13"/>
      <c r="W280" s="13"/>
      <c r="X280" s="13"/>
      <c r="Y280" s="13"/>
      <c r="Z280" s="13"/>
      <c r="AA280" s="13"/>
      <c r="AB280" s="13"/>
      <c r="AC280" s="13"/>
      <c r="AD280" s="13"/>
      <c r="AE280" s="13"/>
      <c r="AF280" s="13"/>
      <c r="AG280" s="13"/>
      <c r="AH280" s="13"/>
      <c r="AI280" s="13"/>
      <c r="AJ280" s="13"/>
      <c r="AK280" s="13"/>
      <c r="AL280" s="13"/>
      <c r="AM280" s="13"/>
      <c r="AN280" s="13"/>
    </row>
    <row r="281" spans="1:40" ht="20.25">
      <c r="A281" t="str">
        <f t="shared" si="61"/>
        <v>CarrosserieFrais bancaires</v>
      </c>
      <c r="B281" s="11" t="s">
        <v>94</v>
      </c>
      <c r="C281" s="102" t="s">
        <v>62</v>
      </c>
      <c r="D281" s="81"/>
      <c r="E281" s="13"/>
      <c r="F281" s="30">
        <v>167.49910851420336</v>
      </c>
      <c r="G281" s="83"/>
      <c r="H281" s="13"/>
      <c r="I281" s="30"/>
      <c r="J281" s="41"/>
      <c r="K281" s="13"/>
      <c r="L281" s="33">
        <v>148.02000000000001</v>
      </c>
      <c r="M281" s="41"/>
      <c r="N281" s="59">
        <f t="shared" si="58"/>
        <v>-19.479108514203347</v>
      </c>
      <c r="O281" s="41"/>
      <c r="P281" s="13"/>
      <c r="Q281" s="33">
        <v>143.12</v>
      </c>
      <c r="R281" s="41"/>
      <c r="S281" s="85">
        <f t="shared" si="62"/>
        <v>4.9000000000000057</v>
      </c>
      <c r="T281" s="13"/>
      <c r="U281" s="13"/>
      <c r="V281" s="13"/>
      <c r="W281" s="13"/>
      <c r="X281" s="13"/>
      <c r="Y281" s="13"/>
      <c r="Z281" s="13"/>
      <c r="AA281" s="13"/>
      <c r="AB281" s="13"/>
      <c r="AC281" s="13"/>
      <c r="AD281" s="13"/>
      <c r="AE281" s="13"/>
      <c r="AF281" s="13"/>
      <c r="AG281" s="13"/>
      <c r="AH281" s="13"/>
      <c r="AI281" s="13"/>
      <c r="AJ281" s="13"/>
      <c r="AK281" s="13"/>
      <c r="AL281" s="13"/>
      <c r="AM281" s="13"/>
      <c r="AN281" s="13"/>
    </row>
    <row r="282" spans="1:40" ht="20.25" hidden="1">
      <c r="A282" t="str">
        <f t="shared" si="61"/>
        <v>Carrosserie[...]</v>
      </c>
      <c r="B282" s="11" t="s">
        <v>94</v>
      </c>
      <c r="C282" s="102" t="s">
        <v>19</v>
      </c>
      <c r="D282" s="81"/>
      <c r="E282" s="13"/>
      <c r="F282" s="30">
        <v>0</v>
      </c>
      <c r="G282" s="83"/>
      <c r="H282" s="13"/>
      <c r="I282" s="30"/>
      <c r="J282" s="41"/>
      <c r="K282" s="13"/>
      <c r="L282" s="33">
        <v>0</v>
      </c>
      <c r="M282" s="41"/>
      <c r="N282" s="59">
        <f t="shared" si="58"/>
        <v>0</v>
      </c>
      <c r="O282" s="41"/>
      <c r="P282" s="13"/>
      <c r="Q282" s="33">
        <v>0</v>
      </c>
      <c r="R282" s="41"/>
      <c r="S282" s="85">
        <f t="shared" si="62"/>
        <v>0</v>
      </c>
      <c r="T282" s="13"/>
      <c r="U282" s="13"/>
      <c r="V282" s="13"/>
      <c r="W282" s="13"/>
      <c r="X282" s="13"/>
      <c r="Y282" s="13"/>
      <c r="Z282" s="13"/>
      <c r="AA282" s="13"/>
      <c r="AB282" s="13"/>
      <c r="AC282" s="13"/>
      <c r="AD282" s="13"/>
      <c r="AE282" s="13"/>
      <c r="AF282" s="13"/>
      <c r="AG282" s="13"/>
      <c r="AH282" s="13"/>
      <c r="AI282" s="13"/>
      <c r="AJ282" s="13"/>
      <c r="AK282" s="13"/>
      <c r="AL282" s="13"/>
      <c r="AM282" s="13"/>
      <c r="AN282" s="13"/>
    </row>
    <row r="283" spans="1:40" ht="20.25" hidden="1">
      <c r="A283" t="str">
        <f>+B283&amp;C283</f>
        <v>Carrosserie[...]</v>
      </c>
      <c r="B283" s="11" t="s">
        <v>94</v>
      </c>
      <c r="C283" s="102" t="s">
        <v>19</v>
      </c>
      <c r="D283" s="81"/>
      <c r="E283" s="13"/>
      <c r="F283" s="30">
        <v>0</v>
      </c>
      <c r="G283" s="83"/>
      <c r="H283" s="13"/>
      <c r="I283" s="30"/>
      <c r="J283" s="41"/>
      <c r="K283" s="13"/>
      <c r="L283" s="33">
        <v>0</v>
      </c>
      <c r="M283" s="41"/>
      <c r="N283" s="59">
        <f t="shared" si="58"/>
        <v>0</v>
      </c>
      <c r="O283" s="41"/>
      <c r="P283" s="13"/>
      <c r="Q283" s="33">
        <v>0</v>
      </c>
      <c r="R283" s="41"/>
      <c r="S283" s="85">
        <f>L283-Q283</f>
        <v>0</v>
      </c>
      <c r="T283" s="13"/>
      <c r="U283" s="13"/>
      <c r="V283" s="13"/>
      <c r="W283" s="13"/>
      <c r="X283" s="13"/>
      <c r="Y283" s="13"/>
      <c r="Z283" s="13"/>
      <c r="AA283" s="13"/>
      <c r="AB283" s="13"/>
      <c r="AC283" s="13"/>
      <c r="AD283" s="13"/>
      <c r="AE283" s="13"/>
      <c r="AF283" s="13"/>
      <c r="AG283" s="13"/>
      <c r="AH283" s="13"/>
      <c r="AI283" s="13"/>
      <c r="AJ283" s="13"/>
      <c r="AK283" s="13"/>
      <c r="AL283" s="13"/>
      <c r="AM283" s="13"/>
      <c r="AN283" s="13"/>
    </row>
    <row r="284" spans="1:40" ht="20.25" hidden="1">
      <c r="A284" t="str">
        <f t="shared" ref="A284:A329" si="63">+B284&amp;C284</f>
        <v>Carrosserie[...]</v>
      </c>
      <c r="B284" s="11" t="s">
        <v>94</v>
      </c>
      <c r="C284" s="102" t="s">
        <v>19</v>
      </c>
      <c r="D284" s="81"/>
      <c r="E284" s="13"/>
      <c r="F284" s="30">
        <v>0</v>
      </c>
      <c r="G284" s="83"/>
      <c r="H284" s="13"/>
      <c r="I284" s="30"/>
      <c r="J284" s="41"/>
      <c r="K284" s="13"/>
      <c r="L284" s="33">
        <v>0</v>
      </c>
      <c r="M284" s="41"/>
      <c r="N284" s="59">
        <f t="shared" si="58"/>
        <v>0</v>
      </c>
      <c r="O284" s="41"/>
      <c r="P284" s="13"/>
      <c r="Q284" s="33">
        <v>0</v>
      </c>
      <c r="R284" s="41"/>
      <c r="S284" s="85">
        <f t="shared" ref="S284:S302" si="64">L284-Q284</f>
        <v>0</v>
      </c>
      <c r="T284" s="13"/>
      <c r="U284" s="13"/>
      <c r="V284" s="13"/>
      <c r="W284" s="13"/>
      <c r="X284" s="13"/>
      <c r="Y284" s="13"/>
      <c r="Z284" s="13"/>
      <c r="AA284" s="13"/>
      <c r="AB284" s="13"/>
      <c r="AC284" s="13"/>
      <c r="AD284" s="13"/>
      <c r="AE284" s="13"/>
      <c r="AF284" s="13"/>
      <c r="AG284" s="13"/>
      <c r="AH284" s="13"/>
      <c r="AI284" s="13"/>
      <c r="AJ284" s="13"/>
      <c r="AK284" s="13"/>
      <c r="AL284" s="13"/>
      <c r="AM284" s="13"/>
      <c r="AN284" s="13"/>
    </row>
    <row r="285" spans="1:40" ht="20.25">
      <c r="B285" s="11"/>
      <c r="C285" s="93" t="s">
        <v>63</v>
      </c>
      <c r="D285" s="94" t="s">
        <v>38</v>
      </c>
      <c r="E285" s="95" t="e">
        <f>F285/F$244</f>
        <v>#DIV/0!</v>
      </c>
      <c r="F285" s="96">
        <f>+SUM(F267:F284)</f>
        <v>859.62258899613119</v>
      </c>
      <c r="G285" s="97"/>
      <c r="H285" s="95"/>
      <c r="I285" s="96"/>
      <c r="J285" s="97" t="s">
        <v>38</v>
      </c>
      <c r="K285" s="95" t="e">
        <f>IF(L262=0,0,L285/L$244)</f>
        <v>#DIV/0!</v>
      </c>
      <c r="L285" s="96">
        <f>+SUM(L267:L284)</f>
        <v>812.35</v>
      </c>
      <c r="M285" s="100"/>
      <c r="N285" s="96">
        <f>+SUM(N267:N284)</f>
        <v>-47.272588996131084</v>
      </c>
      <c r="O285" s="97" t="s">
        <v>38</v>
      </c>
      <c r="P285" s="95">
        <f>IF(Q$244=0,0,Q285/Q$244)</f>
        <v>0</v>
      </c>
      <c r="Q285" s="96">
        <f>+SUM(Q267:Q284)</f>
        <v>778.26</v>
      </c>
      <c r="R285" s="100"/>
      <c r="S285" s="101">
        <f>L285-Q285</f>
        <v>34.090000000000032</v>
      </c>
      <c r="T285" s="76"/>
      <c r="U285" s="13"/>
      <c r="V285" s="13"/>
      <c r="W285" s="13"/>
      <c r="X285" s="13"/>
      <c r="Y285" s="13"/>
      <c r="Z285" s="13"/>
      <c r="AA285" s="13"/>
      <c r="AB285" s="13"/>
      <c r="AC285" s="13"/>
      <c r="AD285" s="13"/>
      <c r="AE285" s="13"/>
      <c r="AF285" s="13"/>
      <c r="AG285" s="13"/>
      <c r="AH285" s="13"/>
      <c r="AI285" s="13"/>
      <c r="AJ285" s="13"/>
      <c r="AK285" s="13"/>
      <c r="AL285" s="13"/>
      <c r="AM285" s="13"/>
      <c r="AN285" s="13"/>
    </row>
    <row r="286" spans="1:40" ht="20.25">
      <c r="B286" s="11"/>
      <c r="C286" s="86"/>
      <c r="D286" s="87"/>
      <c r="E286" s="111"/>
      <c r="F286" s="59"/>
      <c r="G286" s="89"/>
      <c r="H286" s="111"/>
      <c r="I286" s="59"/>
      <c r="J286" s="23"/>
      <c r="K286" s="111"/>
      <c r="L286" s="91"/>
      <c r="M286" s="23"/>
      <c r="N286" s="91"/>
      <c r="O286" s="23"/>
      <c r="P286" s="111"/>
      <c r="Q286" s="91"/>
      <c r="R286" s="23"/>
      <c r="S286" s="92"/>
      <c r="T286" s="76"/>
      <c r="U286" s="13"/>
      <c r="V286" s="13"/>
      <c r="W286" s="13"/>
      <c r="X286" s="13"/>
      <c r="Y286" s="13"/>
      <c r="Z286" s="13"/>
      <c r="AA286" s="13"/>
      <c r="AB286" s="13"/>
      <c r="AC286" s="13"/>
      <c r="AD286" s="13"/>
      <c r="AE286" s="13"/>
      <c r="AF286" s="13"/>
      <c r="AG286" s="13"/>
      <c r="AH286" s="13"/>
      <c r="AI286" s="13"/>
      <c r="AJ286" s="13"/>
      <c r="AK286" s="13"/>
      <c r="AL286" s="13"/>
      <c r="AM286" s="13"/>
      <c r="AN286" s="13"/>
    </row>
    <row r="287" spans="1:40" ht="20.25">
      <c r="B287" s="11"/>
      <c r="C287" s="93" t="s">
        <v>64</v>
      </c>
      <c r="D287" s="94" t="s">
        <v>38</v>
      </c>
      <c r="E287" s="95" t="e">
        <f>F287/F$244</f>
        <v>#DIV/0!</v>
      </c>
      <c r="F287" s="96">
        <f>F266+F285</f>
        <v>1839.7019541146722</v>
      </c>
      <c r="G287" s="97"/>
      <c r="H287" s="95"/>
      <c r="I287" s="96"/>
      <c r="J287" s="97" t="s">
        <v>38</v>
      </c>
      <c r="K287" s="95" t="e">
        <f>IF(L264=0,0,L287/L$244)</f>
        <v>#DIV/0!</v>
      </c>
      <c r="L287" s="96">
        <f>L266+L285</f>
        <v>1884.4699999999998</v>
      </c>
      <c r="M287" s="100"/>
      <c r="N287" s="113">
        <f>L287-F287</f>
        <v>44.768045885327638</v>
      </c>
      <c r="O287" s="97" t="s">
        <v>38</v>
      </c>
      <c r="P287" s="95">
        <f>IF(Q$244=0,0,Q287/Q$244)</f>
        <v>0</v>
      </c>
      <c r="Q287" s="96">
        <f>Q266+Q285</f>
        <v>1694.9199999999998</v>
      </c>
      <c r="R287" s="100"/>
      <c r="S287" s="114">
        <f>L287-Q287</f>
        <v>189.54999999999995</v>
      </c>
      <c r="T287" s="76"/>
      <c r="U287" s="13"/>
      <c r="V287" s="13"/>
      <c r="W287" s="13"/>
      <c r="X287" s="13"/>
      <c r="Y287" s="13"/>
      <c r="Z287" s="13"/>
      <c r="AA287" s="13"/>
      <c r="AB287" s="13"/>
      <c r="AC287" s="13"/>
      <c r="AD287" s="13"/>
      <c r="AE287" s="13"/>
      <c r="AF287" s="13"/>
      <c r="AG287" s="13"/>
      <c r="AH287" s="13"/>
      <c r="AI287" s="13"/>
      <c r="AJ287" s="13"/>
      <c r="AK287" s="13"/>
      <c r="AL287" s="13"/>
      <c r="AM287" s="13"/>
      <c r="AN287" s="13"/>
    </row>
    <row r="288" spans="1:40" ht="20.25">
      <c r="B288" s="11"/>
      <c r="C288" s="29"/>
      <c r="D288" s="81"/>
      <c r="E288" s="13"/>
      <c r="F288" s="59"/>
      <c r="G288" s="83"/>
      <c r="H288" s="13"/>
      <c r="I288" s="59"/>
      <c r="J288" s="41"/>
      <c r="K288" s="13"/>
      <c r="L288" s="59"/>
      <c r="M288" s="41"/>
      <c r="N288" s="59">
        <f>L288-F288</f>
        <v>0</v>
      </c>
      <c r="O288" s="41"/>
      <c r="P288" s="13"/>
      <c r="Q288" s="59"/>
      <c r="R288" s="41"/>
      <c r="S288" s="85"/>
      <c r="T288" s="13"/>
      <c r="U288" s="13"/>
      <c r="V288" s="13"/>
      <c r="W288" s="13"/>
      <c r="X288" s="13"/>
      <c r="Y288" s="13"/>
      <c r="Z288" s="13"/>
      <c r="AA288" s="13"/>
      <c r="AB288" s="13"/>
      <c r="AC288" s="13"/>
      <c r="AD288" s="13"/>
      <c r="AE288" s="13"/>
      <c r="AF288" s="13"/>
      <c r="AG288" s="13"/>
      <c r="AH288" s="13"/>
      <c r="AI288" s="13"/>
      <c r="AJ288" s="13"/>
      <c r="AK288" s="13"/>
      <c r="AL288" s="13"/>
      <c r="AM288" s="13"/>
      <c r="AN288" s="13"/>
    </row>
    <row r="289" spans="1:40" ht="21" thickBot="1">
      <c r="B289" s="11"/>
      <c r="C289" s="124" t="s">
        <v>69</v>
      </c>
      <c r="D289" s="152"/>
      <c r="E289" s="125"/>
      <c r="F289" s="127">
        <f>F250-F287</f>
        <v>-1518.0392101881698</v>
      </c>
      <c r="G289" s="153"/>
      <c r="H289" s="125"/>
      <c r="I289" s="127"/>
      <c r="J289" s="154"/>
      <c r="K289" s="126"/>
      <c r="L289" s="127">
        <f>L250-L287</f>
        <v>-1109.8299999999997</v>
      </c>
      <c r="M289" s="154"/>
      <c r="N289" s="127">
        <f>L289-F289</f>
        <v>408.20921018817012</v>
      </c>
      <c r="O289" s="154"/>
      <c r="P289" s="126"/>
      <c r="Q289" s="127">
        <f>Q250-Q287</f>
        <v>-1411.02</v>
      </c>
      <c r="R289" s="154"/>
      <c r="S289" s="129">
        <f>L289-Q289</f>
        <v>301.19000000000028</v>
      </c>
      <c r="T289" s="76"/>
      <c r="U289" s="13"/>
      <c r="V289" s="13"/>
      <c r="W289" s="13"/>
      <c r="X289" s="13"/>
      <c r="Y289" s="13"/>
      <c r="Z289" s="13"/>
      <c r="AA289" s="13"/>
      <c r="AB289" s="13"/>
      <c r="AC289" s="13"/>
      <c r="AD289" s="13"/>
      <c r="AE289" s="13"/>
      <c r="AF289" s="13"/>
      <c r="AG289" s="13"/>
      <c r="AH289" s="13"/>
      <c r="AI289" s="13"/>
      <c r="AJ289" s="13"/>
      <c r="AK289" s="13"/>
      <c r="AL289" s="13"/>
      <c r="AM289" s="13"/>
      <c r="AN289" s="13"/>
    </row>
    <row r="290" spans="1:40" ht="21" thickTop="1">
      <c r="B290" s="11"/>
      <c r="C290" s="13"/>
      <c r="D290" s="13"/>
      <c r="E290" s="13"/>
      <c r="F290" s="13"/>
      <c r="G290" s="13"/>
      <c r="H290" s="13"/>
      <c r="I290" s="13"/>
      <c r="J290" s="13"/>
      <c r="K290" s="13"/>
      <c r="L290" s="82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  <c r="AA290" s="13"/>
      <c r="AB290" s="13"/>
      <c r="AC290" s="13"/>
      <c r="AD290" s="13"/>
      <c r="AE290" s="13"/>
      <c r="AF290" s="13"/>
      <c r="AG290" s="13"/>
      <c r="AH290" s="13"/>
      <c r="AI290" s="13"/>
      <c r="AJ290" s="13"/>
      <c r="AK290" s="13"/>
      <c r="AL290" s="13"/>
      <c r="AM290" s="13"/>
      <c r="AN290" s="13"/>
    </row>
    <row r="291" spans="1:40" ht="35.25">
      <c r="B291" s="11"/>
      <c r="C291" s="6" t="str">
        <f>C1</f>
        <v>BMW Sherbrooke</v>
      </c>
      <c r="D291" s="2"/>
      <c r="E291" s="2"/>
      <c r="F291" s="2"/>
      <c r="G291" s="2"/>
      <c r="H291" s="1"/>
      <c r="I291" s="1"/>
      <c r="J291" s="1"/>
      <c r="K291" s="3" t="s">
        <v>98</v>
      </c>
      <c r="L291" s="2"/>
      <c r="M291" s="2"/>
      <c r="N291" s="1"/>
      <c r="O291" s="1"/>
      <c r="P291" s="2"/>
      <c r="Q291" s="1"/>
      <c r="R291" s="2"/>
      <c r="S291" s="5" t="str">
        <f>$S$1</f>
        <v>Réalisé, Septembre 2024</v>
      </c>
      <c r="T291" s="13"/>
      <c r="U291" s="13"/>
      <c r="V291" s="13"/>
      <c r="W291" s="13"/>
      <c r="X291" s="13"/>
      <c r="Y291" s="13"/>
      <c r="Z291" s="13"/>
      <c r="AA291" s="13"/>
      <c r="AB291" s="13"/>
      <c r="AC291" s="13"/>
      <c r="AD291" s="13"/>
      <c r="AE291" s="13"/>
      <c r="AF291" s="13"/>
      <c r="AG291" s="13"/>
      <c r="AH291" s="13"/>
      <c r="AI291" s="13"/>
      <c r="AJ291" s="13"/>
      <c r="AK291" s="13"/>
      <c r="AL291" s="13"/>
      <c r="AM291" s="13"/>
      <c r="AN291" s="13"/>
    </row>
    <row r="292" spans="1:40" ht="21" thickBot="1">
      <c r="B292" s="11"/>
      <c r="C292" s="8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3"/>
      <c r="U292" s="13"/>
      <c r="V292" s="13"/>
      <c r="W292" s="13"/>
      <c r="X292" s="13"/>
      <c r="Y292" s="13"/>
      <c r="Z292" s="13"/>
      <c r="AA292" s="13"/>
      <c r="AB292" s="13"/>
      <c r="AC292" s="13"/>
      <c r="AD292" s="13"/>
      <c r="AE292" s="13"/>
      <c r="AF292" s="13"/>
      <c r="AG292" s="13"/>
      <c r="AH292" s="13"/>
      <c r="AI292" s="13"/>
      <c r="AJ292" s="13"/>
      <c r="AK292" s="13"/>
      <c r="AL292" s="13"/>
      <c r="AM292" s="13"/>
      <c r="AN292" s="13"/>
    </row>
    <row r="293" spans="1:40" ht="21" thickTop="1">
      <c r="B293" s="11"/>
      <c r="C293" s="12"/>
      <c r="D293" s="496" t="s">
        <v>5</v>
      </c>
      <c r="E293" s="497"/>
      <c r="F293" s="498"/>
      <c r="G293" s="499"/>
      <c r="H293" s="497"/>
      <c r="I293" s="498"/>
      <c r="J293" s="499" t="s">
        <v>7</v>
      </c>
      <c r="K293" s="497"/>
      <c r="L293" s="498"/>
      <c r="M293" s="499" t="s">
        <v>213</v>
      </c>
      <c r="N293" s="498"/>
      <c r="O293" s="496" t="s">
        <v>8</v>
      </c>
      <c r="P293" s="497"/>
      <c r="Q293" s="498"/>
      <c r="R293" s="494" t="s">
        <v>214</v>
      </c>
      <c r="S293" s="495"/>
      <c r="T293" s="13"/>
      <c r="U293" s="13"/>
      <c r="V293" s="13"/>
      <c r="W293" s="13"/>
      <c r="X293" s="13"/>
      <c r="Y293" s="13"/>
      <c r="Z293" s="13"/>
      <c r="AA293" s="13"/>
      <c r="AB293" s="13"/>
      <c r="AC293" s="13"/>
      <c r="AD293" s="13"/>
      <c r="AE293" s="13"/>
      <c r="AF293" s="13"/>
      <c r="AG293" s="13"/>
      <c r="AH293" s="13"/>
      <c r="AI293" s="13"/>
      <c r="AJ293" s="13"/>
      <c r="AK293" s="13"/>
      <c r="AL293" s="13"/>
      <c r="AM293" s="13"/>
      <c r="AN293" s="13"/>
    </row>
    <row r="294" spans="1:40" ht="20.25">
      <c r="A294" t="str">
        <f t="shared" ref="A294:A343" si="65">+B294&amp;C294</f>
        <v>Pièces</v>
      </c>
      <c r="B294" s="11" t="s">
        <v>98</v>
      </c>
      <c r="C294" s="29"/>
      <c r="D294" s="80" t="s">
        <v>79</v>
      </c>
      <c r="E294" s="80" t="s">
        <v>99</v>
      </c>
      <c r="F294" s="134" t="s">
        <v>12</v>
      </c>
      <c r="G294" s="135"/>
      <c r="H294" s="80"/>
      <c r="I294" s="134"/>
      <c r="J294" s="135" t="s">
        <v>79</v>
      </c>
      <c r="K294" s="80" t="s">
        <v>99</v>
      </c>
      <c r="L294" s="134" t="s">
        <v>12</v>
      </c>
      <c r="M294" s="135" t="s">
        <v>39</v>
      </c>
      <c r="N294" s="134" t="s">
        <v>217</v>
      </c>
      <c r="O294" s="80" t="s">
        <v>79</v>
      </c>
      <c r="P294" s="80" t="s">
        <v>99</v>
      </c>
      <c r="Q294" s="134" t="s">
        <v>12</v>
      </c>
      <c r="R294" s="135" t="s">
        <v>80</v>
      </c>
      <c r="S294" s="136" t="s">
        <v>12</v>
      </c>
      <c r="T294" s="13"/>
      <c r="U294" s="13"/>
      <c r="V294" s="13"/>
      <c r="W294" s="13"/>
      <c r="X294" s="13"/>
      <c r="Y294" s="13"/>
      <c r="Z294" s="13"/>
      <c r="AA294" s="13"/>
      <c r="AB294" s="13"/>
      <c r="AC294" s="13"/>
      <c r="AD294" s="13"/>
      <c r="AE294" s="13"/>
      <c r="AF294" s="13"/>
      <c r="AG294" s="13"/>
      <c r="AH294" s="13"/>
      <c r="AI294" s="13"/>
      <c r="AJ294" s="13"/>
      <c r="AK294" s="13"/>
      <c r="AL294" s="13"/>
      <c r="AM294" s="13"/>
      <c r="AN294" s="13"/>
    </row>
    <row r="295" spans="1:40" ht="20.25">
      <c r="A295" t="str">
        <f t="shared" si="65"/>
        <v>PiècesPièces Ro Clients</v>
      </c>
      <c r="B295" s="11" t="s">
        <v>98</v>
      </c>
      <c r="C295" s="29" t="s">
        <v>100</v>
      </c>
      <c r="D295" s="82">
        <v>59678.867118553928</v>
      </c>
      <c r="E295" s="148">
        <f>IF(D295=0,0,F295/D295)</f>
        <v>0.41799999999999998</v>
      </c>
      <c r="F295" s="85">
        <v>24945.766455555542</v>
      </c>
      <c r="G295" s="82"/>
      <c r="H295" s="148"/>
      <c r="I295" s="85"/>
      <c r="J295" s="30">
        <v>48572.5</v>
      </c>
      <c r="K295" s="148">
        <f t="shared" ref="K295:K300" si="66">IF(J295&lt;=0,0,L295/J295)</f>
        <v>0.37293818518709143</v>
      </c>
      <c r="L295" s="33">
        <v>18114.539999999997</v>
      </c>
      <c r="M295" s="157">
        <f t="shared" ref="M295:M301" si="67">(+J295-D295)/D295</f>
        <v>-0.18610217745070098</v>
      </c>
      <c r="N295" s="59">
        <f t="shared" ref="N295:N304" si="68">L295-F295</f>
        <v>-6831.2264555555448</v>
      </c>
      <c r="O295" s="30">
        <v>53327.55</v>
      </c>
      <c r="P295" s="148">
        <f t="shared" ref="P295:P303" si="69">IF(O295=0,0,Q295/O295)</f>
        <v>0.40468444546955562</v>
      </c>
      <c r="Q295" s="33">
        <v>21580.83</v>
      </c>
      <c r="R295" s="157">
        <f>IF(O295=0,0,(J295-O295)/O295)</f>
        <v>-8.9166856531005131E-2</v>
      </c>
      <c r="S295" s="85">
        <f t="shared" ref="S295:S300" si="70">L295-Q295</f>
        <v>-3466.2900000000045</v>
      </c>
      <c r="T295" s="13"/>
      <c r="U295" s="13"/>
      <c r="V295" s="13"/>
      <c r="W295" s="13"/>
      <c r="X295" s="13"/>
      <c r="Y295" s="13"/>
      <c r="Z295" s="13"/>
      <c r="AA295" s="13"/>
      <c r="AB295" s="13"/>
      <c r="AC295" s="13"/>
      <c r="AD295" s="13"/>
      <c r="AE295" s="13"/>
      <c r="AF295" s="13"/>
      <c r="AG295" s="13"/>
      <c r="AH295" s="13"/>
      <c r="AI295" s="13"/>
      <c r="AJ295" s="13"/>
      <c r="AK295" s="13"/>
      <c r="AL295" s="13"/>
      <c r="AM295" s="13"/>
      <c r="AN295" s="13"/>
    </row>
    <row r="296" spans="1:40" ht="20.25">
      <c r="A296" t="str">
        <f t="shared" si="65"/>
        <v>PiècesPièces Ro Carrosserie</v>
      </c>
      <c r="B296" s="11" t="s">
        <v>98</v>
      </c>
      <c r="C296" s="29" t="s">
        <v>101</v>
      </c>
      <c r="D296" s="82">
        <v>833</v>
      </c>
      <c r="E296" s="148">
        <f t="shared" ref="E296:E303" si="71">IF(D296=0,0,F296/D296)</f>
        <v>0.34</v>
      </c>
      <c r="F296" s="85">
        <v>283.22000000000003</v>
      </c>
      <c r="G296" s="82"/>
      <c r="H296" s="148"/>
      <c r="I296" s="85"/>
      <c r="J296" s="30">
        <v>0</v>
      </c>
      <c r="K296" s="148">
        <f t="shared" si="66"/>
        <v>0</v>
      </c>
      <c r="L296" s="33">
        <v>0</v>
      </c>
      <c r="M296" s="157">
        <f t="shared" si="67"/>
        <v>-1</v>
      </c>
      <c r="N296" s="59">
        <f t="shared" si="68"/>
        <v>-283.22000000000003</v>
      </c>
      <c r="O296" s="30">
        <v>743.28</v>
      </c>
      <c r="P296" s="148">
        <f t="shared" si="69"/>
        <v>0.34900710364869098</v>
      </c>
      <c r="Q296" s="33">
        <v>259.409999999999</v>
      </c>
      <c r="R296" s="157">
        <f t="shared" ref="R296:R303" si="72">IF(O296=0,0,(J296-O296)/O296)</f>
        <v>-1</v>
      </c>
      <c r="S296" s="85">
        <f t="shared" si="70"/>
        <v>-259.409999999999</v>
      </c>
      <c r="T296" s="13"/>
      <c r="U296" s="13"/>
      <c r="V296" s="13"/>
      <c r="W296" s="13"/>
      <c r="X296" s="13"/>
      <c r="Y296" s="13"/>
      <c r="Z296" s="13"/>
      <c r="AA296" s="13"/>
      <c r="AB296" s="13"/>
      <c r="AC296" s="13"/>
      <c r="AD296" s="13"/>
      <c r="AE296" s="13"/>
      <c r="AF296" s="13"/>
      <c r="AG296" s="13"/>
      <c r="AH296" s="13"/>
      <c r="AI296" s="13"/>
      <c r="AJ296" s="13"/>
      <c r="AK296" s="13"/>
      <c r="AL296" s="13"/>
      <c r="AM296" s="13"/>
      <c r="AN296" s="13"/>
    </row>
    <row r="297" spans="1:40" ht="20.25">
      <c r="A297" t="str">
        <f t="shared" si="65"/>
        <v>PiècesP/A Garantie</v>
      </c>
      <c r="B297" s="11" t="s">
        <v>98</v>
      </c>
      <c r="C297" s="29" t="s">
        <v>102</v>
      </c>
      <c r="D297" s="82">
        <v>74638.528485751071</v>
      </c>
      <c r="E297" s="148">
        <f t="shared" si="71"/>
        <v>0.28799999999999998</v>
      </c>
      <c r="F297" s="85">
        <v>21495.896203896307</v>
      </c>
      <c r="G297" s="82"/>
      <c r="H297" s="148"/>
      <c r="I297" s="85"/>
      <c r="J297" s="30">
        <v>90556.599999999991</v>
      </c>
      <c r="K297" s="148">
        <f t="shared" si="66"/>
        <v>0.26027832317026028</v>
      </c>
      <c r="L297" s="33">
        <v>23569.919999999991</v>
      </c>
      <c r="M297" s="157">
        <f t="shared" si="67"/>
        <v>0.21326882827396274</v>
      </c>
      <c r="N297" s="59">
        <f t="shared" si="68"/>
        <v>2074.0237961036837</v>
      </c>
      <c r="O297" s="30">
        <v>72878.39</v>
      </c>
      <c r="P297" s="148">
        <f t="shared" si="69"/>
        <v>0.27810575947136046</v>
      </c>
      <c r="Q297" s="33">
        <v>20267.900000000001</v>
      </c>
      <c r="R297" s="157">
        <f t="shared" si="72"/>
        <v>0.24257135757252585</v>
      </c>
      <c r="S297" s="85">
        <f t="shared" si="70"/>
        <v>3302.0199999999895</v>
      </c>
      <c r="T297" s="13"/>
      <c r="U297" s="13"/>
      <c r="V297" s="13"/>
      <c r="W297" s="13"/>
      <c r="X297" s="13"/>
      <c r="Y297" s="13"/>
      <c r="Z297" s="13"/>
      <c r="AA297" s="13"/>
      <c r="AB297" s="13"/>
      <c r="AC297" s="13"/>
      <c r="AD297" s="13"/>
      <c r="AE297" s="13"/>
      <c r="AF297" s="13"/>
      <c r="AG297" s="13"/>
      <c r="AH297" s="13"/>
      <c r="AI297" s="13"/>
      <c r="AJ297" s="13"/>
      <c r="AK297" s="13"/>
      <c r="AL297" s="13"/>
      <c r="AM297" s="13"/>
      <c r="AN297" s="13"/>
    </row>
    <row r="298" spans="1:40" ht="20.25">
      <c r="A298" t="str">
        <f t="shared" si="65"/>
        <v>PiècesVentes Internes</v>
      </c>
      <c r="B298" s="11" t="s">
        <v>98</v>
      </c>
      <c r="C298" s="29" t="s">
        <v>103</v>
      </c>
      <c r="D298" s="82">
        <v>25469.524119855883</v>
      </c>
      <c r="E298" s="148">
        <f t="shared" si="71"/>
        <v>0.38500000000000001</v>
      </c>
      <c r="F298" s="85">
        <v>9805.7667861445152</v>
      </c>
      <c r="G298" s="82"/>
      <c r="H298" s="148"/>
      <c r="I298" s="85"/>
      <c r="J298" s="30">
        <v>18566.010000000002</v>
      </c>
      <c r="K298" s="148">
        <f t="shared" si="66"/>
        <v>0.38170883243087778</v>
      </c>
      <c r="L298" s="33">
        <v>7086.8100000000022</v>
      </c>
      <c r="M298" s="157">
        <f t="shared" si="67"/>
        <v>-0.27104998457642732</v>
      </c>
      <c r="N298" s="59">
        <f t="shared" si="68"/>
        <v>-2718.956786144513</v>
      </c>
      <c r="O298" s="30">
        <v>19214.57</v>
      </c>
      <c r="P298" s="148">
        <f t="shared" si="69"/>
        <v>0.40858681719132928</v>
      </c>
      <c r="Q298" s="33">
        <v>7850.82</v>
      </c>
      <c r="R298" s="157">
        <f t="shared" si="72"/>
        <v>-3.37535526426039E-2</v>
      </c>
      <c r="S298" s="85">
        <f t="shared" si="70"/>
        <v>-764.00999999999749</v>
      </c>
      <c r="T298" s="13"/>
      <c r="U298" s="13"/>
      <c r="V298" s="13"/>
      <c r="W298" s="13"/>
      <c r="X298" s="13"/>
      <c r="Y298" s="13"/>
      <c r="Z298" s="13"/>
      <c r="AA298" s="13"/>
      <c r="AB298" s="13"/>
      <c r="AC298" s="13"/>
      <c r="AD298" s="13"/>
      <c r="AE298" s="13"/>
      <c r="AF298" s="13"/>
      <c r="AG298" s="13"/>
      <c r="AH298" s="13"/>
      <c r="AI298" s="13"/>
      <c r="AJ298" s="13"/>
      <c r="AK298" s="13"/>
      <c r="AL298" s="13"/>
      <c r="AM298" s="13"/>
      <c r="AN298" s="13"/>
    </row>
    <row r="299" spans="1:40" ht="20.25">
      <c r="A299" t="str">
        <f t="shared" si="65"/>
        <v>PiècesVentes Détails</v>
      </c>
      <c r="B299" s="11" t="s">
        <v>98</v>
      </c>
      <c r="C299" s="29" t="s">
        <v>104</v>
      </c>
      <c r="D299" s="82">
        <v>29264.906719361636</v>
      </c>
      <c r="E299" s="148">
        <f t="shared" si="71"/>
        <v>0.31</v>
      </c>
      <c r="F299" s="85">
        <v>9072.1210830021064</v>
      </c>
      <c r="G299" s="82"/>
      <c r="H299" s="148"/>
      <c r="I299" s="85"/>
      <c r="J299" s="30">
        <v>34302.78</v>
      </c>
      <c r="K299" s="148">
        <f t="shared" si="66"/>
        <v>0.2918495235663115</v>
      </c>
      <c r="L299" s="33">
        <v>10011.249999999998</v>
      </c>
      <c r="M299" s="157">
        <f t="shared" si="67"/>
        <v>0.17214725230288572</v>
      </c>
      <c r="N299" s="59">
        <f t="shared" si="68"/>
        <v>939.12891699789179</v>
      </c>
      <c r="O299" s="30">
        <v>27724.29</v>
      </c>
      <c r="P299" s="148">
        <f t="shared" si="69"/>
        <v>0.27153698074865035</v>
      </c>
      <c r="Q299" s="33">
        <v>7528.17</v>
      </c>
      <c r="R299" s="157">
        <f t="shared" si="72"/>
        <v>0.23728254177113275</v>
      </c>
      <c r="S299" s="85">
        <f t="shared" si="70"/>
        <v>2483.0799999999981</v>
      </c>
      <c r="T299" s="13"/>
      <c r="U299" s="13"/>
      <c r="V299" s="13"/>
      <c r="W299" s="13"/>
      <c r="X299" s="13"/>
      <c r="Y299" s="13"/>
      <c r="Z299" s="13"/>
      <c r="AA299" s="13"/>
      <c r="AB299" s="13"/>
      <c r="AC299" s="13"/>
      <c r="AD299" s="13"/>
      <c r="AE299" s="13"/>
      <c r="AF299" s="13"/>
      <c r="AG299" s="13"/>
      <c r="AH299" s="13"/>
      <c r="AI299" s="13"/>
      <c r="AJ299" s="13"/>
      <c r="AK299" s="13"/>
      <c r="AL299" s="13"/>
      <c r="AM299" s="13"/>
      <c r="AN299" s="13"/>
    </row>
    <row r="300" spans="1:40" ht="20.25">
      <c r="A300" t="str">
        <f>+B300&amp;C300</f>
        <v>PiècesVentes de Gros</v>
      </c>
      <c r="B300" s="11" t="s">
        <v>98</v>
      </c>
      <c r="C300" s="29" t="s">
        <v>105</v>
      </c>
      <c r="D300" s="82">
        <v>78436.856642368046</v>
      </c>
      <c r="E300" s="148">
        <f t="shared" si="71"/>
        <v>0.21300000000000002</v>
      </c>
      <c r="F300" s="85">
        <v>16707.050464824395</v>
      </c>
      <c r="G300" s="82"/>
      <c r="H300" s="148"/>
      <c r="I300" s="85"/>
      <c r="J300" s="30">
        <v>36178.019999999997</v>
      </c>
      <c r="K300" s="148">
        <f t="shared" si="66"/>
        <v>0.22392436070299029</v>
      </c>
      <c r="L300" s="33">
        <v>8101.1399999999958</v>
      </c>
      <c r="M300" s="157">
        <f t="shared" si="67"/>
        <v>-0.53876249573649715</v>
      </c>
      <c r="N300" s="59">
        <f t="shared" si="68"/>
        <v>-8605.9104648243992</v>
      </c>
      <c r="O300" s="30">
        <v>27974.240000000002</v>
      </c>
      <c r="P300" s="148">
        <f t="shared" si="69"/>
        <v>0.16521163756370147</v>
      </c>
      <c r="Q300" s="33">
        <v>4621.67</v>
      </c>
      <c r="R300" s="157">
        <f t="shared" si="72"/>
        <v>0.29326194384548049</v>
      </c>
      <c r="S300" s="85">
        <f t="shared" si="70"/>
        <v>3479.4699999999957</v>
      </c>
      <c r="T300" s="13"/>
      <c r="U300" s="13"/>
      <c r="V300" s="13"/>
      <c r="W300" s="13"/>
      <c r="X300" s="13"/>
      <c r="Y300" s="13"/>
      <c r="Z300" s="13"/>
      <c r="AA300" s="13"/>
      <c r="AB300" s="13"/>
      <c r="AC300" s="13"/>
      <c r="AD300" s="13"/>
      <c r="AE300" s="13"/>
      <c r="AF300" s="13"/>
      <c r="AG300" s="13"/>
      <c r="AH300" s="13"/>
      <c r="AI300" s="13"/>
      <c r="AJ300" s="13"/>
      <c r="AK300" s="13"/>
      <c r="AL300" s="13"/>
      <c r="AM300" s="13"/>
      <c r="AN300" s="13"/>
    </row>
    <row r="301" spans="1:40" ht="20.25" hidden="1">
      <c r="A301" t="str">
        <f>+B301&amp;C301</f>
        <v>Pièces[...]</v>
      </c>
      <c r="B301" s="11" t="s">
        <v>98</v>
      </c>
      <c r="C301" s="29" t="s">
        <v>19</v>
      </c>
      <c r="D301" s="82">
        <v>0</v>
      </c>
      <c r="E301" s="148">
        <f>IF(D301=0,0,F301/D301)</f>
        <v>0</v>
      </c>
      <c r="F301" s="85">
        <v>0</v>
      </c>
      <c r="G301" s="82"/>
      <c r="H301" s="148"/>
      <c r="I301" s="85"/>
      <c r="J301" s="30">
        <v>0</v>
      </c>
      <c r="K301" s="148">
        <f>IF(J301&lt;=0,0,L301/J301)</f>
        <v>0</v>
      </c>
      <c r="L301" s="33">
        <v>0</v>
      </c>
      <c r="M301" s="157" t="e">
        <f t="shared" si="67"/>
        <v>#DIV/0!</v>
      </c>
      <c r="N301" s="59">
        <f t="shared" si="68"/>
        <v>0</v>
      </c>
      <c r="O301" s="30">
        <v>0</v>
      </c>
      <c r="P301" s="148">
        <f t="shared" si="69"/>
        <v>0</v>
      </c>
      <c r="Q301" s="33">
        <v>0</v>
      </c>
      <c r="R301" s="157">
        <f>IF(O301=0,0,(J301-O301)/O301)</f>
        <v>0</v>
      </c>
      <c r="S301" s="85">
        <f>L301-Q301</f>
        <v>0</v>
      </c>
      <c r="T301" s="13"/>
      <c r="U301" s="13"/>
      <c r="V301" s="13"/>
      <c r="W301" s="13"/>
      <c r="X301" s="13"/>
      <c r="Y301" s="13"/>
      <c r="Z301" s="13"/>
      <c r="AA301" s="13"/>
      <c r="AB301" s="13"/>
      <c r="AC301" s="13"/>
      <c r="AD301" s="13"/>
      <c r="AE301" s="13"/>
      <c r="AF301" s="13"/>
      <c r="AG301" s="13"/>
      <c r="AH301" s="13"/>
      <c r="AI301" s="13"/>
      <c r="AJ301" s="13"/>
      <c r="AK301" s="13"/>
      <c r="AL301" s="13"/>
      <c r="AM301" s="13"/>
      <c r="AN301" s="13"/>
    </row>
    <row r="302" spans="1:40" ht="20.25">
      <c r="A302" t="str">
        <f t="shared" ref="A302:A351" si="73">+B302&amp;C302</f>
        <v>PiècesEscomptes</v>
      </c>
      <c r="B302" s="11" t="s">
        <v>98</v>
      </c>
      <c r="C302" s="29" t="s">
        <v>106</v>
      </c>
      <c r="D302" s="82">
        <v>0</v>
      </c>
      <c r="E302" s="148">
        <f t="shared" ref="E302:E309" si="74">IF(D302=0,0,F302/D302)</f>
        <v>0</v>
      </c>
      <c r="F302" s="85">
        <v>6671.2520840367679</v>
      </c>
      <c r="G302" s="82"/>
      <c r="H302" s="148"/>
      <c r="I302" s="85"/>
      <c r="J302" s="30">
        <v>0</v>
      </c>
      <c r="K302" s="148">
        <f>IF(J302&lt;=0,0,L302/J302)</f>
        <v>0</v>
      </c>
      <c r="L302" s="33">
        <v>115.66</v>
      </c>
      <c r="M302" s="157"/>
      <c r="N302" s="59">
        <f t="shared" si="68"/>
        <v>-6555.592084036768</v>
      </c>
      <c r="O302" s="30">
        <v>0</v>
      </c>
      <c r="P302" s="148">
        <f t="shared" si="69"/>
        <v>0</v>
      </c>
      <c r="Q302" s="33">
        <v>6195.4</v>
      </c>
      <c r="R302" s="157">
        <f t="shared" ref="R302:R309" si="75">IF(O302=0,0,(J302-O302)/O302)</f>
        <v>0</v>
      </c>
      <c r="S302" s="85">
        <f>L302-Q302</f>
        <v>-6079.74</v>
      </c>
      <c r="T302" s="13"/>
      <c r="U302" s="13"/>
      <c r="V302" s="13"/>
      <c r="W302" s="13"/>
      <c r="X302" s="13"/>
      <c r="Y302" s="13"/>
      <c r="Z302" s="13"/>
      <c r="AA302" s="13"/>
      <c r="AB302" s="13"/>
      <c r="AC302" s="13"/>
      <c r="AD302" s="13"/>
      <c r="AE302" s="13"/>
      <c r="AF302" s="13"/>
      <c r="AG302" s="13"/>
      <c r="AH302" s="13"/>
      <c r="AI302" s="13"/>
      <c r="AJ302" s="13"/>
      <c r="AK302" s="13"/>
      <c r="AL302" s="13"/>
      <c r="AM302" s="13"/>
      <c r="AN302" s="13"/>
    </row>
    <row r="303" spans="1:40" ht="20.25">
      <c r="A303" t="str">
        <f t="shared" si="73"/>
        <v>PiècesRectif. Inventaire</v>
      </c>
      <c r="B303" s="11" t="s">
        <v>98</v>
      </c>
      <c r="C303" s="86" t="s">
        <v>107</v>
      </c>
      <c r="D303" s="82">
        <v>0</v>
      </c>
      <c r="E303" s="148">
        <f t="shared" si="74"/>
        <v>0</v>
      </c>
      <c r="F303" s="85">
        <v>0</v>
      </c>
      <c r="G303" s="82"/>
      <c r="H303" s="148"/>
      <c r="I303" s="85"/>
      <c r="J303" s="30">
        <v>0</v>
      </c>
      <c r="K303" s="148">
        <f>IF(J303&lt;=0,0,L303/J303)</f>
        <v>0</v>
      </c>
      <c r="L303" s="33">
        <v>0</v>
      </c>
      <c r="M303" s="157"/>
      <c r="N303" s="59">
        <f t="shared" si="68"/>
        <v>0</v>
      </c>
      <c r="O303" s="30">
        <v>0</v>
      </c>
      <c r="P303" s="148">
        <f t="shared" si="69"/>
        <v>0</v>
      </c>
      <c r="Q303" s="33">
        <v>0</v>
      </c>
      <c r="R303" s="157">
        <f t="shared" si="75"/>
        <v>0</v>
      </c>
      <c r="S303" s="85">
        <f>L303-Q303</f>
        <v>0</v>
      </c>
      <c r="T303" s="13"/>
      <c r="U303" s="13"/>
      <c r="V303" s="13"/>
      <c r="W303" s="13"/>
      <c r="X303" s="13"/>
      <c r="Y303" s="13"/>
      <c r="Z303" s="13"/>
      <c r="AA303" s="13"/>
      <c r="AB303" s="13"/>
      <c r="AC303" s="13"/>
      <c r="AD303" s="13"/>
      <c r="AE303" s="13"/>
      <c r="AF303" s="13"/>
      <c r="AG303" s="13"/>
      <c r="AH303" s="13"/>
      <c r="AI303" s="13"/>
      <c r="AJ303" s="13"/>
      <c r="AK303" s="13"/>
      <c r="AL303" s="13"/>
      <c r="AM303" s="13"/>
      <c r="AN303" s="13"/>
    </row>
    <row r="304" spans="1:40" ht="20.25">
      <c r="A304" t="str">
        <f t="shared" si="73"/>
        <v>PiècesSous-total Pièces</v>
      </c>
      <c r="B304" s="11" t="s">
        <v>98</v>
      </c>
      <c r="C304" s="53" t="s">
        <v>108</v>
      </c>
      <c r="D304" s="195">
        <f>SUM(D295:D303)</f>
        <v>268321.6830858906</v>
      </c>
      <c r="E304" s="213">
        <f>IF(D304&lt;=0,0,F304/D304)</f>
        <v>0.33162088152591274</v>
      </c>
      <c r="F304" s="199">
        <f>SUM(F295:F303)</f>
        <v>88981.07307745963</v>
      </c>
      <c r="G304" s="195"/>
      <c r="H304" s="213"/>
      <c r="I304" s="199"/>
      <c r="J304" s="195">
        <f>SUM(J295:J303)</f>
        <v>228175.90999999997</v>
      </c>
      <c r="K304" s="213">
        <f>IF(J304&lt;=0,0,L304/J304)</f>
        <v>0.29363012072571554</v>
      </c>
      <c r="L304" s="197">
        <f>SUM(L295:L303)</f>
        <v>66999.319999999992</v>
      </c>
      <c r="M304" s="214">
        <f>(+J304-D304)/D304</f>
        <v>-0.14961807269612215</v>
      </c>
      <c r="N304" s="197">
        <f t="shared" si="68"/>
        <v>-21981.753077459638</v>
      </c>
      <c r="O304" s="195">
        <f>SUM(O295:O303)</f>
        <v>201862.32</v>
      </c>
      <c r="P304" s="213">
        <f>IF(O304&lt;=0,0,Q304/O304)</f>
        <v>0.33837023175003633</v>
      </c>
      <c r="Q304" s="197">
        <f t="shared" ref="Q304" si="76">SUM(Q295:Q303)</f>
        <v>68304.2</v>
      </c>
      <c r="R304" s="214">
        <f>IF(O304=0,0,(J304-O304)/O304)</f>
        <v>0.13035414434947526</v>
      </c>
      <c r="S304" s="199">
        <f>L304-Q304</f>
        <v>-1304.8800000000047</v>
      </c>
      <c r="T304" s="13"/>
      <c r="U304" s="13"/>
      <c r="V304" s="13"/>
      <c r="W304" s="13"/>
      <c r="X304" s="13"/>
      <c r="Y304" s="13"/>
      <c r="Z304" s="13"/>
      <c r="AA304" s="13"/>
      <c r="AB304" s="13"/>
      <c r="AC304" s="13"/>
      <c r="AD304" s="13"/>
      <c r="AE304" s="13"/>
      <c r="AF304" s="13"/>
      <c r="AG304" s="13"/>
      <c r="AH304" s="13"/>
      <c r="AI304" s="13"/>
      <c r="AJ304" s="13"/>
      <c r="AK304" s="13"/>
      <c r="AL304" s="13"/>
      <c r="AM304" s="13"/>
      <c r="AN304" s="13"/>
    </row>
    <row r="305" spans="1:40" ht="20.25">
      <c r="A305" t="str">
        <f t="shared" si="73"/>
        <v>Pièces</v>
      </c>
      <c r="B305" s="11" t="s">
        <v>98</v>
      </c>
      <c r="C305" s="29"/>
      <c r="D305" s="13"/>
      <c r="E305" s="13"/>
      <c r="F305" s="40"/>
      <c r="G305" s="41"/>
      <c r="H305" s="13"/>
      <c r="I305" s="40"/>
      <c r="J305" s="41"/>
      <c r="K305" s="13"/>
      <c r="L305" s="40"/>
      <c r="M305" s="41"/>
      <c r="N305" s="43">
        <f>N304/F304</f>
        <v>-0.24703852535385953</v>
      </c>
      <c r="O305" s="41"/>
      <c r="P305" s="13"/>
      <c r="Q305" s="40"/>
      <c r="R305" s="41"/>
      <c r="S305" s="44">
        <f>IF(Q304=0,0,S304/Q304)</f>
        <v>-1.9103949683914091E-2</v>
      </c>
      <c r="T305" s="13"/>
      <c r="U305" s="13"/>
      <c r="V305" s="13"/>
      <c r="W305" s="13"/>
      <c r="X305" s="13"/>
      <c r="Y305" s="13"/>
      <c r="Z305" s="13"/>
      <c r="AA305" s="13"/>
      <c r="AB305" s="13"/>
      <c r="AC305" s="13"/>
      <c r="AD305" s="13"/>
      <c r="AE305" s="13"/>
      <c r="AF305" s="13"/>
      <c r="AG305" s="13"/>
      <c r="AH305" s="13"/>
      <c r="AI305" s="13"/>
      <c r="AJ305" s="13"/>
      <c r="AK305" s="13"/>
      <c r="AL305" s="13"/>
      <c r="AM305" s="13"/>
      <c r="AN305" s="13"/>
    </row>
    <row r="306" spans="1:40" ht="20.25">
      <c r="A306" t="str">
        <f t="shared" si="73"/>
        <v>Pièces</v>
      </c>
      <c r="B306" s="11" t="s">
        <v>98</v>
      </c>
      <c r="C306" s="86"/>
      <c r="D306" s="111"/>
      <c r="E306" s="111"/>
      <c r="F306" s="215"/>
      <c r="G306" s="23"/>
      <c r="H306" s="216"/>
      <c r="I306" s="215"/>
      <c r="J306" s="23"/>
      <c r="K306" s="111"/>
      <c r="L306" s="215"/>
      <c r="M306" s="23"/>
      <c r="N306" s="168"/>
      <c r="O306" s="23"/>
      <c r="P306" s="111"/>
      <c r="Q306" s="215"/>
      <c r="R306" s="23"/>
      <c r="S306" s="169"/>
      <c r="T306" s="13"/>
      <c r="U306" s="13"/>
      <c r="V306" s="13"/>
      <c r="W306" s="13"/>
      <c r="X306" s="13"/>
      <c r="Y306" s="13"/>
      <c r="Z306" s="13"/>
      <c r="AA306" s="13"/>
      <c r="AB306" s="13"/>
      <c r="AC306" s="13"/>
      <c r="AD306" s="13"/>
      <c r="AE306" s="13"/>
      <c r="AF306" s="13"/>
      <c r="AG306" s="13"/>
      <c r="AH306" s="13"/>
      <c r="AI306" s="13"/>
      <c r="AJ306" s="13"/>
      <c r="AK306" s="13"/>
      <c r="AL306" s="13"/>
      <c r="AM306" s="13"/>
      <c r="AN306" s="13"/>
    </row>
    <row r="307" spans="1:40" ht="20.25">
      <c r="A307" t="str">
        <f t="shared" si="73"/>
        <v>PiècesVentes Pneus</v>
      </c>
      <c r="B307" s="11" t="s">
        <v>98</v>
      </c>
      <c r="C307" s="29" t="s">
        <v>109</v>
      </c>
      <c r="D307" s="82">
        <v>52957.309383849191</v>
      </c>
      <c r="E307" s="148">
        <f>IF(D307=0,0,F307/D307)</f>
        <v>0.25</v>
      </c>
      <c r="F307" s="110">
        <v>13239.327345962298</v>
      </c>
      <c r="G307" s="82"/>
      <c r="H307" s="148"/>
      <c r="I307" s="110"/>
      <c r="J307" s="30">
        <v>54381.54</v>
      </c>
      <c r="K307" s="148">
        <f>IF(J307&lt;=0,0,L307/J307)</f>
        <v>0.25736876888738347</v>
      </c>
      <c r="L307" s="33">
        <v>13996.11</v>
      </c>
      <c r="M307" s="157">
        <f>(+J307-D307)/D307</f>
        <v>2.6893938395313722E-2</v>
      </c>
      <c r="N307" s="59">
        <f>L307-F307</f>
        <v>756.78265403770274</v>
      </c>
      <c r="O307" s="30">
        <v>65248.9</v>
      </c>
      <c r="P307" s="148">
        <f t="shared" ref="P307:P308" si="77">IF(O307=0,0,Q307/O307)</f>
        <v>0.25658562826346498</v>
      </c>
      <c r="Q307" s="33">
        <v>16741.93</v>
      </c>
      <c r="R307" s="157">
        <f>IF(O307=0,0,(J307-O307)/O307)</f>
        <v>-0.16655238632375413</v>
      </c>
      <c r="S307" s="85">
        <f>L307-Q307</f>
        <v>-2745.8199999999997</v>
      </c>
      <c r="T307" s="13"/>
      <c r="U307" s="13"/>
      <c r="V307" s="13"/>
      <c r="W307" s="13"/>
      <c r="X307" s="13"/>
      <c r="Y307" s="13"/>
      <c r="Z307" s="13"/>
      <c r="AA307" s="13"/>
      <c r="AB307" s="13"/>
      <c r="AC307" s="13"/>
      <c r="AD307" s="13"/>
      <c r="AE307" s="13"/>
      <c r="AF307" s="13"/>
      <c r="AG307" s="13"/>
      <c r="AH307" s="13"/>
      <c r="AI307" s="13"/>
      <c r="AJ307" s="13"/>
      <c r="AK307" s="13"/>
      <c r="AL307" s="13"/>
      <c r="AM307" s="13"/>
      <c r="AN307" s="13"/>
    </row>
    <row r="308" spans="1:40" ht="20.25">
      <c r="A308" t="str">
        <f t="shared" si="73"/>
        <v>PiècesHuiles et Graisse</v>
      </c>
      <c r="B308" s="11" t="s">
        <v>98</v>
      </c>
      <c r="C308" s="86" t="s">
        <v>110</v>
      </c>
      <c r="D308" s="82">
        <v>11603.196851854109</v>
      </c>
      <c r="E308" s="148">
        <f>IF(D308=0,0,F308/D308)</f>
        <v>0.35</v>
      </c>
      <c r="F308" s="92">
        <v>4061.1188981489377</v>
      </c>
      <c r="G308" s="82"/>
      <c r="H308" s="148"/>
      <c r="I308" s="92"/>
      <c r="J308" s="30">
        <v>8938.6</v>
      </c>
      <c r="K308" s="148">
        <f>IF(J308&lt;=0,0,L308/J308)</f>
        <v>0.34318237755353193</v>
      </c>
      <c r="L308" s="33">
        <v>3067.5700000000006</v>
      </c>
      <c r="M308" s="157">
        <f>(+J308-D308)/D308</f>
        <v>-0.22964333759694208</v>
      </c>
      <c r="N308" s="59">
        <f>L308-F308</f>
        <v>-993.54889814893704</v>
      </c>
      <c r="O308" s="30">
        <v>13635.05</v>
      </c>
      <c r="P308" s="148">
        <f t="shared" si="77"/>
        <v>0.32954774643290635</v>
      </c>
      <c r="Q308" s="33">
        <v>4493.3999999999996</v>
      </c>
      <c r="R308" s="157">
        <f>IF(O308=0,0,(J308-O308)/O308)</f>
        <v>-0.34443951433988135</v>
      </c>
      <c r="S308" s="85">
        <f>L308-Q308</f>
        <v>-1425.829999999999</v>
      </c>
      <c r="T308" s="13"/>
      <c r="U308" s="13"/>
      <c r="V308" s="13"/>
      <c r="W308" s="13"/>
      <c r="X308" s="13"/>
      <c r="Y308" s="13"/>
      <c r="Z308" s="13"/>
      <c r="AA308" s="13"/>
      <c r="AB308" s="13"/>
      <c r="AC308" s="13"/>
      <c r="AD308" s="13"/>
      <c r="AE308" s="13"/>
      <c r="AF308" s="13"/>
      <c r="AG308" s="13"/>
      <c r="AH308" s="13"/>
      <c r="AI308" s="13"/>
      <c r="AJ308" s="13"/>
      <c r="AK308" s="13"/>
      <c r="AL308" s="13"/>
      <c r="AM308" s="13"/>
      <c r="AN308" s="13"/>
    </row>
    <row r="309" spans="1:40" ht="20.25">
      <c r="A309" t="str">
        <f t="shared" si="73"/>
        <v>PiècesSous-total Pièces et Acc.</v>
      </c>
      <c r="B309" s="11" t="s">
        <v>98</v>
      </c>
      <c r="C309" s="53" t="s">
        <v>111</v>
      </c>
      <c r="D309" s="195">
        <f>D304+D307+D308</f>
        <v>332882.18932159391</v>
      </c>
      <c r="E309" s="213">
        <f>IF(D309&lt;=0,0,F309/D309)</f>
        <v>0.31927667724779785</v>
      </c>
      <c r="F309" s="197">
        <f>F304+F307+F308</f>
        <v>106281.51932157087</v>
      </c>
      <c r="G309" s="198"/>
      <c r="H309" s="213"/>
      <c r="I309" s="197"/>
      <c r="J309" s="198">
        <f>J304+J307+J308</f>
        <v>291496.04999999993</v>
      </c>
      <c r="K309" s="213">
        <f>IF(J309&lt;=0,0,L309/J309)</f>
        <v>0.28838469680807005</v>
      </c>
      <c r="L309" s="197">
        <f>L304+L307+L308</f>
        <v>84063</v>
      </c>
      <c r="M309" s="214">
        <f>(+J309-D309)/D309</f>
        <v>-0.12432668568401919</v>
      </c>
      <c r="N309" s="197">
        <f>L309-F309</f>
        <v>-22218.519321570871</v>
      </c>
      <c r="O309" s="198">
        <f>O304+O307+O308</f>
        <v>280746.27</v>
      </c>
      <c r="P309" s="213">
        <f>IF(O309&lt;=0,0,Q309/O309)</f>
        <v>0.31893399687910368</v>
      </c>
      <c r="Q309" s="197">
        <f t="shared" ref="Q309" si="78">Q304+Q307+Q308</f>
        <v>89539.53</v>
      </c>
      <c r="R309" s="214">
        <f>IF(O309=0,0,(J309-O309)/O309)</f>
        <v>3.8290018955549829E-2</v>
      </c>
      <c r="S309" s="199">
        <f>L309-Q309</f>
        <v>-5476.5299999999988</v>
      </c>
      <c r="T309" s="13"/>
      <c r="U309" s="13"/>
      <c r="V309" s="13"/>
      <c r="W309" s="13"/>
      <c r="X309" s="13"/>
      <c r="Y309" s="13"/>
      <c r="Z309" s="13"/>
      <c r="AA309" s="13"/>
      <c r="AB309" s="13"/>
      <c r="AC309" s="13"/>
      <c r="AD309" s="13"/>
      <c r="AE309" s="13"/>
      <c r="AF309" s="13"/>
      <c r="AG309" s="13"/>
      <c r="AH309" s="13"/>
      <c r="AI309" s="13"/>
      <c r="AJ309" s="13"/>
      <c r="AK309" s="13"/>
      <c r="AL309" s="13"/>
      <c r="AM309" s="13"/>
      <c r="AN309" s="13"/>
    </row>
    <row r="310" spans="1:40" ht="20.25">
      <c r="A310" t="str">
        <f t="shared" si="73"/>
        <v>Pièces</v>
      </c>
      <c r="B310" s="11" t="s">
        <v>98</v>
      </c>
      <c r="C310" s="29"/>
      <c r="D310" s="13"/>
      <c r="E310" s="13"/>
      <c r="F310" s="40"/>
      <c r="G310" s="41"/>
      <c r="H310" s="13"/>
      <c r="I310" s="40"/>
      <c r="J310" s="41"/>
      <c r="K310" s="13"/>
      <c r="L310" s="40"/>
      <c r="M310" s="41"/>
      <c r="N310" s="43">
        <f>N309/F309</f>
        <v>-0.20905345974915326</v>
      </c>
      <c r="O310" s="41"/>
      <c r="P310" s="13"/>
      <c r="Q310" s="40"/>
      <c r="R310" s="41"/>
      <c r="S310" s="44">
        <f>IF(Q309=0,0,S309/Q309)</f>
        <v>-6.1163264984750297E-2</v>
      </c>
      <c r="T310" s="13"/>
      <c r="U310" s="13"/>
      <c r="V310" s="13"/>
      <c r="W310" s="13"/>
      <c r="X310" s="13"/>
      <c r="Y310" s="13"/>
      <c r="Z310" s="13"/>
      <c r="AA310" s="13"/>
      <c r="AB310" s="13"/>
      <c r="AC310" s="13"/>
      <c r="AD310" s="13"/>
      <c r="AE310" s="13"/>
      <c r="AF310" s="13"/>
      <c r="AG310" s="13"/>
      <c r="AH310" s="13"/>
      <c r="AI310" s="13"/>
      <c r="AJ310" s="13"/>
      <c r="AK310" s="13"/>
      <c r="AL310" s="13"/>
      <c r="AM310" s="13"/>
      <c r="AN310" s="13"/>
    </row>
    <row r="311" spans="1:40" ht="20.25">
      <c r="A311" t="str">
        <f t="shared" si="73"/>
        <v>Pièces</v>
      </c>
      <c r="B311" s="11" t="s">
        <v>98</v>
      </c>
      <c r="C311" s="29"/>
      <c r="D311" s="13"/>
      <c r="E311" s="13"/>
      <c r="F311" s="40"/>
      <c r="G311" s="41"/>
      <c r="H311" s="13"/>
      <c r="I311" s="40"/>
      <c r="J311" s="41"/>
      <c r="K311" s="13"/>
      <c r="L311" s="40"/>
      <c r="M311" s="41"/>
      <c r="N311" s="43"/>
      <c r="O311" s="41"/>
      <c r="P311" s="13"/>
      <c r="Q311" s="40"/>
      <c r="R311" s="41"/>
      <c r="S311" s="44"/>
      <c r="T311" s="13"/>
      <c r="U311" s="13"/>
      <c r="V311" s="13"/>
      <c r="W311" s="13"/>
      <c r="X311" s="13"/>
      <c r="Y311" s="13"/>
      <c r="Z311" s="13"/>
      <c r="AA311" s="13"/>
      <c r="AB311" s="13"/>
      <c r="AC311" s="13"/>
      <c r="AD311" s="13"/>
      <c r="AE311" s="13"/>
      <c r="AF311" s="13"/>
      <c r="AG311" s="13"/>
      <c r="AH311" s="13"/>
      <c r="AI311" s="13"/>
      <c r="AJ311" s="13"/>
      <c r="AK311" s="13"/>
      <c r="AL311" s="13"/>
      <c r="AM311" s="13"/>
      <c r="AN311" s="13"/>
    </row>
    <row r="312" spans="1:40" ht="20.25">
      <c r="A312" t="str">
        <f t="shared" si="73"/>
        <v>PiècesAutostock</v>
      </c>
      <c r="B312" s="11" t="s">
        <v>98</v>
      </c>
      <c r="C312" s="86" t="s">
        <v>112</v>
      </c>
      <c r="D312" s="90">
        <v>0</v>
      </c>
      <c r="E312" s="217">
        <f>IF(D312=0,0,F312/D312)</f>
        <v>0</v>
      </c>
      <c r="F312" s="146">
        <v>0</v>
      </c>
      <c r="G312" s="172"/>
      <c r="H312" s="217"/>
      <c r="I312" s="146"/>
      <c r="J312" s="46">
        <v>0</v>
      </c>
      <c r="K312" s="218">
        <f>IF(J312&lt;=0,0,L312/J312)</f>
        <v>0</v>
      </c>
      <c r="L312" s="22">
        <v>0</v>
      </c>
      <c r="M312" s="218">
        <f>IF(F312=0,0,(+L312-F312)/F312)</f>
        <v>0</v>
      </c>
      <c r="N312" s="91">
        <f>L312-F312</f>
        <v>0</v>
      </c>
      <c r="O312" s="46">
        <v>0</v>
      </c>
      <c r="P312" s="218">
        <f>IF(O312=0,0,Q312/O312)</f>
        <v>0</v>
      </c>
      <c r="Q312" s="22">
        <v>0</v>
      </c>
      <c r="R312" s="218">
        <f>IF(S312=0,0,(+O312-K312)/K312)</f>
        <v>0</v>
      </c>
      <c r="S312" s="92">
        <f>L312-Q312</f>
        <v>0</v>
      </c>
      <c r="T312" s="13"/>
      <c r="U312" s="13"/>
      <c r="V312" s="13"/>
      <c r="W312" s="13"/>
      <c r="X312" s="13"/>
      <c r="Y312" s="13"/>
      <c r="Z312" s="13"/>
      <c r="AA312" s="13"/>
      <c r="AB312" s="13"/>
      <c r="AC312" s="13"/>
      <c r="AD312" s="13"/>
      <c r="AE312" s="13"/>
      <c r="AF312" s="13"/>
      <c r="AG312" s="13"/>
      <c r="AH312" s="13"/>
      <c r="AI312" s="13"/>
      <c r="AJ312" s="13"/>
      <c r="AK312" s="13"/>
      <c r="AL312" s="13"/>
      <c r="AM312" s="13"/>
      <c r="AN312" s="13"/>
    </row>
    <row r="313" spans="1:40" ht="21" thickBot="1">
      <c r="A313" t="str">
        <f t="shared" si="73"/>
        <v>Pièces</v>
      </c>
      <c r="B313" s="11" t="s">
        <v>98</v>
      </c>
      <c r="C313" s="29"/>
      <c r="D313" s="82"/>
      <c r="E313" s="148"/>
      <c r="F313" s="59"/>
      <c r="G313" s="60"/>
      <c r="H313" s="148"/>
      <c r="I313" s="59"/>
      <c r="J313" s="60"/>
      <c r="K313" s="148"/>
      <c r="L313" s="59"/>
      <c r="M313" s="157"/>
      <c r="N313" s="59"/>
      <c r="O313" s="60"/>
      <c r="P313" s="148"/>
      <c r="Q313" s="59"/>
      <c r="R313" s="157"/>
      <c r="S313" s="85"/>
      <c r="T313" s="13"/>
      <c r="U313" s="13"/>
      <c r="V313" s="13"/>
      <c r="W313" s="13"/>
      <c r="X313" s="13"/>
      <c r="Y313" s="13"/>
      <c r="Z313" s="13"/>
      <c r="AA313" s="13"/>
      <c r="AB313" s="13"/>
      <c r="AC313" s="13"/>
      <c r="AD313" s="13"/>
      <c r="AE313" s="13"/>
      <c r="AF313" s="13"/>
      <c r="AG313" s="13"/>
      <c r="AH313" s="13"/>
      <c r="AI313" s="13"/>
      <c r="AJ313" s="13"/>
      <c r="AK313" s="13"/>
      <c r="AL313" s="13"/>
      <c r="AM313" s="13"/>
      <c r="AN313" s="13"/>
    </row>
    <row r="314" spans="1:40" ht="21" thickTop="1">
      <c r="A314" t="str">
        <f t="shared" si="73"/>
        <v>PiècesTotal Dépt. Pièces</v>
      </c>
      <c r="B314" s="11" t="s">
        <v>98</v>
      </c>
      <c r="C314" s="62" t="s">
        <v>113</v>
      </c>
      <c r="D314" s="63">
        <f>D309+D312</f>
        <v>332882.18932159391</v>
      </c>
      <c r="E314" s="219">
        <f>IF(D314&lt;=0,0,F314/D314)</f>
        <v>0.31927667724779785</v>
      </c>
      <c r="F314" s="65">
        <f>F309+F312</f>
        <v>106281.51932157087</v>
      </c>
      <c r="G314" s="66"/>
      <c r="H314" s="219"/>
      <c r="I314" s="65"/>
      <c r="J314" s="66">
        <f>J309+J312</f>
        <v>291496.04999999993</v>
      </c>
      <c r="K314" s="219">
        <f>IF(J314&lt;=0,0,L314/J314)</f>
        <v>0.28838469680807005</v>
      </c>
      <c r="L314" s="65">
        <f>L309+L312</f>
        <v>84063</v>
      </c>
      <c r="M314" s="220">
        <f>(+J314-D314)/D314</f>
        <v>-0.12432668568401919</v>
      </c>
      <c r="N314" s="221">
        <f>L314-F314</f>
        <v>-22218.519321570871</v>
      </c>
      <c r="O314" s="66">
        <f>O309+O312</f>
        <v>280746.27</v>
      </c>
      <c r="P314" s="219">
        <f>IF(O314&lt;=0,0,Q314/O314)</f>
        <v>0.31893399687910368</v>
      </c>
      <c r="Q314" s="65">
        <f t="shared" ref="Q314" si="79">Q309+Q312</f>
        <v>89539.53</v>
      </c>
      <c r="R314" s="220">
        <f>IF(O314=0,0,(J314-O314)/O314)</f>
        <v>3.8290018955549829E-2</v>
      </c>
      <c r="S314" s="222">
        <f>L314-Q314</f>
        <v>-5476.5299999999988</v>
      </c>
      <c r="T314" s="13"/>
      <c r="U314" s="13"/>
      <c r="V314" s="13"/>
      <c r="W314" s="13"/>
      <c r="X314" s="13"/>
      <c r="Y314" s="13"/>
      <c r="Z314" s="13"/>
      <c r="AA314" s="13"/>
      <c r="AB314" s="13"/>
      <c r="AC314" s="13"/>
      <c r="AD314" s="13"/>
      <c r="AE314" s="13"/>
      <c r="AF314" s="13"/>
      <c r="AG314" s="13"/>
      <c r="AH314" s="13"/>
      <c r="AI314" s="13"/>
      <c r="AJ314" s="13"/>
      <c r="AK314" s="13"/>
      <c r="AL314" s="13"/>
      <c r="AM314" s="13"/>
      <c r="AN314" s="13"/>
    </row>
    <row r="315" spans="1:40" ht="21" thickBot="1">
      <c r="A315" t="str">
        <f t="shared" si="73"/>
        <v>Pièces</v>
      </c>
      <c r="B315" s="11" t="s">
        <v>98</v>
      </c>
      <c r="C315" s="223"/>
      <c r="D315" s="224"/>
      <c r="E315" s="225"/>
      <c r="F315" s="226"/>
      <c r="G315" s="227"/>
      <c r="H315" s="225"/>
      <c r="I315" s="226"/>
      <c r="J315" s="227"/>
      <c r="K315" s="225"/>
      <c r="L315" s="226"/>
      <c r="M315" s="228"/>
      <c r="N315" s="74">
        <f>N314/F314</f>
        <v>-0.20905345974915326</v>
      </c>
      <c r="O315" s="227"/>
      <c r="P315" s="225"/>
      <c r="Q315" s="226"/>
      <c r="R315" s="228"/>
      <c r="S315" s="75">
        <f>IF(Q314=0,0,S314/Q314)</f>
        <v>-6.1163264984750297E-2</v>
      </c>
      <c r="T315" s="13"/>
      <c r="U315" s="13"/>
      <c r="V315" s="13"/>
      <c r="W315" s="13"/>
      <c r="X315" s="13"/>
      <c r="Y315" s="13"/>
      <c r="Z315" s="13"/>
      <c r="AA315" s="13"/>
      <c r="AB315" s="13"/>
      <c r="AC315" s="13"/>
      <c r="AD315" s="13"/>
      <c r="AE315" s="13"/>
      <c r="AF315" s="13"/>
      <c r="AG315" s="13"/>
      <c r="AH315" s="13"/>
      <c r="AI315" s="13"/>
      <c r="AJ315" s="13"/>
      <c r="AK315" s="13"/>
      <c r="AL315" s="13"/>
      <c r="AM315" s="13"/>
      <c r="AN315" s="13"/>
    </row>
    <row r="316" spans="1:40" ht="21" thickTop="1">
      <c r="A316" t="str">
        <f t="shared" si="73"/>
        <v>Pièces</v>
      </c>
      <c r="B316" s="11" t="s">
        <v>98</v>
      </c>
      <c r="C316" s="53"/>
      <c r="D316" s="112"/>
      <c r="E316" s="174"/>
      <c r="F316" s="176"/>
      <c r="G316" s="175"/>
      <c r="H316" s="174"/>
      <c r="I316" s="176"/>
      <c r="J316" s="175"/>
      <c r="K316" s="174"/>
      <c r="L316" s="176"/>
      <c r="M316" s="41"/>
      <c r="N316" s="43"/>
      <c r="O316" s="175"/>
      <c r="P316" s="174"/>
      <c r="Q316" s="176"/>
      <c r="R316" s="41"/>
      <c r="S316" s="44"/>
      <c r="T316" s="13"/>
      <c r="U316" s="13"/>
      <c r="V316" s="13"/>
      <c r="W316" s="13"/>
      <c r="X316" s="13"/>
      <c r="Y316" s="13"/>
      <c r="Z316" s="13"/>
      <c r="AA316" s="13"/>
      <c r="AB316" s="13"/>
      <c r="AC316" s="13"/>
      <c r="AD316" s="13"/>
      <c r="AE316" s="13"/>
      <c r="AF316" s="13"/>
      <c r="AG316" s="13"/>
      <c r="AH316" s="13"/>
      <c r="AI316" s="13"/>
      <c r="AJ316" s="13"/>
      <c r="AK316" s="13"/>
      <c r="AL316" s="13"/>
      <c r="AM316" s="13"/>
      <c r="AN316" s="13"/>
    </row>
    <row r="317" spans="1:40" ht="20.25">
      <c r="A317" t="str">
        <f t="shared" si="73"/>
        <v>PiècesDEPENSES</v>
      </c>
      <c r="B317" s="11" t="s">
        <v>98</v>
      </c>
      <c r="C317" s="79" t="s">
        <v>29</v>
      </c>
      <c r="D317" s="13"/>
      <c r="E317" s="13"/>
      <c r="F317" s="59"/>
      <c r="G317" s="41"/>
      <c r="H317" s="13"/>
      <c r="I317" s="59"/>
      <c r="J317" s="41"/>
      <c r="K317" s="13"/>
      <c r="L317" s="40"/>
      <c r="M317" s="41"/>
      <c r="N317" s="40"/>
      <c r="O317" s="41"/>
      <c r="P317" s="13"/>
      <c r="Q317" s="40"/>
      <c r="R317" s="41"/>
      <c r="S317" s="61"/>
      <c r="T317" s="13"/>
      <c r="U317" s="13"/>
      <c r="V317" s="13"/>
      <c r="W317" s="13"/>
      <c r="X317" s="13"/>
      <c r="Y317" s="13"/>
      <c r="Z317" s="13"/>
      <c r="AA317" s="13"/>
      <c r="AB317" s="13"/>
      <c r="AC317" s="13"/>
      <c r="AD317" s="13"/>
      <c r="AE317" s="13"/>
      <c r="AF317" s="13"/>
      <c r="AG317" s="13"/>
      <c r="AH317" s="13"/>
      <c r="AI317" s="13"/>
      <c r="AJ317" s="13"/>
      <c r="AK317" s="13"/>
      <c r="AL317" s="13"/>
      <c r="AM317" s="13"/>
      <c r="AN317" s="13"/>
    </row>
    <row r="318" spans="1:40" ht="20.25">
      <c r="A318" t="str">
        <f t="shared" si="73"/>
        <v>PiècesSalaires cadres</v>
      </c>
      <c r="B318" s="11" t="s">
        <v>98</v>
      </c>
      <c r="C318" s="102" t="s">
        <v>40</v>
      </c>
      <c r="D318" s="13"/>
      <c r="E318" s="13"/>
      <c r="F318" s="30">
        <v>4127.8386768447835</v>
      </c>
      <c r="G318" s="41"/>
      <c r="H318" s="13"/>
      <c r="I318" s="30"/>
      <c r="J318" s="41"/>
      <c r="K318" s="13"/>
      <c r="L318" s="33">
        <v>2874.2</v>
      </c>
      <c r="M318" s="41"/>
      <c r="N318" s="59">
        <f t="shared" ref="N318:N348" si="80">L318-F318</f>
        <v>-1253.6386768447837</v>
      </c>
      <c r="O318" s="41"/>
      <c r="P318" s="13"/>
      <c r="Q318" s="33">
        <v>3667.15</v>
      </c>
      <c r="R318" s="41"/>
      <c r="S318" s="85">
        <f t="shared" ref="S318:S343" si="81">L318-Q318</f>
        <v>-792.95000000000027</v>
      </c>
      <c r="T318" s="13"/>
      <c r="U318" s="13"/>
      <c r="V318" s="13"/>
      <c r="W318" s="13"/>
      <c r="X318" s="13"/>
      <c r="Y318" s="13"/>
      <c r="Z318" s="13"/>
      <c r="AA318" s="13"/>
      <c r="AB318" s="13"/>
      <c r="AC318" s="13"/>
      <c r="AD318" s="13"/>
      <c r="AE318" s="13"/>
      <c r="AF318" s="13"/>
      <c r="AG318" s="13"/>
      <c r="AH318" s="13"/>
      <c r="AI318" s="13"/>
      <c r="AJ318" s="13"/>
      <c r="AK318" s="13"/>
      <c r="AL318" s="13"/>
      <c r="AM318" s="13"/>
      <c r="AN318" s="13"/>
    </row>
    <row r="319" spans="1:40" ht="20.25">
      <c r="A319" t="str">
        <f t="shared" si="73"/>
        <v>PiècesSalaires commis</v>
      </c>
      <c r="B319" s="11" t="s">
        <v>98</v>
      </c>
      <c r="C319" s="103" t="s">
        <v>41</v>
      </c>
      <c r="D319" s="81"/>
      <c r="E319" s="13"/>
      <c r="F319" s="22">
        <v>2694.9877862595422</v>
      </c>
      <c r="G319" s="83"/>
      <c r="H319" s="13"/>
      <c r="I319" s="22"/>
      <c r="J319" s="41"/>
      <c r="K319" s="13"/>
      <c r="L319" s="33">
        <v>2859.6</v>
      </c>
      <c r="M319" s="41"/>
      <c r="N319" s="59">
        <f t="shared" si="80"/>
        <v>164.61221374045772</v>
      </c>
      <c r="O319" s="41"/>
      <c r="P319" s="13"/>
      <c r="Q319" s="33">
        <v>2352.41</v>
      </c>
      <c r="R319" s="41"/>
      <c r="S319" s="85">
        <f t="shared" si="81"/>
        <v>507.19000000000005</v>
      </c>
      <c r="T319" s="13"/>
      <c r="U319" s="13"/>
      <c r="V319" s="13"/>
      <c r="W319" s="13"/>
      <c r="X319" s="13"/>
      <c r="Y319" s="13"/>
      <c r="Z319" s="13"/>
      <c r="AA319" s="13"/>
      <c r="AB319" s="13"/>
      <c r="AC319" s="13"/>
      <c r="AD319" s="13"/>
      <c r="AE319" s="13"/>
      <c r="AF319" s="13"/>
      <c r="AG319" s="13"/>
      <c r="AH319" s="13"/>
      <c r="AI319" s="13"/>
      <c r="AJ319" s="13"/>
      <c r="AK319" s="13"/>
      <c r="AL319" s="13"/>
      <c r="AM319" s="13"/>
      <c r="AN319" s="13"/>
    </row>
    <row r="320" spans="1:40" ht="20.25">
      <c r="A320" t="str">
        <f t="shared" si="73"/>
        <v>PiècesSalaires autres</v>
      </c>
      <c r="B320" s="11" t="s">
        <v>98</v>
      </c>
      <c r="C320" s="102" t="s">
        <v>42</v>
      </c>
      <c r="D320" s="104"/>
      <c r="E320" s="105"/>
      <c r="F320" s="30">
        <v>14306.324427480917</v>
      </c>
      <c r="G320" s="106"/>
      <c r="H320" s="105"/>
      <c r="I320" s="30"/>
      <c r="J320" s="107"/>
      <c r="K320" s="105"/>
      <c r="L320" s="108">
        <v>15432.58</v>
      </c>
      <c r="M320" s="107"/>
      <c r="N320" s="109">
        <f t="shared" si="80"/>
        <v>1126.2555725190832</v>
      </c>
      <c r="O320" s="107"/>
      <c r="P320" s="105"/>
      <c r="Q320" s="108">
        <v>12409.03</v>
      </c>
      <c r="R320" s="107"/>
      <c r="S320" s="110">
        <f t="shared" si="81"/>
        <v>3023.5499999999993</v>
      </c>
      <c r="T320" s="13"/>
      <c r="U320" s="13"/>
      <c r="V320" s="462"/>
      <c r="W320" s="13"/>
      <c r="X320" s="13"/>
      <c r="Y320" s="13"/>
      <c r="Z320" s="13"/>
      <c r="AA320" s="13"/>
      <c r="AB320" s="13"/>
      <c r="AC320" s="13"/>
      <c r="AD320" s="13"/>
      <c r="AE320" s="13"/>
      <c r="AF320" s="13"/>
      <c r="AG320" s="13"/>
      <c r="AH320" s="13"/>
      <c r="AI320" s="13"/>
      <c r="AJ320" s="13"/>
      <c r="AK320" s="13"/>
      <c r="AL320" s="13"/>
      <c r="AM320" s="13"/>
      <c r="AN320" s="13"/>
    </row>
    <row r="321" spans="1:40" ht="20.25">
      <c r="A321" t="str">
        <f t="shared" si="73"/>
        <v>PiècesSalaires spécialistes</v>
      </c>
      <c r="B321" s="11" t="s">
        <v>98</v>
      </c>
      <c r="C321" s="102" t="s">
        <v>43</v>
      </c>
      <c r="D321" s="81"/>
      <c r="E321" s="13"/>
      <c r="F321" s="30">
        <v>0</v>
      </c>
      <c r="G321" s="83"/>
      <c r="H321" s="13"/>
      <c r="I321" s="30"/>
      <c r="J321" s="41"/>
      <c r="K321" s="13"/>
      <c r="L321" s="33">
        <v>0</v>
      </c>
      <c r="M321" s="41"/>
      <c r="N321" s="59">
        <f t="shared" si="80"/>
        <v>0</v>
      </c>
      <c r="O321" s="41"/>
      <c r="P321" s="13"/>
      <c r="Q321" s="33">
        <v>0</v>
      </c>
      <c r="R321" s="41"/>
      <c r="S321" s="85">
        <f t="shared" si="81"/>
        <v>0</v>
      </c>
      <c r="T321" s="13"/>
      <c r="U321" s="13"/>
      <c r="V321" s="13"/>
      <c r="W321" s="13"/>
      <c r="X321" s="13"/>
      <c r="Y321" s="13"/>
      <c r="Z321" s="13"/>
      <c r="AA321" s="13"/>
      <c r="AB321" s="13"/>
      <c r="AC321" s="13"/>
      <c r="AD321" s="13"/>
      <c r="AE321" s="13"/>
      <c r="AF321" s="13"/>
      <c r="AG321" s="13"/>
      <c r="AH321" s="13"/>
      <c r="AI321" s="13"/>
      <c r="AJ321" s="13"/>
      <c r="AK321" s="13"/>
      <c r="AL321" s="13"/>
      <c r="AM321" s="13"/>
      <c r="AN321" s="13"/>
    </row>
    <row r="322" spans="1:40" ht="20.25" hidden="1">
      <c r="A322" t="str">
        <f>+B322&amp;C322</f>
        <v>Pièces[...]</v>
      </c>
      <c r="B322" s="11" t="s">
        <v>98</v>
      </c>
      <c r="C322" s="229" t="s">
        <v>19</v>
      </c>
      <c r="D322" s="81"/>
      <c r="E322" s="13"/>
      <c r="F322" s="30">
        <v>0</v>
      </c>
      <c r="G322" s="83"/>
      <c r="H322" s="13"/>
      <c r="I322" s="30"/>
      <c r="J322" s="41"/>
      <c r="K322" s="13"/>
      <c r="L322" s="33">
        <v>0</v>
      </c>
      <c r="M322" s="41"/>
      <c r="N322" s="59">
        <f t="shared" si="80"/>
        <v>0</v>
      </c>
      <c r="O322" s="41"/>
      <c r="P322" s="13"/>
      <c r="Q322" s="33">
        <v>0</v>
      </c>
      <c r="R322" s="41"/>
      <c r="S322" s="85">
        <f>L322-Q322</f>
        <v>0</v>
      </c>
      <c r="T322" s="13"/>
      <c r="U322" s="13"/>
      <c r="V322" s="13"/>
      <c r="W322" s="13"/>
      <c r="X322" s="13"/>
      <c r="Y322" s="13"/>
      <c r="Z322" s="13"/>
      <c r="AA322" s="13"/>
      <c r="AB322" s="13"/>
      <c r="AC322" s="13"/>
      <c r="AD322" s="13"/>
      <c r="AE322" s="13"/>
      <c r="AF322" s="13"/>
      <c r="AG322" s="13"/>
      <c r="AH322" s="13"/>
      <c r="AI322" s="13"/>
      <c r="AJ322" s="13"/>
      <c r="AK322" s="13"/>
      <c r="AL322" s="13"/>
      <c r="AM322" s="13"/>
      <c r="AN322" s="13"/>
    </row>
    <row r="323" spans="1:40" ht="20.25" hidden="1">
      <c r="A323" t="str">
        <f>+B323&amp;C323</f>
        <v>Pièces[...]</v>
      </c>
      <c r="B323" s="11" t="s">
        <v>98</v>
      </c>
      <c r="C323" s="229" t="s">
        <v>19</v>
      </c>
      <c r="D323" s="81"/>
      <c r="E323" s="13"/>
      <c r="F323" s="30">
        <v>0</v>
      </c>
      <c r="G323" s="83"/>
      <c r="H323" s="13"/>
      <c r="I323" s="30"/>
      <c r="J323" s="41"/>
      <c r="K323" s="13"/>
      <c r="L323" s="33">
        <v>0</v>
      </c>
      <c r="M323" s="41"/>
      <c r="N323" s="59">
        <f t="shared" si="80"/>
        <v>0</v>
      </c>
      <c r="O323" s="41"/>
      <c r="P323" s="13"/>
      <c r="Q323" s="33">
        <v>0</v>
      </c>
      <c r="R323" s="41"/>
      <c r="S323" s="85">
        <f>L323-Q323</f>
        <v>0</v>
      </c>
      <c r="T323" s="13"/>
      <c r="U323" s="13"/>
      <c r="V323" s="13"/>
      <c r="W323" s="13"/>
      <c r="X323" s="13"/>
      <c r="Y323" s="13"/>
      <c r="Z323" s="13"/>
      <c r="AA323" s="13"/>
      <c r="AB323" s="13"/>
      <c r="AC323" s="13"/>
      <c r="AD323" s="13"/>
      <c r="AE323" s="13"/>
      <c r="AF323" s="13"/>
      <c r="AG323" s="13"/>
      <c r="AH323" s="13"/>
      <c r="AI323" s="13"/>
      <c r="AJ323" s="13"/>
      <c r="AK323" s="13"/>
      <c r="AL323" s="13"/>
      <c r="AM323" s="13"/>
      <c r="AN323" s="13"/>
    </row>
    <row r="324" spans="1:40" ht="20.25" hidden="1">
      <c r="A324" t="str">
        <f>+B324&amp;C324</f>
        <v>Pièces[...]</v>
      </c>
      <c r="B324" s="11" t="s">
        <v>98</v>
      </c>
      <c r="C324" s="229" t="s">
        <v>19</v>
      </c>
      <c r="D324" s="81"/>
      <c r="E324" s="13"/>
      <c r="F324" s="30">
        <v>0</v>
      </c>
      <c r="G324" s="83"/>
      <c r="H324" s="13"/>
      <c r="I324" s="30"/>
      <c r="J324" s="41"/>
      <c r="K324" s="13"/>
      <c r="L324" s="33">
        <v>0</v>
      </c>
      <c r="M324" s="41"/>
      <c r="N324" s="59">
        <f t="shared" si="80"/>
        <v>0</v>
      </c>
      <c r="O324" s="41"/>
      <c r="P324" s="13"/>
      <c r="Q324" s="33">
        <v>0</v>
      </c>
      <c r="R324" s="41"/>
      <c r="S324" s="85">
        <f>L324-Q324</f>
        <v>0</v>
      </c>
      <c r="T324" s="13"/>
      <c r="U324" s="13"/>
      <c r="V324" s="13"/>
      <c r="W324" s="13"/>
      <c r="X324" s="13"/>
      <c r="Y324" s="13"/>
      <c r="Z324" s="13"/>
      <c r="AA324" s="13"/>
      <c r="AB324" s="13"/>
      <c r="AC324" s="13"/>
      <c r="AD324" s="13"/>
      <c r="AE324" s="13"/>
      <c r="AF324" s="13"/>
      <c r="AG324" s="13"/>
      <c r="AH324" s="13"/>
      <c r="AI324" s="13"/>
      <c r="AJ324" s="13"/>
      <c r="AK324" s="13"/>
      <c r="AL324" s="13"/>
      <c r="AM324" s="13"/>
      <c r="AN324" s="13"/>
    </row>
    <row r="325" spans="1:40" ht="20.25">
      <c r="A325" t="str">
        <f t="shared" ref="A325:A374" si="82">+B325&amp;C325</f>
        <v>PiècesSalaires en absences</v>
      </c>
      <c r="B325" s="11" t="s">
        <v>98</v>
      </c>
      <c r="C325" s="103" t="s">
        <v>44</v>
      </c>
      <c r="D325" s="81"/>
      <c r="E325" s="13"/>
      <c r="F325" s="22">
        <v>2479.7483263505578</v>
      </c>
      <c r="G325" s="83"/>
      <c r="H325" s="13"/>
      <c r="I325" s="22"/>
      <c r="J325" s="41"/>
      <c r="K325" s="13"/>
      <c r="L325" s="33">
        <v>2251.85</v>
      </c>
      <c r="M325" s="41"/>
      <c r="N325" s="59">
        <f t="shared" si="80"/>
        <v>-227.89832635055791</v>
      </c>
      <c r="O325" s="41"/>
      <c r="P325" s="13"/>
      <c r="Q325" s="33">
        <v>1649.62</v>
      </c>
      <c r="R325" s="41"/>
      <c r="S325" s="85">
        <f t="shared" ref="S325:S350" si="83">L325-Q325</f>
        <v>602.23</v>
      </c>
      <c r="T325" s="13"/>
      <c r="U325" s="13"/>
      <c r="V325" s="13"/>
      <c r="W325" s="13"/>
      <c r="X325" s="13"/>
      <c r="Y325" s="13"/>
      <c r="Z325" s="13"/>
      <c r="AA325" s="13"/>
      <c r="AB325" s="13"/>
      <c r="AC325" s="13"/>
      <c r="AD325" s="13"/>
      <c r="AE325" s="13"/>
      <c r="AF325" s="13"/>
      <c r="AG325" s="13"/>
      <c r="AH325" s="13"/>
      <c r="AI325" s="13"/>
      <c r="AJ325" s="13"/>
      <c r="AK325" s="13"/>
      <c r="AL325" s="13"/>
      <c r="AM325" s="13"/>
      <c r="AN325" s="13"/>
    </row>
    <row r="326" spans="1:40" ht="20.25">
      <c r="A326" t="str">
        <f t="shared" si="82"/>
        <v>PiècesDéduction à la source</v>
      </c>
      <c r="B326" s="11" t="s">
        <v>98</v>
      </c>
      <c r="C326" s="102" t="s">
        <v>45</v>
      </c>
      <c r="D326" s="104"/>
      <c r="E326" s="105"/>
      <c r="F326" s="30">
        <v>3198.422123282443</v>
      </c>
      <c r="G326" s="106"/>
      <c r="H326" s="105"/>
      <c r="I326" s="30"/>
      <c r="J326" s="107"/>
      <c r="K326" s="105"/>
      <c r="L326" s="108">
        <v>3116.71</v>
      </c>
      <c r="M326" s="107"/>
      <c r="N326" s="109">
        <f t="shared" si="80"/>
        <v>-81.712123282442917</v>
      </c>
      <c r="O326" s="107"/>
      <c r="P326" s="105"/>
      <c r="Q326" s="108">
        <v>2663.83</v>
      </c>
      <c r="R326" s="107"/>
      <c r="S326" s="110">
        <f t="shared" si="83"/>
        <v>452.88000000000011</v>
      </c>
      <c r="T326" s="13"/>
      <c r="U326" s="13"/>
      <c r="V326" s="13"/>
      <c r="W326" s="13"/>
      <c r="X326" s="13"/>
      <c r="Y326" s="13"/>
      <c r="Z326" s="13"/>
      <c r="AA326" s="13"/>
      <c r="AB326" s="13"/>
      <c r="AC326" s="13"/>
      <c r="AD326" s="13"/>
      <c r="AE326" s="13"/>
      <c r="AF326" s="13"/>
      <c r="AG326" s="13"/>
      <c r="AH326" s="13"/>
      <c r="AI326" s="13"/>
      <c r="AJ326" s="13"/>
      <c r="AK326" s="13"/>
      <c r="AL326" s="13"/>
      <c r="AM326" s="13"/>
      <c r="AN326" s="13"/>
    </row>
    <row r="327" spans="1:40" ht="20.25">
      <c r="A327" t="str">
        <f t="shared" si="82"/>
        <v>PiècesBénéfices marginaux</v>
      </c>
      <c r="B327" s="11" t="s">
        <v>98</v>
      </c>
      <c r="C327" s="102" t="s">
        <v>46</v>
      </c>
      <c r="D327" s="81"/>
      <c r="E327" s="13"/>
      <c r="F327" s="30">
        <v>1490.9937717557252</v>
      </c>
      <c r="G327" s="83"/>
      <c r="H327" s="13"/>
      <c r="I327" s="30"/>
      <c r="J327" s="41"/>
      <c r="K327" s="13"/>
      <c r="L327" s="33">
        <v>1575.29</v>
      </c>
      <c r="M327" s="41"/>
      <c r="N327" s="59">
        <f t="shared" si="80"/>
        <v>84.296228244274744</v>
      </c>
      <c r="O327" s="41"/>
      <c r="P327" s="13"/>
      <c r="Q327" s="33">
        <v>1596.5</v>
      </c>
      <c r="R327" s="41"/>
      <c r="S327" s="85">
        <f t="shared" si="83"/>
        <v>-21.210000000000036</v>
      </c>
      <c r="T327" s="13"/>
      <c r="U327" s="13"/>
      <c r="V327" s="13"/>
      <c r="W327" s="13"/>
      <c r="X327" s="13"/>
      <c r="Y327" s="13"/>
      <c r="Z327" s="13"/>
      <c r="AA327" s="13"/>
      <c r="AB327" s="13"/>
      <c r="AC327" s="13"/>
      <c r="AD327" s="13"/>
      <c r="AE327" s="13"/>
      <c r="AF327" s="13"/>
      <c r="AG327" s="13"/>
      <c r="AH327" s="13"/>
      <c r="AI327" s="13"/>
      <c r="AJ327" s="13"/>
      <c r="AK327" s="13"/>
      <c r="AL327" s="13"/>
      <c r="AM327" s="13"/>
      <c r="AN327" s="13"/>
    </row>
    <row r="328" spans="1:40" ht="20.25">
      <c r="A328" t="str">
        <f t="shared" si="82"/>
        <v>PiècesCsst</v>
      </c>
      <c r="B328" s="11" t="s">
        <v>98</v>
      </c>
      <c r="C328" s="102" t="s">
        <v>47</v>
      </c>
      <c r="D328" s="81"/>
      <c r="E328" s="13"/>
      <c r="F328" s="30">
        <v>336.67601297709922</v>
      </c>
      <c r="G328" s="83"/>
      <c r="H328" s="13"/>
      <c r="I328" s="30"/>
      <c r="J328" s="41"/>
      <c r="K328" s="13"/>
      <c r="L328" s="33">
        <v>243.37</v>
      </c>
      <c r="M328" s="467"/>
      <c r="N328" s="146">
        <f t="shared" si="80"/>
        <v>-93.306012977099215</v>
      </c>
      <c r="O328" s="41"/>
      <c r="P328" s="13"/>
      <c r="Q328" s="33">
        <v>247.13</v>
      </c>
      <c r="R328" s="41"/>
      <c r="S328" s="85">
        <f t="shared" si="83"/>
        <v>-3.7599999999999909</v>
      </c>
      <c r="T328" s="13"/>
      <c r="U328" s="13"/>
      <c r="V328" s="13"/>
      <c r="W328" s="13"/>
      <c r="X328" s="13"/>
      <c r="Y328" s="13"/>
      <c r="Z328" s="13"/>
      <c r="AA328" s="13"/>
      <c r="AB328" s="13"/>
      <c r="AC328" s="13"/>
      <c r="AD328" s="13"/>
      <c r="AE328" s="13"/>
      <c r="AF328" s="13"/>
      <c r="AG328" s="13"/>
      <c r="AH328" s="13"/>
      <c r="AI328" s="13"/>
      <c r="AJ328" s="13"/>
      <c r="AK328" s="13"/>
      <c r="AL328" s="13"/>
      <c r="AM328" s="13"/>
      <c r="AN328" s="13"/>
    </row>
    <row r="329" spans="1:40" ht="20.25" hidden="1">
      <c r="A329" t="str">
        <f t="shared" si="82"/>
        <v>Pièces[...]</v>
      </c>
      <c r="B329" s="11" t="s">
        <v>98</v>
      </c>
      <c r="C329" s="29" t="s">
        <v>19</v>
      </c>
      <c r="D329" s="87"/>
      <c r="E329" s="111"/>
      <c r="F329" s="30">
        <v>0</v>
      </c>
      <c r="G329" s="89"/>
      <c r="H329" s="111"/>
      <c r="I329" s="30"/>
      <c r="J329" s="23"/>
      <c r="K329" s="111"/>
      <c r="L329" s="33">
        <v>0</v>
      </c>
      <c r="M329" s="23"/>
      <c r="N329" s="91">
        <f t="shared" si="80"/>
        <v>0</v>
      </c>
      <c r="O329" s="23"/>
      <c r="P329" s="111"/>
      <c r="Q329" s="33">
        <v>0</v>
      </c>
      <c r="R329" s="23"/>
      <c r="S329" s="92">
        <f t="shared" si="83"/>
        <v>0</v>
      </c>
      <c r="T329" s="13"/>
      <c r="U329" s="13"/>
      <c r="V329" s="13"/>
      <c r="W329" s="13"/>
      <c r="X329" s="13"/>
      <c r="Y329" s="13"/>
      <c r="Z329" s="13"/>
      <c r="AA329" s="13"/>
      <c r="AB329" s="13"/>
      <c r="AC329" s="13"/>
      <c r="AD329" s="13"/>
      <c r="AE329" s="13"/>
      <c r="AF329" s="13"/>
      <c r="AG329" s="13"/>
      <c r="AH329" s="13"/>
      <c r="AI329" s="13"/>
      <c r="AJ329" s="13"/>
      <c r="AK329" s="13"/>
      <c r="AL329" s="13"/>
      <c r="AM329" s="13"/>
      <c r="AN329" s="13"/>
    </row>
    <row r="330" spans="1:40" ht="20.25">
      <c r="A330" t="str">
        <f t="shared" si="82"/>
        <v>PiècesTOTAL PERSONNEL</v>
      </c>
      <c r="B330" s="11" t="s">
        <v>98</v>
      </c>
      <c r="C330" s="93" t="s">
        <v>48</v>
      </c>
      <c r="D330" s="94" t="s">
        <v>38</v>
      </c>
      <c r="E330" s="95">
        <f>F330/F$314</f>
        <v>0.26942587298090415</v>
      </c>
      <c r="F330" s="96">
        <f>+SUM(F318:F329)</f>
        <v>28634.991124951066</v>
      </c>
      <c r="G330" s="97"/>
      <c r="H330" s="95"/>
      <c r="I330" s="96"/>
      <c r="J330" s="97" t="s">
        <v>38</v>
      </c>
      <c r="K330" s="95">
        <f>L330/L$314</f>
        <v>0.3372898897255629</v>
      </c>
      <c r="L330" s="96">
        <f>+SUM(L318:L329)</f>
        <v>28353.599999999995</v>
      </c>
      <c r="M330" s="147"/>
      <c r="N330" s="113">
        <f t="shared" si="80"/>
        <v>-281.39112495107111</v>
      </c>
      <c r="O330" s="97" t="s">
        <v>38</v>
      </c>
      <c r="P330" s="95">
        <f>Q330/Q$314</f>
        <v>0.27457894853814846</v>
      </c>
      <c r="Q330" s="96">
        <f>+SUM(Q318:Q329)</f>
        <v>24585.670000000002</v>
      </c>
      <c r="R330" s="147"/>
      <c r="S330" s="114">
        <f t="shared" si="83"/>
        <v>3767.929999999993</v>
      </c>
      <c r="T330" s="13"/>
      <c r="U330" s="13"/>
      <c r="V330" s="13"/>
      <c r="W330" s="13"/>
      <c r="X330" s="13"/>
      <c r="Y330" s="13"/>
      <c r="Z330" s="13"/>
      <c r="AA330" s="13"/>
      <c r="AB330" s="13"/>
      <c r="AC330" s="13"/>
      <c r="AD330" s="13"/>
      <c r="AE330" s="13"/>
      <c r="AF330" s="13"/>
      <c r="AG330" s="13"/>
      <c r="AH330" s="13"/>
      <c r="AI330" s="13"/>
      <c r="AJ330" s="13"/>
      <c r="AK330" s="13"/>
      <c r="AL330" s="13"/>
      <c r="AM330" s="13"/>
      <c r="AN330" s="13"/>
    </row>
    <row r="331" spans="1:40" ht="20.25">
      <c r="A331" t="str">
        <f t="shared" si="82"/>
        <v>PiècesPublicité 2</v>
      </c>
      <c r="B331" s="11" t="s">
        <v>98</v>
      </c>
      <c r="C331" s="211" t="s">
        <v>49</v>
      </c>
      <c r="D331" s="81"/>
      <c r="E331" s="13"/>
      <c r="F331" s="30">
        <v>2263.442535684871</v>
      </c>
      <c r="G331" s="83"/>
      <c r="H331" s="13"/>
      <c r="I331" s="30"/>
      <c r="J331" s="41"/>
      <c r="K331" s="13"/>
      <c r="L331" s="33">
        <v>3749.83</v>
      </c>
      <c r="M331" s="41"/>
      <c r="N331" s="59">
        <f t="shared" si="80"/>
        <v>1486.3874643151289</v>
      </c>
      <c r="O331" s="41"/>
      <c r="P331" s="13"/>
      <c r="Q331" s="33">
        <v>2144.66</v>
      </c>
      <c r="R331" s="41"/>
      <c r="S331" s="85">
        <f t="shared" si="83"/>
        <v>1605.17</v>
      </c>
      <c r="T331" s="13"/>
      <c r="U331" s="13"/>
      <c r="V331" s="13"/>
      <c r="W331" s="13"/>
      <c r="X331" s="13"/>
      <c r="Y331" s="13"/>
      <c r="Z331" s="13"/>
      <c r="AA331" s="13"/>
      <c r="AB331" s="13"/>
      <c r="AC331" s="13"/>
      <c r="AD331" s="13"/>
      <c r="AE331" s="13"/>
      <c r="AF331" s="13"/>
      <c r="AG331" s="13"/>
      <c r="AH331" s="13"/>
      <c r="AI331" s="13"/>
      <c r="AJ331" s="13"/>
      <c r="AK331" s="13"/>
      <c r="AL331" s="13"/>
      <c r="AM331" s="13"/>
      <c r="AN331" s="13"/>
    </row>
    <row r="332" spans="1:40" ht="20.25">
      <c r="A332" t="str">
        <f t="shared" si="82"/>
        <v>PiècesService gratuit 2</v>
      </c>
      <c r="B332" s="11" t="s">
        <v>98</v>
      </c>
      <c r="C332" s="102" t="s">
        <v>50</v>
      </c>
      <c r="D332" s="81"/>
      <c r="E332" s="13"/>
      <c r="F332" s="30">
        <v>265</v>
      </c>
      <c r="G332" s="83"/>
      <c r="H332" s="13"/>
      <c r="I332" s="30"/>
      <c r="J332" s="41"/>
      <c r="K332" s="13"/>
      <c r="L332" s="59">
        <v>363.51</v>
      </c>
      <c r="M332" s="41"/>
      <c r="N332" s="59">
        <f t="shared" si="80"/>
        <v>98.509999999999991</v>
      </c>
      <c r="O332" s="41"/>
      <c r="P332" s="13"/>
      <c r="Q332" s="33">
        <v>607.54</v>
      </c>
      <c r="R332" s="41"/>
      <c r="S332" s="85">
        <f t="shared" si="83"/>
        <v>-244.02999999999997</v>
      </c>
      <c r="T332" s="13"/>
      <c r="U332" s="13"/>
      <c r="V332" s="13"/>
      <c r="W332" s="13"/>
      <c r="X332" s="13"/>
      <c r="Y332" s="13"/>
      <c r="Z332" s="13"/>
      <c r="AA332" s="13"/>
      <c r="AB332" s="13"/>
      <c r="AC332" s="13"/>
      <c r="AD332" s="13"/>
      <c r="AE332" s="13"/>
      <c r="AF332" s="13"/>
      <c r="AG332" s="13"/>
      <c r="AH332" s="13"/>
      <c r="AI332" s="13"/>
      <c r="AJ332" s="13"/>
      <c r="AK332" s="13"/>
      <c r="AL332" s="13"/>
      <c r="AM332" s="13"/>
      <c r="AN332" s="13"/>
    </row>
    <row r="333" spans="1:40" ht="20.25">
      <c r="A333" t="str">
        <f t="shared" si="82"/>
        <v>PiècesFrais véhicules de cie</v>
      </c>
      <c r="B333" s="11" t="s">
        <v>98</v>
      </c>
      <c r="C333" s="103" t="s">
        <v>51</v>
      </c>
      <c r="D333" s="87"/>
      <c r="E333" s="111"/>
      <c r="F333" s="22">
        <v>4423.3333333333339</v>
      </c>
      <c r="G333" s="89"/>
      <c r="H333" s="111"/>
      <c r="I333" s="22"/>
      <c r="J333" s="23"/>
      <c r="K333" s="111"/>
      <c r="L333" s="91">
        <v>4089.76</v>
      </c>
      <c r="M333" s="23"/>
      <c r="N333" s="91">
        <f t="shared" si="80"/>
        <v>-333.57333333333372</v>
      </c>
      <c r="O333" s="23"/>
      <c r="P333" s="111"/>
      <c r="Q333" s="33">
        <v>5670.75</v>
      </c>
      <c r="R333" s="23"/>
      <c r="S333" s="92">
        <f t="shared" si="83"/>
        <v>-1580.9899999999998</v>
      </c>
      <c r="T333" s="13"/>
      <c r="U333" s="13"/>
      <c r="V333" s="13"/>
      <c r="W333" s="13"/>
      <c r="X333" s="13"/>
      <c r="Y333" s="13"/>
      <c r="Z333" s="13"/>
      <c r="AA333" s="13"/>
      <c r="AB333" s="13"/>
      <c r="AC333" s="13"/>
      <c r="AD333" s="13"/>
      <c r="AE333" s="13"/>
      <c r="AF333" s="13"/>
      <c r="AG333" s="13"/>
      <c r="AH333" s="13"/>
      <c r="AI333" s="13"/>
      <c r="AJ333" s="13"/>
      <c r="AK333" s="13"/>
      <c r="AL333" s="13"/>
      <c r="AM333" s="13"/>
      <c r="AN333" s="13"/>
    </row>
    <row r="334" spans="1:40" ht="20.25">
      <c r="A334" t="str">
        <f t="shared" si="82"/>
        <v>PiècesInformatique</v>
      </c>
      <c r="B334" s="11" t="s">
        <v>98</v>
      </c>
      <c r="C334" s="102" t="s">
        <v>52</v>
      </c>
      <c r="D334" s="81"/>
      <c r="E334" s="13"/>
      <c r="F334" s="30">
        <v>1913.8000000000002</v>
      </c>
      <c r="G334" s="83"/>
      <c r="H334" s="13"/>
      <c r="I334" s="30"/>
      <c r="J334" s="41"/>
      <c r="K334" s="13"/>
      <c r="L334" s="108">
        <v>1666.09</v>
      </c>
      <c r="M334" s="41"/>
      <c r="N334" s="59">
        <f t="shared" si="80"/>
        <v>-247.71000000000026</v>
      </c>
      <c r="O334" s="41"/>
      <c r="P334" s="13"/>
      <c r="Q334" s="108">
        <v>1720.95</v>
      </c>
      <c r="R334" s="41"/>
      <c r="S334" s="85">
        <f t="shared" si="83"/>
        <v>-54.860000000000127</v>
      </c>
      <c r="T334" s="13"/>
      <c r="U334" s="13"/>
      <c r="V334" s="13"/>
      <c r="W334" s="13"/>
      <c r="X334" s="13"/>
      <c r="Y334" s="13"/>
      <c r="Z334" s="13"/>
      <c r="AA334" s="13"/>
      <c r="AB334" s="13"/>
      <c r="AC334" s="13"/>
      <c r="AD334" s="13"/>
      <c r="AE334" s="13"/>
      <c r="AF334" s="13"/>
      <c r="AG334" s="13"/>
      <c r="AH334" s="13"/>
      <c r="AI334" s="13"/>
      <c r="AJ334" s="13"/>
      <c r="AK334" s="13"/>
      <c r="AL334" s="13"/>
      <c r="AM334" s="13"/>
      <c r="AN334" s="13"/>
    </row>
    <row r="335" spans="1:40" ht="20.25">
      <c r="A335" t="str">
        <f t="shared" si="82"/>
        <v>PiècesFrais de déplacement</v>
      </c>
      <c r="B335" s="11" t="s">
        <v>98</v>
      </c>
      <c r="C335" s="102" t="s">
        <v>53</v>
      </c>
      <c r="D335" s="81"/>
      <c r="E335" s="13"/>
      <c r="F335" s="30">
        <v>365.6</v>
      </c>
      <c r="G335" s="83"/>
      <c r="H335" s="13"/>
      <c r="I335" s="30"/>
      <c r="J335" s="41"/>
      <c r="K335" s="13"/>
      <c r="L335" s="33">
        <v>382.29</v>
      </c>
      <c r="M335" s="41"/>
      <c r="N335" s="59">
        <f t="shared" si="80"/>
        <v>16.689999999999998</v>
      </c>
      <c r="O335" s="41"/>
      <c r="P335" s="13"/>
      <c r="Q335" s="33">
        <v>91.61</v>
      </c>
      <c r="R335" s="41"/>
      <c r="S335" s="85">
        <f t="shared" si="83"/>
        <v>290.68</v>
      </c>
      <c r="T335" s="13"/>
      <c r="U335" s="13"/>
      <c r="V335" s="13"/>
      <c r="W335" s="13"/>
      <c r="X335" s="13"/>
      <c r="Y335" s="13"/>
      <c r="Z335" s="13"/>
      <c r="AA335" s="13"/>
      <c r="AB335" s="13"/>
      <c r="AC335" s="13"/>
      <c r="AD335" s="13"/>
      <c r="AE335" s="13"/>
      <c r="AF335" s="13"/>
      <c r="AG335" s="13"/>
      <c r="AH335" s="13"/>
      <c r="AI335" s="13"/>
      <c r="AJ335" s="13"/>
      <c r="AK335" s="13"/>
      <c r="AL335" s="13"/>
      <c r="AM335" s="13"/>
      <c r="AN335" s="13"/>
    </row>
    <row r="336" spans="1:40" ht="20.25">
      <c r="A336" t="str">
        <f t="shared" si="82"/>
        <v>PiècesServices extérieurs</v>
      </c>
      <c r="B336" s="11" t="s">
        <v>98</v>
      </c>
      <c r="C336" s="230" t="s">
        <v>54</v>
      </c>
      <c r="D336" s="87"/>
      <c r="E336" s="111"/>
      <c r="F336" s="22">
        <v>1994.2000000000003</v>
      </c>
      <c r="G336" s="89"/>
      <c r="H336" s="111"/>
      <c r="I336" s="22"/>
      <c r="J336" s="23"/>
      <c r="K336" s="111"/>
      <c r="L336" s="48">
        <v>1717.76</v>
      </c>
      <c r="M336" s="23"/>
      <c r="N336" s="91">
        <f t="shared" si="80"/>
        <v>-276.44000000000028</v>
      </c>
      <c r="O336" s="23"/>
      <c r="P336" s="111"/>
      <c r="Q336" s="48">
        <v>1922.27</v>
      </c>
      <c r="R336" s="23"/>
      <c r="S336" s="92">
        <f t="shared" si="83"/>
        <v>-204.51</v>
      </c>
      <c r="T336" s="13"/>
      <c r="U336" s="13"/>
      <c r="V336" s="13"/>
      <c r="W336" s="13"/>
      <c r="X336" s="13"/>
      <c r="Y336" s="13"/>
      <c r="Z336" s="13"/>
      <c r="AA336" s="13"/>
      <c r="AB336" s="13"/>
      <c r="AC336" s="13"/>
      <c r="AD336" s="13"/>
      <c r="AE336" s="13"/>
      <c r="AF336" s="13"/>
      <c r="AG336" s="13"/>
      <c r="AH336" s="13"/>
      <c r="AI336" s="13"/>
      <c r="AJ336" s="13"/>
      <c r="AK336" s="13"/>
      <c r="AL336" s="13"/>
      <c r="AM336" s="13"/>
      <c r="AN336" s="13"/>
    </row>
    <row r="337" spans="1:40" ht="20.25">
      <c r="A337" t="str">
        <f>+B337&amp;C337</f>
        <v>PiècesFournitures d'atelier</v>
      </c>
      <c r="B337" s="11" t="s">
        <v>98</v>
      </c>
      <c r="C337" s="102" t="s">
        <v>93</v>
      </c>
      <c r="D337" s="81"/>
      <c r="E337" s="13"/>
      <c r="F337" s="30"/>
      <c r="G337" s="83"/>
      <c r="H337" s="13"/>
      <c r="I337" s="30"/>
      <c r="J337" s="41"/>
      <c r="K337" s="13"/>
      <c r="L337" s="33">
        <v>0</v>
      </c>
      <c r="M337" s="41"/>
      <c r="N337" s="59">
        <f t="shared" si="80"/>
        <v>0</v>
      </c>
      <c r="O337" s="41"/>
      <c r="P337" s="13"/>
      <c r="Q337" s="33">
        <v>0</v>
      </c>
      <c r="R337" s="41"/>
      <c r="S337" s="85">
        <f>L337-Q337</f>
        <v>0</v>
      </c>
      <c r="T337" s="13"/>
      <c r="U337" s="13"/>
      <c r="V337" s="13"/>
      <c r="W337" s="13"/>
      <c r="X337" s="13"/>
      <c r="Y337" s="13"/>
      <c r="Z337" s="13"/>
      <c r="AA337" s="13"/>
      <c r="AB337" s="13"/>
      <c r="AC337" s="13"/>
      <c r="AD337" s="13"/>
      <c r="AE337" s="13"/>
      <c r="AF337" s="13"/>
      <c r="AG337" s="13"/>
      <c r="AH337" s="13"/>
      <c r="AI337" s="13"/>
      <c r="AJ337" s="13"/>
      <c r="AK337" s="13"/>
      <c r="AL337" s="13"/>
      <c r="AM337" s="13"/>
      <c r="AN337" s="13"/>
    </row>
    <row r="338" spans="1:40" ht="20.25">
      <c r="A338" t="str">
        <f t="shared" ref="A338:A387" si="84">+B338&amp;C338</f>
        <v>PiècesFournitures autres</v>
      </c>
      <c r="B338" s="11" t="s">
        <v>98</v>
      </c>
      <c r="C338" s="102" t="s">
        <v>55</v>
      </c>
      <c r="D338" s="81"/>
      <c r="E338" s="13"/>
      <c r="F338" s="30">
        <v>29.518072289156624</v>
      </c>
      <c r="G338" s="83"/>
      <c r="H338" s="13"/>
      <c r="I338" s="30"/>
      <c r="J338" s="41"/>
      <c r="K338" s="13"/>
      <c r="L338" s="33">
        <v>0</v>
      </c>
      <c r="M338" s="41"/>
      <c r="N338" s="59">
        <f t="shared" si="80"/>
        <v>-29.518072289156624</v>
      </c>
      <c r="O338" s="41"/>
      <c r="P338" s="13"/>
      <c r="Q338" s="33">
        <v>53.13</v>
      </c>
      <c r="R338" s="41"/>
      <c r="S338" s="85">
        <f t="shared" ref="S338:S363" si="85">L338-Q338</f>
        <v>-53.13</v>
      </c>
      <c r="T338" s="13"/>
      <c r="U338" s="13"/>
      <c r="V338" s="13"/>
      <c r="W338" s="13"/>
      <c r="X338" s="13"/>
      <c r="Y338" s="13"/>
      <c r="Z338" s="13"/>
      <c r="AA338" s="13"/>
      <c r="AB338" s="13"/>
      <c r="AC338" s="13"/>
      <c r="AD338" s="13"/>
      <c r="AE338" s="13"/>
      <c r="AF338" s="13"/>
      <c r="AG338" s="13"/>
      <c r="AH338" s="13"/>
      <c r="AI338" s="13"/>
      <c r="AJ338" s="13"/>
      <c r="AK338" s="13"/>
      <c r="AL338" s="13"/>
      <c r="AM338" s="13"/>
      <c r="AN338" s="13"/>
    </row>
    <row r="339" spans="1:40" ht="20.25">
      <c r="A339" t="str">
        <f t="shared" si="84"/>
        <v>PiècesUniformes</v>
      </c>
      <c r="B339" s="11" t="s">
        <v>98</v>
      </c>
      <c r="C339" s="102" t="s">
        <v>56</v>
      </c>
      <c r="D339" s="81"/>
      <c r="E339" s="13"/>
      <c r="F339" s="30">
        <v>33</v>
      </c>
      <c r="G339" s="83"/>
      <c r="H339" s="13"/>
      <c r="I339" s="30"/>
      <c r="J339" s="41"/>
      <c r="K339" s="13"/>
      <c r="L339" s="33">
        <v>0</v>
      </c>
      <c r="M339" s="41"/>
      <c r="N339" s="59">
        <f t="shared" si="80"/>
        <v>-33</v>
      </c>
      <c r="O339" s="41"/>
      <c r="P339" s="13"/>
      <c r="Q339" s="33">
        <v>0</v>
      </c>
      <c r="R339" s="41"/>
      <c r="S339" s="85">
        <f t="shared" si="85"/>
        <v>0</v>
      </c>
      <c r="T339" s="13"/>
      <c r="U339" s="13"/>
      <c r="V339" s="13"/>
      <c r="W339" s="13"/>
      <c r="X339" s="13"/>
      <c r="Y339" s="13"/>
      <c r="Z339" s="13"/>
      <c r="AA339" s="13"/>
      <c r="AB339" s="13"/>
      <c r="AC339" s="13"/>
      <c r="AD339" s="13"/>
      <c r="AE339" s="13"/>
      <c r="AF339" s="13"/>
      <c r="AG339" s="13"/>
      <c r="AH339" s="13"/>
      <c r="AI339" s="13"/>
      <c r="AJ339" s="13"/>
      <c r="AK339" s="13"/>
      <c r="AL339" s="13"/>
      <c r="AM339" s="13"/>
      <c r="AN339" s="13"/>
    </row>
    <row r="340" spans="1:40" ht="20.25">
      <c r="A340" t="str">
        <f t="shared" si="84"/>
        <v>PiècesPapeterie</v>
      </c>
      <c r="B340" s="11" t="s">
        <v>98</v>
      </c>
      <c r="C340" s="102" t="s">
        <v>57</v>
      </c>
      <c r="D340" s="81"/>
      <c r="E340" s="13"/>
      <c r="F340" s="30">
        <v>350</v>
      </c>
      <c r="G340" s="83"/>
      <c r="H340" s="13"/>
      <c r="I340" s="30"/>
      <c r="J340" s="41"/>
      <c r="K340" s="13"/>
      <c r="L340" s="32">
        <v>153.65</v>
      </c>
      <c r="M340" s="41"/>
      <c r="N340" s="59">
        <f t="shared" si="80"/>
        <v>-196.35</v>
      </c>
      <c r="O340" s="41"/>
      <c r="P340" s="13"/>
      <c r="Q340" s="32">
        <v>100.94</v>
      </c>
      <c r="R340" s="41"/>
      <c r="S340" s="85">
        <f t="shared" si="85"/>
        <v>52.710000000000008</v>
      </c>
      <c r="T340" s="13"/>
      <c r="U340" s="13"/>
      <c r="V340" s="13"/>
      <c r="W340" s="13"/>
      <c r="X340" s="13"/>
      <c r="Y340" s="13"/>
      <c r="Z340" s="13"/>
      <c r="AA340" s="13"/>
      <c r="AB340" s="13"/>
      <c r="AC340" s="13"/>
      <c r="AD340" s="13"/>
      <c r="AE340" s="13"/>
      <c r="AF340" s="13"/>
      <c r="AG340" s="13"/>
      <c r="AH340" s="13"/>
      <c r="AI340" s="13"/>
      <c r="AJ340" s="13"/>
      <c r="AK340" s="13"/>
      <c r="AL340" s="13"/>
      <c r="AM340" s="13"/>
      <c r="AN340" s="13"/>
    </row>
    <row r="341" spans="1:40" ht="20.25">
      <c r="A341" t="str">
        <f t="shared" si="84"/>
        <v>PiècesTéléphone</v>
      </c>
      <c r="B341" s="11" t="s">
        <v>98</v>
      </c>
      <c r="C341" s="102" t="s">
        <v>58</v>
      </c>
      <c r="D341" s="81"/>
      <c r="E341" s="13"/>
      <c r="F341" s="30">
        <v>118.4</v>
      </c>
      <c r="G341" s="83"/>
      <c r="H341" s="13"/>
      <c r="I341" s="30"/>
      <c r="J341" s="41"/>
      <c r="K341" s="13"/>
      <c r="L341" s="33">
        <v>98.79</v>
      </c>
      <c r="M341" s="41"/>
      <c r="N341" s="59">
        <f t="shared" si="80"/>
        <v>-19.61</v>
      </c>
      <c r="O341" s="41"/>
      <c r="P341" s="13"/>
      <c r="Q341" s="33">
        <v>115.58</v>
      </c>
      <c r="R341" s="41"/>
      <c r="S341" s="85">
        <f t="shared" si="85"/>
        <v>-16.789999999999992</v>
      </c>
      <c r="T341" s="13"/>
      <c r="U341" s="13"/>
      <c r="V341" s="13"/>
      <c r="W341" s="13"/>
      <c r="X341" s="13"/>
      <c r="Y341" s="13"/>
      <c r="Z341" s="13"/>
      <c r="AA341" s="13"/>
      <c r="AB341" s="13"/>
      <c r="AC341" s="13"/>
      <c r="AD341" s="13"/>
      <c r="AE341" s="13"/>
      <c r="AF341" s="13"/>
      <c r="AG341" s="13"/>
      <c r="AH341" s="13"/>
      <c r="AI341" s="13"/>
      <c r="AJ341" s="13"/>
      <c r="AK341" s="13"/>
      <c r="AL341" s="13"/>
      <c r="AM341" s="13"/>
      <c r="AN341" s="13"/>
    </row>
    <row r="342" spans="1:40" ht="20.25">
      <c r="A342" t="str">
        <f t="shared" si="84"/>
        <v>PiècesFrais postaux</v>
      </c>
      <c r="B342" s="11" t="s">
        <v>98</v>
      </c>
      <c r="C342" s="102" t="s">
        <v>59</v>
      </c>
      <c r="D342" s="81"/>
      <c r="E342" s="13"/>
      <c r="F342" s="30">
        <v>475</v>
      </c>
      <c r="G342" s="83"/>
      <c r="H342" s="13"/>
      <c r="I342" s="30"/>
      <c r="J342" s="41"/>
      <c r="K342" s="13"/>
      <c r="L342" s="33">
        <v>829.87</v>
      </c>
      <c r="M342" s="41"/>
      <c r="N342" s="59">
        <f t="shared" si="80"/>
        <v>354.87</v>
      </c>
      <c r="O342" s="41"/>
      <c r="P342" s="13"/>
      <c r="Q342" s="33">
        <v>368.12</v>
      </c>
      <c r="R342" s="41"/>
      <c r="S342" s="85">
        <f t="shared" si="85"/>
        <v>461.75</v>
      </c>
      <c r="T342" s="13"/>
      <c r="U342" s="13"/>
      <c r="V342" s="13"/>
      <c r="W342" s="13"/>
      <c r="X342" s="13"/>
      <c r="Y342" s="13"/>
      <c r="Z342" s="13"/>
      <c r="AA342" s="13"/>
      <c r="AB342" s="13"/>
      <c r="AC342" s="13"/>
      <c r="AD342" s="13"/>
      <c r="AE342" s="13"/>
      <c r="AF342" s="13"/>
      <c r="AG342" s="13"/>
      <c r="AH342" s="13"/>
      <c r="AI342" s="13"/>
      <c r="AJ342" s="13"/>
      <c r="AK342" s="13"/>
      <c r="AL342" s="13"/>
      <c r="AM342" s="13"/>
      <c r="AN342" s="13"/>
    </row>
    <row r="343" spans="1:40" ht="20.25">
      <c r="A343" t="str">
        <f t="shared" si="84"/>
        <v>PiècesDivers</v>
      </c>
      <c r="B343" s="11" t="s">
        <v>98</v>
      </c>
      <c r="C343" s="102" t="s">
        <v>60</v>
      </c>
      <c r="D343" s="81"/>
      <c r="E343" s="13"/>
      <c r="F343" s="30">
        <v>371.6</v>
      </c>
      <c r="G343" s="83"/>
      <c r="H343" s="13"/>
      <c r="I343" s="30"/>
      <c r="J343" s="41"/>
      <c r="K343" s="13"/>
      <c r="L343" s="33">
        <v>289.2</v>
      </c>
      <c r="M343" s="41"/>
      <c r="N343" s="59">
        <f t="shared" si="80"/>
        <v>-82.400000000000034</v>
      </c>
      <c r="O343" s="41"/>
      <c r="P343" s="13"/>
      <c r="Q343" s="33">
        <v>317.86</v>
      </c>
      <c r="R343" s="41"/>
      <c r="S343" s="85">
        <f t="shared" si="85"/>
        <v>-28.660000000000025</v>
      </c>
      <c r="T343" s="13"/>
      <c r="U343" s="13"/>
      <c r="V343" s="13"/>
      <c r="W343" s="13"/>
      <c r="X343" s="13"/>
      <c r="Y343" s="13"/>
      <c r="Z343" s="13"/>
      <c r="AA343" s="13"/>
      <c r="AB343" s="13"/>
      <c r="AC343" s="13"/>
      <c r="AD343" s="13"/>
      <c r="AE343" s="13"/>
      <c r="AF343" s="13"/>
      <c r="AG343" s="13"/>
      <c r="AH343" s="13"/>
      <c r="AI343" s="13"/>
      <c r="AJ343" s="13"/>
      <c r="AK343" s="13"/>
      <c r="AL343" s="13"/>
      <c r="AM343" s="13"/>
      <c r="AN343" s="13"/>
    </row>
    <row r="344" spans="1:40" ht="20.25">
      <c r="A344" t="str">
        <f>+B344&amp;C344</f>
        <v>PiècesFormation</v>
      </c>
      <c r="B344" s="11" t="s">
        <v>98</v>
      </c>
      <c r="C344" s="102" t="s">
        <v>61</v>
      </c>
      <c r="D344" s="81"/>
      <c r="E344" s="13"/>
      <c r="F344" s="30">
        <v>241.14687999999995</v>
      </c>
      <c r="G344" s="83"/>
      <c r="H344" s="13"/>
      <c r="I344" s="30"/>
      <c r="J344" s="41"/>
      <c r="K344" s="13"/>
      <c r="L344" s="59">
        <v>79.930000000000007</v>
      </c>
      <c r="M344" s="41"/>
      <c r="N344" s="59">
        <f t="shared" si="80"/>
        <v>-161.21687999999995</v>
      </c>
      <c r="O344" s="41"/>
      <c r="P344" s="13"/>
      <c r="Q344" s="33">
        <v>-149.37</v>
      </c>
      <c r="R344" s="41"/>
      <c r="S344" s="85">
        <f>L344-Q344</f>
        <v>229.3</v>
      </c>
      <c r="T344" s="13"/>
      <c r="U344" s="13"/>
      <c r="V344" s="13"/>
      <c r="W344" s="13"/>
      <c r="X344" s="13"/>
      <c r="Y344" s="13"/>
      <c r="Z344" s="13"/>
      <c r="AA344" s="13"/>
      <c r="AB344" s="13"/>
      <c r="AC344" s="13"/>
      <c r="AD344" s="13"/>
      <c r="AE344" s="13"/>
      <c r="AF344" s="13"/>
      <c r="AG344" s="13"/>
      <c r="AH344" s="13"/>
      <c r="AI344" s="13"/>
      <c r="AJ344" s="13"/>
      <c r="AK344" s="13"/>
      <c r="AL344" s="13"/>
      <c r="AM344" s="13"/>
      <c r="AN344" s="13"/>
    </row>
    <row r="345" spans="1:40" ht="20.25">
      <c r="A345" t="str">
        <f>+B345&amp;C345</f>
        <v>PiècesFrais bancaires</v>
      </c>
      <c r="B345" s="11" t="s">
        <v>98</v>
      </c>
      <c r="C345" s="102" t="s">
        <v>62</v>
      </c>
      <c r="D345" s="81"/>
      <c r="E345" s="13"/>
      <c r="F345" s="30">
        <v>1339.9928681136269</v>
      </c>
      <c r="G345" s="83"/>
      <c r="H345" s="13"/>
      <c r="I345" s="30"/>
      <c r="J345" s="41"/>
      <c r="K345" s="13"/>
      <c r="L345" s="32">
        <v>1184.32</v>
      </c>
      <c r="M345" s="41"/>
      <c r="N345" s="59">
        <f t="shared" si="80"/>
        <v>-155.67286811362692</v>
      </c>
      <c r="O345" s="41"/>
      <c r="P345" s="13"/>
      <c r="Q345" s="33">
        <v>1145.0899999999999</v>
      </c>
      <c r="R345" s="41"/>
      <c r="S345" s="85">
        <f>L345-Q345</f>
        <v>39.230000000000018</v>
      </c>
      <c r="T345" s="13"/>
      <c r="U345" s="13"/>
      <c r="V345" s="13"/>
      <c r="W345" s="13"/>
      <c r="X345" s="13"/>
      <c r="Y345" s="13"/>
      <c r="Z345" s="13"/>
      <c r="AA345" s="13"/>
      <c r="AB345" s="13"/>
      <c r="AC345" s="13"/>
      <c r="AD345" s="13"/>
      <c r="AE345" s="13"/>
      <c r="AF345" s="13"/>
      <c r="AG345" s="13"/>
      <c r="AH345" s="13"/>
      <c r="AI345" s="13"/>
      <c r="AJ345" s="13"/>
      <c r="AK345" s="13"/>
      <c r="AL345" s="13"/>
      <c r="AM345" s="13"/>
      <c r="AN345" s="13"/>
    </row>
    <row r="346" spans="1:40" ht="20.25" hidden="1">
      <c r="A346" t="str">
        <f>+B346&amp;C346</f>
        <v>Pièces[...]</v>
      </c>
      <c r="B346" s="11" t="s">
        <v>98</v>
      </c>
      <c r="C346" s="102" t="s">
        <v>19</v>
      </c>
      <c r="D346" s="81"/>
      <c r="E346" s="13"/>
      <c r="F346" s="30">
        <v>0</v>
      </c>
      <c r="G346" s="83"/>
      <c r="H346" s="13"/>
      <c r="I346" s="30"/>
      <c r="J346" s="41"/>
      <c r="K346" s="13"/>
      <c r="L346" s="33">
        <v>0</v>
      </c>
      <c r="M346" s="41"/>
      <c r="N346" s="59">
        <f t="shared" si="80"/>
        <v>0</v>
      </c>
      <c r="O346" s="41"/>
      <c r="P346" s="13"/>
      <c r="Q346" s="33">
        <v>0</v>
      </c>
      <c r="R346" s="41"/>
      <c r="S346" s="85">
        <f>L346-Q346</f>
        <v>0</v>
      </c>
      <c r="T346" s="13"/>
      <c r="U346" s="13"/>
      <c r="V346" s="13"/>
      <c r="W346" s="13"/>
      <c r="X346" s="13"/>
      <c r="Y346" s="13"/>
      <c r="Z346" s="13"/>
      <c r="AA346" s="13"/>
      <c r="AB346" s="13"/>
      <c r="AC346" s="13"/>
      <c r="AD346" s="13"/>
      <c r="AE346" s="13"/>
      <c r="AF346" s="13"/>
      <c r="AG346" s="13"/>
      <c r="AH346" s="13"/>
      <c r="AI346" s="13"/>
      <c r="AJ346" s="13"/>
      <c r="AK346" s="13"/>
      <c r="AL346" s="13"/>
      <c r="AM346" s="13"/>
      <c r="AN346" s="13"/>
    </row>
    <row r="347" spans="1:40" ht="20.25" hidden="1">
      <c r="A347" t="str">
        <f>+B347&amp;C347</f>
        <v>Pièces[...]</v>
      </c>
      <c r="B347" s="11" t="s">
        <v>98</v>
      </c>
      <c r="C347" s="102" t="s">
        <v>19</v>
      </c>
      <c r="D347" s="81"/>
      <c r="E347" s="13"/>
      <c r="F347" s="30">
        <v>0</v>
      </c>
      <c r="G347" s="83"/>
      <c r="H347" s="13"/>
      <c r="I347" s="30"/>
      <c r="J347" s="41"/>
      <c r="K347" s="13"/>
      <c r="L347" s="33">
        <v>0</v>
      </c>
      <c r="M347" s="41"/>
      <c r="N347" s="59">
        <f t="shared" si="80"/>
        <v>0</v>
      </c>
      <c r="O347" s="41"/>
      <c r="P347" s="13"/>
      <c r="Q347" s="33">
        <v>0</v>
      </c>
      <c r="R347" s="41"/>
      <c r="S347" s="85">
        <f>L347-Q347</f>
        <v>0</v>
      </c>
      <c r="T347" s="13"/>
      <c r="U347" s="13"/>
      <c r="V347" s="13"/>
      <c r="W347" s="13"/>
      <c r="X347" s="13"/>
      <c r="Y347" s="13"/>
      <c r="Z347" s="13"/>
      <c r="AA347" s="13"/>
      <c r="AB347" s="13"/>
      <c r="AC347" s="13"/>
      <c r="AD347" s="13"/>
      <c r="AE347" s="13"/>
      <c r="AF347" s="13"/>
      <c r="AG347" s="13"/>
      <c r="AH347" s="13"/>
      <c r="AI347" s="13"/>
      <c r="AJ347" s="13"/>
      <c r="AK347" s="13"/>
      <c r="AL347" s="13"/>
      <c r="AM347" s="13"/>
      <c r="AN347" s="13"/>
    </row>
    <row r="348" spans="1:40" ht="20.25" hidden="1">
      <c r="A348" t="str">
        <f>+B348&amp;C348</f>
        <v>Pièces[...]</v>
      </c>
      <c r="B348" s="11" t="s">
        <v>98</v>
      </c>
      <c r="C348" s="102" t="s">
        <v>19</v>
      </c>
      <c r="D348" s="81"/>
      <c r="E348" s="13"/>
      <c r="F348" s="30">
        <v>0</v>
      </c>
      <c r="G348" s="83"/>
      <c r="H348" s="13"/>
      <c r="I348" s="30"/>
      <c r="J348" s="41"/>
      <c r="K348" s="13"/>
      <c r="L348" s="33">
        <v>0</v>
      </c>
      <c r="M348" s="41"/>
      <c r="N348" s="59">
        <f t="shared" si="80"/>
        <v>0</v>
      </c>
      <c r="O348" s="41"/>
      <c r="P348" s="13"/>
      <c r="Q348" s="33">
        <v>0</v>
      </c>
      <c r="R348" s="41"/>
      <c r="S348" s="85">
        <f>L348-Q348</f>
        <v>0</v>
      </c>
      <c r="T348" s="13"/>
      <c r="U348" s="13"/>
      <c r="V348" s="13"/>
      <c r="W348" s="13"/>
      <c r="X348" s="13"/>
      <c r="Y348" s="13"/>
      <c r="Z348" s="13"/>
      <c r="AA348" s="13"/>
      <c r="AB348" s="13"/>
      <c r="AC348" s="13"/>
      <c r="AD348" s="13"/>
      <c r="AE348" s="13"/>
      <c r="AF348" s="13"/>
      <c r="AG348" s="13"/>
      <c r="AH348" s="13"/>
      <c r="AI348" s="13"/>
      <c r="AJ348" s="13"/>
      <c r="AK348" s="13"/>
      <c r="AL348" s="13"/>
      <c r="AM348" s="13"/>
      <c r="AN348" s="13"/>
    </row>
    <row r="349" spans="1:40" ht="20.25">
      <c r="B349" s="7"/>
      <c r="C349" s="93" t="s">
        <v>63</v>
      </c>
      <c r="D349" s="94" t="s">
        <v>38</v>
      </c>
      <c r="E349" s="95">
        <f>F349/F$314</f>
        <v>0.13345719726216032</v>
      </c>
      <c r="F349" s="96">
        <f>+SUM(F331:F348)</f>
        <v>14184.033689420989</v>
      </c>
      <c r="G349" s="97"/>
      <c r="H349" s="95"/>
      <c r="I349" s="96"/>
      <c r="J349" s="97" t="s">
        <v>38</v>
      </c>
      <c r="K349" s="95">
        <f>L349/L$314</f>
        <v>0.17373874356137664</v>
      </c>
      <c r="L349" s="96">
        <f>+SUM(L331:L348)</f>
        <v>14605.000000000004</v>
      </c>
      <c r="M349" s="100"/>
      <c r="N349" s="96">
        <f>+SUM(N331:N348)</f>
        <v>420.96631057901118</v>
      </c>
      <c r="O349" s="97" t="s">
        <v>38</v>
      </c>
      <c r="P349" s="95">
        <f>Q349/Q$314</f>
        <v>0.15757431382541323</v>
      </c>
      <c r="Q349" s="96">
        <f>+SUM(Q331:Q348)</f>
        <v>14109.130000000003</v>
      </c>
      <c r="R349" s="100"/>
      <c r="S349" s="101">
        <f>+SUM(S331:S348)</f>
        <v>495.87000000000023</v>
      </c>
      <c r="T349" s="13"/>
      <c r="U349" s="13"/>
      <c r="V349" s="13"/>
      <c r="W349" s="13"/>
      <c r="X349" s="13"/>
      <c r="Y349" s="13"/>
      <c r="Z349" s="13"/>
      <c r="AA349" s="13"/>
      <c r="AB349" s="13"/>
      <c r="AC349" s="13"/>
      <c r="AD349" s="13"/>
      <c r="AE349" s="13"/>
      <c r="AF349" s="13"/>
      <c r="AG349" s="13"/>
      <c r="AH349" s="13"/>
      <c r="AI349" s="13"/>
      <c r="AJ349" s="13"/>
      <c r="AK349" s="13"/>
      <c r="AL349" s="13"/>
      <c r="AM349" s="13"/>
      <c r="AN349" s="13"/>
    </row>
    <row r="350" spans="1:40" ht="20.25">
      <c r="B350" s="7"/>
      <c r="C350" s="86"/>
      <c r="D350" s="87"/>
      <c r="E350" s="111"/>
      <c r="F350" s="59"/>
      <c r="G350" s="89"/>
      <c r="H350" s="111"/>
      <c r="I350" s="59"/>
      <c r="J350" s="23"/>
      <c r="K350" s="111"/>
      <c r="L350" s="91"/>
      <c r="M350" s="23"/>
      <c r="N350" s="91"/>
      <c r="O350" s="23"/>
      <c r="P350" s="111"/>
      <c r="Q350" s="91"/>
      <c r="R350" s="23"/>
      <c r="S350" s="92"/>
      <c r="T350" s="13"/>
      <c r="U350" s="13"/>
      <c r="V350" s="13"/>
      <c r="W350" s="13"/>
      <c r="X350" s="13"/>
      <c r="Y350" s="13"/>
      <c r="Z350" s="13"/>
      <c r="AA350" s="13"/>
      <c r="AB350" s="13"/>
      <c r="AC350" s="13"/>
      <c r="AD350" s="13"/>
      <c r="AE350" s="13"/>
      <c r="AF350" s="13"/>
      <c r="AG350" s="13"/>
      <c r="AH350" s="13"/>
      <c r="AI350" s="13"/>
      <c r="AJ350" s="13"/>
      <c r="AK350" s="13"/>
      <c r="AL350" s="13"/>
      <c r="AM350" s="13"/>
      <c r="AN350" s="13"/>
    </row>
    <row r="351" spans="1:40" ht="20.25">
      <c r="B351" s="7"/>
      <c r="C351" s="93" t="s">
        <v>64</v>
      </c>
      <c r="D351" s="94" t="s">
        <v>38</v>
      </c>
      <c r="E351" s="95">
        <f>F351/F$314</f>
        <v>0.40288307024306447</v>
      </c>
      <c r="F351" s="96">
        <f>F330+F349</f>
        <v>42819.024814372053</v>
      </c>
      <c r="G351" s="97"/>
      <c r="H351" s="95"/>
      <c r="I351" s="96"/>
      <c r="J351" s="97" t="s">
        <v>38</v>
      </c>
      <c r="K351" s="95">
        <f>L351/L$314</f>
        <v>0.51102863328693959</v>
      </c>
      <c r="L351" s="96">
        <f>L330+L349</f>
        <v>42958.6</v>
      </c>
      <c r="M351" s="100"/>
      <c r="N351" s="113">
        <f>L351-F351</f>
        <v>139.57518562794576</v>
      </c>
      <c r="O351" s="97" t="s">
        <v>38</v>
      </c>
      <c r="P351" s="95">
        <f>Q351/Q$314</f>
        <v>0.43215326236356172</v>
      </c>
      <c r="Q351" s="96">
        <f>Q330+Q349</f>
        <v>38694.800000000003</v>
      </c>
      <c r="R351" s="100"/>
      <c r="S351" s="114">
        <f>L351-Q351</f>
        <v>4263.7999999999956</v>
      </c>
      <c r="T351" s="13"/>
      <c r="U351" s="13"/>
      <c r="V351" s="13"/>
      <c r="W351" s="13"/>
      <c r="X351" s="13"/>
      <c r="Y351" s="13"/>
      <c r="Z351" s="13"/>
      <c r="AA351" s="13"/>
      <c r="AB351" s="13"/>
      <c r="AC351" s="13"/>
      <c r="AD351" s="13"/>
      <c r="AE351" s="13"/>
      <c r="AF351" s="13"/>
      <c r="AG351" s="13"/>
      <c r="AH351" s="13"/>
      <c r="AI351" s="13"/>
      <c r="AJ351" s="13"/>
      <c r="AK351" s="13"/>
      <c r="AL351" s="13"/>
      <c r="AM351" s="13"/>
      <c r="AN351" s="13"/>
    </row>
    <row r="352" spans="1:40" ht="20.25">
      <c r="B352" s="7"/>
      <c r="C352" s="29"/>
      <c r="D352" s="81"/>
      <c r="E352" s="13"/>
      <c r="F352" s="59"/>
      <c r="G352" s="83"/>
      <c r="H352" s="13"/>
      <c r="I352" s="59"/>
      <c r="J352" s="41"/>
      <c r="K352" s="13"/>
      <c r="L352" s="59"/>
      <c r="M352" s="41"/>
      <c r="N352" s="59">
        <f>L352-F352</f>
        <v>0</v>
      </c>
      <c r="O352" s="41"/>
      <c r="P352" s="13"/>
      <c r="Q352" s="59"/>
      <c r="R352" s="41"/>
      <c r="S352" s="85"/>
      <c r="T352" s="13"/>
      <c r="U352" s="13"/>
      <c r="V352" s="13"/>
      <c r="W352" s="13"/>
      <c r="X352" s="13"/>
      <c r="Y352" s="13"/>
      <c r="Z352" s="13"/>
      <c r="AA352" s="13"/>
      <c r="AB352" s="13"/>
      <c r="AC352" s="13"/>
      <c r="AD352" s="13"/>
      <c r="AE352" s="13"/>
      <c r="AF352" s="13"/>
      <c r="AG352" s="13"/>
      <c r="AH352" s="13"/>
      <c r="AI352" s="13"/>
      <c r="AJ352" s="13"/>
      <c r="AK352" s="13"/>
      <c r="AL352" s="13"/>
      <c r="AM352" s="13"/>
      <c r="AN352" s="13"/>
    </row>
    <row r="353" spans="1:40" ht="21" thickBot="1">
      <c r="B353" s="7"/>
      <c r="C353" s="124" t="s">
        <v>69</v>
      </c>
      <c r="D353" s="152"/>
      <c r="E353" s="125"/>
      <c r="F353" s="127">
        <f>F314-F351</f>
        <v>63462.494507198819</v>
      </c>
      <c r="G353" s="153"/>
      <c r="H353" s="125"/>
      <c r="I353" s="127"/>
      <c r="J353" s="154"/>
      <c r="K353" s="126"/>
      <c r="L353" s="127">
        <f>L314-L351</f>
        <v>41104.400000000001</v>
      </c>
      <c r="M353" s="154"/>
      <c r="N353" s="127">
        <f>L353-F353</f>
        <v>-22358.094507198817</v>
      </c>
      <c r="O353" s="154"/>
      <c r="P353" s="126"/>
      <c r="Q353" s="127">
        <f>Q314-Q351</f>
        <v>50844.729999999996</v>
      </c>
      <c r="R353" s="154"/>
      <c r="S353" s="129">
        <f>L353-Q353</f>
        <v>-9740.3299999999945</v>
      </c>
      <c r="T353" s="13"/>
      <c r="U353" s="13"/>
      <c r="V353" s="13"/>
      <c r="W353" s="13"/>
      <c r="X353" s="13"/>
      <c r="Y353" s="13"/>
      <c r="Z353" s="13"/>
      <c r="AA353" s="13"/>
      <c r="AB353" s="13"/>
      <c r="AC353" s="13"/>
      <c r="AD353" s="13"/>
      <c r="AE353" s="13"/>
      <c r="AF353" s="13"/>
      <c r="AG353" s="13"/>
      <c r="AH353" s="13"/>
      <c r="AI353" s="13"/>
      <c r="AJ353" s="13"/>
      <c r="AK353" s="13"/>
      <c r="AL353" s="13"/>
      <c r="AM353" s="13"/>
      <c r="AN353" s="13"/>
    </row>
    <row r="354" spans="1:40" ht="21" thickTop="1">
      <c r="B354" s="7"/>
      <c r="C354" s="76"/>
      <c r="D354" s="81"/>
      <c r="E354" s="13"/>
      <c r="F354" s="112"/>
      <c r="G354" s="81"/>
      <c r="H354" s="13"/>
      <c r="I354" s="112"/>
      <c r="J354" s="76"/>
      <c r="K354" s="76"/>
      <c r="L354" s="112"/>
      <c r="M354" s="76"/>
      <c r="N354" s="112"/>
      <c r="O354" s="76"/>
      <c r="P354" s="76"/>
      <c r="Q354" s="112"/>
      <c r="R354" s="76"/>
      <c r="S354" s="112"/>
      <c r="T354" s="13"/>
      <c r="U354" s="13"/>
      <c r="V354" s="13"/>
      <c r="W354" s="13"/>
      <c r="X354" s="13"/>
      <c r="Y354" s="13"/>
      <c r="Z354" s="13"/>
      <c r="AA354" s="13"/>
      <c r="AB354" s="13"/>
      <c r="AC354" s="13"/>
      <c r="AD354" s="13"/>
      <c r="AE354" s="13"/>
      <c r="AF354" s="13"/>
      <c r="AG354" s="13"/>
      <c r="AH354" s="13"/>
      <c r="AI354" s="13"/>
      <c r="AJ354" s="13"/>
      <c r="AK354" s="13"/>
      <c r="AL354" s="13"/>
      <c r="AM354" s="13"/>
      <c r="AN354" s="13"/>
    </row>
    <row r="355" spans="1:40" ht="20.25" hidden="1">
      <c r="B355" s="7"/>
      <c r="C355" s="76"/>
      <c r="D355" s="81"/>
      <c r="E355" s="13"/>
      <c r="F355" s="112"/>
      <c r="G355" s="81"/>
      <c r="H355" s="13"/>
      <c r="I355" s="112"/>
      <c r="J355" s="76"/>
      <c r="K355" s="76"/>
      <c r="L355" s="112"/>
      <c r="M355" s="76"/>
      <c r="N355" s="112"/>
      <c r="O355" s="76"/>
      <c r="P355" s="76"/>
      <c r="Q355" s="112"/>
      <c r="R355" s="76"/>
      <c r="S355" s="112"/>
      <c r="T355" s="13"/>
      <c r="U355" s="13"/>
      <c r="V355" s="13"/>
      <c r="W355" s="13"/>
      <c r="X355" s="13"/>
      <c r="Y355" s="13"/>
      <c r="Z355" s="13"/>
      <c r="AA355" s="13"/>
      <c r="AB355" s="13"/>
      <c r="AC355" s="13"/>
      <c r="AD355" s="13"/>
      <c r="AE355" s="13"/>
      <c r="AF355" s="13"/>
      <c r="AG355" s="13"/>
      <c r="AH355" s="13"/>
      <c r="AI355" s="13"/>
      <c r="AJ355" s="13"/>
      <c r="AK355" s="13"/>
      <c r="AL355" s="13"/>
      <c r="AM355" s="13"/>
      <c r="AN355" s="13"/>
    </row>
    <row r="356" spans="1:40" ht="35.25" hidden="1">
      <c r="B356" s="7"/>
      <c r="C356" s="6" t="str">
        <f>+C291</f>
        <v>BMW Sherbrooke</v>
      </c>
      <c r="D356" s="2"/>
      <c r="E356" s="2"/>
      <c r="F356" s="2"/>
      <c r="G356" s="2"/>
      <c r="H356" s="1"/>
      <c r="I356" s="1"/>
      <c r="J356" s="1"/>
      <c r="K356" s="3" t="s">
        <v>114</v>
      </c>
      <c r="L356" s="2"/>
      <c r="M356" s="2"/>
      <c r="N356" s="1"/>
      <c r="O356" s="1"/>
      <c r="P356" s="2"/>
      <c r="Q356" s="1"/>
      <c r="R356" s="2"/>
      <c r="S356" s="5" t="str">
        <f>$S$1</f>
        <v>Réalisé, Septembre 2024</v>
      </c>
      <c r="T356" s="10"/>
      <c r="U356" s="10"/>
      <c r="V356" s="13"/>
      <c r="W356" s="10"/>
      <c r="X356" s="10"/>
      <c r="Y356" s="10"/>
      <c r="Z356" s="10"/>
      <c r="AA356" s="10"/>
      <c r="AB356" s="10"/>
      <c r="AC356" s="10"/>
      <c r="AD356" s="10"/>
      <c r="AE356" s="10"/>
      <c r="AF356" s="10"/>
      <c r="AG356" s="10"/>
      <c r="AH356" s="10"/>
      <c r="AI356" s="10"/>
      <c r="AJ356" s="10"/>
      <c r="AK356" s="10"/>
      <c r="AL356" s="10"/>
      <c r="AM356" s="10"/>
      <c r="AN356" s="10"/>
    </row>
    <row r="357" spans="1:40" ht="20.25" hidden="1">
      <c r="B357" s="7"/>
      <c r="C357" s="8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3"/>
      <c r="W357" s="10"/>
      <c r="X357" s="10"/>
      <c r="Y357" s="10"/>
      <c r="Z357" s="10"/>
      <c r="AA357" s="10"/>
      <c r="AB357" s="10"/>
      <c r="AC357" s="10"/>
      <c r="AD357" s="10"/>
      <c r="AE357" s="10"/>
      <c r="AF357" s="10"/>
      <c r="AG357" s="10"/>
      <c r="AH357" s="10"/>
      <c r="AI357" s="10"/>
      <c r="AJ357" s="10"/>
      <c r="AK357" s="10"/>
      <c r="AL357" s="10"/>
      <c r="AM357" s="10"/>
      <c r="AN357" s="10"/>
    </row>
    <row r="358" spans="1:40" ht="21" hidden="1" thickTop="1">
      <c r="B358" s="7"/>
      <c r="C358" s="12"/>
      <c r="D358" s="496" t="s">
        <v>5</v>
      </c>
      <c r="E358" s="497"/>
      <c r="F358" s="498"/>
      <c r="G358" s="499"/>
      <c r="H358" s="497"/>
      <c r="I358" s="498"/>
      <c r="J358" s="499" t="s">
        <v>7</v>
      </c>
      <c r="K358" s="497"/>
      <c r="L358" s="498"/>
      <c r="M358" s="499"/>
      <c r="N358" s="498"/>
      <c r="O358" s="496" t="s">
        <v>8</v>
      </c>
      <c r="P358" s="497"/>
      <c r="Q358" s="498"/>
      <c r="R358" s="499" t="s">
        <v>9</v>
      </c>
      <c r="S358" s="503"/>
      <c r="T358" s="10"/>
      <c r="U358" s="10"/>
      <c r="V358" s="13"/>
      <c r="W358" s="10"/>
      <c r="X358" s="10"/>
      <c r="Y358" s="10"/>
      <c r="Z358" s="10"/>
      <c r="AA358" s="10"/>
      <c r="AB358" s="10"/>
      <c r="AC358" s="10"/>
      <c r="AD358" s="10"/>
      <c r="AE358" s="10"/>
      <c r="AF358" s="10"/>
      <c r="AG358" s="10"/>
      <c r="AH358" s="10"/>
      <c r="AI358" s="10"/>
      <c r="AJ358" s="10"/>
      <c r="AK358" s="10"/>
      <c r="AL358" s="10"/>
      <c r="AM358" s="10"/>
      <c r="AN358" s="10"/>
    </row>
    <row r="359" spans="1:40" ht="21" hidden="1" thickBot="1">
      <c r="A359" t="str">
        <f t="shared" ref="A359:A394" si="86">+B359&amp;C359</f>
        <v>Boutique</v>
      </c>
      <c r="B359" s="11" t="s">
        <v>114</v>
      </c>
      <c r="C359" s="29"/>
      <c r="D359" s="231" t="s">
        <v>79</v>
      </c>
      <c r="E359" s="231" t="s">
        <v>99</v>
      </c>
      <c r="F359" s="232" t="s">
        <v>12</v>
      </c>
      <c r="G359" s="233"/>
      <c r="H359" s="231"/>
      <c r="I359" s="232"/>
      <c r="J359" s="135" t="s">
        <v>79</v>
      </c>
      <c r="K359" s="80" t="s">
        <v>99</v>
      </c>
      <c r="L359" s="134" t="s">
        <v>12</v>
      </c>
      <c r="M359" s="135"/>
      <c r="N359" s="134"/>
      <c r="O359" s="135" t="s">
        <v>79</v>
      </c>
      <c r="P359" s="80" t="s">
        <v>99</v>
      </c>
      <c r="Q359" s="134" t="s">
        <v>12</v>
      </c>
      <c r="R359" s="135" t="s">
        <v>80</v>
      </c>
      <c r="S359" s="136" t="s">
        <v>12</v>
      </c>
      <c r="T359" s="10"/>
      <c r="U359" s="10"/>
      <c r="V359" s="13"/>
      <c r="W359" s="10"/>
      <c r="X359" s="10"/>
      <c r="Y359" s="10"/>
      <c r="Z359" s="10"/>
      <c r="AA359" s="10"/>
      <c r="AB359" s="10"/>
      <c r="AC359" s="10"/>
      <c r="AD359" s="10"/>
      <c r="AE359" s="10"/>
      <c r="AF359" s="10"/>
      <c r="AG359" s="10"/>
      <c r="AH359" s="10"/>
      <c r="AI359" s="10"/>
      <c r="AJ359" s="10"/>
      <c r="AK359" s="10"/>
      <c r="AL359" s="10"/>
      <c r="AM359" s="10"/>
      <c r="AN359" s="10"/>
    </row>
    <row r="360" spans="1:40" ht="27.75" hidden="1" thickTop="1">
      <c r="A360" t="str">
        <f t="shared" si="86"/>
        <v>BoutiqueBoutique</v>
      </c>
      <c r="B360" s="11" t="s">
        <v>114</v>
      </c>
      <c r="C360" s="62" t="s">
        <v>114</v>
      </c>
      <c r="D360" s="234">
        <v>0</v>
      </c>
      <c r="E360" s="235">
        <f>IFERROR(F360/D360,0)</f>
        <v>0</v>
      </c>
      <c r="F360" s="236">
        <v>0</v>
      </c>
      <c r="G360" s="234"/>
      <c r="H360" s="235"/>
      <c r="I360" s="234"/>
      <c r="J360" s="237">
        <v>0</v>
      </c>
      <c r="K360" s="219">
        <f>IF(J360&lt;=0,0,L360/J360)</f>
        <v>0</v>
      </c>
      <c r="L360" s="238">
        <v>0</v>
      </c>
      <c r="M360" s="220"/>
      <c r="N360" s="221"/>
      <c r="O360" s="237">
        <v>0</v>
      </c>
      <c r="P360" s="219">
        <f>IFERROR(Q360/O360,0)</f>
        <v>0</v>
      </c>
      <c r="Q360" s="238">
        <v>0</v>
      </c>
      <c r="R360" s="220">
        <f>IF(O360=0,0,(J360-O360)/O360)</f>
        <v>0</v>
      </c>
      <c r="S360" s="222">
        <f>L360-Q360</f>
        <v>0</v>
      </c>
      <c r="T360" s="10"/>
      <c r="U360" s="10"/>
      <c r="V360" s="239"/>
      <c r="W360" s="10"/>
      <c r="X360" s="10"/>
      <c r="Y360" s="10"/>
      <c r="Z360" s="10"/>
      <c r="AA360" s="10"/>
      <c r="AB360" s="10"/>
      <c r="AC360" s="10"/>
      <c r="AD360" s="10"/>
      <c r="AE360" s="10"/>
      <c r="AF360" s="10"/>
      <c r="AG360" s="10"/>
      <c r="AH360" s="10"/>
      <c r="AI360" s="10"/>
      <c r="AJ360" s="10"/>
      <c r="AK360" s="10"/>
      <c r="AL360" s="10"/>
      <c r="AM360" s="10"/>
      <c r="AN360" s="10"/>
    </row>
    <row r="361" spans="1:40" ht="21" hidden="1" thickBot="1">
      <c r="A361" t="str">
        <f t="shared" si="86"/>
        <v>Boutique</v>
      </c>
      <c r="B361" s="11" t="s">
        <v>114</v>
      </c>
      <c r="C361" s="223"/>
      <c r="D361" s="224"/>
      <c r="E361" s="225"/>
      <c r="F361" s="226"/>
      <c r="G361" s="227"/>
      <c r="H361" s="225"/>
      <c r="I361" s="226"/>
      <c r="J361" s="227"/>
      <c r="K361" s="225"/>
      <c r="L361" s="226"/>
      <c r="M361" s="228"/>
      <c r="N361" s="74"/>
      <c r="O361" s="227"/>
      <c r="P361" s="225"/>
      <c r="Q361" s="226"/>
      <c r="R361" s="228"/>
      <c r="S361" s="75"/>
      <c r="T361" s="10"/>
      <c r="U361" s="10"/>
      <c r="V361" s="13"/>
      <c r="W361" s="10"/>
      <c r="X361" s="10"/>
      <c r="Y361" s="10"/>
      <c r="Z361" s="10"/>
      <c r="AA361" s="10"/>
      <c r="AB361" s="10"/>
      <c r="AC361" s="10"/>
      <c r="AD361" s="10"/>
      <c r="AE361" s="10"/>
      <c r="AF361" s="10"/>
      <c r="AG361" s="10"/>
      <c r="AH361" s="10"/>
      <c r="AI361" s="10"/>
      <c r="AJ361" s="10"/>
      <c r="AK361" s="10"/>
      <c r="AL361" s="10"/>
      <c r="AM361" s="10"/>
      <c r="AN361" s="10"/>
    </row>
    <row r="362" spans="1:40" ht="21" hidden="1" thickTop="1">
      <c r="A362" t="str">
        <f t="shared" si="86"/>
        <v>BoutiqueTotal Dépt. Boutique</v>
      </c>
      <c r="B362" s="11" t="s">
        <v>114</v>
      </c>
      <c r="C362" s="53" t="s">
        <v>115</v>
      </c>
      <c r="D362" s="240">
        <f>+D360</f>
        <v>0</v>
      </c>
      <c r="E362" s="174">
        <f>IF(D362&lt;=0,0,F362/D362)</f>
        <v>0</v>
      </c>
      <c r="F362" s="176">
        <f>+F360</f>
        <v>0</v>
      </c>
      <c r="G362" s="175"/>
      <c r="H362" s="174"/>
      <c r="I362" s="176"/>
      <c r="J362" s="175">
        <f>+J360</f>
        <v>0</v>
      </c>
      <c r="K362" s="174">
        <f>IF(J362&lt;=0,0,L362/J362)</f>
        <v>0</v>
      </c>
      <c r="L362" s="176">
        <f>+L360</f>
        <v>0</v>
      </c>
      <c r="M362" s="241"/>
      <c r="N362" s="242"/>
      <c r="O362" s="175">
        <f>+O360</f>
        <v>0</v>
      </c>
      <c r="P362" s="174">
        <f>IF(O362&lt;=0,0,Q362/O362)</f>
        <v>0</v>
      </c>
      <c r="Q362" s="176">
        <f t="shared" ref="Q362" si="87">+Q360</f>
        <v>0</v>
      </c>
      <c r="R362" s="41">
        <f>IF(O362=0,0,(J362-O362)/O362)</f>
        <v>0</v>
      </c>
      <c r="S362" s="44">
        <f>L362-Q362</f>
        <v>0</v>
      </c>
      <c r="T362" s="10"/>
      <c r="U362" s="10"/>
      <c r="V362" s="13"/>
      <c r="W362" s="10"/>
      <c r="X362" s="10"/>
      <c r="Y362" s="10"/>
      <c r="Z362" s="10"/>
      <c r="AA362" s="10"/>
      <c r="AB362" s="10"/>
      <c r="AC362" s="10"/>
      <c r="AD362" s="10"/>
      <c r="AE362" s="10"/>
      <c r="AF362" s="10"/>
      <c r="AG362" s="10"/>
      <c r="AH362" s="10"/>
      <c r="AI362" s="10"/>
      <c r="AJ362" s="10"/>
      <c r="AK362" s="10"/>
      <c r="AL362" s="10"/>
      <c r="AM362" s="10"/>
      <c r="AN362" s="10"/>
    </row>
    <row r="363" spans="1:40" ht="20.25" hidden="1">
      <c r="A363" t="str">
        <f t="shared" si="86"/>
        <v>Boutique</v>
      </c>
      <c r="B363" s="11" t="s">
        <v>114</v>
      </c>
      <c r="C363" s="79"/>
      <c r="D363" s="13"/>
      <c r="E363" s="13"/>
      <c r="F363" s="59"/>
      <c r="G363" s="41"/>
      <c r="H363" s="243"/>
      <c r="I363" s="59"/>
      <c r="J363" s="41"/>
      <c r="K363" s="13"/>
      <c r="L363" s="40"/>
      <c r="M363" s="41"/>
      <c r="N363" s="244"/>
      <c r="O363" s="41"/>
      <c r="P363" s="13"/>
      <c r="Q363" s="40"/>
      <c r="R363" s="41"/>
      <c r="S363" s="61">
        <f>IF(Q362=0,0,S362/Q362)</f>
        <v>0</v>
      </c>
      <c r="T363" s="10"/>
      <c r="U363" s="10"/>
      <c r="V363" s="13"/>
      <c r="W363" s="10"/>
      <c r="X363" s="10"/>
      <c r="Y363" s="10"/>
      <c r="Z363" s="10"/>
      <c r="AA363" s="10"/>
      <c r="AB363" s="10"/>
      <c r="AC363" s="10"/>
      <c r="AD363" s="10"/>
      <c r="AE363" s="10"/>
      <c r="AF363" s="10"/>
      <c r="AG363" s="10"/>
      <c r="AH363" s="10"/>
      <c r="AI363" s="10"/>
      <c r="AJ363" s="10"/>
      <c r="AK363" s="10"/>
      <c r="AL363" s="10"/>
      <c r="AM363" s="10"/>
      <c r="AN363" s="10"/>
    </row>
    <row r="364" spans="1:40" ht="20.25" hidden="1">
      <c r="A364" t="str">
        <f t="shared" si="86"/>
        <v>BoutiqueDEPENSES</v>
      </c>
      <c r="B364" s="11" t="s">
        <v>114</v>
      </c>
      <c r="C364" s="79" t="s">
        <v>29</v>
      </c>
      <c r="D364" s="13"/>
      <c r="E364" s="13"/>
      <c r="F364" s="59"/>
      <c r="G364" s="41"/>
      <c r="H364" s="13"/>
      <c r="I364" s="59"/>
      <c r="J364" s="41"/>
      <c r="K364" s="13"/>
      <c r="L364" s="40"/>
      <c r="M364" s="41"/>
      <c r="N364" s="40"/>
      <c r="O364" s="41"/>
      <c r="P364" s="13"/>
      <c r="Q364" s="40"/>
      <c r="R364" s="41"/>
      <c r="S364" s="61"/>
      <c r="T364" s="10"/>
      <c r="U364" s="10"/>
      <c r="V364" s="13"/>
      <c r="W364" s="10"/>
      <c r="X364" s="10"/>
      <c r="Y364" s="10"/>
      <c r="Z364" s="10"/>
      <c r="AA364" s="10"/>
      <c r="AB364" s="10"/>
      <c r="AC364" s="10"/>
      <c r="AD364" s="10"/>
      <c r="AE364" s="10"/>
      <c r="AF364" s="10"/>
      <c r="AG364" s="10"/>
      <c r="AH364" s="10"/>
      <c r="AI364" s="10"/>
      <c r="AJ364" s="10"/>
      <c r="AK364" s="10"/>
      <c r="AL364" s="10"/>
      <c r="AM364" s="10"/>
      <c r="AN364" s="10"/>
    </row>
    <row r="365" spans="1:40" ht="20.25" hidden="1">
      <c r="A365" t="str">
        <f t="shared" si="86"/>
        <v>BoutiqueSalaires cadres</v>
      </c>
      <c r="B365" s="11" t="s">
        <v>114</v>
      </c>
      <c r="C365" s="102" t="s">
        <v>40</v>
      </c>
      <c r="D365" s="13"/>
      <c r="E365" s="13"/>
      <c r="F365" s="30">
        <v>0</v>
      </c>
      <c r="G365" s="41"/>
      <c r="H365" s="13"/>
      <c r="I365" s="30"/>
      <c r="J365" s="41"/>
      <c r="K365" s="13"/>
      <c r="L365" s="33">
        <v>0</v>
      </c>
      <c r="M365" s="41"/>
      <c r="N365" s="40"/>
      <c r="O365" s="41"/>
      <c r="P365" s="13"/>
      <c r="Q365" s="33">
        <v>0</v>
      </c>
      <c r="R365" s="41"/>
      <c r="S365" s="34">
        <f>L365-Q365</f>
        <v>0</v>
      </c>
      <c r="T365" s="10"/>
      <c r="U365" s="10"/>
      <c r="V365" s="13"/>
      <c r="W365" s="10"/>
      <c r="X365" s="10"/>
      <c r="Y365" s="10"/>
      <c r="Z365" s="10"/>
      <c r="AA365" s="10"/>
      <c r="AB365" s="10"/>
      <c r="AC365" s="10"/>
      <c r="AD365" s="10"/>
      <c r="AE365" s="10"/>
      <c r="AF365" s="10"/>
      <c r="AG365" s="10"/>
      <c r="AH365" s="10"/>
      <c r="AI365" s="10"/>
      <c r="AJ365" s="10"/>
      <c r="AK365" s="10"/>
      <c r="AL365" s="10"/>
      <c r="AM365" s="10"/>
      <c r="AN365" s="10"/>
    </row>
    <row r="366" spans="1:40" ht="20.25" hidden="1">
      <c r="A366" t="str">
        <f t="shared" si="86"/>
        <v>BoutiqueSalaires commis</v>
      </c>
      <c r="B366" s="11" t="s">
        <v>114</v>
      </c>
      <c r="C366" s="103" t="s">
        <v>41</v>
      </c>
      <c r="D366" s="81"/>
      <c r="E366" s="13"/>
      <c r="F366" s="22">
        <v>0</v>
      </c>
      <c r="G366" s="83"/>
      <c r="H366" s="13"/>
      <c r="I366" s="22"/>
      <c r="J366" s="41"/>
      <c r="K366" s="13"/>
      <c r="L366" s="22">
        <v>0</v>
      </c>
      <c r="M366" s="41"/>
      <c r="N366" s="59"/>
      <c r="O366" s="41"/>
      <c r="P366" s="13"/>
      <c r="Q366" s="22">
        <v>0</v>
      </c>
      <c r="R366" s="41"/>
      <c r="S366" s="85">
        <f t="shared" ref="S366:S394" si="88">L366-Q366</f>
        <v>0</v>
      </c>
      <c r="T366" s="10"/>
      <c r="U366" s="10"/>
      <c r="V366" s="13"/>
      <c r="W366" s="10"/>
      <c r="X366" s="10"/>
      <c r="Y366" s="10"/>
      <c r="Z366" s="10"/>
      <c r="AA366" s="10"/>
      <c r="AB366" s="10"/>
      <c r="AC366" s="10"/>
      <c r="AD366" s="10"/>
      <c r="AE366" s="10"/>
      <c r="AF366" s="10"/>
      <c r="AG366" s="10"/>
      <c r="AH366" s="10"/>
      <c r="AI366" s="10"/>
      <c r="AJ366" s="10"/>
      <c r="AK366" s="10"/>
      <c r="AL366" s="10"/>
      <c r="AM366" s="10"/>
      <c r="AN366" s="10"/>
    </row>
    <row r="367" spans="1:40" ht="20.25" hidden="1">
      <c r="A367" t="str">
        <f t="shared" si="86"/>
        <v>BoutiqueSalaires autres</v>
      </c>
      <c r="B367" s="11" t="s">
        <v>114</v>
      </c>
      <c r="C367" s="102" t="s">
        <v>42</v>
      </c>
      <c r="D367" s="104"/>
      <c r="E367" s="105"/>
      <c r="F367" s="30">
        <v>0</v>
      </c>
      <c r="G367" s="106"/>
      <c r="H367" s="105"/>
      <c r="I367" s="30"/>
      <c r="J367" s="107"/>
      <c r="K367" s="105"/>
      <c r="L367" s="33">
        <v>0</v>
      </c>
      <c r="M367" s="107"/>
      <c r="N367" s="109"/>
      <c r="O367" s="107"/>
      <c r="P367" s="105"/>
      <c r="Q367" s="33">
        <v>0</v>
      </c>
      <c r="R367" s="107"/>
      <c r="S367" s="110">
        <f t="shared" si="88"/>
        <v>0</v>
      </c>
      <c r="T367" s="10"/>
      <c r="U367" s="10"/>
      <c r="V367" s="13"/>
      <c r="W367" s="10"/>
      <c r="X367" s="10"/>
      <c r="Y367" s="10"/>
      <c r="Z367" s="10"/>
      <c r="AA367" s="10"/>
      <c r="AB367" s="10"/>
      <c r="AC367" s="10"/>
      <c r="AD367" s="10"/>
      <c r="AE367" s="10"/>
      <c r="AF367" s="10"/>
      <c r="AG367" s="10"/>
      <c r="AH367" s="10"/>
      <c r="AI367" s="10"/>
      <c r="AJ367" s="10"/>
      <c r="AK367" s="10"/>
      <c r="AL367" s="10"/>
      <c r="AM367" s="10"/>
      <c r="AN367" s="10"/>
    </row>
    <row r="368" spans="1:40" ht="20.25" hidden="1">
      <c r="A368" t="str">
        <f t="shared" si="86"/>
        <v>BoutiqueSalaires spécialistes</v>
      </c>
      <c r="B368" s="11" t="s">
        <v>114</v>
      </c>
      <c r="C368" s="102" t="s">
        <v>43</v>
      </c>
      <c r="D368" s="81"/>
      <c r="E368" s="13"/>
      <c r="F368" s="30">
        <v>0</v>
      </c>
      <c r="G368" s="83"/>
      <c r="H368" s="13"/>
      <c r="I368" s="30"/>
      <c r="J368" s="41"/>
      <c r="K368" s="13"/>
      <c r="L368" s="33">
        <v>0</v>
      </c>
      <c r="M368" s="41"/>
      <c r="N368" s="59"/>
      <c r="O368" s="41"/>
      <c r="P368" s="13"/>
      <c r="Q368" s="33">
        <v>0</v>
      </c>
      <c r="R368" s="41"/>
      <c r="S368" s="85">
        <f t="shared" si="88"/>
        <v>0</v>
      </c>
      <c r="T368" s="10"/>
      <c r="U368" s="10"/>
      <c r="V368" s="13"/>
      <c r="W368" s="10"/>
      <c r="X368" s="10"/>
      <c r="Y368" s="10"/>
      <c r="Z368" s="10"/>
      <c r="AA368" s="10"/>
      <c r="AB368" s="10"/>
      <c r="AC368" s="10"/>
      <c r="AD368" s="10"/>
      <c r="AE368" s="10"/>
      <c r="AF368" s="10"/>
      <c r="AG368" s="10"/>
      <c r="AH368" s="10"/>
      <c r="AI368" s="10"/>
      <c r="AJ368" s="10"/>
      <c r="AK368" s="10"/>
      <c r="AL368" s="10"/>
      <c r="AM368" s="10"/>
      <c r="AN368" s="10"/>
    </row>
    <row r="369" spans="1:40" ht="20.25" hidden="1">
      <c r="A369" t="str">
        <f t="shared" si="86"/>
        <v>Boutique[...]</v>
      </c>
      <c r="B369" s="11" t="s">
        <v>114</v>
      </c>
      <c r="C369" s="29" t="s">
        <v>19</v>
      </c>
      <c r="D369" s="81"/>
      <c r="E369" s="13"/>
      <c r="F369" s="30">
        <v>0</v>
      </c>
      <c r="G369" s="83"/>
      <c r="H369" s="13"/>
      <c r="I369" s="30"/>
      <c r="J369" s="41"/>
      <c r="K369" s="13"/>
      <c r="L369" s="33">
        <v>0</v>
      </c>
      <c r="M369" s="41"/>
      <c r="N369" s="59"/>
      <c r="O369" s="41"/>
      <c r="P369" s="13"/>
      <c r="Q369" s="33">
        <v>0</v>
      </c>
      <c r="R369" s="41"/>
      <c r="S369" s="85">
        <f t="shared" si="88"/>
        <v>0</v>
      </c>
      <c r="T369" s="10"/>
      <c r="U369" s="10"/>
      <c r="V369" s="13"/>
      <c r="W369" s="10"/>
      <c r="X369" s="10"/>
      <c r="Y369" s="10"/>
      <c r="Z369" s="10"/>
      <c r="AA369" s="10"/>
      <c r="AB369" s="10"/>
      <c r="AC369" s="10"/>
      <c r="AD369" s="10"/>
      <c r="AE369" s="10"/>
      <c r="AF369" s="10"/>
      <c r="AG369" s="10"/>
      <c r="AH369" s="10"/>
      <c r="AI369" s="10"/>
      <c r="AJ369" s="10"/>
      <c r="AK369" s="10"/>
      <c r="AL369" s="10"/>
      <c r="AM369" s="10"/>
      <c r="AN369" s="10"/>
    </row>
    <row r="370" spans="1:40" ht="20.25" hidden="1">
      <c r="A370" t="str">
        <f t="shared" si="86"/>
        <v>Boutique[...]</v>
      </c>
      <c r="B370" s="11" t="s">
        <v>114</v>
      </c>
      <c r="C370" s="29" t="s">
        <v>19</v>
      </c>
      <c r="D370" s="81"/>
      <c r="E370" s="13"/>
      <c r="F370" s="30">
        <v>0</v>
      </c>
      <c r="G370" s="83"/>
      <c r="H370" s="13"/>
      <c r="I370" s="30"/>
      <c r="J370" s="41"/>
      <c r="K370" s="13"/>
      <c r="L370" s="33">
        <v>0</v>
      </c>
      <c r="M370" s="41"/>
      <c r="N370" s="59"/>
      <c r="O370" s="41"/>
      <c r="P370" s="13"/>
      <c r="Q370" s="33">
        <v>0</v>
      </c>
      <c r="R370" s="41"/>
      <c r="S370" s="85">
        <f t="shared" si="88"/>
        <v>0</v>
      </c>
      <c r="T370" s="10"/>
      <c r="U370" s="10"/>
      <c r="V370" s="13"/>
      <c r="W370" s="10"/>
      <c r="X370" s="10"/>
      <c r="Y370" s="10"/>
      <c r="Z370" s="10"/>
      <c r="AA370" s="10"/>
      <c r="AB370" s="10"/>
      <c r="AC370" s="10"/>
      <c r="AD370" s="10"/>
      <c r="AE370" s="10"/>
      <c r="AF370" s="10"/>
      <c r="AG370" s="10"/>
      <c r="AH370" s="10"/>
      <c r="AI370" s="10"/>
      <c r="AJ370" s="10"/>
      <c r="AK370" s="10"/>
      <c r="AL370" s="10"/>
      <c r="AM370" s="10"/>
      <c r="AN370" s="10"/>
    </row>
    <row r="371" spans="1:40" ht="20.25" hidden="1">
      <c r="A371" t="str">
        <f t="shared" si="86"/>
        <v>Boutique[...]</v>
      </c>
      <c r="B371" s="11" t="s">
        <v>114</v>
      </c>
      <c r="C371" s="29" t="s">
        <v>19</v>
      </c>
      <c r="D371" s="81"/>
      <c r="E371" s="13"/>
      <c r="F371" s="30">
        <v>0</v>
      </c>
      <c r="G371" s="83"/>
      <c r="H371" s="13"/>
      <c r="I371" s="30"/>
      <c r="J371" s="41"/>
      <c r="K371" s="13"/>
      <c r="L371" s="33">
        <v>0</v>
      </c>
      <c r="M371" s="41"/>
      <c r="N371" s="59"/>
      <c r="O371" s="41"/>
      <c r="P371" s="13"/>
      <c r="Q371" s="33">
        <v>0</v>
      </c>
      <c r="R371" s="41"/>
      <c r="S371" s="85">
        <f t="shared" si="88"/>
        <v>0</v>
      </c>
      <c r="T371" s="10"/>
      <c r="U371" s="10"/>
      <c r="V371" s="13"/>
      <c r="W371" s="10"/>
      <c r="X371" s="10"/>
      <c r="Y371" s="10"/>
      <c r="Z371" s="10"/>
      <c r="AA371" s="10"/>
      <c r="AB371" s="10"/>
      <c r="AC371" s="10"/>
      <c r="AD371" s="10"/>
      <c r="AE371" s="10"/>
      <c r="AF371" s="10"/>
      <c r="AG371" s="10"/>
      <c r="AH371" s="10"/>
      <c r="AI371" s="10"/>
      <c r="AJ371" s="10"/>
      <c r="AK371" s="10"/>
      <c r="AL371" s="10"/>
      <c r="AM371" s="10"/>
      <c r="AN371" s="10"/>
    </row>
    <row r="372" spans="1:40" ht="20.25" hidden="1">
      <c r="A372" t="str">
        <f t="shared" si="86"/>
        <v>BoutiqueSalaires en absences</v>
      </c>
      <c r="B372" s="11" t="s">
        <v>114</v>
      </c>
      <c r="C372" s="103" t="s">
        <v>44</v>
      </c>
      <c r="D372" s="81"/>
      <c r="E372" s="13"/>
      <c r="F372" s="22">
        <v>0</v>
      </c>
      <c r="G372" s="83"/>
      <c r="H372" s="13"/>
      <c r="I372" s="22"/>
      <c r="J372" s="41"/>
      <c r="K372" s="13"/>
      <c r="L372" s="22">
        <v>0</v>
      </c>
      <c r="M372" s="41"/>
      <c r="N372" s="59"/>
      <c r="O372" s="41"/>
      <c r="P372" s="13"/>
      <c r="Q372" s="22">
        <v>0</v>
      </c>
      <c r="R372" s="41"/>
      <c r="S372" s="85">
        <f t="shared" si="88"/>
        <v>0</v>
      </c>
      <c r="T372" s="10"/>
      <c r="U372" s="10"/>
      <c r="V372" s="13"/>
      <c r="W372" s="10"/>
      <c r="X372" s="10"/>
      <c r="Y372" s="10"/>
      <c r="Z372" s="10"/>
      <c r="AA372" s="10"/>
      <c r="AB372" s="10"/>
      <c r="AC372" s="10"/>
      <c r="AD372" s="10"/>
      <c r="AE372" s="10"/>
      <c r="AF372" s="10"/>
      <c r="AG372" s="10"/>
      <c r="AH372" s="10"/>
      <c r="AI372" s="10"/>
      <c r="AJ372" s="10"/>
      <c r="AK372" s="10"/>
      <c r="AL372" s="10"/>
      <c r="AM372" s="10"/>
      <c r="AN372" s="10"/>
    </row>
    <row r="373" spans="1:40" ht="20.25" hidden="1">
      <c r="A373" t="str">
        <f t="shared" si="86"/>
        <v>BoutiqueDéduction à la source</v>
      </c>
      <c r="B373" s="11" t="s">
        <v>114</v>
      </c>
      <c r="C373" s="102" t="s">
        <v>45</v>
      </c>
      <c r="D373" s="104"/>
      <c r="E373" s="105"/>
      <c r="F373" s="30">
        <v>0</v>
      </c>
      <c r="G373" s="106"/>
      <c r="H373" s="105"/>
      <c r="I373" s="30"/>
      <c r="J373" s="107"/>
      <c r="K373" s="105"/>
      <c r="L373" s="33">
        <v>0</v>
      </c>
      <c r="M373" s="107"/>
      <c r="N373" s="109"/>
      <c r="O373" s="107"/>
      <c r="P373" s="105"/>
      <c r="Q373" s="33">
        <v>0</v>
      </c>
      <c r="R373" s="107"/>
      <c r="S373" s="110">
        <f t="shared" si="88"/>
        <v>0</v>
      </c>
      <c r="T373" s="10"/>
      <c r="U373" s="10"/>
      <c r="V373" s="13"/>
      <c r="W373" s="10"/>
      <c r="X373" s="10"/>
      <c r="Y373" s="10"/>
      <c r="Z373" s="10"/>
      <c r="AA373" s="10"/>
      <c r="AB373" s="10"/>
      <c r="AC373" s="10"/>
      <c r="AD373" s="10"/>
      <c r="AE373" s="10"/>
      <c r="AF373" s="10"/>
      <c r="AG373" s="10"/>
      <c r="AH373" s="10"/>
      <c r="AI373" s="10"/>
      <c r="AJ373" s="10"/>
      <c r="AK373" s="10"/>
      <c r="AL373" s="10"/>
      <c r="AM373" s="10"/>
      <c r="AN373" s="10"/>
    </row>
    <row r="374" spans="1:40" ht="20.25" hidden="1">
      <c r="A374" t="str">
        <f t="shared" si="86"/>
        <v>BoutiqueBénéfices marginaux</v>
      </c>
      <c r="B374" s="11" t="s">
        <v>114</v>
      </c>
      <c r="C374" s="102" t="s">
        <v>46</v>
      </c>
      <c r="D374" s="81"/>
      <c r="E374" s="13"/>
      <c r="F374" s="30">
        <v>0</v>
      </c>
      <c r="G374" s="83"/>
      <c r="H374" s="13"/>
      <c r="I374" s="30"/>
      <c r="J374" s="41"/>
      <c r="K374" s="13"/>
      <c r="L374" s="33">
        <v>0</v>
      </c>
      <c r="M374" s="41"/>
      <c r="N374" s="59"/>
      <c r="O374" s="41"/>
      <c r="P374" s="13"/>
      <c r="Q374" s="33">
        <v>0</v>
      </c>
      <c r="R374" s="41"/>
      <c r="S374" s="85">
        <f t="shared" si="88"/>
        <v>0</v>
      </c>
      <c r="T374" s="10"/>
      <c r="U374" s="10"/>
      <c r="V374" s="13"/>
      <c r="W374" s="10"/>
      <c r="X374" s="10"/>
      <c r="Y374" s="10"/>
      <c r="Z374" s="10"/>
      <c r="AA374" s="10"/>
      <c r="AB374" s="10"/>
      <c r="AC374" s="10"/>
      <c r="AD374" s="10"/>
      <c r="AE374" s="10"/>
      <c r="AF374" s="10"/>
      <c r="AG374" s="10"/>
      <c r="AH374" s="10"/>
      <c r="AI374" s="10"/>
      <c r="AJ374" s="10"/>
      <c r="AK374" s="10"/>
      <c r="AL374" s="10"/>
      <c r="AM374" s="10"/>
      <c r="AN374" s="10"/>
    </row>
    <row r="375" spans="1:40" ht="20.25" hidden="1">
      <c r="A375" t="str">
        <f t="shared" si="86"/>
        <v>BoutiqueCsst</v>
      </c>
      <c r="B375" s="11" t="s">
        <v>114</v>
      </c>
      <c r="C375" s="102" t="s">
        <v>47</v>
      </c>
      <c r="D375" s="81"/>
      <c r="E375" s="13"/>
      <c r="F375" s="30">
        <v>0</v>
      </c>
      <c r="G375" s="83"/>
      <c r="H375" s="13"/>
      <c r="I375" s="30"/>
      <c r="J375" s="41"/>
      <c r="K375" s="13"/>
      <c r="L375" s="33">
        <v>0</v>
      </c>
      <c r="M375" s="41"/>
      <c r="N375" s="59"/>
      <c r="O375" s="41"/>
      <c r="P375" s="13"/>
      <c r="Q375" s="33">
        <v>0</v>
      </c>
      <c r="R375" s="41"/>
      <c r="S375" s="85">
        <f t="shared" si="88"/>
        <v>0</v>
      </c>
      <c r="T375" s="10"/>
      <c r="U375" s="10"/>
      <c r="V375" s="13"/>
      <c r="W375" s="10"/>
      <c r="X375" s="10"/>
      <c r="Y375" s="10"/>
      <c r="Z375" s="10"/>
      <c r="AA375" s="10"/>
      <c r="AB375" s="10"/>
      <c r="AC375" s="10"/>
      <c r="AD375" s="10"/>
      <c r="AE375" s="10"/>
      <c r="AF375" s="10"/>
      <c r="AG375" s="10"/>
      <c r="AH375" s="10"/>
      <c r="AI375" s="10"/>
      <c r="AJ375" s="10"/>
      <c r="AK375" s="10"/>
      <c r="AL375" s="10"/>
      <c r="AM375" s="10"/>
      <c r="AN375" s="10"/>
    </row>
    <row r="376" spans="1:40" ht="20.25" hidden="1">
      <c r="A376" t="str">
        <f t="shared" si="86"/>
        <v>Boutique[...]</v>
      </c>
      <c r="B376" s="11" t="s">
        <v>114</v>
      </c>
      <c r="C376" s="29" t="s">
        <v>19</v>
      </c>
      <c r="D376" s="87"/>
      <c r="E376" s="111"/>
      <c r="F376" s="30">
        <v>0</v>
      </c>
      <c r="G376" s="89"/>
      <c r="H376" s="111"/>
      <c r="I376" s="30"/>
      <c r="J376" s="23"/>
      <c r="K376" s="111"/>
      <c r="L376" s="33">
        <v>0</v>
      </c>
      <c r="M376" s="23"/>
      <c r="N376" s="91"/>
      <c r="O376" s="23"/>
      <c r="P376" s="111"/>
      <c r="Q376" s="33">
        <v>0</v>
      </c>
      <c r="R376" s="23"/>
      <c r="S376" s="92">
        <f t="shared" si="88"/>
        <v>0</v>
      </c>
      <c r="T376" s="10"/>
      <c r="U376" s="10"/>
      <c r="V376" s="13"/>
      <c r="W376" s="10"/>
      <c r="X376" s="10"/>
      <c r="Y376" s="10"/>
      <c r="Z376" s="10"/>
      <c r="AA376" s="10"/>
      <c r="AB376" s="10"/>
      <c r="AC376" s="10"/>
      <c r="AD376" s="10"/>
      <c r="AE376" s="10"/>
      <c r="AF376" s="10"/>
      <c r="AG376" s="10"/>
      <c r="AH376" s="10"/>
      <c r="AI376" s="10"/>
      <c r="AJ376" s="10"/>
      <c r="AK376" s="10"/>
      <c r="AL376" s="10"/>
      <c r="AM376" s="10"/>
      <c r="AN376" s="10"/>
    </row>
    <row r="377" spans="1:40" ht="20.25" hidden="1">
      <c r="A377" t="str">
        <f t="shared" si="86"/>
        <v>BoutiqueTOTAL PERSONNEL</v>
      </c>
      <c r="B377" s="11" t="s">
        <v>114</v>
      </c>
      <c r="C377" s="93" t="s">
        <v>48</v>
      </c>
      <c r="D377" s="94" t="s">
        <v>38</v>
      </c>
      <c r="E377" s="95">
        <f>IFERROR(F377/F$360,0)</f>
        <v>0</v>
      </c>
      <c r="F377" s="96">
        <f>+SUM(F365:F376)</f>
        <v>0</v>
      </c>
      <c r="G377" s="97"/>
      <c r="H377" s="95"/>
      <c r="I377" s="96"/>
      <c r="J377" s="97" t="s">
        <v>38</v>
      </c>
      <c r="K377" s="95">
        <f>IFERROR(L377/L$360,0)</f>
        <v>0</v>
      </c>
      <c r="L377" s="96">
        <f>+SUM(L365:L376)</f>
        <v>0</v>
      </c>
      <c r="M377" s="147"/>
      <c r="N377" s="113"/>
      <c r="O377" s="97" t="s">
        <v>38</v>
      </c>
      <c r="P377" s="95">
        <f>IFERROR(Q377/Q$360,0)</f>
        <v>0</v>
      </c>
      <c r="Q377" s="96">
        <f>+SUM(Q365:Q376)</f>
        <v>0</v>
      </c>
      <c r="R377" s="147"/>
      <c r="S377" s="114">
        <f t="shared" si="88"/>
        <v>0</v>
      </c>
      <c r="T377" s="10"/>
      <c r="U377" s="10"/>
      <c r="V377" s="13"/>
      <c r="W377" s="10"/>
      <c r="X377" s="10"/>
      <c r="Y377" s="10"/>
      <c r="Z377" s="10"/>
      <c r="AA377" s="10"/>
      <c r="AB377" s="10"/>
      <c r="AC377" s="10"/>
      <c r="AD377" s="10"/>
      <c r="AE377" s="10"/>
      <c r="AF377" s="10"/>
      <c r="AG377" s="10"/>
      <c r="AH377" s="10"/>
      <c r="AI377" s="10"/>
      <c r="AJ377" s="10"/>
      <c r="AK377" s="10"/>
      <c r="AL377" s="10"/>
      <c r="AM377" s="10"/>
      <c r="AN377" s="10"/>
    </row>
    <row r="378" spans="1:40" ht="20.25" hidden="1">
      <c r="A378" t="str">
        <f t="shared" si="86"/>
        <v>BoutiquePublicité 2</v>
      </c>
      <c r="B378" s="11" t="s">
        <v>114</v>
      </c>
      <c r="C378" s="211" t="s">
        <v>49</v>
      </c>
      <c r="D378" s="81"/>
      <c r="E378" s="13"/>
      <c r="F378" s="30">
        <v>0</v>
      </c>
      <c r="G378" s="83"/>
      <c r="H378" s="13"/>
      <c r="I378" s="30"/>
      <c r="J378" s="41"/>
      <c r="K378" s="13"/>
      <c r="L378" s="33">
        <v>0</v>
      </c>
      <c r="M378" s="41"/>
      <c r="N378" s="59"/>
      <c r="O378" s="41"/>
      <c r="P378" s="13"/>
      <c r="Q378" s="33">
        <v>0</v>
      </c>
      <c r="R378" s="41"/>
      <c r="S378" s="85">
        <f t="shared" si="88"/>
        <v>0</v>
      </c>
      <c r="T378" s="10"/>
      <c r="U378" s="10"/>
      <c r="V378" s="13"/>
      <c r="W378" s="10"/>
      <c r="X378" s="10"/>
      <c r="Y378" s="10"/>
      <c r="Z378" s="10"/>
      <c r="AA378" s="10"/>
      <c r="AB378" s="10"/>
      <c r="AC378" s="10"/>
      <c r="AD378" s="10"/>
      <c r="AE378" s="10"/>
      <c r="AF378" s="10"/>
      <c r="AG378" s="10"/>
      <c r="AH378" s="10"/>
      <c r="AI378" s="10"/>
      <c r="AJ378" s="10"/>
      <c r="AK378" s="10"/>
      <c r="AL378" s="10"/>
      <c r="AM378" s="10"/>
      <c r="AN378" s="10"/>
    </row>
    <row r="379" spans="1:40" ht="20.25" hidden="1">
      <c r="A379" t="str">
        <f t="shared" si="86"/>
        <v>BoutiqueService gratuit 2</v>
      </c>
      <c r="B379" s="11" t="s">
        <v>114</v>
      </c>
      <c r="C379" s="102" t="s">
        <v>50</v>
      </c>
      <c r="D379" s="81"/>
      <c r="E379" s="13"/>
      <c r="F379" s="30">
        <v>0</v>
      </c>
      <c r="G379" s="83"/>
      <c r="H379" s="13"/>
      <c r="I379" s="30"/>
      <c r="J379" s="41"/>
      <c r="K379" s="13"/>
      <c r="L379" s="33">
        <v>0</v>
      </c>
      <c r="M379" s="41"/>
      <c r="N379" s="59"/>
      <c r="O379" s="41"/>
      <c r="P379" s="13"/>
      <c r="Q379" s="33">
        <v>0</v>
      </c>
      <c r="R379" s="41"/>
      <c r="S379" s="85">
        <f t="shared" si="88"/>
        <v>0</v>
      </c>
      <c r="T379" s="10"/>
      <c r="U379" s="10"/>
      <c r="V379" s="13"/>
      <c r="W379" s="10"/>
      <c r="X379" s="10"/>
      <c r="Y379" s="10"/>
      <c r="Z379" s="10"/>
      <c r="AA379" s="10"/>
      <c r="AB379" s="10"/>
      <c r="AC379" s="10"/>
      <c r="AD379" s="10"/>
      <c r="AE379" s="10"/>
      <c r="AF379" s="10"/>
      <c r="AG379" s="10"/>
      <c r="AH379" s="10"/>
      <c r="AI379" s="10"/>
      <c r="AJ379" s="10"/>
      <c r="AK379" s="10"/>
      <c r="AL379" s="10"/>
      <c r="AM379" s="10"/>
      <c r="AN379" s="10"/>
    </row>
    <row r="380" spans="1:40" ht="20.25" hidden="1">
      <c r="A380" t="str">
        <f t="shared" si="86"/>
        <v>BoutiqueFrais véhicules de cie</v>
      </c>
      <c r="B380" s="11" t="s">
        <v>114</v>
      </c>
      <c r="C380" s="103" t="s">
        <v>51</v>
      </c>
      <c r="D380" s="87"/>
      <c r="E380" s="111"/>
      <c r="F380" s="22">
        <v>0</v>
      </c>
      <c r="G380" s="89"/>
      <c r="H380" s="111"/>
      <c r="I380" s="22"/>
      <c r="J380" s="23"/>
      <c r="K380" s="111"/>
      <c r="L380" s="22">
        <v>0</v>
      </c>
      <c r="M380" s="23"/>
      <c r="N380" s="91"/>
      <c r="O380" s="23"/>
      <c r="P380" s="111"/>
      <c r="Q380" s="22">
        <v>0</v>
      </c>
      <c r="R380" s="23"/>
      <c r="S380" s="92">
        <f t="shared" si="88"/>
        <v>0</v>
      </c>
      <c r="T380" s="10"/>
      <c r="U380" s="10"/>
      <c r="V380" s="13"/>
      <c r="W380" s="10"/>
      <c r="X380" s="10"/>
      <c r="Y380" s="10"/>
      <c r="Z380" s="10"/>
      <c r="AA380" s="10"/>
      <c r="AB380" s="10"/>
      <c r="AC380" s="10"/>
      <c r="AD380" s="10"/>
      <c r="AE380" s="10"/>
      <c r="AF380" s="10"/>
      <c r="AG380" s="10"/>
      <c r="AH380" s="10"/>
      <c r="AI380" s="10"/>
      <c r="AJ380" s="10"/>
      <c r="AK380" s="10"/>
      <c r="AL380" s="10"/>
      <c r="AM380" s="10"/>
      <c r="AN380" s="10"/>
    </row>
    <row r="381" spans="1:40" ht="20.25" hidden="1">
      <c r="A381" t="str">
        <f t="shared" si="86"/>
        <v>BoutiqueInformatique</v>
      </c>
      <c r="B381" s="11" t="s">
        <v>114</v>
      </c>
      <c r="C381" s="102" t="s">
        <v>52</v>
      </c>
      <c r="D381" s="81"/>
      <c r="E381" s="13"/>
      <c r="F381" s="30">
        <v>0</v>
      </c>
      <c r="G381" s="83"/>
      <c r="H381" s="13"/>
      <c r="I381" s="30"/>
      <c r="J381" s="41"/>
      <c r="K381" s="13"/>
      <c r="L381" s="33">
        <v>0</v>
      </c>
      <c r="M381" s="41"/>
      <c r="N381" s="59"/>
      <c r="O381" s="41"/>
      <c r="P381" s="13"/>
      <c r="Q381" s="33">
        <v>0</v>
      </c>
      <c r="R381" s="41"/>
      <c r="S381" s="85">
        <f t="shared" si="88"/>
        <v>0</v>
      </c>
      <c r="T381" s="10"/>
      <c r="U381" s="10"/>
      <c r="V381" s="13"/>
      <c r="W381" s="10"/>
      <c r="X381" s="10"/>
      <c r="Y381" s="10"/>
      <c r="Z381" s="10"/>
      <c r="AA381" s="10"/>
      <c r="AB381" s="10"/>
      <c r="AC381" s="10"/>
      <c r="AD381" s="10"/>
      <c r="AE381" s="10"/>
      <c r="AF381" s="10"/>
      <c r="AG381" s="10"/>
      <c r="AH381" s="10"/>
      <c r="AI381" s="10"/>
      <c r="AJ381" s="10"/>
      <c r="AK381" s="10"/>
      <c r="AL381" s="10"/>
      <c r="AM381" s="10"/>
      <c r="AN381" s="10"/>
    </row>
    <row r="382" spans="1:40" ht="20.25" hidden="1">
      <c r="A382" t="str">
        <f t="shared" si="86"/>
        <v>BoutiqueFrais de déplacement</v>
      </c>
      <c r="B382" s="11" t="s">
        <v>114</v>
      </c>
      <c r="C382" s="102" t="s">
        <v>53</v>
      </c>
      <c r="D382" s="81"/>
      <c r="E382" s="13"/>
      <c r="F382" s="30">
        <v>0</v>
      </c>
      <c r="G382" s="83"/>
      <c r="H382" s="13"/>
      <c r="I382" s="30"/>
      <c r="J382" s="41"/>
      <c r="K382" s="13"/>
      <c r="L382" s="33">
        <v>0</v>
      </c>
      <c r="M382" s="41"/>
      <c r="N382" s="59"/>
      <c r="O382" s="41"/>
      <c r="P382" s="13"/>
      <c r="Q382" s="33">
        <v>0</v>
      </c>
      <c r="R382" s="41"/>
      <c r="S382" s="85">
        <f t="shared" si="88"/>
        <v>0</v>
      </c>
      <c r="T382" s="10"/>
      <c r="U382" s="10"/>
      <c r="V382" s="13"/>
      <c r="W382" s="10"/>
      <c r="X382" s="10"/>
      <c r="Y382" s="10"/>
      <c r="Z382" s="10"/>
      <c r="AA382" s="10"/>
      <c r="AB382" s="10"/>
      <c r="AC382" s="10"/>
      <c r="AD382" s="10"/>
      <c r="AE382" s="10"/>
      <c r="AF382" s="10"/>
      <c r="AG382" s="10"/>
      <c r="AH382" s="10"/>
      <c r="AI382" s="10"/>
      <c r="AJ382" s="10"/>
      <c r="AK382" s="10"/>
      <c r="AL382" s="10"/>
      <c r="AM382" s="10"/>
      <c r="AN382" s="10"/>
    </row>
    <row r="383" spans="1:40" ht="20.25" hidden="1">
      <c r="A383" t="str">
        <f t="shared" si="86"/>
        <v>BoutiqueServices extérieurs</v>
      </c>
      <c r="B383" s="11" t="s">
        <v>114</v>
      </c>
      <c r="C383" s="102" t="s">
        <v>54</v>
      </c>
      <c r="D383" s="87"/>
      <c r="E383" s="111"/>
      <c r="F383" s="22">
        <v>0</v>
      </c>
      <c r="G383" s="89"/>
      <c r="H383" s="111"/>
      <c r="I383" s="22"/>
      <c r="J383" s="23"/>
      <c r="K383" s="111"/>
      <c r="L383" s="22">
        <v>0</v>
      </c>
      <c r="M383" s="23"/>
      <c r="N383" s="91"/>
      <c r="O383" s="23"/>
      <c r="P383" s="111"/>
      <c r="Q383" s="22">
        <v>0</v>
      </c>
      <c r="R383" s="23"/>
      <c r="S383" s="92">
        <f t="shared" si="88"/>
        <v>0</v>
      </c>
      <c r="T383" s="10"/>
      <c r="U383" s="10"/>
      <c r="V383" s="13"/>
      <c r="W383" s="10"/>
      <c r="X383" s="10"/>
      <c r="Y383" s="10"/>
      <c r="Z383" s="10"/>
      <c r="AA383" s="10"/>
      <c r="AB383" s="10"/>
      <c r="AC383" s="10"/>
      <c r="AD383" s="10"/>
      <c r="AE383" s="10"/>
      <c r="AF383" s="10"/>
      <c r="AG383" s="10"/>
      <c r="AH383" s="10"/>
      <c r="AI383" s="10"/>
      <c r="AJ383" s="10"/>
      <c r="AK383" s="10"/>
      <c r="AL383" s="10"/>
      <c r="AM383" s="10"/>
      <c r="AN383" s="10"/>
    </row>
    <row r="384" spans="1:40" ht="20.25" hidden="1">
      <c r="A384" t="str">
        <f t="shared" si="86"/>
        <v>BoutiqueFournitures autres</v>
      </c>
      <c r="B384" s="11" t="s">
        <v>114</v>
      </c>
      <c r="C384" s="211" t="s">
        <v>55</v>
      </c>
      <c r="D384" s="81"/>
      <c r="E384" s="13"/>
      <c r="F384" s="30">
        <v>0</v>
      </c>
      <c r="G384" s="83"/>
      <c r="H384" s="13"/>
      <c r="I384" s="30"/>
      <c r="J384" s="41"/>
      <c r="K384" s="13"/>
      <c r="L384" s="33">
        <v>0</v>
      </c>
      <c r="M384" s="41"/>
      <c r="N384" s="59"/>
      <c r="O384" s="41"/>
      <c r="P384" s="13"/>
      <c r="Q384" s="33">
        <v>0</v>
      </c>
      <c r="R384" s="41"/>
      <c r="S384" s="85">
        <f t="shared" si="88"/>
        <v>0</v>
      </c>
      <c r="T384" s="10"/>
      <c r="U384" s="10"/>
      <c r="V384" s="13"/>
      <c r="W384" s="10"/>
      <c r="X384" s="10"/>
      <c r="Y384" s="10"/>
      <c r="Z384" s="10"/>
      <c r="AA384" s="10"/>
      <c r="AB384" s="10"/>
      <c r="AC384" s="10"/>
      <c r="AD384" s="10"/>
      <c r="AE384" s="10"/>
      <c r="AF384" s="10"/>
      <c r="AG384" s="10"/>
      <c r="AH384" s="10"/>
      <c r="AI384" s="10"/>
      <c r="AJ384" s="10"/>
      <c r="AK384" s="10"/>
      <c r="AL384" s="10"/>
      <c r="AM384" s="10"/>
      <c r="AN384" s="10"/>
    </row>
    <row r="385" spans="1:40" ht="20.25" hidden="1">
      <c r="A385" t="str">
        <f t="shared" si="86"/>
        <v>BoutiqueUniformes</v>
      </c>
      <c r="B385" s="11" t="s">
        <v>114</v>
      </c>
      <c r="C385" s="102" t="s">
        <v>56</v>
      </c>
      <c r="D385" s="81"/>
      <c r="E385" s="13"/>
      <c r="F385" s="30">
        <v>0</v>
      </c>
      <c r="G385" s="83"/>
      <c r="H385" s="13"/>
      <c r="I385" s="30"/>
      <c r="J385" s="41"/>
      <c r="K385" s="13"/>
      <c r="L385" s="33">
        <v>0</v>
      </c>
      <c r="M385" s="41"/>
      <c r="N385" s="59"/>
      <c r="O385" s="41"/>
      <c r="P385" s="13"/>
      <c r="Q385" s="33">
        <v>0</v>
      </c>
      <c r="R385" s="41"/>
      <c r="S385" s="85">
        <f t="shared" si="88"/>
        <v>0</v>
      </c>
      <c r="T385" s="10"/>
      <c r="U385" s="10"/>
      <c r="V385" s="13"/>
      <c r="W385" s="10"/>
      <c r="X385" s="10"/>
      <c r="Y385" s="10"/>
      <c r="Z385" s="10"/>
      <c r="AA385" s="10"/>
      <c r="AB385" s="10"/>
      <c r="AC385" s="10"/>
      <c r="AD385" s="10"/>
      <c r="AE385" s="10"/>
      <c r="AF385" s="10"/>
      <c r="AG385" s="10"/>
      <c r="AH385" s="10"/>
      <c r="AI385" s="10"/>
      <c r="AJ385" s="10"/>
      <c r="AK385" s="10"/>
      <c r="AL385" s="10"/>
      <c r="AM385" s="10"/>
      <c r="AN385" s="10"/>
    </row>
    <row r="386" spans="1:40" ht="20.25" hidden="1">
      <c r="A386" t="str">
        <f t="shared" si="86"/>
        <v>BoutiquePapeterie</v>
      </c>
      <c r="B386" s="11" t="s">
        <v>114</v>
      </c>
      <c r="C386" s="102" t="s">
        <v>57</v>
      </c>
      <c r="D386" s="81"/>
      <c r="E386" s="13"/>
      <c r="F386" s="30">
        <v>0</v>
      </c>
      <c r="G386" s="83"/>
      <c r="H386" s="13"/>
      <c r="I386" s="30"/>
      <c r="J386" s="41"/>
      <c r="K386" s="13"/>
      <c r="L386" s="33">
        <v>0</v>
      </c>
      <c r="M386" s="41"/>
      <c r="N386" s="59"/>
      <c r="O386" s="41"/>
      <c r="P386" s="13"/>
      <c r="Q386" s="33">
        <v>0</v>
      </c>
      <c r="R386" s="41"/>
      <c r="S386" s="85">
        <f t="shared" si="88"/>
        <v>0</v>
      </c>
      <c r="T386" s="10"/>
      <c r="U386" s="10"/>
      <c r="V386" s="13"/>
      <c r="W386" s="10"/>
      <c r="X386" s="10"/>
      <c r="Y386" s="10"/>
      <c r="Z386" s="10"/>
      <c r="AA386" s="10"/>
      <c r="AB386" s="10"/>
      <c r="AC386" s="10"/>
      <c r="AD386" s="10"/>
      <c r="AE386" s="10"/>
      <c r="AF386" s="10"/>
      <c r="AG386" s="10"/>
      <c r="AH386" s="10"/>
      <c r="AI386" s="10"/>
      <c r="AJ386" s="10"/>
      <c r="AK386" s="10"/>
      <c r="AL386" s="10"/>
      <c r="AM386" s="10"/>
      <c r="AN386" s="10"/>
    </row>
    <row r="387" spans="1:40" ht="20.25" hidden="1">
      <c r="A387" t="str">
        <f t="shared" si="86"/>
        <v>BoutiqueTéléphone</v>
      </c>
      <c r="B387" s="11" t="s">
        <v>114</v>
      </c>
      <c r="C387" s="102" t="s">
        <v>58</v>
      </c>
      <c r="D387" s="81"/>
      <c r="E387" s="13"/>
      <c r="F387" s="30">
        <v>0</v>
      </c>
      <c r="G387" s="83"/>
      <c r="H387" s="13"/>
      <c r="I387" s="30"/>
      <c r="J387" s="41"/>
      <c r="K387" s="13"/>
      <c r="L387" s="33">
        <v>0</v>
      </c>
      <c r="M387" s="41"/>
      <c r="N387" s="59"/>
      <c r="O387" s="41"/>
      <c r="P387" s="13"/>
      <c r="Q387" s="33">
        <v>0</v>
      </c>
      <c r="R387" s="41"/>
      <c r="S387" s="85">
        <f t="shared" si="88"/>
        <v>0</v>
      </c>
      <c r="T387" s="10"/>
      <c r="U387" s="10"/>
      <c r="V387" s="13"/>
      <c r="W387" s="10"/>
      <c r="X387" s="10"/>
      <c r="Y387" s="10"/>
      <c r="Z387" s="10"/>
      <c r="AA387" s="10"/>
      <c r="AB387" s="10"/>
      <c r="AC387" s="10"/>
      <c r="AD387" s="10"/>
      <c r="AE387" s="10"/>
      <c r="AF387" s="10"/>
      <c r="AG387" s="10"/>
      <c r="AH387" s="10"/>
      <c r="AI387" s="10"/>
      <c r="AJ387" s="10"/>
      <c r="AK387" s="10"/>
      <c r="AL387" s="10"/>
      <c r="AM387" s="10"/>
      <c r="AN387" s="10"/>
    </row>
    <row r="388" spans="1:40" ht="20.25" hidden="1">
      <c r="A388" t="str">
        <f t="shared" si="86"/>
        <v>BoutiqueFrais postaux</v>
      </c>
      <c r="B388" s="11" t="s">
        <v>114</v>
      </c>
      <c r="C388" s="102" t="s">
        <v>59</v>
      </c>
      <c r="D388" s="81"/>
      <c r="E388" s="13"/>
      <c r="F388" s="30">
        <v>0</v>
      </c>
      <c r="G388" s="83"/>
      <c r="H388" s="13"/>
      <c r="I388" s="30"/>
      <c r="J388" s="41"/>
      <c r="K388" s="13"/>
      <c r="L388" s="33">
        <v>0</v>
      </c>
      <c r="M388" s="41"/>
      <c r="N388" s="59"/>
      <c r="O388" s="41"/>
      <c r="P388" s="13"/>
      <c r="Q388" s="33">
        <v>0</v>
      </c>
      <c r="R388" s="41"/>
      <c r="S388" s="85">
        <f t="shared" si="88"/>
        <v>0</v>
      </c>
      <c r="T388" s="10"/>
      <c r="U388" s="10"/>
      <c r="V388" s="13"/>
      <c r="W388" s="10"/>
      <c r="X388" s="10"/>
      <c r="Y388" s="10"/>
      <c r="Z388" s="10"/>
      <c r="AA388" s="10"/>
      <c r="AB388" s="10"/>
      <c r="AC388" s="10"/>
      <c r="AD388" s="10"/>
      <c r="AE388" s="10"/>
      <c r="AF388" s="10"/>
      <c r="AG388" s="10"/>
      <c r="AH388" s="10"/>
      <c r="AI388" s="10"/>
      <c r="AJ388" s="10"/>
      <c r="AK388" s="10"/>
      <c r="AL388" s="10"/>
      <c r="AM388" s="10"/>
      <c r="AN388" s="10"/>
    </row>
    <row r="389" spans="1:40" ht="20.25" hidden="1">
      <c r="A389" t="str">
        <f t="shared" si="86"/>
        <v>BoutiqueDivers</v>
      </c>
      <c r="B389" s="11" t="s">
        <v>114</v>
      </c>
      <c r="C389" s="102" t="s">
        <v>60</v>
      </c>
      <c r="D389" s="81"/>
      <c r="E389" s="13"/>
      <c r="F389" s="30">
        <v>0</v>
      </c>
      <c r="G389" s="83"/>
      <c r="H389" s="13"/>
      <c r="I389" s="30"/>
      <c r="J389" s="41"/>
      <c r="K389" s="13"/>
      <c r="L389" s="33">
        <v>0</v>
      </c>
      <c r="M389" s="41"/>
      <c r="N389" s="59"/>
      <c r="O389" s="41"/>
      <c r="P389" s="13"/>
      <c r="Q389" s="33">
        <v>0</v>
      </c>
      <c r="R389" s="41"/>
      <c r="S389" s="85">
        <f t="shared" si="88"/>
        <v>0</v>
      </c>
      <c r="T389" s="10"/>
      <c r="U389" s="10"/>
      <c r="V389" s="13"/>
      <c r="W389" s="10"/>
      <c r="X389" s="10"/>
      <c r="Y389" s="10"/>
      <c r="Z389" s="10"/>
      <c r="AA389" s="10"/>
      <c r="AB389" s="10"/>
      <c r="AC389" s="10"/>
      <c r="AD389" s="10"/>
      <c r="AE389" s="10"/>
      <c r="AF389" s="10"/>
      <c r="AG389" s="10"/>
      <c r="AH389" s="10"/>
      <c r="AI389" s="10"/>
      <c r="AJ389" s="10"/>
      <c r="AK389" s="10"/>
      <c r="AL389" s="10"/>
      <c r="AM389" s="10"/>
      <c r="AN389" s="10"/>
    </row>
    <row r="390" spans="1:40" ht="20.25" hidden="1">
      <c r="A390" t="str">
        <f t="shared" si="86"/>
        <v>BoutiqueFormation</v>
      </c>
      <c r="B390" s="11" t="s">
        <v>114</v>
      </c>
      <c r="C390" s="102" t="s">
        <v>61</v>
      </c>
      <c r="D390" s="81"/>
      <c r="E390" s="13"/>
      <c r="F390" s="30">
        <v>0</v>
      </c>
      <c r="G390" s="83"/>
      <c r="H390" s="13"/>
      <c r="I390" s="30"/>
      <c r="J390" s="41"/>
      <c r="K390" s="13"/>
      <c r="L390" s="33">
        <v>0</v>
      </c>
      <c r="M390" s="41"/>
      <c r="N390" s="59"/>
      <c r="O390" s="41"/>
      <c r="P390" s="13"/>
      <c r="Q390" s="33">
        <v>0</v>
      </c>
      <c r="R390" s="41"/>
      <c r="S390" s="85">
        <f t="shared" si="88"/>
        <v>0</v>
      </c>
      <c r="T390" s="10"/>
      <c r="U390" s="10"/>
      <c r="V390" s="13"/>
      <c r="W390" s="10"/>
      <c r="X390" s="10"/>
      <c r="Y390" s="10"/>
      <c r="Z390" s="10"/>
      <c r="AA390" s="10"/>
      <c r="AB390" s="10"/>
      <c r="AC390" s="10"/>
      <c r="AD390" s="10"/>
      <c r="AE390" s="10"/>
      <c r="AF390" s="10"/>
      <c r="AG390" s="10"/>
      <c r="AH390" s="10"/>
      <c r="AI390" s="10"/>
      <c r="AJ390" s="10"/>
      <c r="AK390" s="10"/>
      <c r="AL390" s="10"/>
      <c r="AM390" s="10"/>
      <c r="AN390" s="10"/>
    </row>
    <row r="391" spans="1:40" ht="20.25" hidden="1">
      <c r="A391" t="str">
        <f t="shared" si="86"/>
        <v>BoutiqueFrais bancaires</v>
      </c>
      <c r="B391" s="11" t="s">
        <v>114</v>
      </c>
      <c r="C391" s="102" t="s">
        <v>62</v>
      </c>
      <c r="D391" s="81"/>
      <c r="E391" s="13"/>
      <c r="F391" s="30">
        <v>0</v>
      </c>
      <c r="G391" s="83"/>
      <c r="H391" s="13"/>
      <c r="I391" s="30"/>
      <c r="J391" s="41"/>
      <c r="K391" s="13"/>
      <c r="L391" s="33">
        <v>0</v>
      </c>
      <c r="M391" s="41"/>
      <c r="N391" s="59"/>
      <c r="O391" s="41"/>
      <c r="P391" s="13"/>
      <c r="Q391" s="33">
        <v>0</v>
      </c>
      <c r="R391" s="41"/>
      <c r="S391" s="85">
        <f t="shared" si="88"/>
        <v>0</v>
      </c>
      <c r="T391" s="10"/>
      <c r="U391" s="10"/>
      <c r="V391" s="13"/>
      <c r="W391" s="10"/>
      <c r="X391" s="10"/>
      <c r="Y391" s="10"/>
      <c r="Z391" s="10"/>
      <c r="AA391" s="10"/>
      <c r="AB391" s="10"/>
      <c r="AC391" s="10"/>
      <c r="AD391" s="10"/>
      <c r="AE391" s="10"/>
      <c r="AF391" s="10"/>
      <c r="AG391" s="10"/>
      <c r="AH391" s="10"/>
      <c r="AI391" s="10"/>
      <c r="AJ391" s="10"/>
      <c r="AK391" s="10"/>
      <c r="AL391" s="10"/>
      <c r="AM391" s="10"/>
      <c r="AN391" s="10"/>
    </row>
    <row r="392" spans="1:40" ht="20.25" hidden="1">
      <c r="A392" t="str">
        <f t="shared" si="86"/>
        <v>Boutique[...]</v>
      </c>
      <c r="B392" s="11" t="s">
        <v>114</v>
      </c>
      <c r="C392" s="102" t="s">
        <v>19</v>
      </c>
      <c r="D392" s="81"/>
      <c r="E392" s="13"/>
      <c r="F392" s="30">
        <v>0</v>
      </c>
      <c r="G392" s="83"/>
      <c r="H392" s="13"/>
      <c r="I392" s="30"/>
      <c r="J392" s="41"/>
      <c r="K392" s="13"/>
      <c r="L392" s="33">
        <v>0</v>
      </c>
      <c r="M392" s="41"/>
      <c r="N392" s="59"/>
      <c r="O392" s="41"/>
      <c r="P392" s="13"/>
      <c r="Q392" s="33">
        <v>0</v>
      </c>
      <c r="R392" s="41"/>
      <c r="S392" s="85">
        <f t="shared" si="88"/>
        <v>0</v>
      </c>
      <c r="T392" s="10"/>
      <c r="U392" s="10"/>
      <c r="V392" s="13"/>
      <c r="W392" s="10"/>
      <c r="X392" s="10"/>
      <c r="Y392" s="10"/>
      <c r="Z392" s="10"/>
      <c r="AA392" s="10"/>
      <c r="AB392" s="10"/>
      <c r="AC392" s="10"/>
      <c r="AD392" s="10"/>
      <c r="AE392" s="10"/>
      <c r="AF392" s="10"/>
      <c r="AG392" s="10"/>
      <c r="AH392" s="10"/>
      <c r="AI392" s="10"/>
      <c r="AJ392" s="10"/>
      <c r="AK392" s="10"/>
      <c r="AL392" s="10"/>
      <c r="AM392" s="10"/>
      <c r="AN392" s="10"/>
    </row>
    <row r="393" spans="1:40" ht="20.25" hidden="1">
      <c r="A393" t="str">
        <f t="shared" si="86"/>
        <v>Boutique[...]</v>
      </c>
      <c r="B393" s="11" t="s">
        <v>114</v>
      </c>
      <c r="C393" s="102" t="s">
        <v>19</v>
      </c>
      <c r="D393" s="81"/>
      <c r="E393" s="13"/>
      <c r="F393" s="30">
        <v>0</v>
      </c>
      <c r="G393" s="83"/>
      <c r="H393" s="13"/>
      <c r="I393" s="30"/>
      <c r="J393" s="41"/>
      <c r="K393" s="13"/>
      <c r="L393" s="33">
        <v>0</v>
      </c>
      <c r="M393" s="41"/>
      <c r="N393" s="59"/>
      <c r="O393" s="41"/>
      <c r="P393" s="13"/>
      <c r="Q393" s="33">
        <v>0</v>
      </c>
      <c r="R393" s="41"/>
      <c r="S393" s="85">
        <f t="shared" si="88"/>
        <v>0</v>
      </c>
      <c r="T393" s="10"/>
      <c r="U393" s="10"/>
      <c r="V393" s="13"/>
      <c r="W393" s="10"/>
      <c r="X393" s="10"/>
      <c r="Y393" s="10"/>
      <c r="Z393" s="10"/>
      <c r="AA393" s="10"/>
      <c r="AB393" s="10"/>
      <c r="AC393" s="10"/>
      <c r="AD393" s="10"/>
      <c r="AE393" s="10"/>
      <c r="AF393" s="10"/>
      <c r="AG393" s="10"/>
      <c r="AH393" s="10"/>
      <c r="AI393" s="10"/>
      <c r="AJ393" s="10"/>
      <c r="AK393" s="10"/>
      <c r="AL393" s="10"/>
      <c r="AM393" s="10"/>
      <c r="AN393" s="10"/>
    </row>
    <row r="394" spans="1:40" ht="20.25" hidden="1">
      <c r="A394" t="str">
        <f t="shared" si="86"/>
        <v>Boutique[...]</v>
      </c>
      <c r="B394" s="11" t="s">
        <v>114</v>
      </c>
      <c r="C394" s="102" t="s">
        <v>19</v>
      </c>
      <c r="D394" s="87"/>
      <c r="E394" s="111"/>
      <c r="F394" s="30">
        <v>0</v>
      </c>
      <c r="G394" s="89"/>
      <c r="H394" s="111"/>
      <c r="I394" s="30"/>
      <c r="J394" s="23"/>
      <c r="K394" s="111"/>
      <c r="L394" s="33">
        <v>0</v>
      </c>
      <c r="M394" s="23"/>
      <c r="N394" s="91"/>
      <c r="O394" s="23"/>
      <c r="P394" s="111"/>
      <c r="Q394" s="33">
        <v>0</v>
      </c>
      <c r="R394" s="23"/>
      <c r="S394" s="92">
        <f t="shared" si="88"/>
        <v>0</v>
      </c>
      <c r="T394" s="10"/>
      <c r="U394" s="10"/>
      <c r="V394" s="13"/>
      <c r="W394" s="10"/>
      <c r="X394" s="10"/>
      <c r="Y394" s="10"/>
      <c r="Z394" s="10"/>
      <c r="AA394" s="10"/>
      <c r="AB394" s="10"/>
      <c r="AC394" s="10"/>
      <c r="AD394" s="10"/>
      <c r="AE394" s="10"/>
      <c r="AF394" s="10"/>
      <c r="AG394" s="10"/>
      <c r="AH394" s="10"/>
      <c r="AI394" s="10"/>
      <c r="AJ394" s="10"/>
      <c r="AK394" s="10"/>
      <c r="AL394" s="10"/>
      <c r="AM394" s="10"/>
      <c r="AN394" s="10"/>
    </row>
    <row r="395" spans="1:40" ht="20.25" hidden="1">
      <c r="B395" s="7"/>
      <c r="C395" s="93" t="s">
        <v>63</v>
      </c>
      <c r="D395" s="94" t="s">
        <v>38</v>
      </c>
      <c r="E395" s="95">
        <f>IFERROR(F395/F$360,0)</f>
        <v>0</v>
      </c>
      <c r="F395" s="96">
        <f>+SUM(F378:F394)</f>
        <v>0</v>
      </c>
      <c r="G395" s="97"/>
      <c r="H395" s="95"/>
      <c r="I395" s="96"/>
      <c r="J395" s="97" t="s">
        <v>38</v>
      </c>
      <c r="K395" s="95">
        <f>IFERROR(L395/L$360,0)</f>
        <v>0</v>
      </c>
      <c r="L395" s="96">
        <f>+SUM(L378:L394)</f>
        <v>0</v>
      </c>
      <c r="M395" s="147"/>
      <c r="N395" s="96"/>
      <c r="O395" s="97" t="s">
        <v>38</v>
      </c>
      <c r="P395" s="95">
        <f>IFERROR(Q395/Q$360,0)</f>
        <v>0</v>
      </c>
      <c r="Q395" s="96">
        <f>+SUM(Q378:Q394)</f>
        <v>0</v>
      </c>
      <c r="R395" s="147"/>
      <c r="S395" s="114">
        <f>+SUM(S378:S394)</f>
        <v>0</v>
      </c>
      <c r="T395" s="10"/>
      <c r="U395" s="10"/>
      <c r="V395" s="13"/>
      <c r="W395" s="10"/>
      <c r="X395" s="10"/>
      <c r="Y395" s="10"/>
      <c r="Z395" s="10"/>
      <c r="AA395" s="10"/>
      <c r="AB395" s="10"/>
      <c r="AC395" s="10"/>
      <c r="AD395" s="10"/>
      <c r="AE395" s="10"/>
      <c r="AF395" s="10"/>
      <c r="AG395" s="10"/>
      <c r="AH395" s="10"/>
      <c r="AI395" s="10"/>
      <c r="AJ395" s="10"/>
      <c r="AK395" s="10"/>
      <c r="AL395" s="10"/>
      <c r="AM395" s="10"/>
      <c r="AN395" s="10"/>
    </row>
    <row r="396" spans="1:40" ht="20.25" hidden="1">
      <c r="B396" s="7"/>
      <c r="C396" s="29"/>
      <c r="D396" s="13"/>
      <c r="E396" s="13"/>
      <c r="F396" s="40"/>
      <c r="G396" s="41"/>
      <c r="H396" s="13"/>
      <c r="I396" s="40"/>
      <c r="J396" s="41"/>
      <c r="K396" s="13"/>
      <c r="L396" s="40"/>
      <c r="M396" s="78"/>
      <c r="N396" s="77"/>
      <c r="O396" s="41"/>
      <c r="P396" s="13"/>
      <c r="Q396" s="40"/>
      <c r="R396" s="41"/>
      <c r="S396" s="245"/>
      <c r="T396" s="246"/>
      <c r="U396" s="246"/>
      <c r="V396" s="13"/>
      <c r="W396" s="10"/>
      <c r="X396" s="10"/>
      <c r="Y396" s="10"/>
      <c r="Z396" s="10"/>
      <c r="AA396" s="10"/>
      <c r="AB396" s="10"/>
      <c r="AC396" s="10"/>
      <c r="AD396" s="10"/>
      <c r="AE396" s="10"/>
      <c r="AF396" s="10"/>
      <c r="AG396" s="10"/>
      <c r="AH396" s="10"/>
      <c r="AI396" s="10"/>
      <c r="AJ396" s="10"/>
      <c r="AK396" s="10"/>
      <c r="AL396" s="10"/>
      <c r="AM396" s="10"/>
      <c r="AN396" s="10"/>
    </row>
    <row r="397" spans="1:40" ht="20.25" hidden="1">
      <c r="B397" s="7"/>
      <c r="C397" s="93" t="s">
        <v>64</v>
      </c>
      <c r="D397" s="94" t="s">
        <v>38</v>
      </c>
      <c r="E397" s="95">
        <f>IFERROR(F397/F$360,0)</f>
        <v>0</v>
      </c>
      <c r="F397" s="96">
        <f>F377+F395</f>
        <v>0</v>
      </c>
      <c r="G397" s="97"/>
      <c r="H397" s="95"/>
      <c r="I397" s="96"/>
      <c r="J397" s="97" t="s">
        <v>38</v>
      </c>
      <c r="K397" s="95">
        <f>IFERROR(L397/L$360,0)</f>
        <v>0</v>
      </c>
      <c r="L397" s="96">
        <f>L377+L395</f>
        <v>0</v>
      </c>
      <c r="M397" s="247"/>
      <c r="N397" s="96"/>
      <c r="O397" s="97" t="s">
        <v>38</v>
      </c>
      <c r="P397" s="95">
        <f>IFERROR(Q397/Q$360,0)</f>
        <v>0</v>
      </c>
      <c r="Q397" s="96">
        <f>Q377+Q395</f>
        <v>0</v>
      </c>
      <c r="R397" s="100"/>
      <c r="S397" s="101">
        <f>L397-Q397</f>
        <v>0</v>
      </c>
      <c r="T397" s="246"/>
      <c r="U397" s="246"/>
      <c r="V397" s="13"/>
      <c r="W397" s="10"/>
      <c r="X397" s="10"/>
      <c r="Y397" s="10"/>
      <c r="Z397" s="10"/>
      <c r="AA397" s="10"/>
      <c r="AB397" s="10"/>
      <c r="AC397" s="10"/>
      <c r="AD397" s="10"/>
      <c r="AE397" s="10"/>
      <c r="AF397" s="10"/>
      <c r="AG397" s="10"/>
      <c r="AH397" s="10"/>
      <c r="AI397" s="10"/>
      <c r="AJ397" s="10"/>
      <c r="AK397" s="10"/>
      <c r="AL397" s="10"/>
      <c r="AM397" s="10"/>
      <c r="AN397" s="10"/>
    </row>
    <row r="398" spans="1:40" ht="20.25" hidden="1">
      <c r="B398" s="7"/>
      <c r="C398" s="29"/>
      <c r="D398" s="13"/>
      <c r="E398" s="13"/>
      <c r="F398" s="59"/>
      <c r="G398" s="41"/>
      <c r="H398" s="13"/>
      <c r="I398" s="59"/>
      <c r="J398" s="41"/>
      <c r="K398" s="13"/>
      <c r="L398" s="59"/>
      <c r="M398" s="78"/>
      <c r="N398" s="77"/>
      <c r="O398" s="41"/>
      <c r="P398" s="13"/>
      <c r="Q398" s="59"/>
      <c r="R398" s="41"/>
      <c r="S398" s="245"/>
      <c r="T398" s="10"/>
      <c r="U398" s="10"/>
      <c r="V398" s="13"/>
      <c r="W398" s="10"/>
      <c r="X398" s="10"/>
      <c r="Y398" s="10"/>
      <c r="Z398" s="10"/>
      <c r="AA398" s="10"/>
      <c r="AB398" s="10"/>
      <c r="AC398" s="10"/>
      <c r="AD398" s="10"/>
      <c r="AE398" s="10"/>
      <c r="AF398" s="10"/>
      <c r="AG398" s="10"/>
      <c r="AH398" s="10"/>
      <c r="AI398" s="10"/>
      <c r="AJ398" s="10"/>
      <c r="AK398" s="10"/>
      <c r="AL398" s="10"/>
      <c r="AM398" s="10"/>
      <c r="AN398" s="10"/>
    </row>
    <row r="399" spans="1:40" ht="21.75" hidden="1" thickTop="1" thickBot="1">
      <c r="B399" s="7"/>
      <c r="C399" s="248" t="s">
        <v>69</v>
      </c>
      <c r="D399" s="249"/>
      <c r="E399" s="249"/>
      <c r="F399" s="250">
        <f>F362-F397</f>
        <v>0</v>
      </c>
      <c r="G399" s="251"/>
      <c r="H399" s="249"/>
      <c r="I399" s="250"/>
      <c r="J399" s="252"/>
      <c r="K399" s="253"/>
      <c r="L399" s="250">
        <f>L362-L397</f>
        <v>0</v>
      </c>
      <c r="M399" s="251"/>
      <c r="N399" s="250"/>
      <c r="O399" s="252"/>
      <c r="P399" s="253"/>
      <c r="Q399" s="250">
        <f>Q362-Q397</f>
        <v>0</v>
      </c>
      <c r="R399" s="252"/>
      <c r="S399" s="254">
        <f>L399-Q399</f>
        <v>0</v>
      </c>
      <c r="T399" s="10"/>
      <c r="U399" s="10"/>
      <c r="V399" s="13"/>
      <c r="W399" s="10"/>
      <c r="X399" s="10"/>
      <c r="Y399" s="10"/>
      <c r="Z399" s="10"/>
      <c r="AA399" s="10"/>
      <c r="AB399" s="10"/>
      <c r="AC399" s="10"/>
      <c r="AD399" s="10"/>
      <c r="AE399" s="10"/>
      <c r="AF399" s="10"/>
      <c r="AG399" s="10"/>
      <c r="AH399" s="10"/>
      <c r="AI399" s="10"/>
      <c r="AJ399" s="10"/>
      <c r="AK399" s="10"/>
      <c r="AL399" s="10"/>
      <c r="AM399" s="10"/>
      <c r="AN399" s="10"/>
    </row>
    <row r="400" spans="1:40" ht="20.25" hidden="1">
      <c r="B400" s="7"/>
      <c r="C400" s="76"/>
      <c r="D400" s="81"/>
      <c r="E400" s="13"/>
      <c r="F400" s="112"/>
      <c r="G400" s="81"/>
      <c r="H400" s="13"/>
      <c r="I400" s="112"/>
      <c r="J400" s="76"/>
      <c r="K400" s="76"/>
      <c r="L400" s="112"/>
      <c r="M400" s="76"/>
      <c r="N400" s="112"/>
      <c r="O400" s="76"/>
      <c r="P400" s="76"/>
      <c r="Q400" s="112"/>
      <c r="R400" s="76"/>
      <c r="S400" s="112"/>
      <c r="T400" s="13"/>
      <c r="U400" s="13"/>
      <c r="V400" s="13"/>
      <c r="W400" s="13"/>
      <c r="X400" s="13"/>
      <c r="Y400" s="13"/>
      <c r="Z400" s="13"/>
      <c r="AA400" s="13"/>
      <c r="AB400" s="13"/>
      <c r="AC400" s="13"/>
      <c r="AD400" s="13"/>
      <c r="AE400" s="13"/>
      <c r="AF400" s="13"/>
      <c r="AG400" s="13"/>
      <c r="AH400" s="13"/>
      <c r="AI400" s="13"/>
      <c r="AJ400" s="13"/>
      <c r="AK400" s="13"/>
      <c r="AL400" s="13"/>
      <c r="AM400" s="13"/>
      <c r="AN400" s="13"/>
    </row>
    <row r="401" spans="1:61" ht="20.25">
      <c r="B401" s="7"/>
      <c r="C401" s="13"/>
      <c r="D401" s="13"/>
      <c r="E401" s="13"/>
      <c r="F401" s="82">
        <f>F353+F289+F233</f>
        <v>66715.674294403332</v>
      </c>
      <c r="G401" s="13"/>
      <c r="H401" s="13"/>
      <c r="I401" s="13"/>
      <c r="J401" s="13"/>
      <c r="K401" s="13"/>
      <c r="L401" s="82">
        <f>L353+L289+L233</f>
        <v>35441.489999999983</v>
      </c>
      <c r="M401" s="13"/>
      <c r="N401" s="13"/>
      <c r="O401" s="13"/>
      <c r="P401" s="13"/>
      <c r="Q401" s="13"/>
      <c r="R401" s="13"/>
      <c r="S401" s="13"/>
      <c r="T401" s="10"/>
      <c r="U401" s="10"/>
      <c r="V401" s="13"/>
      <c r="W401" s="10"/>
      <c r="X401" s="10"/>
      <c r="Y401" s="10"/>
      <c r="Z401" s="10"/>
      <c r="AA401" s="10"/>
      <c r="AB401" s="10"/>
      <c r="AC401" s="10"/>
      <c r="AD401" s="10"/>
      <c r="AE401" s="10"/>
      <c r="AF401" s="10"/>
      <c r="AG401" s="10"/>
      <c r="AH401" s="10"/>
      <c r="AI401" s="10"/>
      <c r="AJ401" s="10"/>
      <c r="AK401" s="10"/>
      <c r="AL401" s="10"/>
      <c r="AM401" s="10"/>
      <c r="AN401" s="10"/>
      <c r="AQ401" s="472"/>
      <c r="AU401" s="472"/>
      <c r="AV401" s="473"/>
    </row>
    <row r="402" spans="1:61" ht="35.25">
      <c r="B402" s="7"/>
      <c r="C402" s="10"/>
      <c r="D402" s="10"/>
      <c r="E402" s="10"/>
      <c r="F402" s="155">
        <f>F289+F233</f>
        <v>3253.1797872045172</v>
      </c>
      <c r="G402" s="10"/>
      <c r="H402" s="10"/>
      <c r="I402" s="10"/>
      <c r="J402" s="10"/>
      <c r="K402" s="10"/>
      <c r="L402" s="155">
        <f>L289+L233</f>
        <v>-5662.9100000000162</v>
      </c>
      <c r="M402" s="10"/>
      <c r="N402" s="10"/>
      <c r="O402" s="10"/>
      <c r="P402" s="10"/>
      <c r="Q402" s="10"/>
      <c r="R402" s="10"/>
      <c r="S402" s="10"/>
      <c r="T402" s="10"/>
      <c r="U402" s="10"/>
      <c r="V402" s="6" t="str">
        <f>C1</f>
        <v>BMW Sherbrooke</v>
      </c>
      <c r="W402" s="6"/>
      <c r="X402" s="6"/>
      <c r="Y402" s="6"/>
      <c r="Z402" s="1"/>
      <c r="AA402" s="1"/>
      <c r="AB402" s="6"/>
      <c r="AC402" s="6"/>
      <c r="AD402" s="1"/>
      <c r="AE402" s="3" t="s">
        <v>116</v>
      </c>
      <c r="AF402" s="6"/>
      <c r="AG402" s="6"/>
      <c r="AH402" s="1"/>
      <c r="AI402" s="1"/>
      <c r="AJ402" s="255"/>
      <c r="AK402" s="2"/>
      <c r="AL402" s="1"/>
      <c r="AM402" s="6"/>
      <c r="AN402" s="6"/>
      <c r="AO402" s="5" t="str">
        <f>$S$1</f>
        <v>Réalisé, Septembre 2024</v>
      </c>
      <c r="AP402" s="246"/>
      <c r="AQ402" s="472"/>
      <c r="AS402" s="473"/>
      <c r="AT402" s="474"/>
      <c r="AU402" s="472"/>
      <c r="AV402" s="473"/>
      <c r="AW402" s="473"/>
      <c r="AX402" s="473"/>
      <c r="AY402" s="246"/>
      <c r="AZ402" s="246"/>
      <c r="BA402" s="246"/>
      <c r="BB402" s="246"/>
      <c r="BC402" s="246"/>
      <c r="BD402" s="246"/>
      <c r="BE402" s="246"/>
      <c r="BF402" s="246"/>
      <c r="BG402" s="246"/>
      <c r="BH402" s="246"/>
      <c r="BI402" s="246"/>
    </row>
    <row r="403" spans="1:61" ht="18.75" thickBot="1">
      <c r="B403" s="7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256"/>
      <c r="W403" s="9"/>
      <c r="X403" s="9"/>
      <c r="Y403" s="9"/>
      <c r="Z403" s="9"/>
      <c r="AA403" s="9"/>
      <c r="AB403" s="9"/>
      <c r="AC403" s="9"/>
      <c r="AD403" s="9"/>
      <c r="AE403" s="9"/>
      <c r="AF403" s="9"/>
      <c r="AG403" s="9"/>
      <c r="AH403" s="9"/>
      <c r="AI403" s="9"/>
      <c r="AJ403" s="9"/>
      <c r="AK403" s="9"/>
      <c r="AL403" s="10"/>
      <c r="AM403" s="10"/>
      <c r="AN403" s="10"/>
      <c r="AO403" s="10"/>
      <c r="AP403" s="246"/>
      <c r="AQ403" s="475"/>
      <c r="AR403" s="246"/>
      <c r="AS403" s="473"/>
      <c r="AT403" s="476"/>
      <c r="AU403" s="475"/>
      <c r="AV403" s="477"/>
      <c r="AW403" s="477"/>
      <c r="AX403" s="477"/>
      <c r="AY403" s="246"/>
      <c r="AZ403" s="246"/>
      <c r="BA403" s="246"/>
      <c r="BB403" s="246"/>
      <c r="BC403" s="246"/>
      <c r="BD403" s="246"/>
      <c r="BE403" s="246"/>
      <c r="BF403" s="246"/>
      <c r="BG403" s="246"/>
      <c r="BH403" s="246"/>
      <c r="BI403" s="246"/>
    </row>
    <row r="404" spans="1:61" ht="21.75" thickTop="1" thickBot="1">
      <c r="A404" t="str">
        <f>+U404&amp;V404</f>
        <v/>
      </c>
      <c r="B404" s="7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257"/>
      <c r="W404" s="258"/>
      <c r="X404" s="504" t="s">
        <v>117</v>
      </c>
      <c r="Y404" s="501"/>
      <c r="Z404" s="505"/>
      <c r="AA404" s="500"/>
      <c r="AB404" s="501"/>
      <c r="AC404" s="505"/>
      <c r="AD404" s="500" t="s">
        <v>7</v>
      </c>
      <c r="AE404" s="501"/>
      <c r="AF404" s="505"/>
      <c r="AG404" s="500" t="s">
        <v>213</v>
      </c>
      <c r="AH404" s="501"/>
      <c r="AI404" s="505"/>
      <c r="AJ404" s="500" t="s">
        <v>118</v>
      </c>
      <c r="AK404" s="501"/>
      <c r="AL404" s="501"/>
      <c r="AM404" s="500" t="s">
        <v>119</v>
      </c>
      <c r="AN404" s="501"/>
      <c r="AO404" s="502"/>
      <c r="AP404" s="246"/>
      <c r="AQ404" s="475"/>
      <c r="AR404" s="246"/>
      <c r="AS404" s="477"/>
      <c r="AT404" s="476"/>
      <c r="AU404" s="475"/>
      <c r="AV404" s="477"/>
      <c r="AW404" s="477"/>
      <c r="AX404" s="477"/>
      <c r="AY404" s="246"/>
      <c r="AZ404" s="246"/>
      <c r="BA404" s="246"/>
      <c r="BB404" s="246"/>
      <c r="BC404" s="246"/>
      <c r="BD404" s="246"/>
      <c r="BE404" s="246"/>
      <c r="BF404" s="246"/>
      <c r="BG404" s="246"/>
      <c r="BH404" s="246"/>
      <c r="BI404" s="246"/>
    </row>
    <row r="405" spans="1:61" ht="20.25">
      <c r="A405" t="str">
        <f t="shared" ref="A405:A484" si="89">+U405&amp;V405</f>
        <v/>
      </c>
      <c r="B405" s="7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86"/>
      <c r="W405" s="259" t="s">
        <v>120</v>
      </c>
      <c r="X405" s="259" t="s">
        <v>121</v>
      </c>
      <c r="Y405" s="259" t="s">
        <v>122</v>
      </c>
      <c r="Z405" s="260" t="s">
        <v>123</v>
      </c>
      <c r="AA405" s="259"/>
      <c r="AB405" s="259"/>
      <c r="AC405" s="260"/>
      <c r="AD405" s="261" t="s">
        <v>121</v>
      </c>
      <c r="AE405" s="259" t="s">
        <v>122</v>
      </c>
      <c r="AF405" s="259" t="s">
        <v>123</v>
      </c>
      <c r="AG405" s="261" t="s">
        <v>124</v>
      </c>
      <c r="AH405" s="259" t="s">
        <v>125</v>
      </c>
      <c r="AI405" s="259" t="s">
        <v>126</v>
      </c>
      <c r="AJ405" s="261" t="s">
        <v>121</v>
      </c>
      <c r="AK405" s="259" t="s">
        <v>122</v>
      </c>
      <c r="AL405" s="259" t="s">
        <v>123</v>
      </c>
      <c r="AM405" s="262" t="s">
        <v>124</v>
      </c>
      <c r="AN405" s="259" t="s">
        <v>125</v>
      </c>
      <c r="AO405" s="139" t="s">
        <v>126</v>
      </c>
      <c r="AP405" s="246"/>
      <c r="AQ405" s="478"/>
      <c r="AR405" s="395"/>
      <c r="AS405" s="395"/>
      <c r="AT405" s="479"/>
      <c r="AU405" s="478"/>
      <c r="AV405" s="480"/>
      <c r="AW405" s="480"/>
      <c r="AX405" s="480"/>
      <c r="AY405" s="246"/>
      <c r="AZ405" s="246"/>
      <c r="BA405" s="246"/>
      <c r="BB405" s="246"/>
      <c r="BC405" s="246"/>
      <c r="BD405" s="246"/>
      <c r="BE405" s="246"/>
      <c r="BF405" s="246"/>
      <c r="BG405" s="246"/>
      <c r="BH405" s="246"/>
      <c r="BI405" s="246"/>
    </row>
    <row r="406" spans="1:61" ht="18">
      <c r="A406" t="str">
        <f t="shared" si="89"/>
        <v>Ventes nettes</v>
      </c>
      <c r="B406" s="7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246"/>
      <c r="U406" s="246"/>
      <c r="V406" s="103" t="s">
        <v>14</v>
      </c>
      <c r="W406" s="263"/>
      <c r="X406" s="263"/>
      <c r="Y406" s="263"/>
      <c r="Z406" s="264">
        <f>F5+F93+E194+E250+D314+D362</f>
        <v>4437062.4771974394</v>
      </c>
      <c r="AA406" s="263"/>
      <c r="AB406" s="263"/>
      <c r="AC406" s="264"/>
      <c r="AD406" s="265"/>
      <c r="AE406" s="266"/>
      <c r="AF406" s="266">
        <f>L5+L93+K194+K250+J314+J362</f>
        <v>5362572.1800000016</v>
      </c>
      <c r="AG406" s="265"/>
      <c r="AH406" s="266"/>
      <c r="AI406" s="267"/>
      <c r="AJ406" s="265"/>
      <c r="AK406" s="266"/>
      <c r="AL406" s="266">
        <f>Q5+Q93+P194+P250+O314+O362</f>
        <v>3954834.1299999896</v>
      </c>
      <c r="AM406" s="268"/>
      <c r="AN406" s="266"/>
      <c r="AO406" s="269"/>
      <c r="AP406" s="246"/>
      <c r="AQ406" s="246"/>
      <c r="AR406" s="246"/>
      <c r="AS406" s="246"/>
      <c r="AT406" s="246"/>
      <c r="AU406" s="246"/>
      <c r="AV406" s="477"/>
      <c r="AW406" s="246"/>
      <c r="AX406" s="246"/>
      <c r="AY406" s="246"/>
      <c r="AZ406" s="246"/>
      <c r="BA406" s="246"/>
      <c r="BB406" s="246"/>
      <c r="BC406" s="246"/>
      <c r="BD406" s="246"/>
      <c r="BE406" s="246"/>
      <c r="BF406" s="246"/>
      <c r="BG406" s="246"/>
      <c r="BH406" s="246"/>
      <c r="BI406" s="246"/>
    </row>
    <row r="407" spans="1:61" ht="18">
      <c r="A407" t="str">
        <f t="shared" si="89"/>
        <v>Profit brut</v>
      </c>
      <c r="B407" s="7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246"/>
      <c r="U407" s="246"/>
      <c r="V407" s="270" t="s">
        <v>127</v>
      </c>
      <c r="W407" s="271"/>
      <c r="X407" s="271"/>
      <c r="Y407" s="271"/>
      <c r="Z407" s="272">
        <f>F27+F108+F194+F250+F314+F362</f>
        <v>462703.19254841818</v>
      </c>
      <c r="AA407" s="271"/>
      <c r="AB407" s="271"/>
      <c r="AC407" s="272"/>
      <c r="AD407" s="273"/>
      <c r="AE407" s="274"/>
      <c r="AF407" s="274">
        <f>L27+L108+L194+L250+L314+L362</f>
        <v>399283.09999999986</v>
      </c>
      <c r="AG407" s="273"/>
      <c r="AH407" s="274">
        <f>AF407-Z407</f>
        <v>-63420.092548418324</v>
      </c>
      <c r="AI407" s="275">
        <f>AH407/Z407</f>
        <v>-0.13706430724871629</v>
      </c>
      <c r="AJ407" s="273">
        <f>+AL407/AL406</f>
        <v>0.10402265846734787</v>
      </c>
      <c r="AK407" s="274"/>
      <c r="AL407" s="274">
        <f>Q27+Q108+Q194+Q250+Q314+Q362</f>
        <v>411392.35999999975</v>
      </c>
      <c r="AM407" s="276"/>
      <c r="AN407" s="274">
        <f>AF407-AL407</f>
        <v>-12109.259999999893</v>
      </c>
      <c r="AO407" s="277">
        <f>IF(AL407=0,0,AN407/AL407)</f>
        <v>-2.9434819839629252E-2</v>
      </c>
      <c r="AP407" s="246"/>
      <c r="AQ407" s="246" t="s">
        <v>221</v>
      </c>
      <c r="AR407" s="310">
        <v>403458</v>
      </c>
      <c r="AS407" s="310">
        <f>AF407-AR407</f>
        <v>-4174.9000000001397</v>
      </c>
      <c r="AT407" s="246"/>
      <c r="AU407" s="246"/>
      <c r="AV407" s="246"/>
      <c r="AW407" s="246"/>
      <c r="AX407" s="246"/>
      <c r="AY407" s="246"/>
      <c r="AZ407" s="246"/>
      <c r="BA407" s="246"/>
      <c r="BB407" s="246"/>
      <c r="BC407" s="246"/>
      <c r="BD407" s="246"/>
      <c r="BE407" s="246"/>
      <c r="BF407" s="246"/>
      <c r="BG407" s="246"/>
      <c r="BH407" s="246"/>
      <c r="BI407" s="246"/>
    </row>
    <row r="408" spans="1:61" ht="18">
      <c r="A408" t="str">
        <f t="shared" si="89"/>
        <v>DÉPENSES</v>
      </c>
      <c r="B408" s="7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246"/>
      <c r="U408" s="246"/>
      <c r="V408" s="278" t="s">
        <v>128</v>
      </c>
      <c r="W408" s="279"/>
      <c r="X408" s="279"/>
      <c r="Y408" s="279"/>
      <c r="Z408" s="280"/>
      <c r="AA408" s="279"/>
      <c r="AB408" s="279"/>
      <c r="AC408" s="280"/>
      <c r="AD408" s="281"/>
      <c r="AE408" s="279"/>
      <c r="AF408" s="282"/>
      <c r="AG408" s="281"/>
      <c r="AH408" s="282"/>
      <c r="AI408" s="283"/>
      <c r="AJ408" s="281"/>
      <c r="AK408" s="279"/>
      <c r="AL408" s="282"/>
      <c r="AM408" s="284"/>
      <c r="AN408" s="282"/>
      <c r="AO408" s="285"/>
      <c r="AP408" s="246"/>
      <c r="AQ408" s="246"/>
      <c r="AR408" s="246"/>
      <c r="AS408" s="246"/>
      <c r="AT408" s="246"/>
      <c r="AU408" s="475"/>
      <c r="AV408" s="475"/>
      <c r="AW408" s="475"/>
      <c r="AX408" s="475"/>
      <c r="AY408" s="475"/>
      <c r="AZ408" s="246"/>
      <c r="BA408" s="246"/>
      <c r="BB408" s="246"/>
      <c r="BC408" s="246"/>
      <c r="BD408" s="246"/>
      <c r="BE408" s="246"/>
      <c r="BF408" s="246"/>
      <c r="BG408" s="246"/>
      <c r="BH408" s="246"/>
      <c r="BI408" s="246"/>
    </row>
    <row r="409" spans="1:61" ht="18">
      <c r="A409" t="str">
        <f t="shared" si="89"/>
        <v>Comm. vendeurs</v>
      </c>
      <c r="B409" s="7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246"/>
      <c r="U409" s="246"/>
      <c r="V409" s="102" t="s">
        <v>30</v>
      </c>
      <c r="W409" s="286" t="s">
        <v>129</v>
      </c>
      <c r="X409" s="279"/>
      <c r="Y409" s="287">
        <f t="shared" ref="Y409:Y418" si="90">Z409/(D$13+D$97)</f>
        <v>1221.0779710960855</v>
      </c>
      <c r="Z409" s="280">
        <f t="shared" ref="Z409:Z415" si="91">+SUMIF($C:$C,$V409,F:F)</f>
        <v>53727.430728227766</v>
      </c>
      <c r="AA409" s="279"/>
      <c r="AB409" s="287"/>
      <c r="AC409" s="280"/>
      <c r="AD409" s="288"/>
      <c r="AE409" s="287">
        <f t="shared" ref="AE409:AE414" si="92">IF(AF409=0,0,AF409/(J$13+J$97))</f>
        <v>1128.5682051282051</v>
      </c>
      <c r="AF409" s="280">
        <f t="shared" ref="AF409:AF415" si="93">+SUMIF($C:$C,$V409,L:L)</f>
        <v>44014.16</v>
      </c>
      <c r="AG409" s="281">
        <f t="shared" ref="AG409:AH424" si="94">AE409-Y409</f>
        <v>-92.509765967880412</v>
      </c>
      <c r="AH409" s="282">
        <f t="shared" si="94"/>
        <v>-9713.2707282277624</v>
      </c>
      <c r="AI409" s="283">
        <f t="shared" ref="AI409:AI418" si="95">IF(Z409=0,0,AH409/Z409)</f>
        <v>-0.18078792521013895</v>
      </c>
      <c r="AJ409" s="288"/>
      <c r="AK409" s="282">
        <f t="shared" ref="AK409:AK418" si="96">AL409/(O$13+O$97)</f>
        <v>1304.9917142857146</v>
      </c>
      <c r="AL409" s="280">
        <f t="shared" ref="AL409:AL414" si="97">+SUMIF($C:$C,$V409,Q:Q)</f>
        <v>45674.710000000006</v>
      </c>
      <c r="AM409" s="284">
        <f t="shared" ref="AM409:AM414" si="98">AE409-Y409</f>
        <v>-92.509765967880412</v>
      </c>
      <c r="AN409" s="282">
        <f t="shared" ref="AN409:AN414" si="99">AF409-AL409</f>
        <v>-1660.5500000000029</v>
      </c>
      <c r="AO409" s="289">
        <f t="shared" ref="AO409:AO431" si="100">IF(AL409=0,0,AN409/AL409)</f>
        <v>-3.6356005325485434E-2</v>
      </c>
      <c r="AP409" s="246"/>
      <c r="AQ409" s="246"/>
      <c r="AS409" s="481"/>
      <c r="AT409" s="474"/>
      <c r="AU409" s="475"/>
      <c r="AV409" s="475"/>
      <c r="AW409" s="475"/>
      <c r="AX409" s="475"/>
      <c r="AY409" s="475"/>
      <c r="AZ409" s="246"/>
      <c r="BA409" s="246"/>
      <c r="BB409" s="246"/>
      <c r="BC409" s="246"/>
      <c r="BD409" s="246"/>
      <c r="BE409" s="246"/>
      <c r="BF409" s="246"/>
      <c r="BG409" s="246"/>
      <c r="BH409" s="246"/>
      <c r="BI409" s="246"/>
    </row>
    <row r="410" spans="1:61" ht="18">
      <c r="A410" t="str">
        <f t="shared" si="89"/>
        <v>Comm. F&amp;I</v>
      </c>
      <c r="B410" s="7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246"/>
      <c r="U410" s="246"/>
      <c r="V410" s="103" t="s">
        <v>31</v>
      </c>
      <c r="W410" s="290" t="s">
        <v>130</v>
      </c>
      <c r="X410" s="263"/>
      <c r="Y410" s="291">
        <f t="shared" si="90"/>
        <v>423.86363636363637</v>
      </c>
      <c r="Z410" s="264">
        <f t="shared" si="91"/>
        <v>18650</v>
      </c>
      <c r="AA410" s="263"/>
      <c r="AB410" s="291"/>
      <c r="AC410" s="264"/>
      <c r="AD410" s="292"/>
      <c r="AE410" s="291">
        <f t="shared" si="92"/>
        <v>618.37820512820508</v>
      </c>
      <c r="AF410" s="264">
        <f t="shared" si="93"/>
        <v>24116.75</v>
      </c>
      <c r="AG410" s="265">
        <f t="shared" si="94"/>
        <v>194.51456876456871</v>
      </c>
      <c r="AH410" s="266">
        <f t="shared" si="94"/>
        <v>5466.75</v>
      </c>
      <c r="AI410" s="293">
        <f t="shared" si="95"/>
        <v>0.29312332439678285</v>
      </c>
      <c r="AJ410" s="292"/>
      <c r="AK410" s="266">
        <f t="shared" si="96"/>
        <v>234.02085714285712</v>
      </c>
      <c r="AL410" s="264">
        <f t="shared" si="97"/>
        <v>8190.73</v>
      </c>
      <c r="AM410" s="268">
        <f t="shared" si="98"/>
        <v>194.51456876456871</v>
      </c>
      <c r="AN410" s="266">
        <f t="shared" si="99"/>
        <v>15926.02</v>
      </c>
      <c r="AO410" s="294">
        <f t="shared" si="100"/>
        <v>1.9443956765758366</v>
      </c>
      <c r="AP410" s="246"/>
      <c r="AQ410" s="246"/>
      <c r="AS410" s="439"/>
      <c r="AT410" s="474"/>
      <c r="AU410" s="475"/>
      <c r="AV410" s="475"/>
      <c r="AW410" s="475"/>
      <c r="AX410" s="475"/>
      <c r="AY410" s="475"/>
      <c r="AZ410" s="246"/>
      <c r="BA410" s="246"/>
      <c r="BB410" s="246"/>
      <c r="BC410" s="246"/>
      <c r="BD410" s="246"/>
      <c r="BE410" s="246"/>
      <c r="BF410" s="246"/>
      <c r="BG410" s="246"/>
      <c r="BH410" s="246"/>
      <c r="BI410" s="246"/>
    </row>
    <row r="411" spans="1:61" ht="18">
      <c r="A411" t="str">
        <f t="shared" si="89"/>
        <v>Frais de livraison</v>
      </c>
      <c r="B411" s="7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246"/>
      <c r="U411" s="246"/>
      <c r="V411" s="102" t="s">
        <v>32</v>
      </c>
      <c r="W411" s="286" t="s">
        <v>131</v>
      </c>
      <c r="X411" s="279"/>
      <c r="Y411" s="287">
        <f t="shared" si="90"/>
        <v>109.09090909090909</v>
      </c>
      <c r="Z411" s="280">
        <f t="shared" si="91"/>
        <v>4800</v>
      </c>
      <c r="AA411" s="279"/>
      <c r="AB411" s="287"/>
      <c r="AC411" s="280"/>
      <c r="AD411" s="288"/>
      <c r="AE411" s="287">
        <f t="shared" si="92"/>
        <v>129.21615384615384</v>
      </c>
      <c r="AF411" s="280">
        <f t="shared" si="93"/>
        <v>5039.43</v>
      </c>
      <c r="AG411" s="281">
        <f t="shared" si="94"/>
        <v>20.125244755244751</v>
      </c>
      <c r="AH411" s="282">
        <f t="shared" si="94"/>
        <v>239.43000000000029</v>
      </c>
      <c r="AI411" s="283">
        <f t="shared" si="95"/>
        <v>4.9881250000000057E-2</v>
      </c>
      <c r="AJ411" s="288"/>
      <c r="AK411" s="282">
        <f t="shared" si="96"/>
        <v>145.76171428571428</v>
      </c>
      <c r="AL411" s="280">
        <f t="shared" si="97"/>
        <v>5101.66</v>
      </c>
      <c r="AM411" s="284">
        <f t="shared" si="98"/>
        <v>20.125244755244751</v>
      </c>
      <c r="AN411" s="282">
        <f t="shared" si="99"/>
        <v>-62.229999999999563</v>
      </c>
      <c r="AO411" s="289">
        <f t="shared" si="100"/>
        <v>-1.21979904580077E-2</v>
      </c>
      <c r="AP411" s="246"/>
      <c r="AQ411" s="246"/>
      <c r="AS411" s="439"/>
      <c r="AT411" s="474"/>
      <c r="AU411" s="475"/>
      <c r="AV411" s="475"/>
      <c r="AW411" s="475"/>
      <c r="AX411" s="475"/>
      <c r="AY411" s="475"/>
      <c r="AZ411" s="246"/>
      <c r="BA411" s="246"/>
      <c r="BB411" s="246"/>
      <c r="BC411" s="246"/>
      <c r="BD411" s="246"/>
      <c r="BE411" s="246"/>
      <c r="BF411" s="246"/>
      <c r="BG411" s="246"/>
      <c r="BH411" s="246"/>
      <c r="BI411" s="246"/>
    </row>
    <row r="412" spans="1:61" ht="18">
      <c r="A412" t="str">
        <f t="shared" si="89"/>
        <v>Service gratuit 1</v>
      </c>
      <c r="B412" s="7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246"/>
      <c r="U412" s="246"/>
      <c r="V412" s="102" t="s">
        <v>33</v>
      </c>
      <c r="W412" s="286" t="s">
        <v>148</v>
      </c>
      <c r="X412" s="279"/>
      <c r="Y412" s="287">
        <f t="shared" si="90"/>
        <v>67.5</v>
      </c>
      <c r="Z412" s="280">
        <f t="shared" si="91"/>
        <v>2970</v>
      </c>
      <c r="AA412" s="279"/>
      <c r="AB412" s="287"/>
      <c r="AC412" s="280"/>
      <c r="AD412" s="288"/>
      <c r="AE412" s="287">
        <f t="shared" si="92"/>
        <v>107.4471794871795</v>
      </c>
      <c r="AF412" s="280">
        <f t="shared" si="93"/>
        <v>4190.4400000000005</v>
      </c>
      <c r="AG412" s="281">
        <f t="shared" si="94"/>
        <v>39.947179487179497</v>
      </c>
      <c r="AH412" s="282">
        <f t="shared" si="94"/>
        <v>1220.4400000000005</v>
      </c>
      <c r="AI412" s="283">
        <f t="shared" si="95"/>
        <v>0.41092255892255908</v>
      </c>
      <c r="AJ412" s="288"/>
      <c r="AK412" s="282">
        <f t="shared" si="96"/>
        <v>105.32857142857142</v>
      </c>
      <c r="AL412" s="280">
        <f t="shared" si="97"/>
        <v>3686.5</v>
      </c>
      <c r="AM412" s="284">
        <f t="shared" si="98"/>
        <v>39.947179487179497</v>
      </c>
      <c r="AN412" s="282">
        <f t="shared" si="99"/>
        <v>503.94000000000051</v>
      </c>
      <c r="AO412" s="295">
        <f t="shared" si="100"/>
        <v>0.13669876576698781</v>
      </c>
      <c r="AP412" s="246"/>
      <c r="AQ412" s="246"/>
      <c r="AS412" s="439"/>
      <c r="AT412" s="474"/>
      <c r="AU412" s="475"/>
      <c r="AV412" s="475"/>
      <c r="AW412" s="475"/>
      <c r="AX412" s="475"/>
      <c r="AY412" s="475"/>
      <c r="AZ412" s="246"/>
      <c r="BA412" s="246"/>
      <c r="BB412" s="246"/>
      <c r="BC412" s="246"/>
      <c r="BD412" s="246"/>
      <c r="BE412" s="246"/>
      <c r="BF412" s="246"/>
      <c r="BG412" s="246"/>
      <c r="BH412" s="246"/>
      <c r="BI412" s="246"/>
    </row>
    <row r="413" spans="1:61" ht="18">
      <c r="A413" t="str">
        <f t="shared" si="89"/>
        <v>Entretien stock</v>
      </c>
      <c r="B413" s="7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246"/>
      <c r="U413" s="246"/>
      <c r="V413" s="103" t="s">
        <v>34</v>
      </c>
      <c r="W413" s="290" t="s">
        <v>222</v>
      </c>
      <c r="X413" s="263"/>
      <c r="Y413" s="291">
        <f t="shared" si="90"/>
        <v>74.772727272727266</v>
      </c>
      <c r="Z413" s="264">
        <f t="shared" si="91"/>
        <v>3290</v>
      </c>
      <c r="AA413" s="263"/>
      <c r="AB413" s="291"/>
      <c r="AC413" s="264"/>
      <c r="AD413" s="292"/>
      <c r="AE413" s="291">
        <f t="shared" si="92"/>
        <v>94.003076923076918</v>
      </c>
      <c r="AF413" s="264">
        <f t="shared" si="93"/>
        <v>3666.12</v>
      </c>
      <c r="AG413" s="265">
        <f t="shared" si="94"/>
        <v>19.230349650349652</v>
      </c>
      <c r="AH413" s="266">
        <f t="shared" si="94"/>
        <v>376.11999999999989</v>
      </c>
      <c r="AI413" s="293">
        <f t="shared" si="95"/>
        <v>0.114322188449848</v>
      </c>
      <c r="AJ413" s="292"/>
      <c r="AK413" s="266">
        <f t="shared" si="96"/>
        <v>105.67514285714286</v>
      </c>
      <c r="AL413" s="264">
        <f t="shared" si="97"/>
        <v>3698.63</v>
      </c>
      <c r="AM413" s="268">
        <f t="shared" si="98"/>
        <v>19.230349650349652</v>
      </c>
      <c r="AN413" s="266">
        <f t="shared" si="99"/>
        <v>-32.510000000000218</v>
      </c>
      <c r="AO413" s="294">
        <f t="shared" si="100"/>
        <v>-8.7897410662867645E-3</v>
      </c>
      <c r="AP413" s="246"/>
      <c r="AQ413" s="246"/>
      <c r="AS413" s="439"/>
      <c r="AT413" s="474"/>
      <c r="AU413" s="475"/>
      <c r="AV413" s="475"/>
      <c r="AW413" s="475"/>
      <c r="AX413" s="475"/>
      <c r="AY413" s="475"/>
      <c r="AZ413" s="246"/>
      <c r="BA413" s="246"/>
      <c r="BB413" s="246"/>
      <c r="BC413" s="246"/>
      <c r="BD413" s="246"/>
      <c r="BE413" s="246"/>
      <c r="BF413" s="246"/>
      <c r="BG413" s="246"/>
      <c r="BH413" s="246"/>
      <c r="BI413" s="246"/>
    </row>
    <row r="414" spans="1:61" ht="18">
      <c r="A414" t="str">
        <f t="shared" si="89"/>
        <v>Publicité 1</v>
      </c>
      <c r="B414" s="7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246"/>
      <c r="U414" s="246"/>
      <c r="V414" s="102" t="s">
        <v>35</v>
      </c>
      <c r="W414" s="286" t="s">
        <v>223</v>
      </c>
      <c r="X414" s="283"/>
      <c r="Y414" s="287">
        <f t="shared" si="90"/>
        <v>439.72561553030306</v>
      </c>
      <c r="Z414" s="280">
        <f t="shared" si="91"/>
        <v>19347.927083333336</v>
      </c>
      <c r="AA414" s="283"/>
      <c r="AB414" s="287"/>
      <c r="AC414" s="280"/>
      <c r="AD414" s="288"/>
      <c r="AE414" s="287">
        <f t="shared" si="92"/>
        <v>704.34230769230771</v>
      </c>
      <c r="AF414" s="280">
        <f t="shared" si="93"/>
        <v>27469.350000000002</v>
      </c>
      <c r="AG414" s="281">
        <f t="shared" si="94"/>
        <v>264.61669216200465</v>
      </c>
      <c r="AH414" s="282">
        <f t="shared" si="94"/>
        <v>8121.4229166666664</v>
      </c>
      <c r="AI414" s="283">
        <f t="shared" si="95"/>
        <v>0.41975674611998154</v>
      </c>
      <c r="AJ414" s="288"/>
      <c r="AK414" s="282">
        <f t="shared" si="96"/>
        <v>479.3857142857143</v>
      </c>
      <c r="AL414" s="280">
        <f t="shared" si="97"/>
        <v>16778.5</v>
      </c>
      <c r="AM414" s="284">
        <f t="shared" si="98"/>
        <v>264.61669216200465</v>
      </c>
      <c r="AN414" s="282">
        <f t="shared" si="99"/>
        <v>10690.850000000002</v>
      </c>
      <c r="AO414" s="289">
        <f t="shared" si="100"/>
        <v>0.63717555204577303</v>
      </c>
      <c r="AP414" s="246"/>
      <c r="AQ414" s="246"/>
      <c r="AR414" s="440"/>
      <c r="AS414" s="439"/>
      <c r="AT414" s="474"/>
      <c r="AU414" s="475"/>
      <c r="AV414" s="475"/>
      <c r="AW414" s="475"/>
      <c r="AX414" s="475"/>
      <c r="AY414" s="475"/>
      <c r="AZ414" s="246"/>
      <c r="BA414" s="246"/>
      <c r="BB414" s="246"/>
      <c r="BC414" s="246"/>
      <c r="BD414" s="246"/>
      <c r="BE414" s="246"/>
      <c r="BF414" s="246"/>
      <c r="BG414" s="246"/>
      <c r="BH414" s="246"/>
      <c r="BI414" s="246"/>
    </row>
    <row r="415" spans="1:61" ht="20.25">
      <c r="A415" t="str">
        <f t="shared" si="89"/>
        <v>Intérêt de gros</v>
      </c>
      <c r="B415" s="7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246"/>
      <c r="U415" s="246"/>
      <c r="V415" s="102" t="s">
        <v>36</v>
      </c>
      <c r="W415" s="286" t="s">
        <v>224</v>
      </c>
      <c r="X415" s="279"/>
      <c r="Y415" s="287">
        <f t="shared" si="90"/>
        <v>793.93445351257583</v>
      </c>
      <c r="Z415" s="280">
        <f t="shared" si="91"/>
        <v>34933.115954553337</v>
      </c>
      <c r="AA415" s="279"/>
      <c r="AB415" s="287"/>
      <c r="AC415" s="280"/>
      <c r="AD415" s="288"/>
      <c r="AE415" s="287">
        <f>IF(AF415=0,0,AF415/(J$13+J$13))</f>
        <v>582.9727272727273</v>
      </c>
      <c r="AF415" s="280">
        <f t="shared" si="93"/>
        <v>25650.799999999999</v>
      </c>
      <c r="AG415" s="281">
        <f t="shared" si="94"/>
        <v>-210.96172623984853</v>
      </c>
      <c r="AH415" s="282">
        <f t="shared" si="94"/>
        <v>-9282.3159545533381</v>
      </c>
      <c r="AI415" s="283">
        <f t="shared" si="95"/>
        <v>-0.26571680484012017</v>
      </c>
      <c r="AJ415" s="288"/>
      <c r="AK415" s="282">
        <f t="shared" si="96"/>
        <v>637.14428571428573</v>
      </c>
      <c r="AL415" s="280">
        <f>IFERROR(SUMIF($C:$C,$V415,Q:Q),0)</f>
        <v>22300.05</v>
      </c>
      <c r="AM415" s="284">
        <f>AE415-Y415</f>
        <v>-210.96172623984853</v>
      </c>
      <c r="AN415" s="282">
        <f>AF415-AL415</f>
        <v>3350.75</v>
      </c>
      <c r="AO415" s="289">
        <f t="shared" si="100"/>
        <v>0.15025751063338424</v>
      </c>
      <c r="AP415" s="246"/>
      <c r="AQ415" s="246">
        <v>26591</v>
      </c>
      <c r="AR415" s="13"/>
      <c r="AS415" s="482"/>
      <c r="AT415" s="246"/>
      <c r="AU415" s="475"/>
      <c r="AV415" s="475"/>
      <c r="AW415" s="475"/>
      <c r="AX415" s="475"/>
      <c r="AY415" s="475"/>
      <c r="AZ415" s="246"/>
      <c r="BA415" s="246"/>
      <c r="BB415" s="246"/>
      <c r="BC415" s="246"/>
      <c r="BD415" s="246"/>
      <c r="BE415" s="246"/>
      <c r="BF415" s="246"/>
      <c r="BG415" s="246"/>
      <c r="BH415" s="246"/>
      <c r="BI415" s="246"/>
    </row>
    <row r="416" spans="1:61" ht="20.25" hidden="1">
      <c r="A416" t="str">
        <f t="shared" si="89"/>
        <v>[...]</v>
      </c>
      <c r="B416" s="7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246"/>
      <c r="U416" s="246"/>
      <c r="V416" s="102" t="s">
        <v>19</v>
      </c>
      <c r="W416" s="286"/>
      <c r="X416" s="283"/>
      <c r="Y416" s="287">
        <f t="shared" si="90"/>
        <v>0</v>
      </c>
      <c r="Z416" s="280">
        <f>IFERROR(SUMIF($C:$C,$V416,F:F),0)</f>
        <v>0</v>
      </c>
      <c r="AA416" s="279"/>
      <c r="AB416" s="287"/>
      <c r="AC416" s="280"/>
      <c r="AD416" s="288"/>
      <c r="AE416" s="287">
        <f>IF(AF416=0,0,AF416/(J$13+J$13))</f>
        <v>0</v>
      </c>
      <c r="AF416" s="280">
        <f>IFERROR(SUMIF($C:$C,$V416,L:L),0)</f>
        <v>0</v>
      </c>
      <c r="AG416" s="281">
        <f t="shared" si="94"/>
        <v>0</v>
      </c>
      <c r="AH416" s="282">
        <f t="shared" si="94"/>
        <v>0</v>
      </c>
      <c r="AI416" s="283">
        <f t="shared" si="95"/>
        <v>0</v>
      </c>
      <c r="AJ416" s="288"/>
      <c r="AK416" s="282">
        <f t="shared" si="96"/>
        <v>0</v>
      </c>
      <c r="AL416" s="280">
        <f>IFERROR(SUMIF($C:$C,$V416,Q:Q),0)</f>
        <v>0</v>
      </c>
      <c r="AM416" s="284">
        <f>AE416-Y416</f>
        <v>0</v>
      </c>
      <c r="AN416" s="282">
        <f>AF416-AL416</f>
        <v>0</v>
      </c>
      <c r="AO416" s="289">
        <f t="shared" si="100"/>
        <v>0</v>
      </c>
      <c r="AP416" s="246"/>
      <c r="AQ416" s="246"/>
      <c r="AR416" s="13"/>
      <c r="AS416" s="246"/>
      <c r="AT416" s="246"/>
      <c r="AU416" s="475"/>
      <c r="AV416" s="475"/>
      <c r="AW416" s="475"/>
      <c r="AX416" s="475"/>
      <c r="AY416" s="475"/>
      <c r="AZ416" s="246"/>
      <c r="BA416" s="246"/>
      <c r="BB416" s="246"/>
      <c r="BC416" s="246"/>
      <c r="BD416" s="246"/>
      <c r="BE416" s="246"/>
      <c r="BF416" s="246"/>
      <c r="BG416" s="246"/>
      <c r="BH416" s="246"/>
      <c r="BI416" s="246"/>
    </row>
    <row r="417" spans="1:61" ht="20.25" hidden="1">
      <c r="A417" t="str">
        <f t="shared" si="89"/>
        <v>[...]</v>
      </c>
      <c r="B417" s="7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246"/>
      <c r="U417" s="246"/>
      <c r="V417" s="102" t="s">
        <v>19</v>
      </c>
      <c r="W417" s="286"/>
      <c r="X417" s="283"/>
      <c r="Y417" s="287">
        <f t="shared" si="90"/>
        <v>0</v>
      </c>
      <c r="Z417" s="280">
        <f>IFERROR(SUMIF($C:$C,$V417,F:F),0)</f>
        <v>0</v>
      </c>
      <c r="AA417" s="279"/>
      <c r="AB417" s="287"/>
      <c r="AC417" s="280"/>
      <c r="AD417" s="288"/>
      <c r="AE417" s="287">
        <f>IF(AF417=0,0,AF417/(J$13+J$13))</f>
        <v>0</v>
      </c>
      <c r="AF417" s="280">
        <f>IFERROR(SUMIF($C:$C,$V417,L:L),0)</f>
        <v>0</v>
      </c>
      <c r="AG417" s="281">
        <f t="shared" si="94"/>
        <v>0</v>
      </c>
      <c r="AH417" s="282">
        <f t="shared" si="94"/>
        <v>0</v>
      </c>
      <c r="AI417" s="283">
        <f t="shared" si="95"/>
        <v>0</v>
      </c>
      <c r="AJ417" s="288"/>
      <c r="AK417" s="282">
        <f t="shared" si="96"/>
        <v>0</v>
      </c>
      <c r="AL417" s="280">
        <f>IFERROR(SUMIF($C:$C,$V417,Q:Q),0)</f>
        <v>0</v>
      </c>
      <c r="AM417" s="284">
        <f>AE417-Y417</f>
        <v>0</v>
      </c>
      <c r="AN417" s="282">
        <f>AF417-AL417</f>
        <v>0</v>
      </c>
      <c r="AO417" s="289">
        <f t="shared" si="100"/>
        <v>0</v>
      </c>
      <c r="AP417" s="246"/>
      <c r="AQ417" s="246"/>
      <c r="AR417" s="13"/>
      <c r="AS417" s="246"/>
      <c r="AT417" s="246"/>
      <c r="AU417" s="475"/>
      <c r="AV417" s="475"/>
      <c r="AW417" s="475"/>
      <c r="AX417" s="475"/>
      <c r="AY417" s="475"/>
      <c r="AZ417" s="246"/>
      <c r="BA417" s="246"/>
      <c r="BB417" s="246"/>
      <c r="BC417" s="246"/>
      <c r="BD417" s="246"/>
      <c r="BE417" s="246"/>
      <c r="BF417" s="246"/>
      <c r="BG417" s="246"/>
      <c r="BH417" s="246"/>
      <c r="BI417" s="246"/>
    </row>
    <row r="418" spans="1:61" ht="20.25" hidden="1">
      <c r="A418" t="str">
        <f t="shared" si="89"/>
        <v>[...]</v>
      </c>
      <c r="B418" s="7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246"/>
      <c r="U418" s="246"/>
      <c r="V418" s="102" t="s">
        <v>19</v>
      </c>
      <c r="W418" s="286" t="s">
        <v>134</v>
      </c>
      <c r="X418" s="279"/>
      <c r="Y418" s="287">
        <f t="shared" si="90"/>
        <v>0</v>
      </c>
      <c r="Z418" s="280">
        <f>IFERROR(SUMIF($C:$C,$V418,F:F),0)</f>
        <v>0</v>
      </c>
      <c r="AA418" s="279"/>
      <c r="AB418" s="287"/>
      <c r="AC418" s="280"/>
      <c r="AD418" s="288"/>
      <c r="AE418" s="287">
        <f>IF(AF418=0,0,AF418/(J$13+J$13))</f>
        <v>0</v>
      </c>
      <c r="AF418" s="280">
        <f>IFERROR(SUMIF($C:$C,$V418,L:L),0)</f>
        <v>0</v>
      </c>
      <c r="AG418" s="281">
        <f t="shared" si="94"/>
        <v>0</v>
      </c>
      <c r="AH418" s="282">
        <f t="shared" si="94"/>
        <v>0</v>
      </c>
      <c r="AI418" s="283">
        <f t="shared" si="95"/>
        <v>0</v>
      </c>
      <c r="AJ418" s="288"/>
      <c r="AK418" s="282">
        <f t="shared" si="96"/>
        <v>0</v>
      </c>
      <c r="AL418" s="280">
        <f>IFERROR(SUMIF($C:$C,$V418,Q:Q),0)</f>
        <v>0</v>
      </c>
      <c r="AM418" s="284">
        <f>AE418-Y418</f>
        <v>0</v>
      </c>
      <c r="AN418" s="282">
        <f>AF418-AL418</f>
        <v>0</v>
      </c>
      <c r="AO418" s="289">
        <f t="shared" si="100"/>
        <v>0</v>
      </c>
      <c r="AP418" s="246"/>
      <c r="AQ418" s="246"/>
      <c r="AR418" s="13"/>
      <c r="AS418" s="246"/>
      <c r="AT418" s="246"/>
      <c r="AU418" s="475"/>
      <c r="AV418" s="475"/>
      <c r="AW418" s="475"/>
      <c r="AX418" s="475"/>
      <c r="AY418" s="475"/>
      <c r="AZ418" s="246"/>
      <c r="BA418" s="246"/>
      <c r="BB418" s="246"/>
      <c r="BC418" s="246"/>
      <c r="BD418" s="246"/>
      <c r="BE418" s="246"/>
      <c r="BF418" s="246"/>
      <c r="BG418" s="246"/>
      <c r="BH418" s="246"/>
      <c r="BI418" s="246"/>
    </row>
    <row r="419" spans="1:61" ht="20.25">
      <c r="A419" t="str">
        <f t="shared" si="89"/>
        <v>TOTAL VARIABLES</v>
      </c>
      <c r="B419" s="7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246"/>
      <c r="U419" s="246"/>
      <c r="V419" s="296" t="s">
        <v>37</v>
      </c>
      <c r="W419" s="297"/>
      <c r="X419" s="298">
        <f>Z419/Z407</f>
        <v>0.29763890974602109</v>
      </c>
      <c r="Y419" s="297"/>
      <c r="Z419" s="299">
        <f>SUM(Z409:Z418)</f>
        <v>137718.47376611445</v>
      </c>
      <c r="AA419" s="298"/>
      <c r="AB419" s="297"/>
      <c r="AC419" s="299"/>
      <c r="AD419" s="300">
        <f>AF419/AF407</f>
        <v>0.33596976681457352</v>
      </c>
      <c r="AE419" s="297"/>
      <c r="AF419" s="299">
        <f>SUM(AF409:AF418)</f>
        <v>134147.04999999999</v>
      </c>
      <c r="AG419" s="301"/>
      <c r="AH419" s="302">
        <f t="shared" si="94"/>
        <v>-3571.423766114458</v>
      </c>
      <c r="AI419" s="298">
        <f>AH419/Z419</f>
        <v>-2.5932786418906749E-2</v>
      </c>
      <c r="AJ419" s="300">
        <f>IF($AL$407=0,0,AL419/$AL$407)</f>
        <v>0.25627792407228972</v>
      </c>
      <c r="AK419" s="297"/>
      <c r="AL419" s="299">
        <f>SUM(AL409:AL418)</f>
        <v>105430.78000000001</v>
      </c>
      <c r="AM419" s="303"/>
      <c r="AN419" s="302">
        <f t="shared" ref="AN419:AN431" si="101">AF419-AL419</f>
        <v>28716.269999999975</v>
      </c>
      <c r="AO419" s="277">
        <f t="shared" si="100"/>
        <v>0.27237083895234365</v>
      </c>
      <c r="AP419" s="246"/>
      <c r="AQ419" s="246"/>
      <c r="AR419" s="13"/>
      <c r="AS419" s="246"/>
      <c r="AT419" s="246"/>
      <c r="AU419" s="475"/>
      <c r="AV419" s="475"/>
      <c r="AW419" s="475"/>
      <c r="AX419" s="475"/>
      <c r="AY419" s="475"/>
      <c r="AZ419" s="246"/>
      <c r="BA419" s="246"/>
      <c r="BB419" s="246"/>
      <c r="BC419" s="246"/>
      <c r="BD419" s="246"/>
      <c r="BE419" s="246"/>
      <c r="BF419" s="246"/>
      <c r="BG419" s="246"/>
      <c r="BH419" s="246"/>
      <c r="BI419" s="246"/>
    </row>
    <row r="420" spans="1:61" ht="18">
      <c r="A420" t="str">
        <f t="shared" si="89"/>
        <v>Salaires propriétaire</v>
      </c>
      <c r="B420" s="7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304"/>
      <c r="P420" s="155"/>
      <c r="Q420" s="10"/>
      <c r="R420" s="10"/>
      <c r="S420" s="10"/>
      <c r="T420" s="246"/>
      <c r="U420" s="246"/>
      <c r="V420" s="102" t="s">
        <v>135</v>
      </c>
      <c r="W420" s="286" t="s">
        <v>137</v>
      </c>
      <c r="X420" s="279"/>
      <c r="Y420" s="279"/>
      <c r="Z420" s="280">
        <v>14595.678753180664</v>
      </c>
      <c r="AA420" s="279"/>
      <c r="AB420" s="279"/>
      <c r="AC420" s="280"/>
      <c r="AD420" s="288"/>
      <c r="AE420" s="287"/>
      <c r="AF420" s="280">
        <v>14636.45</v>
      </c>
      <c r="AG420" s="281"/>
      <c r="AH420" s="282">
        <f t="shared" si="94"/>
        <v>40.771246819336739</v>
      </c>
      <c r="AI420" s="283">
        <f t="shared" ref="AI420:AI432" si="102">IF(Z420=0,0,AH420/Z420)</f>
        <v>2.7933779243018721E-3</v>
      </c>
      <c r="AJ420" s="288"/>
      <c r="AK420" s="279"/>
      <c r="AL420" s="280">
        <v>13667.59</v>
      </c>
      <c r="AM420" s="284"/>
      <c r="AN420" s="282">
        <f t="shared" si="101"/>
        <v>968.86000000000058</v>
      </c>
      <c r="AO420" s="289">
        <f t="shared" si="100"/>
        <v>7.088740589965023E-2</v>
      </c>
      <c r="AP420" s="246"/>
      <c r="AQ420" s="246"/>
      <c r="AS420" s="246"/>
      <c r="AT420" s="246"/>
      <c r="AU420" s="475"/>
      <c r="AV420" s="475"/>
      <c r="AW420" s="475"/>
      <c r="AX420" s="475"/>
      <c r="AY420" s="475"/>
      <c r="AZ420" s="246"/>
      <c r="BA420" s="246"/>
      <c r="BB420" s="246"/>
      <c r="BC420" s="246"/>
      <c r="BD420" s="246"/>
      <c r="BE420" s="246"/>
      <c r="BF420" s="246"/>
      <c r="BG420" s="246"/>
      <c r="BH420" s="246"/>
      <c r="BI420" s="246"/>
    </row>
    <row r="421" spans="1:61" ht="18">
      <c r="A421" t="str">
        <f t="shared" si="89"/>
        <v>Salaires cadres</v>
      </c>
      <c r="B421" s="7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304"/>
      <c r="P421" s="155"/>
      <c r="Q421" s="10"/>
      <c r="R421" s="10"/>
      <c r="S421" s="10"/>
      <c r="T421" s="246"/>
      <c r="U421" s="246"/>
      <c r="V421" s="102" t="s">
        <v>40</v>
      </c>
      <c r="W421" s="286" t="s">
        <v>140</v>
      </c>
      <c r="X421" s="279"/>
      <c r="Y421" s="279"/>
      <c r="Z421" s="280">
        <f t="shared" ref="Z421:Z431" si="103">+SUMIF($C:$C,$V421,F:F)</f>
        <v>31218.073791348601</v>
      </c>
      <c r="AA421" s="279"/>
      <c r="AB421" s="279"/>
      <c r="AC421" s="280"/>
      <c r="AD421" s="288"/>
      <c r="AE421" s="287"/>
      <c r="AF421" s="280">
        <f t="shared" ref="AF421:AF432" si="104">+SUMIF($C:$C,$V421,L:L)</f>
        <v>30046.699999999997</v>
      </c>
      <c r="AG421" s="281"/>
      <c r="AH421" s="282">
        <f t="shared" si="94"/>
        <v>-1171.3737913486038</v>
      </c>
      <c r="AI421" s="283">
        <f t="shared" si="102"/>
        <v>-3.7522295551534773E-2</v>
      </c>
      <c r="AJ421" s="288"/>
      <c r="AK421" s="279"/>
      <c r="AL421" s="280">
        <f t="shared" ref="AL421:AL429" si="105">+SUMIF($C:$C,$V421,Q:Q)</f>
        <v>31809.14</v>
      </c>
      <c r="AM421" s="284"/>
      <c r="AN421" s="282">
        <f t="shared" si="101"/>
        <v>-1762.4400000000023</v>
      </c>
      <c r="AO421" s="289">
        <f t="shared" si="100"/>
        <v>-5.5406716434333099E-2</v>
      </c>
      <c r="AP421" s="246"/>
      <c r="AQ421" s="246"/>
      <c r="AS421" s="246"/>
      <c r="AT421" s="246"/>
      <c r="AU421" s="475"/>
      <c r="AV421" s="475"/>
      <c r="AW421" s="475"/>
      <c r="AX421" s="475"/>
      <c r="AY421" s="475"/>
      <c r="AZ421" s="246"/>
      <c r="BA421" s="246"/>
      <c r="BB421" s="246"/>
      <c r="BC421" s="246"/>
      <c r="BD421" s="246"/>
      <c r="BE421" s="246"/>
      <c r="BF421" s="246"/>
      <c r="BG421" s="246"/>
      <c r="BH421" s="246"/>
      <c r="BI421" s="246"/>
    </row>
    <row r="422" spans="1:61" ht="18">
      <c r="A422" t="str">
        <f t="shared" si="89"/>
        <v>Salaires commis</v>
      </c>
      <c r="B422" s="7"/>
      <c r="C422" s="246"/>
      <c r="D422" s="246"/>
      <c r="E422" s="246"/>
      <c r="F422" s="246"/>
      <c r="G422" s="246"/>
      <c r="H422" s="246"/>
      <c r="I422" s="246"/>
      <c r="J422" s="246"/>
      <c r="K422" s="246"/>
      <c r="L422" s="246"/>
      <c r="M422" s="246"/>
      <c r="N422" s="246"/>
      <c r="O422" s="305"/>
      <c r="P422" s="155"/>
      <c r="Q422" s="246"/>
      <c r="R422" s="246"/>
      <c r="S422" s="246"/>
      <c r="T422" s="246"/>
      <c r="U422" s="246"/>
      <c r="V422" s="103" t="s">
        <v>41</v>
      </c>
      <c r="W422" s="290" t="s">
        <v>138</v>
      </c>
      <c r="X422" s="263"/>
      <c r="Y422" s="263"/>
      <c r="Z422" s="264">
        <f t="shared" si="103"/>
        <v>19075.495547073791</v>
      </c>
      <c r="AA422" s="263"/>
      <c r="AB422" s="263"/>
      <c r="AC422" s="264"/>
      <c r="AD422" s="292"/>
      <c r="AE422" s="291"/>
      <c r="AF422" s="264">
        <f t="shared" si="104"/>
        <v>19700.759999999998</v>
      </c>
      <c r="AG422" s="265"/>
      <c r="AH422" s="266">
        <f t="shared" si="94"/>
        <v>625.26445292620701</v>
      </c>
      <c r="AI422" s="293">
        <f t="shared" si="102"/>
        <v>3.2778412040893136E-2</v>
      </c>
      <c r="AJ422" s="292"/>
      <c r="AK422" s="263"/>
      <c r="AL422" s="264">
        <f t="shared" si="105"/>
        <v>17473.39</v>
      </c>
      <c r="AM422" s="268"/>
      <c r="AN422" s="266">
        <f t="shared" si="101"/>
        <v>2227.369999999999</v>
      </c>
      <c r="AO422" s="269">
        <f t="shared" si="100"/>
        <v>0.12747211617207646</v>
      </c>
      <c r="AP422" s="246"/>
      <c r="AQ422" s="246"/>
      <c r="AS422" s="246"/>
      <c r="AT422" s="246"/>
      <c r="AU422" s="475"/>
      <c r="AV422" s="475"/>
      <c r="AW422" s="475"/>
      <c r="AX422" s="475"/>
      <c r="AY422" s="475"/>
      <c r="AZ422" s="246"/>
      <c r="BA422" s="246"/>
      <c r="BB422" s="246"/>
      <c r="BC422" s="246"/>
      <c r="BD422" s="246"/>
      <c r="BE422" s="246"/>
      <c r="BF422" s="246"/>
      <c r="BG422" s="246"/>
      <c r="BH422" s="246"/>
      <c r="BI422" s="246"/>
    </row>
    <row r="423" spans="1:61" ht="18">
      <c r="A423" t="str">
        <f t="shared" si="89"/>
        <v>Salaires autres</v>
      </c>
      <c r="B423" s="7"/>
      <c r="C423" s="246"/>
      <c r="D423" s="246"/>
      <c r="E423" s="246"/>
      <c r="F423" s="246"/>
      <c r="G423" s="246"/>
      <c r="H423" s="246"/>
      <c r="I423" s="246"/>
      <c r="J423" s="246"/>
      <c r="K423" s="246"/>
      <c r="L423" s="246"/>
      <c r="M423" s="246"/>
      <c r="N423" s="246"/>
      <c r="O423" s="305"/>
      <c r="P423" s="155"/>
      <c r="Q423" s="246"/>
      <c r="R423" s="246"/>
      <c r="S423" s="246"/>
      <c r="T423" s="246"/>
      <c r="U423" s="246"/>
      <c r="V423" s="102" t="s">
        <v>42</v>
      </c>
      <c r="W423" s="286" t="s">
        <v>139</v>
      </c>
      <c r="X423" s="279"/>
      <c r="Y423" s="279"/>
      <c r="Z423" s="280">
        <f t="shared" si="103"/>
        <v>21798.446564885497</v>
      </c>
      <c r="AA423" s="279"/>
      <c r="AB423" s="279"/>
      <c r="AC423" s="280"/>
      <c r="AD423" s="288"/>
      <c r="AE423" s="287"/>
      <c r="AF423" s="280">
        <f t="shared" si="104"/>
        <v>23145.03</v>
      </c>
      <c r="AG423" s="281"/>
      <c r="AH423" s="282">
        <f t="shared" si="94"/>
        <v>1346.5834351145022</v>
      </c>
      <c r="AI423" s="283">
        <f t="shared" si="102"/>
        <v>6.1774284287013162E-2</v>
      </c>
      <c r="AJ423" s="288"/>
      <c r="AK423" s="279"/>
      <c r="AL423" s="280">
        <f t="shared" si="105"/>
        <v>19683.03</v>
      </c>
      <c r="AM423" s="284"/>
      <c r="AN423" s="282">
        <f t="shared" si="101"/>
        <v>3462</v>
      </c>
      <c r="AO423" s="289">
        <f t="shared" si="100"/>
        <v>0.17588755389795169</v>
      </c>
      <c r="AP423" s="246"/>
      <c r="AQ423" s="246"/>
      <c r="AS423" s="246"/>
      <c r="AT423" s="246"/>
      <c r="AU423" s="475"/>
      <c r="AV423" s="475"/>
      <c r="AW423" s="475"/>
      <c r="AX423" s="475"/>
      <c r="AY423" s="475"/>
      <c r="AZ423" s="246"/>
      <c r="BA423" s="246"/>
      <c r="BB423" s="246"/>
      <c r="BC423" s="246"/>
      <c r="BD423" s="246"/>
      <c r="BE423" s="246"/>
      <c r="BF423" s="246"/>
      <c r="BG423" s="246"/>
      <c r="BH423" s="246"/>
      <c r="BI423" s="246"/>
    </row>
    <row r="424" spans="1:61" ht="18">
      <c r="A424" t="str">
        <f t="shared" si="89"/>
        <v>Salaires spécialistes</v>
      </c>
      <c r="B424" s="7"/>
      <c r="C424" s="246"/>
      <c r="D424" s="246"/>
      <c r="E424" s="246"/>
      <c r="F424" s="246"/>
      <c r="G424" s="246"/>
      <c r="H424" s="246"/>
      <c r="I424" s="246"/>
      <c r="J424" s="246"/>
      <c r="K424" s="246"/>
      <c r="L424" s="246"/>
      <c r="M424" s="246"/>
      <c r="N424" s="246"/>
      <c r="O424" s="305"/>
      <c r="P424" s="155"/>
      <c r="Q424" s="246"/>
      <c r="R424" s="246"/>
      <c r="S424" s="246"/>
      <c r="T424" s="246"/>
      <c r="U424" s="246"/>
      <c r="V424" s="102" t="s">
        <v>43</v>
      </c>
      <c r="W424" s="286" t="s">
        <v>225</v>
      </c>
      <c r="X424" s="279"/>
      <c r="Y424" s="279"/>
      <c r="Z424" s="280">
        <f t="shared" si="103"/>
        <v>13283.797831091724</v>
      </c>
      <c r="AA424" s="279"/>
      <c r="AB424" s="279"/>
      <c r="AC424" s="280"/>
      <c r="AD424" s="288"/>
      <c r="AE424" s="287"/>
      <c r="AF424" s="280">
        <f t="shared" si="104"/>
        <v>12462.65</v>
      </c>
      <c r="AG424" s="281"/>
      <c r="AH424" s="282">
        <f t="shared" si="94"/>
        <v>-821.14783109172458</v>
      </c>
      <c r="AI424" s="283">
        <f t="shared" si="102"/>
        <v>-6.181574287209992E-2</v>
      </c>
      <c r="AJ424" s="288"/>
      <c r="AK424" s="279"/>
      <c r="AL424" s="280">
        <f t="shared" si="105"/>
        <v>13814.13</v>
      </c>
      <c r="AM424" s="284"/>
      <c r="AN424" s="282">
        <f t="shared" si="101"/>
        <v>-1351.4799999999996</v>
      </c>
      <c r="AO424" s="289">
        <f t="shared" si="100"/>
        <v>-9.7833160684024228E-2</v>
      </c>
      <c r="AP424" s="246"/>
      <c r="AQ424" s="246"/>
      <c r="AS424" s="475"/>
      <c r="AT424" s="475"/>
      <c r="AU424" s="475"/>
      <c r="AV424" s="475"/>
      <c r="AW424" s="475"/>
      <c r="AX424" s="475"/>
      <c r="AY424" s="475"/>
      <c r="AZ424" s="246"/>
      <c r="BA424" s="246"/>
      <c r="BB424" s="246"/>
      <c r="BC424" s="246"/>
      <c r="BD424" s="246"/>
      <c r="BE424" s="246"/>
      <c r="BF424" s="246"/>
      <c r="BG424" s="246"/>
      <c r="BH424" s="246"/>
      <c r="BI424" s="246"/>
    </row>
    <row r="425" spans="1:61" ht="18" hidden="1">
      <c r="A425" t="str">
        <f t="shared" si="89"/>
        <v>[...]</v>
      </c>
      <c r="B425" s="7"/>
      <c r="C425" s="246"/>
      <c r="D425" s="246"/>
      <c r="E425" s="246"/>
      <c r="F425" s="246"/>
      <c r="G425" s="246"/>
      <c r="H425" s="246"/>
      <c r="I425" s="246"/>
      <c r="J425" s="246"/>
      <c r="K425" s="246"/>
      <c r="L425" s="246"/>
      <c r="M425" s="246"/>
      <c r="N425" s="246"/>
      <c r="O425" s="305"/>
      <c r="P425" s="155"/>
      <c r="Q425" s="246"/>
      <c r="R425" s="246"/>
      <c r="S425" s="246"/>
      <c r="T425" s="246"/>
      <c r="U425" s="246"/>
      <c r="V425" s="102" t="s">
        <v>19</v>
      </c>
      <c r="W425" s="286"/>
      <c r="X425" s="279"/>
      <c r="Y425" s="279"/>
      <c r="Z425" s="282">
        <f t="shared" si="103"/>
        <v>0</v>
      </c>
      <c r="AA425" s="279"/>
      <c r="AB425" s="279"/>
      <c r="AC425" s="282"/>
      <c r="AD425" s="288"/>
      <c r="AE425" s="287"/>
      <c r="AF425" s="280">
        <f t="shared" si="104"/>
        <v>0</v>
      </c>
      <c r="AG425" s="281"/>
      <c r="AH425" s="282">
        <f t="shared" ref="AH425:AH457" si="106">AF425-Z425</f>
        <v>0</v>
      </c>
      <c r="AI425" s="283">
        <f t="shared" si="102"/>
        <v>0</v>
      </c>
      <c r="AJ425" s="288"/>
      <c r="AK425" s="279"/>
      <c r="AL425" s="280">
        <f t="shared" si="105"/>
        <v>0</v>
      </c>
      <c r="AM425" s="284"/>
      <c r="AN425" s="282">
        <f t="shared" si="101"/>
        <v>0</v>
      </c>
      <c r="AO425" s="289">
        <f t="shared" si="100"/>
        <v>0</v>
      </c>
      <c r="AP425" s="246"/>
      <c r="AQ425" s="246"/>
      <c r="AR425" s="440"/>
      <c r="AS425" s="475"/>
      <c r="AT425" s="475"/>
      <c r="AU425" s="475"/>
      <c r="AV425" s="475"/>
      <c r="AW425" s="475"/>
      <c r="AX425" s="475"/>
      <c r="AY425" s="475"/>
      <c r="AZ425" s="246"/>
      <c r="BA425" s="246"/>
      <c r="BB425" s="246"/>
      <c r="BC425" s="246"/>
      <c r="BD425" s="246"/>
      <c r="BE425" s="246"/>
      <c r="BF425" s="246"/>
      <c r="BG425" s="246"/>
      <c r="BH425" s="246"/>
      <c r="BI425" s="246"/>
    </row>
    <row r="426" spans="1:61" ht="18" hidden="1">
      <c r="A426" t="str">
        <f t="shared" si="89"/>
        <v>[...]</v>
      </c>
      <c r="B426" s="7"/>
      <c r="C426" s="246"/>
      <c r="D426" s="246"/>
      <c r="E426" s="246"/>
      <c r="F426" s="246"/>
      <c r="G426" s="246"/>
      <c r="H426" s="246"/>
      <c r="I426" s="246"/>
      <c r="J426" s="246"/>
      <c r="K426" s="246"/>
      <c r="L426" s="246"/>
      <c r="M426" s="246"/>
      <c r="N426" s="246"/>
      <c r="O426" s="305"/>
      <c r="P426" s="155"/>
      <c r="Q426" s="246"/>
      <c r="R426" s="246"/>
      <c r="S426" s="246"/>
      <c r="T426" s="246"/>
      <c r="U426" s="246"/>
      <c r="V426" s="102" t="s">
        <v>19</v>
      </c>
      <c r="W426" s="286"/>
      <c r="X426" s="279"/>
      <c r="Y426" s="279"/>
      <c r="Z426" s="282">
        <f t="shared" si="103"/>
        <v>0</v>
      </c>
      <c r="AA426" s="279"/>
      <c r="AB426" s="279"/>
      <c r="AC426" s="282"/>
      <c r="AD426" s="288"/>
      <c r="AE426" s="287"/>
      <c r="AF426" s="280">
        <f t="shared" si="104"/>
        <v>0</v>
      </c>
      <c r="AG426" s="281"/>
      <c r="AH426" s="282">
        <f t="shared" si="106"/>
        <v>0</v>
      </c>
      <c r="AI426" s="283">
        <f t="shared" si="102"/>
        <v>0</v>
      </c>
      <c r="AJ426" s="288"/>
      <c r="AK426" s="279"/>
      <c r="AL426" s="280">
        <f t="shared" si="105"/>
        <v>0</v>
      </c>
      <c r="AM426" s="284"/>
      <c r="AN426" s="282">
        <f t="shared" si="101"/>
        <v>0</v>
      </c>
      <c r="AO426" s="289">
        <f t="shared" si="100"/>
        <v>0</v>
      </c>
      <c r="AP426" s="246"/>
      <c r="AQ426" s="246"/>
      <c r="AS426" s="475"/>
      <c r="AT426" s="475"/>
      <c r="AU426" s="475"/>
      <c r="AV426" s="475"/>
      <c r="AW426" s="475"/>
      <c r="AX426" s="475"/>
      <c r="AY426" s="475"/>
      <c r="AZ426" s="246"/>
      <c r="BA426" s="246"/>
      <c r="BB426" s="246"/>
      <c r="BC426" s="246"/>
      <c r="BD426" s="246"/>
      <c r="BE426" s="246"/>
      <c r="BF426" s="246"/>
      <c r="BG426" s="246"/>
      <c r="BH426" s="246"/>
      <c r="BI426" s="246"/>
    </row>
    <row r="427" spans="1:61" ht="18" hidden="1">
      <c r="A427" t="str">
        <f t="shared" si="89"/>
        <v>[...]</v>
      </c>
      <c r="B427" s="7"/>
      <c r="C427" s="246"/>
      <c r="D427" s="246"/>
      <c r="E427" s="246"/>
      <c r="F427" s="246"/>
      <c r="G427" s="246"/>
      <c r="H427" s="246"/>
      <c r="I427" s="246"/>
      <c r="J427" s="246"/>
      <c r="K427" s="246"/>
      <c r="L427" s="246"/>
      <c r="M427" s="246"/>
      <c r="N427" s="246"/>
      <c r="O427" s="305"/>
      <c r="P427" s="155"/>
      <c r="Q427" s="246"/>
      <c r="R427" s="246"/>
      <c r="S427" s="246"/>
      <c r="T427" s="246"/>
      <c r="U427" s="246"/>
      <c r="V427" s="102" t="s">
        <v>19</v>
      </c>
      <c r="W427" s="286"/>
      <c r="X427" s="279"/>
      <c r="Y427" s="279"/>
      <c r="Z427" s="282">
        <f t="shared" si="103"/>
        <v>0</v>
      </c>
      <c r="AA427" s="279"/>
      <c r="AB427" s="279"/>
      <c r="AC427" s="282"/>
      <c r="AD427" s="288"/>
      <c r="AE427" s="287"/>
      <c r="AF427" s="280">
        <f t="shared" si="104"/>
        <v>0</v>
      </c>
      <c r="AG427" s="281"/>
      <c r="AH427" s="282">
        <f t="shared" si="106"/>
        <v>0</v>
      </c>
      <c r="AI427" s="283">
        <f t="shared" si="102"/>
        <v>0</v>
      </c>
      <c r="AJ427" s="288"/>
      <c r="AK427" s="279"/>
      <c r="AL427" s="280">
        <f t="shared" si="105"/>
        <v>0</v>
      </c>
      <c r="AM427" s="284"/>
      <c r="AN427" s="282">
        <f t="shared" si="101"/>
        <v>0</v>
      </c>
      <c r="AO427" s="289">
        <f t="shared" si="100"/>
        <v>0</v>
      </c>
      <c r="AP427" s="246"/>
      <c r="AQ427" s="246"/>
      <c r="AS427" s="475"/>
      <c r="AT427" s="475"/>
      <c r="AU427" s="475"/>
      <c r="AV427" s="475"/>
      <c r="AW427" s="475"/>
      <c r="AX427" s="475"/>
      <c r="AY427" s="475"/>
      <c r="AZ427" s="246"/>
      <c r="BA427" s="246"/>
      <c r="BB427" s="246"/>
      <c r="BC427" s="246"/>
      <c r="BD427" s="246"/>
      <c r="BE427" s="246"/>
      <c r="BF427" s="246"/>
      <c r="BG427" s="246"/>
      <c r="BH427" s="246"/>
      <c r="BI427" s="246"/>
    </row>
    <row r="428" spans="1:61" ht="18">
      <c r="A428" t="str">
        <f t="shared" si="89"/>
        <v>Salaires en absences</v>
      </c>
      <c r="B428" s="7"/>
      <c r="C428" s="246"/>
      <c r="D428" s="246"/>
      <c r="E428" s="246"/>
      <c r="F428" s="246"/>
      <c r="G428" s="246"/>
      <c r="H428" s="246"/>
      <c r="I428" s="246"/>
      <c r="J428" s="246"/>
      <c r="K428" s="246"/>
      <c r="L428" s="246"/>
      <c r="M428" s="246"/>
      <c r="N428" s="246"/>
      <c r="O428" s="305"/>
      <c r="P428" s="155"/>
      <c r="Q428" s="246"/>
      <c r="R428" s="246"/>
      <c r="S428" s="246"/>
      <c r="T428" s="246"/>
      <c r="U428" s="246"/>
      <c r="V428" s="103" t="s">
        <v>44</v>
      </c>
      <c r="W428" s="290" t="s">
        <v>141</v>
      </c>
      <c r="X428" s="263"/>
      <c r="Y428" s="263"/>
      <c r="Z428" s="264">
        <f t="shared" si="103"/>
        <v>21619.081953445439</v>
      </c>
      <c r="AA428" s="263"/>
      <c r="AB428" s="263"/>
      <c r="AC428" s="264"/>
      <c r="AD428" s="292"/>
      <c r="AE428" s="291"/>
      <c r="AF428" s="264">
        <f t="shared" si="104"/>
        <v>19869.23</v>
      </c>
      <c r="AG428" s="265"/>
      <c r="AH428" s="266">
        <f t="shared" si="106"/>
        <v>-1749.851953445439</v>
      </c>
      <c r="AI428" s="293">
        <f t="shared" si="102"/>
        <v>-8.0940160049976811E-2</v>
      </c>
      <c r="AJ428" s="292"/>
      <c r="AK428" s="263"/>
      <c r="AL428" s="264">
        <f t="shared" si="105"/>
        <v>21755.949999999997</v>
      </c>
      <c r="AM428" s="268"/>
      <c r="AN428" s="266">
        <f t="shared" si="101"/>
        <v>-1886.7199999999975</v>
      </c>
      <c r="AO428" s="294">
        <f t="shared" si="100"/>
        <v>-8.6722023170672749E-2</v>
      </c>
      <c r="AP428" s="475"/>
      <c r="AQ428" s="483"/>
      <c r="AS428" s="475"/>
      <c r="AT428" s="475"/>
      <c r="AU428" s="475"/>
      <c r="AV428" s="475"/>
      <c r="AW428" s="475"/>
      <c r="AX428" s="475"/>
      <c r="AY428" s="475"/>
      <c r="AZ428" s="246"/>
      <c r="BA428" s="246"/>
      <c r="BB428" s="246"/>
      <c r="BC428" s="246"/>
      <c r="BD428" s="246"/>
      <c r="BE428" s="246"/>
      <c r="BF428" s="246"/>
      <c r="BG428" s="246"/>
      <c r="BH428" s="246"/>
      <c r="BI428" s="246"/>
    </row>
    <row r="429" spans="1:61" ht="18">
      <c r="A429" t="str">
        <f t="shared" si="89"/>
        <v>Déduction à la source</v>
      </c>
      <c r="B429" s="7"/>
      <c r="C429" s="246"/>
      <c r="D429" s="246"/>
      <c r="E429" s="246"/>
      <c r="F429" s="246"/>
      <c r="G429" s="246"/>
      <c r="H429" s="246"/>
      <c r="I429" s="246"/>
      <c r="J429" s="246"/>
      <c r="K429" s="246"/>
      <c r="L429" s="246"/>
      <c r="M429" s="246"/>
      <c r="N429" s="246"/>
      <c r="O429" s="305"/>
      <c r="P429" s="155"/>
      <c r="Q429" s="246"/>
      <c r="R429" s="246"/>
      <c r="S429" s="246"/>
      <c r="T429" s="246"/>
      <c r="U429" s="246"/>
      <c r="V429" s="102" t="s">
        <v>45</v>
      </c>
      <c r="W429" s="286" t="s">
        <v>142</v>
      </c>
      <c r="X429" s="279"/>
      <c r="Y429" s="279"/>
      <c r="Z429" s="280">
        <f t="shared" si="103"/>
        <v>27884.664451702469</v>
      </c>
      <c r="AA429" s="279"/>
      <c r="AB429" s="279"/>
      <c r="AC429" s="280"/>
      <c r="AD429" s="288"/>
      <c r="AE429" s="287"/>
      <c r="AF429" s="280">
        <f t="shared" si="104"/>
        <v>19964.239999999998</v>
      </c>
      <c r="AG429" s="281"/>
      <c r="AH429" s="282">
        <f t="shared" si="106"/>
        <v>-7920.4244517024708</v>
      </c>
      <c r="AI429" s="283">
        <f t="shared" si="102"/>
        <v>-0.28404230810885361</v>
      </c>
      <c r="AJ429" s="288"/>
      <c r="AK429" s="279"/>
      <c r="AL429" s="280">
        <f t="shared" si="105"/>
        <v>22024.15</v>
      </c>
      <c r="AM429" s="284"/>
      <c r="AN429" s="282">
        <f t="shared" si="101"/>
        <v>-2059.9100000000035</v>
      </c>
      <c r="AO429" s="289">
        <f t="shared" si="100"/>
        <v>-9.3529602731547118E-2</v>
      </c>
      <c r="AP429" s="475"/>
      <c r="AQ429" s="474"/>
      <c r="AR429" s="474"/>
      <c r="AS429" s="475"/>
      <c r="AT429" s="475"/>
      <c r="AU429" s="475"/>
      <c r="AV429" s="246"/>
      <c r="AW429" s="246"/>
      <c r="AX429" s="246"/>
      <c r="AY429" s="246"/>
      <c r="AZ429" s="246"/>
      <c r="BA429" s="246"/>
      <c r="BB429" s="246"/>
      <c r="BC429" s="246"/>
      <c r="BD429" s="246"/>
      <c r="BE429" s="246"/>
      <c r="BF429" s="246"/>
      <c r="BG429" s="246"/>
      <c r="BH429" s="246"/>
      <c r="BI429" s="246"/>
    </row>
    <row r="430" spans="1:61" ht="18">
      <c r="A430" t="str">
        <f t="shared" si="89"/>
        <v>Bénéfices marginaux</v>
      </c>
      <c r="B430" s="7"/>
      <c r="C430" s="246"/>
      <c r="D430" s="246"/>
      <c r="E430" s="246"/>
      <c r="F430" s="246"/>
      <c r="G430" s="246"/>
      <c r="H430" s="246"/>
      <c r="I430" s="246"/>
      <c r="J430" s="246"/>
      <c r="K430" s="246"/>
      <c r="L430" s="246"/>
      <c r="M430" s="246"/>
      <c r="N430" s="246"/>
      <c r="O430" s="305"/>
      <c r="P430" s="155"/>
      <c r="Q430" s="246"/>
      <c r="R430" s="246"/>
      <c r="S430" s="246"/>
      <c r="T430" s="246"/>
      <c r="U430" s="246"/>
      <c r="V430" s="102" t="s">
        <v>46</v>
      </c>
      <c r="W430" s="286" t="s">
        <v>226</v>
      </c>
      <c r="X430" s="279"/>
      <c r="Y430" s="279"/>
      <c r="Z430" s="280">
        <f t="shared" si="103"/>
        <v>12998.866135380098</v>
      </c>
      <c r="AA430" s="279"/>
      <c r="AB430" s="279"/>
      <c r="AC430" s="280"/>
      <c r="AD430" s="288"/>
      <c r="AE430" s="287"/>
      <c r="AF430" s="280">
        <f t="shared" si="104"/>
        <v>11647.5</v>
      </c>
      <c r="AG430" s="281"/>
      <c r="AH430" s="282">
        <f t="shared" si="106"/>
        <v>-1351.3661353800981</v>
      </c>
      <c r="AI430" s="283">
        <f t="shared" si="102"/>
        <v>-0.10396030863814899</v>
      </c>
      <c r="AJ430" s="288"/>
      <c r="AK430" s="279"/>
      <c r="AL430" s="280">
        <f>IFERROR(SUMIF($C:$C,$V430,Q:Q),0)</f>
        <v>11585.37</v>
      </c>
      <c r="AM430" s="284"/>
      <c r="AN430" s="282">
        <f t="shared" si="101"/>
        <v>62.1299999999992</v>
      </c>
      <c r="AO430" s="289">
        <f t="shared" si="100"/>
        <v>5.3627980806827229E-3</v>
      </c>
      <c r="AP430" s="475"/>
      <c r="AQ430" s="474"/>
      <c r="AR430" s="474"/>
      <c r="AS430" s="475"/>
      <c r="AT430" s="475"/>
      <c r="AU430" s="475"/>
      <c r="AV430" s="246"/>
      <c r="AW430" s="246"/>
      <c r="AX430" s="246"/>
      <c r="AY430" s="246"/>
      <c r="AZ430" s="246"/>
      <c r="BA430" s="246"/>
      <c r="BB430" s="246"/>
      <c r="BC430" s="246"/>
      <c r="BD430" s="246"/>
      <c r="BE430" s="246"/>
      <c r="BF430" s="246"/>
      <c r="BG430" s="246"/>
      <c r="BH430" s="246"/>
      <c r="BI430" s="246"/>
    </row>
    <row r="431" spans="1:61" ht="18">
      <c r="A431" t="str">
        <f t="shared" si="89"/>
        <v>Csst</v>
      </c>
      <c r="B431" s="7"/>
      <c r="C431" s="246"/>
      <c r="D431" s="246"/>
      <c r="E431" s="246"/>
      <c r="F431" s="246"/>
      <c r="G431" s="246"/>
      <c r="H431" s="246"/>
      <c r="I431" s="246"/>
      <c r="J431" s="246"/>
      <c r="K431" s="246"/>
      <c r="L431" s="246"/>
      <c r="M431" s="246"/>
      <c r="N431" s="246"/>
      <c r="O431" s="305"/>
      <c r="P431" s="155"/>
      <c r="Q431" s="246"/>
      <c r="R431" s="246"/>
      <c r="S431" s="246"/>
      <c r="T431" s="246"/>
      <c r="U431" s="246"/>
      <c r="V431" s="102" t="s">
        <v>47</v>
      </c>
      <c r="W431" s="286" t="s">
        <v>227</v>
      </c>
      <c r="X431" s="279"/>
      <c r="Y431" s="279"/>
      <c r="Z431" s="280">
        <f t="shared" si="103"/>
        <v>2935.227837021313</v>
      </c>
      <c r="AA431" s="279"/>
      <c r="AB431" s="279"/>
      <c r="AC431" s="280"/>
      <c r="AD431" s="288"/>
      <c r="AE431" s="287"/>
      <c r="AF431" s="280">
        <f t="shared" si="104"/>
        <v>1518.5500000000002</v>
      </c>
      <c r="AG431" s="281"/>
      <c r="AH431" s="282">
        <f t="shared" si="106"/>
        <v>-1416.6778370213128</v>
      </c>
      <c r="AI431" s="306">
        <f t="shared" si="102"/>
        <v>-0.48264663449736361</v>
      </c>
      <c r="AJ431" s="288"/>
      <c r="AK431" s="279"/>
      <c r="AL431" s="280">
        <f>IFERROR(SUMIF($C:$C,$V431,Q:Q),0)</f>
        <v>1520.37</v>
      </c>
      <c r="AM431" s="284"/>
      <c r="AN431" s="282">
        <f t="shared" si="101"/>
        <v>-1.819999999999709</v>
      </c>
      <c r="AO431" s="294">
        <f t="shared" si="100"/>
        <v>-1.1970770273023732E-3</v>
      </c>
      <c r="AP431" s="475"/>
      <c r="AQ431" s="474"/>
      <c r="AR431" s="474"/>
      <c r="AS431" s="475"/>
      <c r="AT431" s="475"/>
      <c r="AU431" s="475"/>
      <c r="AV431" s="246"/>
      <c r="AW431" s="246"/>
      <c r="AX431" s="246"/>
      <c r="AY431" s="246"/>
      <c r="AZ431" s="246"/>
      <c r="BA431" s="246"/>
      <c r="BB431" s="246"/>
      <c r="BC431" s="246"/>
      <c r="BD431" s="246"/>
      <c r="BE431" s="246"/>
      <c r="BF431" s="246"/>
      <c r="BG431" s="246"/>
      <c r="BH431" s="246"/>
      <c r="BI431" s="246"/>
    </row>
    <row r="432" spans="1:61" ht="20.25" hidden="1">
      <c r="A432" t="str">
        <f t="shared" si="89"/>
        <v>[...]</v>
      </c>
      <c r="B432" s="7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246"/>
      <c r="U432" s="246"/>
      <c r="V432" s="29" t="s">
        <v>19</v>
      </c>
      <c r="W432" s="286"/>
      <c r="X432" s="279"/>
      <c r="Y432" s="287"/>
      <c r="Z432" s="282">
        <f>IFERROR(SUMIF($C:$C,$V432,F:F),0)</f>
        <v>0</v>
      </c>
      <c r="AA432" s="279"/>
      <c r="AB432" s="279"/>
      <c r="AC432" s="282"/>
      <c r="AD432" s="288"/>
      <c r="AE432" s="287"/>
      <c r="AF432" s="280">
        <f t="shared" si="104"/>
        <v>0</v>
      </c>
      <c r="AG432" s="281"/>
      <c r="AH432" s="282">
        <f t="shared" si="106"/>
        <v>0</v>
      </c>
      <c r="AI432" s="283">
        <f t="shared" si="102"/>
        <v>0</v>
      </c>
      <c r="AJ432" s="288"/>
      <c r="AK432" s="279"/>
      <c r="AL432" s="280">
        <f>IFERROR(SUMIF($C:$C,$V432,Q:Q),0)</f>
        <v>0</v>
      </c>
      <c r="AM432" s="284"/>
      <c r="AN432" s="282"/>
      <c r="AO432" s="294"/>
      <c r="AP432" s="246"/>
      <c r="AQ432" s="246"/>
      <c r="AR432" s="474"/>
      <c r="AS432" s="475"/>
      <c r="AT432" s="475"/>
      <c r="AU432" s="475"/>
      <c r="AV432" s="246"/>
      <c r="AW432" s="246"/>
      <c r="AX432" s="246"/>
      <c r="AY432" s="246"/>
      <c r="AZ432" s="246"/>
      <c r="BA432" s="246"/>
      <c r="BB432" s="246"/>
      <c r="BC432" s="246"/>
      <c r="BD432" s="246"/>
      <c r="BE432" s="246"/>
      <c r="BF432" s="246"/>
      <c r="BG432" s="246"/>
      <c r="BH432" s="246"/>
      <c r="BI432" s="246"/>
    </row>
    <row r="433" spans="1:62" ht="18">
      <c r="A433" t="str">
        <f t="shared" si="89"/>
        <v>TOTAL PERSONNEL</v>
      </c>
      <c r="B433" s="7"/>
      <c r="C433" s="246"/>
      <c r="D433" s="246"/>
      <c r="E433" s="246"/>
      <c r="F433" s="246"/>
      <c r="G433" s="246"/>
      <c r="H433" s="246"/>
      <c r="I433" s="246"/>
      <c r="J433" s="246"/>
      <c r="K433" s="246"/>
      <c r="L433" s="246"/>
      <c r="M433" s="246"/>
      <c r="R433" s="246"/>
      <c r="S433" s="246"/>
      <c r="T433" s="246"/>
      <c r="U433" s="246"/>
      <c r="V433" s="296" t="s">
        <v>48</v>
      </c>
      <c r="W433" s="297"/>
      <c r="X433" s="298">
        <f>Z433/Z407</f>
        <v>0.35748474514322875</v>
      </c>
      <c r="Y433" s="297"/>
      <c r="Z433" s="299">
        <f>SUM(Z420:Z432)</f>
        <v>165409.33286512957</v>
      </c>
      <c r="AA433" s="298"/>
      <c r="AB433" s="297"/>
      <c r="AC433" s="299"/>
      <c r="AD433" s="300">
        <f>AF433/AF407</f>
        <v>0.38316450157795312</v>
      </c>
      <c r="AE433" s="307"/>
      <c r="AF433" s="299">
        <f>SUM(AF420:AF432)</f>
        <v>152991.10999999996</v>
      </c>
      <c r="AG433" s="308"/>
      <c r="AH433" s="302">
        <f t="shared" si="106"/>
        <v>-12418.222865129617</v>
      </c>
      <c r="AI433" s="298">
        <f>AH433/Z433</f>
        <v>-7.5075708546960343E-2</v>
      </c>
      <c r="AJ433" s="300">
        <f>IF($AL$407=0,0,AL433/$AL$407)</f>
        <v>0.3727174709807447</v>
      </c>
      <c r="AK433" s="297"/>
      <c r="AL433" s="299">
        <f>SUM(AL420:AL432)</f>
        <v>153333.12</v>
      </c>
      <c r="AM433" s="309"/>
      <c r="AN433" s="302">
        <f t="shared" ref="AN433:AN447" si="107">AF433-AL433</f>
        <v>-342.01000000003842</v>
      </c>
      <c r="AO433" s="277">
        <f>IF(AL433=0,0,AN433/AL433)</f>
        <v>-2.2305031033089161E-3</v>
      </c>
      <c r="AP433" s="246"/>
      <c r="AQ433" s="246"/>
      <c r="AR433" s="474"/>
      <c r="AS433" s="475"/>
      <c r="AT433" s="475"/>
      <c r="AU433" s="475"/>
      <c r="AV433" s="246"/>
      <c r="AW433" s="246"/>
      <c r="AX433" s="246"/>
      <c r="AY433" s="246"/>
      <c r="AZ433" s="246"/>
      <c r="BA433" s="246"/>
      <c r="BB433" s="246"/>
      <c r="BC433" s="246"/>
      <c r="BD433" s="246"/>
      <c r="BE433" s="246"/>
      <c r="BF433" s="246"/>
      <c r="BG433" s="246"/>
      <c r="BH433" s="246"/>
      <c r="BI433" s="246"/>
    </row>
    <row r="434" spans="1:62" ht="18">
      <c r="A434" t="str">
        <f t="shared" si="89"/>
        <v>Publicité 2</v>
      </c>
      <c r="B434" s="7"/>
      <c r="C434" s="246"/>
      <c r="D434" s="246"/>
      <c r="E434" s="246"/>
      <c r="F434" s="246"/>
      <c r="G434" s="246"/>
      <c r="H434" s="246"/>
      <c r="I434" s="246"/>
      <c r="J434" s="246"/>
      <c r="K434" s="246"/>
      <c r="L434" s="246"/>
      <c r="M434" s="246"/>
      <c r="N434" s="246"/>
      <c r="O434" s="246"/>
      <c r="P434" s="246"/>
      <c r="Q434" s="310"/>
      <c r="S434" s="246"/>
      <c r="T434" s="246"/>
      <c r="U434" s="246"/>
      <c r="V434" s="211" t="s">
        <v>49</v>
      </c>
      <c r="W434" s="311" t="s">
        <v>228</v>
      </c>
      <c r="X434" s="312"/>
      <c r="Y434" s="312"/>
      <c r="Z434" s="313">
        <f t="shared" ref="Z434:Z448" si="108">+SUMIF($C:$C,$V434,F:F)</f>
        <v>6466.9786733853471</v>
      </c>
      <c r="AA434" s="312"/>
      <c r="AB434" s="312"/>
      <c r="AC434" s="313"/>
      <c r="AD434" s="314"/>
      <c r="AE434" s="315"/>
      <c r="AF434" s="313">
        <f t="shared" ref="AF434:AF451" si="109">+SUMIF($C:$C,$V434,L:L)</f>
        <v>11117.7</v>
      </c>
      <c r="AG434" s="314"/>
      <c r="AH434" s="316">
        <f t="shared" si="106"/>
        <v>4650.7213266146537</v>
      </c>
      <c r="AI434" s="317">
        <f t="shared" ref="AI434:AI451" si="110">IF(Z434=0,0,AH434/Z434)</f>
        <v>0.71914901246768526</v>
      </c>
      <c r="AJ434" s="314"/>
      <c r="AK434" s="312"/>
      <c r="AL434" s="313">
        <f t="shared" ref="AL434:AL448" si="111">+SUMIF($C:$C,$V434,Q:Q)</f>
        <v>6394.18</v>
      </c>
      <c r="AM434" s="318"/>
      <c r="AN434" s="316">
        <f t="shared" si="107"/>
        <v>4723.5200000000004</v>
      </c>
      <c r="AO434" s="285">
        <f t="shared" ref="AO434:AO447" si="112">IF(AL434=0,0,AN434/AL434)</f>
        <v>0.73872177511424453</v>
      </c>
      <c r="AP434" s="246"/>
      <c r="AQ434" s="246">
        <f>11677-559</f>
        <v>11118</v>
      </c>
      <c r="AR434" s="246" t="s">
        <v>274</v>
      </c>
      <c r="AS434" s="484"/>
      <c r="AT434" s="475"/>
      <c r="AU434" s="475"/>
      <c r="AV434" s="246"/>
      <c r="AW434" s="246"/>
      <c r="AX434" s="246"/>
      <c r="AY434" s="246"/>
      <c r="AZ434" s="246"/>
      <c r="BA434" s="246"/>
      <c r="BB434" s="246"/>
      <c r="BC434" s="246"/>
      <c r="BD434" s="246"/>
      <c r="BE434" s="246"/>
      <c r="BF434" s="246"/>
      <c r="BG434" s="246"/>
      <c r="BH434" s="246"/>
      <c r="BI434" s="246"/>
    </row>
    <row r="435" spans="1:62" ht="18">
      <c r="A435" t="str">
        <f t="shared" si="89"/>
        <v>Service gratuit 2</v>
      </c>
      <c r="B435" s="7"/>
      <c r="C435" s="246"/>
      <c r="D435" s="246"/>
      <c r="E435" s="246"/>
      <c r="F435" s="246"/>
      <c r="G435" s="246"/>
      <c r="H435" s="246"/>
      <c r="I435" s="246"/>
      <c r="J435" s="246"/>
      <c r="K435" s="246"/>
      <c r="L435" s="246"/>
      <c r="M435" s="246"/>
      <c r="N435" s="246"/>
      <c r="O435" s="246"/>
      <c r="Q435" s="310"/>
      <c r="S435" s="246"/>
      <c r="T435" s="246"/>
      <c r="U435" s="246"/>
      <c r="V435" s="102" t="s">
        <v>50</v>
      </c>
      <c r="W435" s="286" t="s">
        <v>148</v>
      </c>
      <c r="X435" s="279"/>
      <c r="Y435" s="279"/>
      <c r="Z435" s="280">
        <f t="shared" si="108"/>
        <v>3965</v>
      </c>
      <c r="AA435" s="279"/>
      <c r="AB435" s="279"/>
      <c r="AC435" s="280"/>
      <c r="AD435" s="288"/>
      <c r="AE435" s="287"/>
      <c r="AF435" s="280">
        <f t="shared" si="109"/>
        <v>2311.79</v>
      </c>
      <c r="AG435" s="281"/>
      <c r="AH435" s="282">
        <f t="shared" si="106"/>
        <v>-1653.21</v>
      </c>
      <c r="AI435" s="283">
        <f t="shared" si="110"/>
        <v>-0.41695081967213116</v>
      </c>
      <c r="AJ435" s="288"/>
      <c r="AK435" s="279"/>
      <c r="AL435" s="280">
        <f t="shared" si="111"/>
        <v>2429.71</v>
      </c>
      <c r="AM435" s="284"/>
      <c r="AN435" s="282">
        <f t="shared" si="107"/>
        <v>-117.92000000000007</v>
      </c>
      <c r="AO435" s="289">
        <f t="shared" si="112"/>
        <v>-4.8532540920521408E-2</v>
      </c>
      <c r="AP435" s="246"/>
      <c r="AQ435" s="246">
        <v>2312</v>
      </c>
      <c r="AR435" s="246"/>
      <c r="AS435" s="246"/>
      <c r="AT435" s="246"/>
      <c r="AU435" s="246"/>
      <c r="AV435" s="246"/>
      <c r="AW435" s="246"/>
      <c r="AX435" s="246"/>
      <c r="AY435" s="246"/>
      <c r="AZ435" s="246"/>
      <c r="BA435" s="246"/>
      <c r="BB435" s="246"/>
      <c r="BC435" s="246"/>
      <c r="BD435" s="246"/>
      <c r="BE435" s="246"/>
      <c r="BF435" s="246"/>
      <c r="BG435" s="246"/>
      <c r="BH435" s="246"/>
      <c r="BI435" s="246"/>
    </row>
    <row r="436" spans="1:62" ht="18">
      <c r="A436" t="str">
        <f t="shared" si="89"/>
        <v>Frais véhicules de cie</v>
      </c>
      <c r="B436" s="7"/>
      <c r="C436" s="246"/>
      <c r="D436" s="246"/>
      <c r="E436" s="246"/>
      <c r="F436" s="246"/>
      <c r="G436" s="246"/>
      <c r="H436" s="246"/>
      <c r="I436" s="246"/>
      <c r="J436" s="246"/>
      <c r="K436" s="246"/>
      <c r="L436" s="246"/>
      <c r="M436" s="246"/>
      <c r="N436" s="246"/>
      <c r="O436" s="246"/>
      <c r="P436" s="246"/>
      <c r="Q436" s="310"/>
      <c r="S436" s="246"/>
      <c r="T436" s="246"/>
      <c r="U436" s="246"/>
      <c r="V436" s="103" t="s">
        <v>51</v>
      </c>
      <c r="W436" s="290" t="s">
        <v>229</v>
      </c>
      <c r="X436" s="263"/>
      <c r="Y436" s="263"/>
      <c r="Z436" s="264">
        <f t="shared" si="108"/>
        <v>15303.333333333334</v>
      </c>
      <c r="AA436" s="263"/>
      <c r="AB436" s="263"/>
      <c r="AC436" s="264"/>
      <c r="AD436" s="292"/>
      <c r="AE436" s="291"/>
      <c r="AF436" s="264">
        <f t="shared" si="109"/>
        <v>18616.03</v>
      </c>
      <c r="AG436" s="265"/>
      <c r="AH436" s="266">
        <f t="shared" si="106"/>
        <v>3312.6966666666649</v>
      </c>
      <c r="AI436" s="293">
        <f t="shared" si="110"/>
        <v>0.21646896101067292</v>
      </c>
      <c r="AJ436" s="292"/>
      <c r="AK436" s="263"/>
      <c r="AL436" s="264">
        <f t="shared" si="111"/>
        <v>24224.79</v>
      </c>
      <c r="AM436" s="268"/>
      <c r="AN436" s="266">
        <f t="shared" si="107"/>
        <v>-5608.760000000002</v>
      </c>
      <c r="AO436" s="269">
        <f t="shared" si="112"/>
        <v>-0.23152976764710867</v>
      </c>
      <c r="AP436" s="246"/>
      <c r="AQ436" s="246">
        <f>17816+800</f>
        <v>18616</v>
      </c>
      <c r="AR436" s="485" t="s">
        <v>261</v>
      </c>
      <c r="AS436" s="246"/>
      <c r="AT436" s="246"/>
      <c r="AU436" s="246"/>
      <c r="AV436" s="246"/>
      <c r="AW436" s="246"/>
      <c r="AX436" s="246"/>
      <c r="AY436" s="246"/>
      <c r="AZ436" s="246"/>
      <c r="BA436" s="246"/>
      <c r="BB436" s="246"/>
      <c r="BC436" s="246"/>
      <c r="BD436" s="246"/>
      <c r="BE436" s="246"/>
      <c r="BF436" s="246"/>
      <c r="BG436" s="246"/>
      <c r="BH436" s="246"/>
      <c r="BI436" s="246"/>
      <c r="BJ436" s="246"/>
    </row>
    <row r="437" spans="1:62" ht="18">
      <c r="A437" t="str">
        <f t="shared" si="89"/>
        <v>Informatique</v>
      </c>
      <c r="B437" s="7"/>
      <c r="C437" s="246"/>
      <c r="D437" s="246"/>
      <c r="E437" s="246"/>
      <c r="F437" s="246"/>
      <c r="G437" s="246"/>
      <c r="H437" s="246"/>
      <c r="I437" s="246"/>
      <c r="J437" s="246"/>
      <c r="K437" s="246"/>
      <c r="L437" s="246"/>
      <c r="M437" s="246"/>
      <c r="N437" s="246"/>
      <c r="O437" s="246"/>
      <c r="P437" s="246"/>
      <c r="Q437" s="310"/>
      <c r="S437" s="246"/>
      <c r="T437" s="246"/>
      <c r="U437" s="246"/>
      <c r="V437" s="102" t="s">
        <v>52</v>
      </c>
      <c r="W437" s="286" t="s">
        <v>230</v>
      </c>
      <c r="X437" s="279"/>
      <c r="Y437" s="279"/>
      <c r="Z437" s="280">
        <f t="shared" si="108"/>
        <v>14093</v>
      </c>
      <c r="AA437" s="279"/>
      <c r="AB437" s="279"/>
      <c r="AC437" s="280"/>
      <c r="AD437" s="288"/>
      <c r="AE437" s="287"/>
      <c r="AF437" s="280">
        <f t="shared" si="109"/>
        <v>13050.62</v>
      </c>
      <c r="AG437" s="281"/>
      <c r="AH437" s="282">
        <f>AF437-Z437</f>
        <v>-1042.3799999999992</v>
      </c>
      <c r="AI437" s="283">
        <f t="shared" si="110"/>
        <v>-7.3964379479174003E-2</v>
      </c>
      <c r="AJ437" s="288"/>
      <c r="AK437" s="279"/>
      <c r="AL437" s="280">
        <f t="shared" si="111"/>
        <v>12426.250000000002</v>
      </c>
      <c r="AM437" s="284"/>
      <c r="AN437" s="282">
        <f t="shared" si="107"/>
        <v>624.36999999999898</v>
      </c>
      <c r="AO437" s="289">
        <f t="shared" si="112"/>
        <v>5.024605170505976E-2</v>
      </c>
      <c r="AP437" s="485"/>
      <c r="AQ437" s="246">
        <v>13051</v>
      </c>
      <c r="AR437" s="246"/>
      <c r="AS437" s="485"/>
      <c r="AT437" s="246"/>
      <c r="AU437" s="246"/>
      <c r="AV437" s="246"/>
      <c r="AW437" s="246"/>
      <c r="AX437" s="246"/>
      <c r="AY437" s="246"/>
      <c r="AZ437" s="246"/>
      <c r="BA437" s="246"/>
      <c r="BB437" s="246"/>
      <c r="BC437" s="246"/>
      <c r="BD437" s="246"/>
      <c r="BE437" s="246"/>
      <c r="BF437" s="246"/>
      <c r="BG437" s="246"/>
      <c r="BH437" s="246"/>
      <c r="BI437" s="246"/>
      <c r="BJ437" s="246"/>
    </row>
    <row r="438" spans="1:62" ht="18">
      <c r="A438" t="str">
        <f t="shared" si="89"/>
        <v>Frais de déplacement</v>
      </c>
      <c r="B438" s="7"/>
      <c r="C438" s="246"/>
      <c r="D438" s="246"/>
      <c r="E438" s="246"/>
      <c r="F438" s="246"/>
      <c r="G438" s="246"/>
      <c r="H438" s="246"/>
      <c r="I438" s="246"/>
      <c r="J438" s="246"/>
      <c r="K438" s="246"/>
      <c r="L438" s="246"/>
      <c r="M438" s="246"/>
      <c r="N438" s="246"/>
      <c r="O438" s="246"/>
      <c r="P438" s="246"/>
      <c r="Q438" s="310"/>
      <c r="S438" s="246"/>
      <c r="T438" s="246"/>
      <c r="U438" s="246"/>
      <c r="V438" s="102" t="s">
        <v>53</v>
      </c>
      <c r="W438" s="286" t="s">
        <v>231</v>
      </c>
      <c r="X438" s="279"/>
      <c r="Y438" s="279"/>
      <c r="Z438" s="280">
        <f t="shared" si="108"/>
        <v>1828</v>
      </c>
      <c r="AA438" s="279"/>
      <c r="AB438" s="279"/>
      <c r="AC438" s="280"/>
      <c r="AD438" s="288"/>
      <c r="AE438" s="287"/>
      <c r="AF438" s="280">
        <f t="shared" si="109"/>
        <v>2000.9999999999998</v>
      </c>
      <c r="AG438" s="281"/>
      <c r="AH438" s="282">
        <f t="shared" si="106"/>
        <v>172.99999999999977</v>
      </c>
      <c r="AI438" s="283">
        <f t="shared" si="110"/>
        <v>9.4638949671772304E-2</v>
      </c>
      <c r="AJ438" s="288"/>
      <c r="AK438" s="279"/>
      <c r="AL438" s="280">
        <f t="shared" si="111"/>
        <v>2077.75</v>
      </c>
      <c r="AM438" s="284"/>
      <c r="AN438" s="282">
        <f t="shared" si="107"/>
        <v>-76.750000000000227</v>
      </c>
      <c r="AO438" s="289">
        <f t="shared" si="112"/>
        <v>-3.693899651064865E-2</v>
      </c>
      <c r="AP438" s="485"/>
      <c r="AQ438" s="246">
        <f>1001+1000</f>
        <v>2001</v>
      </c>
      <c r="AR438" s="485"/>
      <c r="AS438" s="246"/>
      <c r="AT438" s="246"/>
      <c r="AU438" s="246"/>
      <c r="AV438" s="246"/>
      <c r="AW438" s="246"/>
      <c r="AX438" s="246"/>
      <c r="AY438" s="246"/>
      <c r="AZ438" s="246"/>
      <c r="BA438" s="246"/>
      <c r="BB438" s="246"/>
      <c r="BC438" s="246"/>
      <c r="BD438" s="246"/>
      <c r="BE438" s="246"/>
      <c r="BF438" s="246"/>
      <c r="BG438" s="246"/>
      <c r="BH438" s="246"/>
      <c r="BI438" s="246"/>
      <c r="BJ438" s="246"/>
    </row>
    <row r="439" spans="1:62" ht="18">
      <c r="A439" t="str">
        <f t="shared" si="89"/>
        <v>Services extérieurs</v>
      </c>
      <c r="B439" s="7"/>
      <c r="C439" s="246"/>
      <c r="D439" s="246"/>
      <c r="E439" s="246"/>
      <c r="F439" s="246"/>
      <c r="G439" s="246"/>
      <c r="H439" s="246"/>
      <c r="I439" s="246"/>
      <c r="J439" s="246"/>
      <c r="K439" s="246"/>
      <c r="L439" s="246"/>
      <c r="M439" s="246"/>
      <c r="N439" s="246"/>
      <c r="O439" s="246"/>
      <c r="P439" s="246"/>
      <c r="Q439" s="310"/>
      <c r="S439" s="246"/>
      <c r="T439" s="246"/>
      <c r="U439" s="246"/>
      <c r="V439" s="102" t="s">
        <v>54</v>
      </c>
      <c r="W439" s="286" t="s">
        <v>232</v>
      </c>
      <c r="X439" s="279"/>
      <c r="Y439" s="279"/>
      <c r="Z439" s="280">
        <f t="shared" si="108"/>
        <v>10966.000000000002</v>
      </c>
      <c r="AA439" s="279"/>
      <c r="AB439" s="279"/>
      <c r="AC439" s="280"/>
      <c r="AD439" s="288"/>
      <c r="AE439" s="287"/>
      <c r="AF439" s="280">
        <f t="shared" si="109"/>
        <v>11035.69</v>
      </c>
      <c r="AG439" s="281"/>
      <c r="AH439" s="282">
        <f t="shared" si="106"/>
        <v>69.68999999999869</v>
      </c>
      <c r="AI439" s="283">
        <f t="shared" si="110"/>
        <v>6.3550975743205066E-3</v>
      </c>
      <c r="AJ439" s="288"/>
      <c r="AK439" s="279"/>
      <c r="AL439" s="280">
        <f t="shared" si="111"/>
        <v>10621.5</v>
      </c>
      <c r="AM439" s="284"/>
      <c r="AN439" s="282">
        <f t="shared" si="107"/>
        <v>414.19000000000051</v>
      </c>
      <c r="AO439" s="289">
        <f t="shared" si="112"/>
        <v>3.8995433789954383E-2</v>
      </c>
      <c r="AP439" s="246"/>
      <c r="AQ439" s="246">
        <f>10286+750</f>
        <v>11036</v>
      </c>
      <c r="AR439" s="246"/>
      <c r="AS439" s="246"/>
      <c r="AT439" s="246"/>
      <c r="AU439" s="246"/>
      <c r="AV439" s="246"/>
      <c r="AW439" s="246"/>
      <c r="AX439" s="246"/>
      <c r="AY439" s="246"/>
      <c r="AZ439" s="246"/>
      <c r="BA439" s="246"/>
      <c r="BB439" s="246"/>
      <c r="BC439" s="246"/>
      <c r="BD439" s="246"/>
      <c r="BE439" s="246"/>
      <c r="BF439" s="246"/>
      <c r="BG439" s="246"/>
      <c r="BH439" s="246"/>
      <c r="BI439" s="246"/>
      <c r="BJ439" s="246"/>
    </row>
    <row r="440" spans="1:62" ht="18">
      <c r="B440" s="7"/>
      <c r="C440" s="246"/>
      <c r="D440" s="246"/>
      <c r="E440" s="246"/>
      <c r="F440" s="246"/>
      <c r="G440" s="246"/>
      <c r="H440" s="246"/>
      <c r="I440" s="246"/>
      <c r="J440" s="246"/>
      <c r="K440" s="246"/>
      <c r="L440" s="246"/>
      <c r="M440" s="246"/>
      <c r="N440" s="246"/>
      <c r="O440" s="246"/>
      <c r="P440" s="246"/>
      <c r="Q440" s="310"/>
      <c r="S440" s="246"/>
      <c r="T440" s="246"/>
      <c r="U440" s="246"/>
      <c r="V440" s="212" t="s">
        <v>93</v>
      </c>
      <c r="W440" s="319"/>
      <c r="X440" s="320"/>
      <c r="Y440" s="320"/>
      <c r="Z440" s="321">
        <f t="shared" si="108"/>
        <v>0</v>
      </c>
      <c r="AA440" s="320"/>
      <c r="AB440" s="320"/>
      <c r="AC440" s="321"/>
      <c r="AD440" s="322"/>
      <c r="AE440" s="323"/>
      <c r="AF440" s="321">
        <f t="shared" si="109"/>
        <v>0</v>
      </c>
      <c r="AG440" s="324"/>
      <c r="AH440" s="325">
        <f t="shared" si="106"/>
        <v>0</v>
      </c>
      <c r="AI440" s="326">
        <f t="shared" si="110"/>
        <v>0</v>
      </c>
      <c r="AJ440" s="322"/>
      <c r="AK440" s="320"/>
      <c r="AL440" s="321">
        <f t="shared" si="111"/>
        <v>0</v>
      </c>
      <c r="AM440" s="327"/>
      <c r="AN440" s="325">
        <f>AF440-AL440</f>
        <v>0</v>
      </c>
      <c r="AO440" s="328">
        <f>IF(AL440=0,0,AN440/AL440)</f>
        <v>0</v>
      </c>
      <c r="AP440" s="246"/>
      <c r="AQ440" s="246"/>
      <c r="AR440" s="246"/>
      <c r="AS440" s="246"/>
      <c r="AT440" s="246"/>
      <c r="AU440" s="246"/>
      <c r="AV440" s="246"/>
      <c r="AW440" s="246"/>
      <c r="AX440" s="246"/>
      <c r="AY440" s="246"/>
      <c r="AZ440" s="246"/>
      <c r="BA440" s="246"/>
      <c r="BB440" s="246"/>
      <c r="BC440" s="246"/>
      <c r="BD440" s="246"/>
      <c r="BE440" s="246"/>
      <c r="BF440" s="246"/>
      <c r="BG440" s="246"/>
      <c r="BH440" s="246"/>
      <c r="BI440" s="246"/>
      <c r="BJ440" s="246"/>
    </row>
    <row r="441" spans="1:62" ht="18">
      <c r="A441" t="str">
        <f t="shared" si="89"/>
        <v>Fournitures autres</v>
      </c>
      <c r="B441" s="7"/>
      <c r="C441" s="246"/>
      <c r="D441" s="246"/>
      <c r="E441" s="246"/>
      <c r="F441" s="246"/>
      <c r="G441" s="246"/>
      <c r="H441" s="246"/>
      <c r="I441" s="246"/>
      <c r="J441" s="246"/>
      <c r="K441" s="246"/>
      <c r="L441" s="246"/>
      <c r="M441" s="246"/>
      <c r="N441" s="246"/>
      <c r="O441" s="246"/>
      <c r="P441" s="329"/>
      <c r="Q441" s="310"/>
      <c r="R441" s="246"/>
      <c r="S441" s="246"/>
      <c r="T441" s="246"/>
      <c r="U441" s="246"/>
      <c r="V441" s="102" t="s">
        <v>55</v>
      </c>
      <c r="W441" s="286" t="s">
        <v>149</v>
      </c>
      <c r="X441" s="279"/>
      <c r="Y441" s="287"/>
      <c r="Z441" s="280">
        <f t="shared" si="108"/>
        <v>1388.7411410347272</v>
      </c>
      <c r="AA441" s="279"/>
      <c r="AB441" s="287"/>
      <c r="AC441" s="280"/>
      <c r="AD441" s="288"/>
      <c r="AE441" s="287"/>
      <c r="AF441" s="280">
        <f t="shared" si="109"/>
        <v>520.05999999999995</v>
      </c>
      <c r="AG441" s="281"/>
      <c r="AH441" s="282">
        <f t="shared" si="106"/>
        <v>-868.68114103472726</v>
      </c>
      <c r="AI441" s="283">
        <f t="shared" si="110"/>
        <v>-0.62551696307310944</v>
      </c>
      <c r="AJ441" s="288"/>
      <c r="AK441" s="279"/>
      <c r="AL441" s="280">
        <f t="shared" si="111"/>
        <v>1000.36</v>
      </c>
      <c r="AM441" s="284"/>
      <c r="AN441" s="282">
        <f t="shared" si="107"/>
        <v>-480.30000000000007</v>
      </c>
      <c r="AO441" s="289">
        <f t="shared" si="112"/>
        <v>-0.48012715422447927</v>
      </c>
      <c r="AP441" s="246"/>
      <c r="AQ441" s="246">
        <v>520</v>
      </c>
      <c r="AR441" s="246"/>
      <c r="AS441" s="246"/>
      <c r="AT441" s="246"/>
      <c r="AU441" s="246"/>
      <c r="AV441" s="246"/>
      <c r="AW441" s="246"/>
      <c r="AX441" s="246"/>
      <c r="AY441" s="246"/>
      <c r="AZ441" s="246"/>
      <c r="BA441" s="246"/>
      <c r="BB441" s="246"/>
      <c r="BC441" s="246"/>
      <c r="BD441" s="246"/>
      <c r="BE441" s="246"/>
      <c r="BF441" s="246"/>
      <c r="BG441" s="246"/>
      <c r="BH441" s="246"/>
      <c r="BI441" s="246"/>
      <c r="BJ441" s="246"/>
    </row>
    <row r="442" spans="1:62" ht="18">
      <c r="A442" t="str">
        <f t="shared" si="89"/>
        <v>Uniformes</v>
      </c>
      <c r="B442" s="7"/>
      <c r="C442" s="246"/>
      <c r="D442" s="246"/>
      <c r="E442" s="246"/>
      <c r="F442" s="246"/>
      <c r="G442" s="246"/>
      <c r="H442" s="246"/>
      <c r="I442" s="246"/>
      <c r="J442" s="246"/>
      <c r="K442" s="246"/>
      <c r="L442" s="246"/>
      <c r="M442" s="246"/>
      <c r="N442" s="246"/>
      <c r="O442" s="246"/>
      <c r="Q442" s="310"/>
      <c r="S442" s="246"/>
      <c r="T442" s="246"/>
      <c r="U442" s="246"/>
      <c r="V442" s="102" t="s">
        <v>56</v>
      </c>
      <c r="W442" s="286" t="s">
        <v>145</v>
      </c>
      <c r="X442" s="279"/>
      <c r="Y442" s="279"/>
      <c r="Z442" s="280">
        <f t="shared" si="108"/>
        <v>1003</v>
      </c>
      <c r="AA442" s="279"/>
      <c r="AB442" s="279"/>
      <c r="AC442" s="280"/>
      <c r="AD442" s="288"/>
      <c r="AE442" s="287"/>
      <c r="AF442" s="280">
        <f t="shared" si="109"/>
        <v>1072.2</v>
      </c>
      <c r="AG442" s="281"/>
      <c r="AH442" s="282">
        <f t="shared" si="106"/>
        <v>69.200000000000045</v>
      </c>
      <c r="AI442" s="306">
        <f t="shared" si="110"/>
        <v>6.8993020937188482E-2</v>
      </c>
      <c r="AJ442" s="288"/>
      <c r="AK442" s="279"/>
      <c r="AL442" s="280">
        <f t="shared" si="111"/>
        <v>930.02</v>
      </c>
      <c r="AM442" s="284"/>
      <c r="AN442" s="282">
        <f t="shared" si="107"/>
        <v>142.18000000000006</v>
      </c>
      <c r="AO442" s="289">
        <f t="shared" si="112"/>
        <v>0.15287843272187701</v>
      </c>
      <c r="AP442" s="246"/>
      <c r="AQ442" s="246">
        <v>1072</v>
      </c>
      <c r="AR442" s="246"/>
      <c r="AS442" s="246"/>
      <c r="AT442" s="246"/>
      <c r="AU442" s="246"/>
      <c r="AV442" s="246"/>
      <c r="AW442" s="246"/>
      <c r="AX442" s="246"/>
      <c r="AY442" s="246"/>
      <c r="AZ442" s="246"/>
      <c r="BA442" s="246"/>
      <c r="BB442" s="246"/>
      <c r="BC442" s="246"/>
      <c r="BD442" s="246"/>
      <c r="BE442" s="246"/>
      <c r="BF442" s="246"/>
      <c r="BG442" s="246"/>
      <c r="BH442" s="246"/>
      <c r="BI442" s="246"/>
      <c r="BJ442" s="246"/>
    </row>
    <row r="443" spans="1:62" ht="18">
      <c r="A443" t="str">
        <f t="shared" si="89"/>
        <v>Papeterie</v>
      </c>
      <c r="B443" s="7"/>
      <c r="C443" s="246"/>
      <c r="D443" s="246"/>
      <c r="E443" s="246"/>
      <c r="F443" s="246"/>
      <c r="G443" s="246"/>
      <c r="H443" s="246"/>
      <c r="I443" s="246"/>
      <c r="J443" s="246"/>
      <c r="K443" s="246"/>
      <c r="L443" s="246"/>
      <c r="M443" s="246"/>
      <c r="N443" s="246"/>
      <c r="O443" s="246"/>
      <c r="P443" s="329"/>
      <c r="Q443" s="310"/>
      <c r="R443" s="246"/>
      <c r="S443" s="246"/>
      <c r="T443" s="246"/>
      <c r="U443" s="246"/>
      <c r="V443" s="102" t="s">
        <v>57</v>
      </c>
      <c r="W443" s="286" t="s">
        <v>151</v>
      </c>
      <c r="X443" s="279"/>
      <c r="Y443" s="279"/>
      <c r="Z443" s="280">
        <f t="shared" si="108"/>
        <v>1750</v>
      </c>
      <c r="AA443" s="279"/>
      <c r="AB443" s="279"/>
      <c r="AC443" s="280"/>
      <c r="AD443" s="288"/>
      <c r="AE443" s="287"/>
      <c r="AF443" s="280">
        <f t="shared" si="109"/>
        <v>751.43999999999994</v>
      </c>
      <c r="AG443" s="281"/>
      <c r="AH443" s="282">
        <f t="shared" si="106"/>
        <v>-998.56000000000006</v>
      </c>
      <c r="AI443" s="283">
        <f t="shared" si="110"/>
        <v>-0.57060571428571427</v>
      </c>
      <c r="AJ443" s="288"/>
      <c r="AK443" s="279"/>
      <c r="AL443" s="280">
        <f t="shared" si="111"/>
        <v>1282.6499999999999</v>
      </c>
      <c r="AM443" s="284"/>
      <c r="AN443" s="282">
        <f t="shared" si="107"/>
        <v>-531.20999999999992</v>
      </c>
      <c r="AO443" s="289">
        <f t="shared" si="112"/>
        <v>-0.41415039176704477</v>
      </c>
      <c r="AP443" s="246"/>
      <c r="AQ443" s="246">
        <v>751</v>
      </c>
      <c r="AR443" s="246"/>
      <c r="AS443" s="246"/>
      <c r="AT443" s="246"/>
      <c r="AU443" s="246"/>
      <c r="AV443" s="246"/>
      <c r="AW443" s="246"/>
      <c r="AX443" s="246"/>
      <c r="AY443" s="246"/>
      <c r="AZ443" s="246"/>
      <c r="BA443" s="246"/>
      <c r="BB443" s="246"/>
      <c r="BC443" s="246"/>
      <c r="BD443" s="246"/>
      <c r="BE443" s="246"/>
      <c r="BF443" s="246"/>
      <c r="BG443" s="246"/>
      <c r="BH443" s="246"/>
      <c r="BI443" s="246"/>
      <c r="BJ443" s="246"/>
    </row>
    <row r="444" spans="1:62" ht="18">
      <c r="A444" t="str">
        <f t="shared" si="89"/>
        <v>Téléphone</v>
      </c>
      <c r="B444" s="7"/>
      <c r="C444" s="246"/>
      <c r="D444" s="246"/>
      <c r="E444" s="246"/>
      <c r="F444" s="246"/>
      <c r="G444" s="246"/>
      <c r="H444" s="246"/>
      <c r="I444" s="246"/>
      <c r="J444" s="246"/>
      <c r="K444" s="246"/>
      <c r="L444" s="246"/>
      <c r="M444" s="246"/>
      <c r="N444" s="246"/>
      <c r="O444" s="246"/>
      <c r="P444" s="246"/>
      <c r="Q444" s="310"/>
      <c r="S444" s="246"/>
      <c r="T444" s="246"/>
      <c r="U444" s="246"/>
      <c r="V444" s="102" t="s">
        <v>58</v>
      </c>
      <c r="W444" s="286" t="s">
        <v>233</v>
      </c>
      <c r="X444" s="279"/>
      <c r="Y444" s="279"/>
      <c r="Z444" s="280">
        <f t="shared" si="108"/>
        <v>512</v>
      </c>
      <c r="AA444" s="279"/>
      <c r="AB444" s="279"/>
      <c r="AC444" s="280"/>
      <c r="AD444" s="288"/>
      <c r="AE444" s="287"/>
      <c r="AF444" s="280">
        <f t="shared" si="109"/>
        <v>457.03000000000003</v>
      </c>
      <c r="AG444" s="281"/>
      <c r="AH444" s="282">
        <f t="shared" si="106"/>
        <v>-54.96999999999997</v>
      </c>
      <c r="AI444" s="306">
        <f t="shared" si="110"/>
        <v>-0.10736328124999994</v>
      </c>
      <c r="AJ444" s="288"/>
      <c r="AK444" s="279"/>
      <c r="AL444" s="280">
        <f t="shared" si="111"/>
        <v>532.84</v>
      </c>
      <c r="AM444" s="284"/>
      <c r="AN444" s="282">
        <f t="shared" si="107"/>
        <v>-75.81</v>
      </c>
      <c r="AO444" s="289">
        <f t="shared" si="112"/>
        <v>-0.14227535470310038</v>
      </c>
      <c r="AP444" s="246"/>
      <c r="AQ444" s="246">
        <v>457</v>
      </c>
      <c r="AR444" s="246"/>
      <c r="AS444" s="246"/>
      <c r="AT444" s="246"/>
      <c r="AU444" s="246"/>
      <c r="AV444" s="246"/>
      <c r="AW444" s="246"/>
      <c r="AX444" s="246"/>
      <c r="AY444" s="246"/>
      <c r="AZ444" s="246"/>
      <c r="BA444" s="246"/>
      <c r="BB444" s="246"/>
      <c r="BC444" s="246"/>
      <c r="BD444" s="246"/>
      <c r="BE444" s="246"/>
      <c r="BF444" s="246"/>
      <c r="BG444" s="246"/>
      <c r="BH444" s="246"/>
      <c r="BI444" s="246"/>
      <c r="BJ444" s="246"/>
    </row>
    <row r="445" spans="1:62" ht="18">
      <c r="A445" t="str">
        <f t="shared" si="89"/>
        <v>Frais postaux</v>
      </c>
      <c r="B445" s="7"/>
      <c r="C445" s="246"/>
      <c r="D445" s="246"/>
      <c r="E445" s="246"/>
      <c r="F445" s="246"/>
      <c r="G445" s="246"/>
      <c r="H445" s="246"/>
      <c r="I445" s="246"/>
      <c r="J445" s="246"/>
      <c r="K445" s="246"/>
      <c r="L445" s="246"/>
      <c r="M445" s="246"/>
      <c r="N445" s="246"/>
      <c r="O445" s="246"/>
      <c r="P445" s="246"/>
      <c r="Q445" s="310"/>
      <c r="S445" s="246"/>
      <c r="T445" s="246"/>
      <c r="U445" s="246"/>
      <c r="V445" s="102" t="s">
        <v>59</v>
      </c>
      <c r="W445" s="286" t="s">
        <v>234</v>
      </c>
      <c r="X445" s="279"/>
      <c r="Y445" s="279"/>
      <c r="Z445" s="280">
        <f t="shared" si="108"/>
        <v>875</v>
      </c>
      <c r="AA445" s="279"/>
      <c r="AB445" s="279"/>
      <c r="AC445" s="280"/>
      <c r="AD445" s="288"/>
      <c r="AE445" s="287"/>
      <c r="AF445" s="280">
        <f t="shared" si="109"/>
        <v>974.94</v>
      </c>
      <c r="AG445" s="281"/>
      <c r="AH445" s="282">
        <f t="shared" si="106"/>
        <v>99.940000000000055</v>
      </c>
      <c r="AI445" s="283">
        <f t="shared" si="110"/>
        <v>0.11421714285714292</v>
      </c>
      <c r="AJ445" s="288"/>
      <c r="AK445" s="279"/>
      <c r="AL445" s="280">
        <f t="shared" si="111"/>
        <v>830.32999999999993</v>
      </c>
      <c r="AM445" s="284"/>
      <c r="AN445" s="282">
        <f t="shared" si="107"/>
        <v>144.61000000000013</v>
      </c>
      <c r="AO445" s="289">
        <f t="shared" si="112"/>
        <v>0.17415967145592734</v>
      </c>
      <c r="AP445" s="246"/>
      <c r="AQ445" s="246">
        <v>975</v>
      </c>
      <c r="AR445" s="246"/>
      <c r="AS445" s="246"/>
      <c r="AT445" s="246"/>
      <c r="AU445" s="246"/>
      <c r="AV445" s="246"/>
      <c r="AW445" s="246"/>
      <c r="AX445" s="246"/>
      <c r="AY445" s="246"/>
      <c r="AZ445" s="246"/>
      <c r="BA445" s="246"/>
      <c r="BB445" s="246"/>
      <c r="BC445" s="246"/>
      <c r="BD445" s="246"/>
      <c r="BE445" s="246"/>
      <c r="BF445" s="246"/>
      <c r="BG445" s="246"/>
      <c r="BH445" s="246"/>
      <c r="BI445" s="246"/>
      <c r="BJ445" s="246"/>
    </row>
    <row r="446" spans="1:62" ht="18">
      <c r="A446" t="str">
        <f t="shared" si="89"/>
        <v>Divers</v>
      </c>
      <c r="B446" s="7"/>
      <c r="C446" s="246"/>
      <c r="D446" s="246"/>
      <c r="E446" s="246"/>
      <c r="F446" s="246"/>
      <c r="G446" s="246"/>
      <c r="H446" s="246"/>
      <c r="I446" s="246"/>
      <c r="J446" s="246"/>
      <c r="K446" s="246"/>
      <c r="L446" s="246"/>
      <c r="M446" s="246"/>
      <c r="N446" s="246"/>
      <c r="O446" s="246"/>
      <c r="P446" s="246"/>
      <c r="Q446" s="310"/>
      <c r="R446" s="246"/>
      <c r="S446" s="246"/>
      <c r="T446" s="246"/>
      <c r="U446" s="246"/>
      <c r="V446" s="102" t="s">
        <v>60</v>
      </c>
      <c r="W446" s="286" t="s">
        <v>235</v>
      </c>
      <c r="X446" s="279"/>
      <c r="Y446" s="287"/>
      <c r="Z446" s="280">
        <f t="shared" si="108"/>
        <v>1858</v>
      </c>
      <c r="AA446" s="279"/>
      <c r="AB446" s="287"/>
      <c r="AC446" s="280"/>
      <c r="AD446" s="288"/>
      <c r="AE446" s="287"/>
      <c r="AF446" s="280">
        <f t="shared" si="109"/>
        <v>2336.0000000000005</v>
      </c>
      <c r="AG446" s="281"/>
      <c r="AH446" s="282">
        <f t="shared" si="106"/>
        <v>478.00000000000045</v>
      </c>
      <c r="AI446" s="306">
        <f t="shared" si="110"/>
        <v>0.25726587728740608</v>
      </c>
      <c r="AJ446" s="288"/>
      <c r="AK446" s="279"/>
      <c r="AL446" s="280">
        <f t="shared" si="111"/>
        <v>1589.31</v>
      </c>
      <c r="AM446" s="284"/>
      <c r="AN446" s="282">
        <f t="shared" si="107"/>
        <v>746.69000000000051</v>
      </c>
      <c r="AO446" s="289">
        <f t="shared" si="112"/>
        <v>0.46982023645481408</v>
      </c>
      <c r="AP446" s="246"/>
      <c r="AQ446" s="246">
        <v>2336</v>
      </c>
      <c r="AR446" s="246" t="s">
        <v>275</v>
      </c>
      <c r="AS446" s="246"/>
      <c r="AT446" s="246"/>
      <c r="AU446" s="246"/>
      <c r="AV446" s="246"/>
      <c r="AW446" s="246"/>
      <c r="AX446" s="246"/>
      <c r="AY446" s="246"/>
      <c r="AZ446" s="246"/>
      <c r="BA446" s="246"/>
      <c r="BB446" s="246"/>
      <c r="BC446" s="246"/>
      <c r="BD446" s="246"/>
      <c r="BE446" s="246"/>
      <c r="BF446" s="246"/>
      <c r="BG446" s="246"/>
      <c r="BH446" s="246"/>
      <c r="BI446" s="246"/>
      <c r="BJ446" s="246"/>
    </row>
    <row r="447" spans="1:62" ht="18">
      <c r="A447" t="str">
        <f t="shared" si="89"/>
        <v>Formation</v>
      </c>
      <c r="B447" s="7"/>
      <c r="C447" s="246"/>
      <c r="D447" s="246"/>
      <c r="E447" s="246"/>
      <c r="F447" s="246"/>
      <c r="G447" s="246"/>
      <c r="H447" s="246"/>
      <c r="I447" s="246"/>
      <c r="J447" s="246"/>
      <c r="K447" s="246"/>
      <c r="L447" s="246"/>
      <c r="M447" s="246"/>
      <c r="N447" s="246"/>
      <c r="O447" s="246"/>
      <c r="P447" s="246"/>
      <c r="Q447" s="310"/>
      <c r="R447" s="246"/>
      <c r="S447" s="246"/>
      <c r="T447" s="246"/>
      <c r="U447" s="246"/>
      <c r="V447" s="102" t="s">
        <v>61</v>
      </c>
      <c r="W447" s="286" t="s">
        <v>236</v>
      </c>
      <c r="X447" s="279"/>
      <c r="Y447" s="287"/>
      <c r="Z447" s="280">
        <f t="shared" si="108"/>
        <v>2609.9010666666663</v>
      </c>
      <c r="AA447" s="279"/>
      <c r="AB447" s="287"/>
      <c r="AC447" s="280"/>
      <c r="AD447" s="288"/>
      <c r="AE447" s="287"/>
      <c r="AF447" s="280">
        <f t="shared" si="109"/>
        <v>769.27</v>
      </c>
      <c r="AG447" s="281"/>
      <c r="AH447" s="282">
        <f t="shared" si="106"/>
        <v>-1840.6310666666664</v>
      </c>
      <c r="AI447" s="283">
        <f t="shared" si="110"/>
        <v>-0.70524936373067115</v>
      </c>
      <c r="AJ447" s="288"/>
      <c r="AK447" s="279"/>
      <c r="AL447" s="280">
        <f t="shared" si="111"/>
        <v>1810.5299999999997</v>
      </c>
      <c r="AM447" s="284"/>
      <c r="AN447" s="282">
        <f t="shared" si="107"/>
        <v>-1041.2599999999998</v>
      </c>
      <c r="AO447" s="289">
        <f t="shared" si="112"/>
        <v>-0.57511336459489759</v>
      </c>
      <c r="AP447" s="246"/>
      <c r="AQ447" s="246">
        <v>769</v>
      </c>
      <c r="AR447" s="246"/>
      <c r="AS447" s="246"/>
      <c r="AT447" s="246"/>
      <c r="AU447" s="246"/>
      <c r="AV447" s="246"/>
      <c r="AW447" s="246"/>
      <c r="AX447" s="246"/>
      <c r="AY447" s="246"/>
      <c r="AZ447" s="246"/>
      <c r="BA447" s="246"/>
      <c r="BB447" s="246"/>
      <c r="BC447" s="246"/>
      <c r="BD447" s="246"/>
      <c r="BE447" s="246"/>
      <c r="BF447" s="246"/>
      <c r="BG447" s="246"/>
      <c r="BH447" s="246"/>
      <c r="BI447" s="246"/>
      <c r="BJ447" s="246"/>
    </row>
    <row r="448" spans="1:62" ht="18">
      <c r="A448" t="str">
        <f t="shared" si="89"/>
        <v>Frais bancaires</v>
      </c>
      <c r="B448" s="7"/>
      <c r="C448" s="246"/>
      <c r="D448" s="246"/>
      <c r="E448" s="246"/>
      <c r="F448" s="246"/>
      <c r="G448" s="246"/>
      <c r="H448" s="246"/>
      <c r="I448" s="246"/>
      <c r="J448" s="246"/>
      <c r="K448" s="246"/>
      <c r="L448" s="246"/>
      <c r="M448" s="246"/>
      <c r="N448" s="246"/>
      <c r="O448" s="246"/>
      <c r="P448" s="246"/>
      <c r="Q448" s="310"/>
      <c r="R448" s="246"/>
      <c r="S448" s="246"/>
      <c r="T448" s="246"/>
      <c r="U448" s="246"/>
      <c r="V448" s="102" t="s">
        <v>62</v>
      </c>
      <c r="W448" s="286" t="s">
        <v>237</v>
      </c>
      <c r="X448" s="279"/>
      <c r="Y448" s="287">
        <f>Z448/Z406</f>
        <v>1.5100000000000003E-3</v>
      </c>
      <c r="Z448" s="280">
        <f t="shared" si="108"/>
        <v>6699.9643405681345</v>
      </c>
      <c r="AA448" s="279"/>
      <c r="AB448" s="287"/>
      <c r="AC448" s="280"/>
      <c r="AD448" s="288"/>
      <c r="AE448" s="287"/>
      <c r="AF448" s="280">
        <f t="shared" si="109"/>
        <v>5921.58</v>
      </c>
      <c r="AG448" s="281"/>
      <c r="AH448" s="282">
        <f t="shared" si="106"/>
        <v>-778.38434056813458</v>
      </c>
      <c r="AI448" s="283">
        <f t="shared" si="110"/>
        <v>-0.11617738558025373</v>
      </c>
      <c r="AJ448" s="288"/>
      <c r="AK448" s="279"/>
      <c r="AL448" s="280">
        <f t="shared" si="111"/>
        <v>5725.43</v>
      </c>
      <c r="AM448" s="284"/>
      <c r="AN448" s="282">
        <f>AF448-AL448</f>
        <v>196.14999999999964</v>
      </c>
      <c r="AO448" s="289">
        <f>IF(AL448=0,0,AN448/AL448)</f>
        <v>3.425943553584615E-2</v>
      </c>
      <c r="AP448" s="246"/>
      <c r="AQ448" s="246">
        <v>5922</v>
      </c>
      <c r="AR448" s="246"/>
      <c r="AS448" s="246"/>
      <c r="AT448" s="246"/>
      <c r="AU448" s="246"/>
      <c r="AV448" s="246"/>
      <c r="AW448" s="246"/>
      <c r="AX448" s="246"/>
      <c r="AY448" s="246"/>
      <c r="AZ448" s="246"/>
      <c r="BA448" s="246"/>
      <c r="BB448" s="246"/>
      <c r="BC448" s="246"/>
      <c r="BD448" s="246"/>
      <c r="BE448" s="246"/>
      <c r="BF448" s="246"/>
      <c r="BG448" s="246"/>
      <c r="BH448" s="246"/>
      <c r="BI448" s="246"/>
      <c r="BJ448" s="246"/>
    </row>
    <row r="449" spans="1:62" ht="18" hidden="1">
      <c r="A449" t="str">
        <f t="shared" si="89"/>
        <v>[...]</v>
      </c>
      <c r="B449" s="7"/>
      <c r="C449" s="246"/>
      <c r="D449" s="246"/>
      <c r="E449" s="246"/>
      <c r="F449" s="246"/>
      <c r="G449" s="246"/>
      <c r="H449" s="246"/>
      <c r="I449" s="246"/>
      <c r="J449" s="246"/>
      <c r="K449" s="246"/>
      <c r="L449" s="246"/>
      <c r="M449" s="246"/>
      <c r="N449" s="246"/>
      <c r="O449" s="246"/>
      <c r="P449" s="246"/>
      <c r="Q449" s="310"/>
      <c r="R449" s="246"/>
      <c r="S449" s="246"/>
      <c r="T449" s="246"/>
      <c r="U449" s="246"/>
      <c r="V449" s="102" t="s">
        <v>19</v>
      </c>
      <c r="W449" s="286"/>
      <c r="X449" s="279"/>
      <c r="Y449" s="287"/>
      <c r="Z449" s="282">
        <f>IFERROR(SUMIF($C:$C,$V449,F:F),0)</f>
        <v>0</v>
      </c>
      <c r="AA449" s="279"/>
      <c r="AB449" s="279"/>
      <c r="AC449" s="282"/>
      <c r="AD449" s="288"/>
      <c r="AE449" s="287"/>
      <c r="AF449" s="280">
        <f t="shared" si="109"/>
        <v>0</v>
      </c>
      <c r="AG449" s="281"/>
      <c r="AH449" s="282">
        <f t="shared" si="106"/>
        <v>0</v>
      </c>
      <c r="AI449" s="283">
        <f t="shared" si="110"/>
        <v>0</v>
      </c>
      <c r="AJ449" s="288"/>
      <c r="AK449" s="279"/>
      <c r="AL449" s="280">
        <f>IFERROR(SUMIF($C:$C,$V449,Q:Q),0)</f>
        <v>0</v>
      </c>
      <c r="AM449" s="284"/>
      <c r="AN449" s="282">
        <f>AF449-AL449</f>
        <v>0</v>
      </c>
      <c r="AO449" s="289">
        <f>IF(AL449=0,0,AN449/AL449)</f>
        <v>0</v>
      </c>
      <c r="AP449" s="246"/>
      <c r="AQ449" s="246"/>
      <c r="AR449" s="246"/>
      <c r="AS449" s="246"/>
      <c r="AT449" s="246"/>
      <c r="AU449" s="246"/>
      <c r="AV449" s="246"/>
      <c r="AW449" s="246"/>
      <c r="AX449" s="246"/>
      <c r="AY449" s="246"/>
      <c r="AZ449" s="246"/>
      <c r="BA449" s="246"/>
      <c r="BB449" s="246"/>
      <c r="BC449" s="246"/>
      <c r="BD449" s="246"/>
      <c r="BE449" s="246"/>
      <c r="BF449" s="246"/>
      <c r="BG449" s="246"/>
      <c r="BH449" s="246"/>
      <c r="BI449" s="246"/>
      <c r="BJ449" s="246"/>
    </row>
    <row r="450" spans="1:62" ht="18" hidden="1">
      <c r="A450" t="str">
        <f t="shared" si="89"/>
        <v>[...]</v>
      </c>
      <c r="B450" s="7"/>
      <c r="C450" s="246"/>
      <c r="D450" s="246"/>
      <c r="E450" s="246"/>
      <c r="F450" s="246"/>
      <c r="G450" s="246"/>
      <c r="H450" s="246"/>
      <c r="I450" s="246"/>
      <c r="J450" s="246"/>
      <c r="K450" s="246"/>
      <c r="L450" s="246"/>
      <c r="M450" s="246"/>
      <c r="N450" s="246"/>
      <c r="O450" s="246"/>
      <c r="P450" s="246"/>
      <c r="Q450" s="310"/>
      <c r="R450" s="246"/>
      <c r="S450" s="246"/>
      <c r="T450" s="246"/>
      <c r="U450" s="246"/>
      <c r="V450" s="102" t="s">
        <v>19</v>
      </c>
      <c r="W450" s="286"/>
      <c r="X450" s="279"/>
      <c r="Y450" s="287"/>
      <c r="Z450" s="282">
        <f>IFERROR(SUMIF($C:$C,$V450,F:F),0)</f>
        <v>0</v>
      </c>
      <c r="AA450" s="279"/>
      <c r="AB450" s="279"/>
      <c r="AC450" s="282"/>
      <c r="AD450" s="288"/>
      <c r="AE450" s="287"/>
      <c r="AF450" s="280">
        <f t="shared" si="109"/>
        <v>0</v>
      </c>
      <c r="AG450" s="281"/>
      <c r="AH450" s="282">
        <f t="shared" si="106"/>
        <v>0</v>
      </c>
      <c r="AI450" s="283">
        <f t="shared" si="110"/>
        <v>0</v>
      </c>
      <c r="AJ450" s="288"/>
      <c r="AK450" s="279"/>
      <c r="AL450" s="280">
        <f>IFERROR(SUMIF($C:$C,$V450,Q:Q),0)</f>
        <v>0</v>
      </c>
      <c r="AM450" s="284"/>
      <c r="AN450" s="282">
        <f>AF450-AL450</f>
        <v>0</v>
      </c>
      <c r="AO450" s="289">
        <f>IF(AL450=0,0,AN450/AL450)</f>
        <v>0</v>
      </c>
      <c r="AP450" s="246"/>
      <c r="AQ450" s="246"/>
      <c r="AR450" s="246"/>
      <c r="AS450" s="246"/>
      <c r="AT450" s="246"/>
      <c r="AU450" s="246"/>
      <c r="AV450" s="246"/>
      <c r="AW450" s="246"/>
      <c r="AX450" s="246"/>
      <c r="AY450" s="246"/>
      <c r="AZ450" s="246"/>
      <c r="BA450" s="246"/>
      <c r="BB450" s="246"/>
      <c r="BC450" s="246"/>
      <c r="BD450" s="246"/>
      <c r="BE450" s="246"/>
      <c r="BF450" s="246"/>
      <c r="BG450" s="246"/>
      <c r="BH450" s="246"/>
      <c r="BI450" s="246"/>
      <c r="BJ450" s="246"/>
    </row>
    <row r="451" spans="1:62" ht="18" hidden="1">
      <c r="A451" t="str">
        <f t="shared" si="89"/>
        <v>[...]</v>
      </c>
      <c r="B451" s="7"/>
      <c r="C451" s="246"/>
      <c r="D451" s="246"/>
      <c r="E451" s="246"/>
      <c r="F451" s="246"/>
      <c r="G451" s="246"/>
      <c r="H451" s="246"/>
      <c r="I451" s="246"/>
      <c r="J451" s="246"/>
      <c r="K451" s="246"/>
      <c r="L451" s="246"/>
      <c r="M451" s="246"/>
      <c r="N451" s="246"/>
      <c r="O451" s="246"/>
      <c r="P451" s="329"/>
      <c r="Q451" s="310"/>
      <c r="R451" s="246"/>
      <c r="S451" s="246"/>
      <c r="T451" s="246"/>
      <c r="U451" s="246"/>
      <c r="V451" s="102" t="s">
        <v>19</v>
      </c>
      <c r="W451" s="286"/>
      <c r="X451" s="279"/>
      <c r="Y451" s="287"/>
      <c r="Z451" s="282">
        <f>IFERROR(SUMIF($C:$C,$V451,F:F),0)</f>
        <v>0</v>
      </c>
      <c r="AA451" s="279"/>
      <c r="AB451" s="279"/>
      <c r="AC451" s="282"/>
      <c r="AD451" s="288"/>
      <c r="AE451" s="287"/>
      <c r="AF451" s="280">
        <f t="shared" si="109"/>
        <v>0</v>
      </c>
      <c r="AG451" s="281"/>
      <c r="AH451" s="282">
        <f t="shared" si="106"/>
        <v>0</v>
      </c>
      <c r="AI451" s="283">
        <f t="shared" si="110"/>
        <v>0</v>
      </c>
      <c r="AJ451" s="288"/>
      <c r="AK451" s="279"/>
      <c r="AL451" s="280">
        <f>IFERROR(SUMIF($C:$C,$V451,Q:Q),0)</f>
        <v>0</v>
      </c>
      <c r="AM451" s="284"/>
      <c r="AN451" s="282">
        <f>AF451-AL451</f>
        <v>0</v>
      </c>
      <c r="AO451" s="289">
        <f>IF(AL451=0,0,AN451/AL451)</f>
        <v>0</v>
      </c>
      <c r="AP451" s="246"/>
      <c r="AQ451" s="246"/>
      <c r="AR451" s="246"/>
      <c r="AS451" s="246"/>
      <c r="AT451" s="246"/>
      <c r="AU451" s="246"/>
      <c r="AV451" s="246"/>
      <c r="AW451" s="246"/>
      <c r="AX451" s="246"/>
      <c r="AY451" s="246"/>
      <c r="AZ451" s="246"/>
      <c r="BA451" s="246"/>
      <c r="BB451" s="246"/>
      <c r="BC451" s="246"/>
      <c r="BD451" s="246"/>
      <c r="BE451" s="246"/>
      <c r="BF451" s="246"/>
      <c r="BG451" s="246"/>
      <c r="BH451" s="246"/>
      <c r="BI451" s="246"/>
      <c r="BJ451" s="246"/>
    </row>
    <row r="452" spans="1:62" ht="18">
      <c r="A452" t="str">
        <f t="shared" si="89"/>
        <v>TOTAL SEMI-FIXES</v>
      </c>
      <c r="B452" s="7"/>
      <c r="C452" s="246"/>
      <c r="D452" s="246"/>
      <c r="E452" s="246"/>
      <c r="F452" s="246"/>
      <c r="G452" s="246"/>
      <c r="H452" s="246"/>
      <c r="I452" s="246"/>
      <c r="J452" s="246"/>
      <c r="K452" s="246"/>
      <c r="L452" s="246"/>
      <c r="M452" s="246"/>
      <c r="N452" s="246"/>
      <c r="O452" s="246"/>
      <c r="P452" s="246"/>
      <c r="Q452" s="310"/>
      <c r="R452" s="246"/>
      <c r="S452" s="246"/>
      <c r="T452" s="246"/>
      <c r="U452" s="246"/>
      <c r="V452" s="296" t="s">
        <v>63</v>
      </c>
      <c r="W452" s="330"/>
      <c r="X452" s="298">
        <f>Z452/+Z407</f>
        <v>0.14981292472438373</v>
      </c>
      <c r="Y452" s="297"/>
      <c r="Z452" s="299">
        <f>+SUM(Z434:Z451)</f>
        <v>69318.91855498821</v>
      </c>
      <c r="AA452" s="298"/>
      <c r="AB452" s="297"/>
      <c r="AC452" s="299"/>
      <c r="AD452" s="300">
        <f>AF452/AF407</f>
        <v>0.1776567803646085</v>
      </c>
      <c r="AE452" s="297"/>
      <c r="AF452" s="299">
        <f>+SUM(AF434:AF451)</f>
        <v>70935.349999999991</v>
      </c>
      <c r="AG452" s="308"/>
      <c r="AH452" s="302">
        <f>+SUM(AH434:AH451)</f>
        <v>1616.4314450117904</v>
      </c>
      <c r="AI452" s="298">
        <f>AH452/Z452</f>
        <v>2.3318763170396741E-2</v>
      </c>
      <c r="AJ452" s="300">
        <f>IF($AL$407=0,0,AL452/$AL$407)</f>
        <v>0.17471313759934687</v>
      </c>
      <c r="AK452" s="298"/>
      <c r="AL452" s="299">
        <f>+SUM(AL434:AL451)</f>
        <v>71875.649999999994</v>
      </c>
      <c r="AM452" s="309"/>
      <c r="AN452" s="302">
        <f>+SUM(AN434:AN451)</f>
        <v>-940.30000000000177</v>
      </c>
      <c r="AO452" s="331">
        <f>IF(AL452=0,0,AN452/AL452)</f>
        <v>-1.3082316472964097E-2</v>
      </c>
      <c r="AP452" s="246"/>
      <c r="AQ452" s="246"/>
      <c r="AR452" s="246"/>
      <c r="AS452" s="246"/>
      <c r="AT452" s="246"/>
      <c r="AU452" s="246"/>
      <c r="AV452" s="246"/>
      <c r="AW452" s="246"/>
      <c r="AX452" s="246"/>
      <c r="AY452" s="246"/>
      <c r="AZ452" s="246"/>
      <c r="BA452" s="246"/>
      <c r="BB452" s="246"/>
      <c r="BC452" s="246"/>
      <c r="BD452" s="246"/>
      <c r="BE452" s="246"/>
      <c r="BF452" s="246"/>
      <c r="BG452" s="246"/>
      <c r="BH452" s="246"/>
      <c r="BI452" s="246"/>
      <c r="BJ452" s="246"/>
    </row>
    <row r="453" spans="1:62" ht="18">
      <c r="A453" t="str">
        <f t="shared" si="89"/>
        <v>Loyer</v>
      </c>
      <c r="B453" s="7"/>
      <c r="C453" s="246"/>
      <c r="D453" s="246"/>
      <c r="E453" s="246"/>
      <c r="F453" s="246"/>
      <c r="G453" s="246"/>
      <c r="H453" s="246"/>
      <c r="I453" s="246"/>
      <c r="J453" s="246"/>
      <c r="K453" s="246"/>
      <c r="L453" s="246"/>
      <c r="M453" s="246"/>
      <c r="N453" s="246"/>
      <c r="O453" s="246"/>
      <c r="P453" s="246"/>
      <c r="Q453" s="246"/>
      <c r="R453" s="246"/>
      <c r="S453" s="246"/>
      <c r="T453" s="246"/>
      <c r="U453" s="246"/>
      <c r="V453" s="102" t="s">
        <v>157</v>
      </c>
      <c r="W453" s="286" t="s">
        <v>158</v>
      </c>
      <c r="X453" s="279"/>
      <c r="Y453" s="287"/>
      <c r="Z453" s="280">
        <v>50000</v>
      </c>
      <c r="AA453" s="279"/>
      <c r="AB453" s="287"/>
      <c r="AC453" s="280"/>
      <c r="AD453" s="288"/>
      <c r="AE453" s="287"/>
      <c r="AF453" s="280">
        <v>50000</v>
      </c>
      <c r="AG453" s="281"/>
      <c r="AH453" s="282">
        <f t="shared" ref="AH453:AH461" si="113">AF453-Z453</f>
        <v>0</v>
      </c>
      <c r="AI453" s="283">
        <f t="shared" ref="AI453:AI461" si="114">IF(Z453=0,0,AH453/Z453)</f>
        <v>0</v>
      </c>
      <c r="AJ453" s="288"/>
      <c r="AK453" s="279"/>
      <c r="AL453" s="280">
        <v>50000</v>
      </c>
      <c r="AM453" s="284"/>
      <c r="AN453" s="282">
        <f>AF453-AL453</f>
        <v>0</v>
      </c>
      <c r="AO453" s="289">
        <f t="shared" ref="AO453:AO461" si="115">IF(AL453=0,0,AN453/AL453)</f>
        <v>0</v>
      </c>
      <c r="AP453" s="246"/>
      <c r="AQ453" s="486">
        <v>50000</v>
      </c>
      <c r="AR453" s="310"/>
      <c r="AS453" s="246"/>
      <c r="AT453" s="246"/>
      <c r="AU453" s="246"/>
      <c r="AV453" s="246"/>
      <c r="AW453" s="246"/>
      <c r="AX453" s="246"/>
      <c r="AY453" s="246"/>
      <c r="AZ453" s="246"/>
      <c r="BA453" s="246"/>
      <c r="BB453" s="246"/>
      <c r="BC453" s="246"/>
      <c r="BD453" s="246"/>
      <c r="BE453" s="246"/>
      <c r="BF453" s="246"/>
      <c r="BG453" s="246"/>
      <c r="BH453" s="246"/>
      <c r="BI453" s="246"/>
      <c r="BJ453" s="246"/>
    </row>
    <row r="454" spans="1:62" ht="18">
      <c r="A454" t="str">
        <f t="shared" si="89"/>
        <v>Taxes foncières</v>
      </c>
      <c r="B454" s="7"/>
      <c r="C454" s="246"/>
      <c r="D454" s="246"/>
      <c r="E454" s="246"/>
      <c r="F454" s="246"/>
      <c r="G454" s="246"/>
      <c r="H454" s="246"/>
      <c r="I454" s="246"/>
      <c r="J454" s="246"/>
      <c r="K454" s="246"/>
      <c r="L454" s="246"/>
      <c r="M454" s="246"/>
      <c r="N454" s="246"/>
      <c r="O454" s="246"/>
      <c r="P454" s="246"/>
      <c r="Q454" s="246"/>
      <c r="R454" s="246"/>
      <c r="S454" s="246"/>
      <c r="T454" s="246"/>
      <c r="U454" s="246"/>
      <c r="V454" s="102" t="s">
        <v>159</v>
      </c>
      <c r="W454" s="286" t="s">
        <v>160</v>
      </c>
      <c r="X454" s="279"/>
      <c r="Y454" s="287"/>
      <c r="Z454" s="280">
        <v>5872.14</v>
      </c>
      <c r="AA454" s="279"/>
      <c r="AB454" s="287"/>
      <c r="AC454" s="280"/>
      <c r="AD454" s="288"/>
      <c r="AE454" s="287"/>
      <c r="AF454" s="280">
        <v>5535.51</v>
      </c>
      <c r="AG454" s="281"/>
      <c r="AH454" s="282">
        <f t="shared" si="113"/>
        <v>-336.63000000000011</v>
      </c>
      <c r="AI454" s="283">
        <f t="shared" si="114"/>
        <v>-5.7326630495866941E-2</v>
      </c>
      <c r="AJ454" s="288"/>
      <c r="AK454" s="279"/>
      <c r="AL454" s="280">
        <v>5619.66</v>
      </c>
      <c r="AM454" s="284"/>
      <c r="AN454" s="282">
        <f t="shared" ref="AN454:AN461" si="116">AF454-AL454</f>
        <v>-84.149999999999636</v>
      </c>
      <c r="AO454" s="289">
        <f t="shared" si="115"/>
        <v>-1.4974215521935426E-2</v>
      </c>
      <c r="AP454" s="246"/>
      <c r="AQ454" s="486">
        <v>5536</v>
      </c>
      <c r="AR454" s="310"/>
      <c r="AS454" s="246"/>
      <c r="AT454" s="246"/>
      <c r="AU454" s="246"/>
      <c r="AV454" s="246"/>
      <c r="AW454" s="246"/>
      <c r="AX454" s="246"/>
      <c r="AY454" s="246"/>
      <c r="AZ454" s="246"/>
      <c r="BA454" s="246"/>
      <c r="BB454" s="246"/>
      <c r="BC454" s="246"/>
      <c r="BD454" s="246"/>
      <c r="BE454" s="246"/>
      <c r="BF454" s="246"/>
      <c r="BG454" s="246"/>
      <c r="BH454" s="246"/>
      <c r="BI454" s="246"/>
      <c r="BJ454" s="246"/>
    </row>
    <row r="455" spans="1:62" ht="18">
      <c r="A455" t="str">
        <f t="shared" si="89"/>
        <v>Taxes d`affaires</v>
      </c>
      <c r="B455" s="7"/>
      <c r="C455" s="246"/>
      <c r="D455" s="246"/>
      <c r="E455" s="246"/>
      <c r="F455" s="246"/>
      <c r="G455" s="246"/>
      <c r="H455" s="246"/>
      <c r="I455" s="246"/>
      <c r="J455" s="246"/>
      <c r="K455" s="246"/>
      <c r="L455" s="246"/>
      <c r="M455" s="246"/>
      <c r="N455" s="246"/>
      <c r="O455" s="246"/>
      <c r="P455" s="246"/>
      <c r="Q455" s="246"/>
      <c r="R455" s="246"/>
      <c r="S455" s="246"/>
      <c r="T455" s="246"/>
      <c r="U455" s="246"/>
      <c r="V455" s="103" t="s">
        <v>161</v>
      </c>
      <c r="W455" s="290" t="s">
        <v>162</v>
      </c>
      <c r="X455" s="263"/>
      <c r="Y455" s="291"/>
      <c r="Z455" s="264">
        <v>2516.63</v>
      </c>
      <c r="AA455" s="263"/>
      <c r="AB455" s="291"/>
      <c r="AC455" s="264"/>
      <c r="AD455" s="292"/>
      <c r="AE455" s="291"/>
      <c r="AF455" s="264">
        <v>2372.3599999999997</v>
      </c>
      <c r="AG455" s="265"/>
      <c r="AH455" s="266">
        <f t="shared" si="113"/>
        <v>-144.27000000000044</v>
      </c>
      <c r="AI455" s="293">
        <f t="shared" si="114"/>
        <v>-5.7326663037474891E-2</v>
      </c>
      <c r="AJ455" s="292"/>
      <c r="AK455" s="263"/>
      <c r="AL455" s="264">
        <v>2408.4299999999998</v>
      </c>
      <c r="AM455" s="268"/>
      <c r="AN455" s="266">
        <f t="shared" si="116"/>
        <v>-36.070000000000164</v>
      </c>
      <c r="AO455" s="269">
        <f t="shared" si="115"/>
        <v>-1.4976561494417595E-2</v>
      </c>
      <c r="AP455" s="246"/>
      <c r="AQ455" s="486">
        <v>2372</v>
      </c>
      <c r="AR455" s="310"/>
      <c r="AS455" s="246"/>
      <c r="AT455" s="246"/>
      <c r="AU455" s="246"/>
      <c r="AV455" s="246"/>
      <c r="AW455" s="246"/>
      <c r="AX455" s="246"/>
      <c r="AY455" s="246"/>
      <c r="AZ455" s="246"/>
      <c r="BA455" s="246"/>
      <c r="BB455" s="246"/>
      <c r="BC455" s="246"/>
      <c r="BD455" s="246"/>
      <c r="BE455" s="246"/>
      <c r="BF455" s="246"/>
      <c r="BG455" s="246"/>
      <c r="BH455" s="246"/>
      <c r="BI455" s="246"/>
      <c r="BJ455" s="246"/>
    </row>
    <row r="456" spans="1:62" ht="18">
      <c r="A456" t="str">
        <f t="shared" si="89"/>
        <v>Taxe sur le capital</v>
      </c>
      <c r="B456" s="7"/>
      <c r="C456" s="246"/>
      <c r="D456" s="246"/>
      <c r="E456" s="246"/>
      <c r="F456" s="246"/>
      <c r="G456" s="246"/>
      <c r="H456" s="246"/>
      <c r="I456" s="246"/>
      <c r="J456" s="246"/>
      <c r="K456" s="246"/>
      <c r="L456" s="246"/>
      <c r="M456" s="246"/>
      <c r="N456" s="246"/>
      <c r="O456" s="246"/>
      <c r="P456" s="246"/>
      <c r="Q456" s="246"/>
      <c r="R456" s="246"/>
      <c r="S456" s="246"/>
      <c r="T456" s="246"/>
      <c r="U456" s="246"/>
      <c r="V456" s="102" t="s">
        <v>163</v>
      </c>
      <c r="W456" s="286"/>
      <c r="X456" s="279"/>
      <c r="Y456" s="287"/>
      <c r="Z456" s="280">
        <v>0</v>
      </c>
      <c r="AA456" s="279"/>
      <c r="AB456" s="287"/>
      <c r="AC456" s="280"/>
      <c r="AD456" s="288"/>
      <c r="AE456" s="287"/>
      <c r="AF456" s="280">
        <v>0</v>
      </c>
      <c r="AG456" s="281"/>
      <c r="AH456" s="282">
        <f t="shared" si="113"/>
        <v>0</v>
      </c>
      <c r="AI456" s="283">
        <f t="shared" si="114"/>
        <v>0</v>
      </c>
      <c r="AJ456" s="288"/>
      <c r="AK456" s="279"/>
      <c r="AL456" s="280">
        <v>0</v>
      </c>
      <c r="AM456" s="284"/>
      <c r="AN456" s="282">
        <f t="shared" si="116"/>
        <v>0</v>
      </c>
      <c r="AO456" s="289">
        <f t="shared" si="115"/>
        <v>0</v>
      </c>
      <c r="AP456" s="246"/>
      <c r="AQ456" s="246"/>
      <c r="AR456" s="310"/>
      <c r="AS456" s="246"/>
      <c r="AT456" s="246"/>
      <c r="AU456" s="246"/>
      <c r="AV456" s="246"/>
      <c r="AW456" s="246"/>
      <c r="AX456" s="246"/>
      <c r="AY456" s="246"/>
      <c r="AZ456" s="246"/>
      <c r="BA456" s="246"/>
      <c r="BB456" s="246"/>
      <c r="BC456" s="246"/>
      <c r="BD456" s="246"/>
      <c r="BE456" s="246"/>
      <c r="BF456" s="246"/>
      <c r="BG456" s="246"/>
      <c r="BH456" s="246"/>
      <c r="BI456" s="246"/>
      <c r="BJ456" s="246"/>
    </row>
    <row r="457" spans="1:62" ht="18">
      <c r="A457" t="str">
        <f t="shared" si="89"/>
        <v>Assurances</v>
      </c>
      <c r="B457" s="7"/>
      <c r="C457" s="246"/>
      <c r="D457" s="246"/>
      <c r="E457" s="246"/>
      <c r="F457" s="246"/>
      <c r="G457" s="246"/>
      <c r="H457" s="246"/>
      <c r="I457" s="246"/>
      <c r="J457" s="246"/>
      <c r="K457" s="246"/>
      <c r="L457" s="246"/>
      <c r="M457" s="246"/>
      <c r="N457" s="246"/>
      <c r="O457" s="246"/>
      <c r="P457" s="246"/>
      <c r="Q457" s="246"/>
      <c r="R457" s="246"/>
      <c r="S457" s="246"/>
      <c r="T457" s="246"/>
      <c r="U457" s="246"/>
      <c r="V457" s="103" t="s">
        <v>164</v>
      </c>
      <c r="W457" s="290" t="s">
        <v>165</v>
      </c>
      <c r="X457" s="263"/>
      <c r="Y457" s="291"/>
      <c r="Z457" s="264">
        <v>4349.75</v>
      </c>
      <c r="AA457" s="263"/>
      <c r="AB457" s="291"/>
      <c r="AC457" s="264"/>
      <c r="AD457" s="292"/>
      <c r="AE457" s="291"/>
      <c r="AF457" s="264">
        <v>4349.75</v>
      </c>
      <c r="AG457" s="265"/>
      <c r="AH457" s="266">
        <f t="shared" si="113"/>
        <v>0</v>
      </c>
      <c r="AI457" s="293">
        <f t="shared" si="114"/>
        <v>0</v>
      </c>
      <c r="AJ457" s="292"/>
      <c r="AK457" s="263"/>
      <c r="AL457" s="264">
        <v>4772</v>
      </c>
      <c r="AM457" s="268"/>
      <c r="AN457" s="266">
        <f t="shared" si="116"/>
        <v>-422.25</v>
      </c>
      <c r="AO457" s="269">
        <f t="shared" si="115"/>
        <v>-8.8484911986588435E-2</v>
      </c>
      <c r="AP457" s="246"/>
      <c r="AQ457" s="486">
        <f>4350</f>
        <v>4350</v>
      </c>
      <c r="AR457" s="310"/>
      <c r="AS457" s="246"/>
      <c r="AT457" s="246"/>
      <c r="AU457" s="246"/>
      <c r="AV457" s="246"/>
      <c r="AW457" s="246"/>
      <c r="AX457" s="246"/>
      <c r="AY457" s="246"/>
      <c r="AZ457" s="246"/>
      <c r="BA457" s="246"/>
      <c r="BB457" s="246"/>
      <c r="BC457" s="246"/>
      <c r="BD457" s="246"/>
      <c r="BE457" s="246"/>
      <c r="BF457" s="246"/>
      <c r="BG457" s="246"/>
      <c r="BH457" s="246"/>
      <c r="BI457" s="246"/>
      <c r="BJ457" s="246"/>
    </row>
    <row r="458" spans="1:62" ht="18">
      <c r="A458" t="str">
        <f t="shared" si="89"/>
        <v>Chauffage, éclairage</v>
      </c>
      <c r="B458" s="7"/>
      <c r="C458" s="246"/>
      <c r="D458" s="246"/>
      <c r="E458" s="246"/>
      <c r="F458" s="246"/>
      <c r="G458" s="246"/>
      <c r="H458" s="246"/>
      <c r="I458" s="246"/>
      <c r="J458" s="246"/>
      <c r="K458" s="246"/>
      <c r="L458" s="246"/>
      <c r="M458" s="246"/>
      <c r="N458" s="246"/>
      <c r="O458" s="246"/>
      <c r="P458" s="246"/>
      <c r="Q458" s="246"/>
      <c r="R458" s="246"/>
      <c r="S458" s="246"/>
      <c r="T458" s="246"/>
      <c r="U458" s="246"/>
      <c r="V458" s="102" t="s">
        <v>166</v>
      </c>
      <c r="W458" s="286" t="s">
        <v>167</v>
      </c>
      <c r="X458" s="332"/>
      <c r="Y458" s="333"/>
      <c r="Z458" s="280">
        <v>4600</v>
      </c>
      <c r="AA458" s="332"/>
      <c r="AB458" s="333"/>
      <c r="AC458" s="280"/>
      <c r="AD458" s="288"/>
      <c r="AE458" s="287"/>
      <c r="AF458" s="280">
        <v>4473.08</v>
      </c>
      <c r="AG458" s="281"/>
      <c r="AH458" s="282">
        <f t="shared" si="113"/>
        <v>-126.92000000000007</v>
      </c>
      <c r="AI458" s="283">
        <f t="shared" si="114"/>
        <v>-2.7591304347826102E-2</v>
      </c>
      <c r="AJ458" s="288"/>
      <c r="AK458" s="279"/>
      <c r="AL458" s="280">
        <v>4279.7299999999996</v>
      </c>
      <c r="AM458" s="284"/>
      <c r="AN458" s="282">
        <f t="shared" si="116"/>
        <v>193.35000000000036</v>
      </c>
      <c r="AO458" s="289">
        <f t="shared" si="115"/>
        <v>4.5178083664156474E-2</v>
      </c>
      <c r="AP458" s="246"/>
      <c r="AQ458" s="246">
        <f>3473+1000</f>
        <v>4473</v>
      </c>
      <c r="AR458" s="310"/>
      <c r="AS458" s="246"/>
      <c r="AT458" s="246"/>
      <c r="AU458" s="246"/>
      <c r="AV458" s="246"/>
      <c r="AW458" s="246"/>
      <c r="AX458" s="246"/>
      <c r="AY458" s="246"/>
      <c r="AZ458" s="246"/>
      <c r="BA458" s="246"/>
      <c r="BB458" s="246"/>
      <c r="BC458" s="246"/>
      <c r="BD458" s="246"/>
      <c r="BE458" s="246"/>
      <c r="BF458" s="246"/>
      <c r="BG458" s="246"/>
      <c r="BH458" s="246"/>
      <c r="BI458" s="246"/>
      <c r="BJ458" s="246"/>
    </row>
    <row r="459" spans="1:62" ht="18">
      <c r="A459" t="str">
        <f t="shared" si="89"/>
        <v>Honoraires</v>
      </c>
      <c r="B459" s="7"/>
      <c r="C459" s="246"/>
      <c r="D459" s="246"/>
      <c r="E459" s="246"/>
      <c r="F459" s="246"/>
      <c r="G459" s="246"/>
      <c r="H459" s="246"/>
      <c r="I459" s="246"/>
      <c r="J459" s="246"/>
      <c r="K459" s="246"/>
      <c r="L459" s="246"/>
      <c r="M459" s="246"/>
      <c r="N459" s="246"/>
      <c r="O459" s="246"/>
      <c r="P459" s="246"/>
      <c r="Q459" s="246"/>
      <c r="R459" s="246"/>
      <c r="S459" s="246"/>
      <c r="T459" s="246"/>
      <c r="U459" s="246"/>
      <c r="V459" s="102" t="s">
        <v>168</v>
      </c>
      <c r="W459" s="286" t="s">
        <v>152</v>
      </c>
      <c r="X459" s="279"/>
      <c r="Y459" s="287"/>
      <c r="Z459" s="280">
        <v>6643</v>
      </c>
      <c r="AA459" s="279"/>
      <c r="AB459" s="287"/>
      <c r="AC459" s="280"/>
      <c r="AD459" s="288"/>
      <c r="AE459" s="287"/>
      <c r="AF459" s="280">
        <v>6307.33</v>
      </c>
      <c r="AG459" s="281"/>
      <c r="AH459" s="282">
        <f t="shared" si="113"/>
        <v>-335.67000000000007</v>
      </c>
      <c r="AI459" s="283">
        <f t="shared" si="114"/>
        <v>-5.0529881077826293E-2</v>
      </c>
      <c r="AJ459" s="288"/>
      <c r="AK459" s="279"/>
      <c r="AL459" s="280">
        <v>6307.33</v>
      </c>
      <c r="AM459" s="284"/>
      <c r="AN459" s="282">
        <f t="shared" si="116"/>
        <v>0</v>
      </c>
      <c r="AO459" s="289">
        <f t="shared" si="115"/>
        <v>0</v>
      </c>
      <c r="AP459" s="246"/>
      <c r="AQ459" s="486">
        <v>6308</v>
      </c>
      <c r="AR459" s="310"/>
      <c r="AS459" s="246"/>
      <c r="AT459" s="246"/>
      <c r="AU459" s="246"/>
      <c r="AV459" s="246"/>
      <c r="AW459" s="246"/>
      <c r="AX459" s="246"/>
      <c r="AY459" s="246"/>
      <c r="AZ459" s="246"/>
      <c r="BA459" s="246"/>
      <c r="BB459" s="246"/>
      <c r="BC459" s="246"/>
      <c r="BD459" s="246"/>
      <c r="BE459" s="246"/>
      <c r="BF459" s="246"/>
      <c r="BG459" s="246"/>
      <c r="BH459" s="246"/>
      <c r="BI459" s="246"/>
      <c r="BJ459" s="246"/>
    </row>
    <row r="460" spans="1:62" ht="18">
      <c r="A460" t="str">
        <f t="shared" si="89"/>
        <v>Réparation équipement</v>
      </c>
      <c r="B460" s="7"/>
      <c r="C460" s="246"/>
      <c r="D460" s="246"/>
      <c r="E460" s="246"/>
      <c r="F460" s="246"/>
      <c r="G460" s="246"/>
      <c r="H460" s="246"/>
      <c r="I460" s="246"/>
      <c r="J460" s="246"/>
      <c r="K460" s="246"/>
      <c r="L460" s="246"/>
      <c r="M460" s="246"/>
      <c r="N460" s="246"/>
      <c r="O460" s="246"/>
      <c r="P460" s="246"/>
      <c r="Q460" s="246"/>
      <c r="R460" s="246"/>
      <c r="S460" s="246"/>
      <c r="T460" s="246"/>
      <c r="U460" s="246"/>
      <c r="V460" s="103" t="s">
        <v>170</v>
      </c>
      <c r="W460" s="290" t="s">
        <v>238</v>
      </c>
      <c r="X460" s="263"/>
      <c r="Y460" s="291"/>
      <c r="Z460" s="264">
        <v>500</v>
      </c>
      <c r="AA460" s="263"/>
      <c r="AB460" s="291"/>
      <c r="AC460" s="264"/>
      <c r="AD460" s="292"/>
      <c r="AE460" s="291"/>
      <c r="AF460" s="264">
        <v>400</v>
      </c>
      <c r="AG460" s="265"/>
      <c r="AH460" s="266">
        <f t="shared" si="113"/>
        <v>-100</v>
      </c>
      <c r="AI460" s="293">
        <f t="shared" si="114"/>
        <v>-0.2</v>
      </c>
      <c r="AJ460" s="292"/>
      <c r="AK460" s="263"/>
      <c r="AL460" s="264">
        <v>500</v>
      </c>
      <c r="AM460" s="268"/>
      <c r="AN460" s="266">
        <f t="shared" si="116"/>
        <v>-100</v>
      </c>
      <c r="AO460" s="269">
        <f t="shared" si="115"/>
        <v>-0.2</v>
      </c>
      <c r="AP460" s="246"/>
      <c r="AQ460" s="246">
        <v>400</v>
      </c>
      <c r="AR460" s="310"/>
      <c r="AS460" s="246"/>
      <c r="AT460" s="246"/>
      <c r="AU460" s="246"/>
      <c r="AV460" s="246"/>
      <c r="AW460" s="246"/>
      <c r="AX460" s="246"/>
      <c r="AY460" s="246"/>
      <c r="AZ460" s="246"/>
      <c r="BA460" s="246"/>
      <c r="BB460" s="246"/>
      <c r="BC460" s="246"/>
      <c r="BD460" s="246"/>
      <c r="BE460" s="246"/>
      <c r="BF460" s="246"/>
      <c r="BG460" s="246"/>
      <c r="BH460" s="246"/>
      <c r="BI460" s="246"/>
      <c r="BJ460" s="246"/>
    </row>
    <row r="461" spans="1:62" ht="18">
      <c r="A461" t="str">
        <f t="shared" si="89"/>
        <v>Location équipement</v>
      </c>
      <c r="B461" s="7"/>
      <c r="C461" s="246"/>
      <c r="D461" s="246"/>
      <c r="E461" s="246"/>
      <c r="F461" s="246"/>
      <c r="G461" s="246"/>
      <c r="H461" s="246"/>
      <c r="I461" s="246"/>
      <c r="J461" s="246"/>
      <c r="K461" s="246"/>
      <c r="L461" s="246"/>
      <c r="M461" s="246"/>
      <c r="N461" s="246"/>
      <c r="O461" s="246"/>
      <c r="P461" s="246"/>
      <c r="Q461" s="246"/>
      <c r="R461" s="246"/>
      <c r="S461" s="246"/>
      <c r="T461" s="246"/>
      <c r="U461" s="334"/>
      <c r="V461" s="102" t="s">
        <v>172</v>
      </c>
      <c r="W461" s="286" t="s">
        <v>173</v>
      </c>
      <c r="X461" s="279"/>
      <c r="Y461" s="287"/>
      <c r="Z461" s="280">
        <v>275</v>
      </c>
      <c r="AA461" s="279"/>
      <c r="AB461" s="287"/>
      <c r="AC461" s="280"/>
      <c r="AD461" s="288"/>
      <c r="AE461" s="287"/>
      <c r="AF461" s="280">
        <v>173.96</v>
      </c>
      <c r="AG461" s="281"/>
      <c r="AH461" s="282">
        <f t="shared" si="113"/>
        <v>-101.03999999999999</v>
      </c>
      <c r="AI461" s="335">
        <f t="shared" si="114"/>
        <v>-0.36741818181818181</v>
      </c>
      <c r="AJ461" s="279"/>
      <c r="AK461" s="279"/>
      <c r="AL461" s="280">
        <v>173.95999999999901</v>
      </c>
      <c r="AM461" s="284"/>
      <c r="AN461" s="282">
        <f t="shared" si="116"/>
        <v>9.9475983006414026E-13</v>
      </c>
      <c r="AO461" s="289">
        <f t="shared" si="115"/>
        <v>5.7183250750985627E-15</v>
      </c>
      <c r="AP461" s="246"/>
      <c r="AQ461" s="246">
        <v>174</v>
      </c>
      <c r="AR461" s="310"/>
      <c r="AS461" s="246"/>
      <c r="AT461" s="246"/>
      <c r="AU461" s="246"/>
      <c r="AV461" s="246"/>
      <c r="AW461" s="246"/>
      <c r="AX461" s="246"/>
      <c r="AY461" s="246"/>
      <c r="AZ461" s="246"/>
      <c r="BA461" s="246"/>
      <c r="BB461" s="246"/>
      <c r="BC461" s="246"/>
      <c r="BD461" s="246"/>
      <c r="BE461" s="246"/>
      <c r="BF461" s="246"/>
      <c r="BG461" s="246"/>
      <c r="BH461" s="246"/>
      <c r="BI461" s="246"/>
      <c r="BJ461" s="246"/>
    </row>
    <row r="462" spans="1:62" ht="18">
      <c r="A462" t="str">
        <f t="shared" si="89"/>
        <v>Dons</v>
      </c>
      <c r="B462" s="7"/>
      <c r="C462" s="246"/>
      <c r="D462" s="246"/>
      <c r="E462" s="246"/>
      <c r="F462" s="246"/>
      <c r="G462" s="246"/>
      <c r="H462" s="246"/>
      <c r="I462" s="246"/>
      <c r="J462" s="246"/>
      <c r="K462" s="246"/>
      <c r="L462" s="246"/>
      <c r="M462" s="246"/>
      <c r="N462" s="246"/>
      <c r="O462" s="246"/>
      <c r="P462" s="246"/>
      <c r="Q462" s="246"/>
      <c r="R462" s="246"/>
      <c r="S462" s="246"/>
      <c r="T462" s="246"/>
      <c r="U462" s="334"/>
      <c r="V462" s="102" t="s">
        <v>174</v>
      </c>
      <c r="W462" s="286" t="s">
        <v>175</v>
      </c>
      <c r="X462" s="279"/>
      <c r="Y462" s="287"/>
      <c r="Z462" s="280">
        <v>0</v>
      </c>
      <c r="AA462" s="279"/>
      <c r="AB462" s="287"/>
      <c r="AC462" s="280"/>
      <c r="AD462" s="288"/>
      <c r="AE462" s="287"/>
      <c r="AF462" s="280">
        <v>0</v>
      </c>
      <c r="AG462" s="281"/>
      <c r="AH462" s="282">
        <v>0</v>
      </c>
      <c r="AI462" s="306">
        <v>0</v>
      </c>
      <c r="AJ462" s="279"/>
      <c r="AK462" s="279"/>
      <c r="AL462" s="280">
        <v>0</v>
      </c>
      <c r="AM462" s="284"/>
      <c r="AN462" s="282">
        <v>0</v>
      </c>
      <c r="AO462" s="289">
        <v>0</v>
      </c>
      <c r="AP462" s="246"/>
      <c r="AQ462" s="246"/>
      <c r="AR462" s="246"/>
      <c r="AS462" s="246"/>
      <c r="AT462" s="246"/>
      <c r="AU462" s="246"/>
      <c r="AV462" s="246"/>
      <c r="AW462" s="246"/>
      <c r="AX462" s="246"/>
      <c r="AY462" s="246"/>
      <c r="AZ462" s="246"/>
      <c r="BA462" s="246"/>
      <c r="BB462" s="246"/>
      <c r="BC462" s="246"/>
      <c r="BD462" s="246"/>
      <c r="BE462" s="246"/>
      <c r="BF462" s="246"/>
      <c r="BG462" s="246"/>
      <c r="BH462" s="246"/>
      <c r="BI462" s="246"/>
      <c r="BJ462" s="246"/>
    </row>
    <row r="463" spans="1:62" ht="18" hidden="1">
      <c r="A463" t="str">
        <f t="shared" si="89"/>
        <v>[...]</v>
      </c>
      <c r="B463" s="7"/>
      <c r="C463" s="246"/>
      <c r="D463" s="246"/>
      <c r="E463" s="246"/>
      <c r="F463" s="246"/>
      <c r="G463" s="246"/>
      <c r="H463" s="246"/>
      <c r="I463" s="246"/>
      <c r="J463" s="246"/>
      <c r="K463" s="246"/>
      <c r="L463" s="246"/>
      <c r="M463" s="246"/>
      <c r="N463" s="246"/>
      <c r="O463" s="246"/>
      <c r="P463" s="246"/>
      <c r="Q463" s="246"/>
      <c r="R463" s="246"/>
      <c r="S463" s="246"/>
      <c r="T463" s="246"/>
      <c r="U463" s="334"/>
      <c r="V463" s="102" t="s">
        <v>19</v>
      </c>
      <c r="W463" s="286"/>
      <c r="X463" s="279"/>
      <c r="Y463" s="287"/>
      <c r="Z463" s="282">
        <f>IFERROR(SUMIF($C:$C,$V463,F:F),0)</f>
        <v>0</v>
      </c>
      <c r="AA463" s="279"/>
      <c r="AB463" s="279"/>
      <c r="AC463" s="282"/>
      <c r="AD463" s="288"/>
      <c r="AE463" s="287"/>
      <c r="AF463" s="280">
        <f>+SUMIF($C:$C,$V463,L:L)</f>
        <v>0</v>
      </c>
      <c r="AG463" s="281"/>
      <c r="AH463" s="282">
        <f>AF463-Z463</f>
        <v>0</v>
      </c>
      <c r="AI463" s="283">
        <f>IF(Z463=0,0,AH463/Z463)</f>
        <v>0</v>
      </c>
      <c r="AJ463" s="288"/>
      <c r="AK463" s="279"/>
      <c r="AL463" s="280">
        <f>IFERROR(SUMIF($C:$C,$V463,Q:Q),0)</f>
        <v>0</v>
      </c>
      <c r="AM463" s="284"/>
      <c r="AN463" s="282">
        <v>0</v>
      </c>
      <c r="AO463" s="289">
        <v>1</v>
      </c>
      <c r="AP463" s="246"/>
      <c r="AQ463" s="246"/>
      <c r="AR463" s="246"/>
      <c r="AS463" s="246"/>
      <c r="AT463" s="246"/>
      <c r="AU463" s="246"/>
      <c r="AV463" s="246"/>
      <c r="AW463" s="246"/>
      <c r="AX463" s="246"/>
      <c r="AY463" s="246"/>
      <c r="AZ463" s="246"/>
      <c r="BA463" s="246"/>
      <c r="BB463" s="246"/>
      <c r="BC463" s="246"/>
      <c r="BD463" s="246"/>
      <c r="BE463" s="246"/>
      <c r="BF463" s="246"/>
      <c r="BG463" s="246"/>
      <c r="BH463" s="246"/>
      <c r="BI463" s="246"/>
      <c r="BJ463" s="246"/>
    </row>
    <row r="464" spans="1:62" ht="18" hidden="1">
      <c r="A464" t="str">
        <f t="shared" si="89"/>
        <v>[...]</v>
      </c>
      <c r="B464" s="7"/>
      <c r="C464" s="246"/>
      <c r="D464" s="246"/>
      <c r="E464" s="246"/>
      <c r="F464" s="246"/>
      <c r="G464" s="246"/>
      <c r="H464" s="246"/>
      <c r="I464" s="246"/>
      <c r="J464" s="246"/>
      <c r="K464" s="246"/>
      <c r="L464" s="246"/>
      <c r="M464" s="246"/>
      <c r="N464" s="246"/>
      <c r="O464" s="246"/>
      <c r="P464" s="246"/>
      <c r="Q464" s="246"/>
      <c r="R464" s="246"/>
      <c r="S464" s="246"/>
      <c r="T464" s="246"/>
      <c r="U464" s="334"/>
      <c r="V464" s="102" t="s">
        <v>19</v>
      </c>
      <c r="W464" s="286"/>
      <c r="X464" s="279"/>
      <c r="Y464" s="287"/>
      <c r="Z464" s="282">
        <f>IFERROR(SUMIF($C:$C,$V464,F:F),0)</f>
        <v>0</v>
      </c>
      <c r="AA464" s="279"/>
      <c r="AB464" s="279"/>
      <c r="AC464" s="282"/>
      <c r="AD464" s="288"/>
      <c r="AE464" s="287"/>
      <c r="AF464" s="280">
        <f>+SUMIF($C:$C,$V464,L:L)</f>
        <v>0</v>
      </c>
      <c r="AG464" s="281"/>
      <c r="AH464" s="282">
        <f>AF464-Z464</f>
        <v>0</v>
      </c>
      <c r="AI464" s="283">
        <f>IF(Z464=0,0,AH464/Z464)</f>
        <v>0</v>
      </c>
      <c r="AJ464" s="288"/>
      <c r="AK464" s="279"/>
      <c r="AL464" s="280">
        <f>IFERROR(SUMIF($C:$C,$V464,Q:Q),0)</f>
        <v>0</v>
      </c>
      <c r="AM464" s="284"/>
      <c r="AN464" s="282">
        <v>0</v>
      </c>
      <c r="AO464" s="289">
        <v>2</v>
      </c>
      <c r="AP464" s="246"/>
      <c r="AQ464" s="246"/>
      <c r="AR464" s="246"/>
      <c r="AS464" s="246"/>
      <c r="AT464" s="246"/>
      <c r="AU464" s="246"/>
      <c r="AV464" s="246"/>
      <c r="AW464" s="246"/>
      <c r="AX464" s="246"/>
      <c r="AY464" s="246"/>
      <c r="AZ464" s="246"/>
      <c r="BA464" s="246"/>
      <c r="BB464" s="246"/>
      <c r="BC464" s="246"/>
      <c r="BD464" s="246"/>
      <c r="BE464" s="246"/>
      <c r="BF464" s="246"/>
      <c r="BG464" s="246"/>
      <c r="BH464" s="246"/>
      <c r="BI464" s="246"/>
      <c r="BJ464" s="246"/>
    </row>
    <row r="465" spans="1:62" ht="18" hidden="1">
      <c r="A465" t="str">
        <f t="shared" si="89"/>
        <v>[...]</v>
      </c>
      <c r="B465" s="7"/>
      <c r="C465" s="246"/>
      <c r="D465" s="246"/>
      <c r="E465" s="246"/>
      <c r="F465" s="246"/>
      <c r="G465" s="246"/>
      <c r="H465" s="246"/>
      <c r="I465" s="246"/>
      <c r="J465" s="246"/>
      <c r="K465" s="246"/>
      <c r="L465" s="246"/>
      <c r="M465" s="246"/>
      <c r="N465" s="246"/>
      <c r="O465" s="246"/>
      <c r="P465" s="246"/>
      <c r="Q465" s="246"/>
      <c r="R465" s="246"/>
      <c r="S465" s="246"/>
      <c r="T465" s="246"/>
      <c r="U465" s="246"/>
      <c r="V465" s="102" t="s">
        <v>19</v>
      </c>
      <c r="W465" s="286"/>
      <c r="X465" s="279"/>
      <c r="Y465" s="287"/>
      <c r="Z465" s="282">
        <f>IFERROR(SUMIF($C:$C,$V465,F:F),0)</f>
        <v>0</v>
      </c>
      <c r="AA465" s="279"/>
      <c r="AB465" s="279"/>
      <c r="AC465" s="282"/>
      <c r="AD465" s="288"/>
      <c r="AE465" s="287"/>
      <c r="AF465" s="280">
        <f>+SUMIF($C:$C,$V465,L:L)</f>
        <v>0</v>
      </c>
      <c r="AG465" s="281"/>
      <c r="AH465" s="282">
        <f>AF465-Z465</f>
        <v>0</v>
      </c>
      <c r="AI465" s="283">
        <f>IF(Z465=0,0,AH465/Z465)</f>
        <v>0</v>
      </c>
      <c r="AJ465" s="288"/>
      <c r="AK465" s="279"/>
      <c r="AL465" s="280">
        <f>IFERROR(SUMIF($C:$C,$V465,Q:Q),0)</f>
        <v>0</v>
      </c>
      <c r="AM465" s="284"/>
      <c r="AN465" s="282">
        <v>0</v>
      </c>
      <c r="AO465" s="289">
        <v>3</v>
      </c>
      <c r="AP465" s="246"/>
      <c r="AQ465" s="246"/>
      <c r="AR465" s="246"/>
      <c r="AS465" s="246"/>
      <c r="AT465" s="246"/>
      <c r="AU465" s="246"/>
      <c r="AV465" s="246"/>
      <c r="AW465" s="246"/>
      <c r="AX465" s="246"/>
      <c r="AY465" s="246"/>
      <c r="AZ465" s="246"/>
      <c r="BA465" s="246"/>
      <c r="BB465" s="246"/>
      <c r="BC465" s="246"/>
      <c r="BD465" s="246"/>
      <c r="BE465" s="246"/>
      <c r="BF465" s="246"/>
      <c r="BG465" s="246"/>
      <c r="BH465" s="246"/>
      <c r="BI465" s="246"/>
      <c r="BJ465" s="246"/>
    </row>
    <row r="466" spans="1:62" ht="18">
      <c r="A466" t="str">
        <f t="shared" si="89"/>
        <v>TOTAL DÉPENSES FIXES</v>
      </c>
      <c r="B466" s="7"/>
      <c r="C466" s="246"/>
      <c r="D466" s="246"/>
      <c r="E466" s="246"/>
      <c r="F466" s="246"/>
      <c r="G466" s="246"/>
      <c r="H466" s="246"/>
      <c r="I466" s="246"/>
      <c r="J466" s="246"/>
      <c r="K466" s="246"/>
      <c r="L466" s="246"/>
      <c r="M466" s="246"/>
      <c r="N466" s="246"/>
      <c r="O466" s="246"/>
      <c r="P466" s="246"/>
      <c r="Q466" s="246"/>
      <c r="R466" s="246"/>
      <c r="S466" s="246"/>
      <c r="T466" s="246"/>
      <c r="U466" s="246"/>
      <c r="V466" s="296" t="s">
        <v>176</v>
      </c>
      <c r="W466" s="297"/>
      <c r="X466" s="298">
        <f>Z466/+Z407</f>
        <v>0.16156473783607472</v>
      </c>
      <c r="Y466" s="297"/>
      <c r="Z466" s="299">
        <f>SUM(Z453:Z465)</f>
        <v>74756.51999999999</v>
      </c>
      <c r="AA466" s="298"/>
      <c r="AB466" s="297"/>
      <c r="AC466" s="299"/>
      <c r="AD466" s="300">
        <f>AF466/AF407</f>
        <v>0.18436039491779149</v>
      </c>
      <c r="AE466" s="297"/>
      <c r="AF466" s="299">
        <f>SUM(AF453:AF465)</f>
        <v>73611.990000000005</v>
      </c>
      <c r="AG466" s="308"/>
      <c r="AH466" s="302">
        <f>SUM(AH453:AH465)</f>
        <v>-1144.5300000000007</v>
      </c>
      <c r="AI466" s="298">
        <f>IF(Z466=0,0,AH466/Z466)</f>
        <v>-1.5310102717461979E-2</v>
      </c>
      <c r="AJ466" s="300">
        <f>IF($AL$407=0,0,AL466/$AL$407)</f>
        <v>0.18002548710433039</v>
      </c>
      <c r="AK466" s="298"/>
      <c r="AL466" s="299">
        <f>SUM(AL453:AL465)</f>
        <v>74061.11</v>
      </c>
      <c r="AM466" s="309"/>
      <c r="AN466" s="302">
        <f>SUM(AN453:AN465)</f>
        <v>-449.11999999999841</v>
      </c>
      <c r="AO466" s="331">
        <f t="shared" ref="AO466:AO483" si="117">IF(AL466=0,0,AN466/AL466)</f>
        <v>-6.0641813226941701E-3</v>
      </c>
      <c r="AP466" s="246"/>
      <c r="AQ466" s="246"/>
      <c r="AR466" s="246"/>
      <c r="AS466" s="246"/>
      <c r="AT466" s="246"/>
      <c r="AU466" s="246"/>
      <c r="AV466" s="246"/>
      <c r="AW466" s="246"/>
      <c r="AX466" s="246"/>
      <c r="AY466" s="246"/>
      <c r="AZ466" s="246"/>
      <c r="BA466" s="246"/>
      <c r="BB466" s="246"/>
      <c r="BC466" s="246"/>
      <c r="BD466" s="246"/>
      <c r="BE466" s="246"/>
      <c r="BF466" s="246"/>
      <c r="BG466" s="246"/>
      <c r="BH466" s="246"/>
      <c r="BI466" s="246"/>
      <c r="BJ466" s="246"/>
    </row>
    <row r="467" spans="1:62" ht="18">
      <c r="A467" t="str">
        <f t="shared" si="89"/>
        <v/>
      </c>
      <c r="B467" s="7"/>
      <c r="C467" s="246"/>
      <c r="D467" s="246"/>
      <c r="E467" s="246"/>
      <c r="F467" s="246"/>
      <c r="G467" s="246"/>
      <c r="H467" s="246"/>
      <c r="I467" s="246"/>
      <c r="J467" s="246"/>
      <c r="K467" s="246"/>
      <c r="L467" s="246"/>
      <c r="M467" s="246"/>
      <c r="N467" s="246"/>
      <c r="O467" s="246"/>
      <c r="P467" s="246"/>
      <c r="Q467" s="246"/>
      <c r="R467" s="246"/>
      <c r="S467" s="246"/>
      <c r="T467" s="246"/>
      <c r="U467" s="246"/>
      <c r="V467" s="102"/>
      <c r="W467" s="279"/>
      <c r="X467" s="279"/>
      <c r="Y467" s="279"/>
      <c r="Z467" s="336"/>
      <c r="AA467" s="279"/>
      <c r="AB467" s="279"/>
      <c r="AC467" s="336"/>
      <c r="AD467" s="288"/>
      <c r="AE467" s="279"/>
      <c r="AF467" s="336"/>
      <c r="AG467" s="288"/>
      <c r="AH467" s="282">
        <f t="shared" ref="AH467:AH481" si="118">AF467-Z467</f>
        <v>0</v>
      </c>
      <c r="AI467" s="283"/>
      <c r="AJ467" s="288"/>
      <c r="AK467" s="279"/>
      <c r="AL467" s="336"/>
      <c r="AM467" s="337"/>
      <c r="AN467" s="282">
        <f t="shared" ref="AN467:AN483" si="119">AF467-AL467</f>
        <v>0</v>
      </c>
      <c r="AO467" s="338">
        <f t="shared" si="117"/>
        <v>0</v>
      </c>
      <c r="AP467" s="246"/>
      <c r="AQ467" s="246"/>
      <c r="AR467" s="246"/>
      <c r="AS467" s="246"/>
      <c r="AT467" s="246"/>
      <c r="AU467" s="246"/>
      <c r="AV467" s="246"/>
      <c r="AW467" s="246"/>
      <c r="AX467" s="246"/>
      <c r="AY467" s="246"/>
      <c r="AZ467" s="246"/>
      <c r="BA467" s="246"/>
      <c r="BB467" s="246"/>
      <c r="BC467" s="246"/>
      <c r="BD467" s="246"/>
      <c r="BE467" s="246"/>
      <c r="BF467" s="246"/>
      <c r="BG467" s="246"/>
      <c r="BH467" s="246"/>
      <c r="BI467" s="246"/>
      <c r="BJ467" s="246"/>
    </row>
    <row r="468" spans="1:62" ht="18">
      <c r="A468" t="str">
        <f t="shared" si="89"/>
        <v>TOTAL DES DÉPENSES</v>
      </c>
      <c r="B468" s="7"/>
      <c r="C468" s="246"/>
      <c r="D468" s="246"/>
      <c r="E468" s="246"/>
      <c r="F468" s="246"/>
      <c r="G468" s="246"/>
      <c r="H468" s="246"/>
      <c r="I468" s="246"/>
      <c r="J468" s="246"/>
      <c r="K468" s="246"/>
      <c r="L468" s="246"/>
      <c r="M468" s="246"/>
      <c r="N468" s="246"/>
      <c r="O468" s="246"/>
      <c r="P468" s="246"/>
      <c r="Q468" s="246"/>
      <c r="R468" s="246"/>
      <c r="S468" s="246"/>
      <c r="T468" s="246"/>
      <c r="U468" s="246"/>
      <c r="V468" s="296" t="s">
        <v>64</v>
      </c>
      <c r="W468" s="297"/>
      <c r="X468" s="298">
        <f>Z468/+Z407</f>
        <v>0.96650131744970835</v>
      </c>
      <c r="Y468" s="297"/>
      <c r="Z468" s="299">
        <f>Z419+Z433+Z452+Z466</f>
        <v>447203.24518623226</v>
      </c>
      <c r="AA468" s="298"/>
      <c r="AB468" s="297"/>
      <c r="AC468" s="299"/>
      <c r="AD468" s="300">
        <f>AF468/AF407</f>
        <v>1.0811514436749265</v>
      </c>
      <c r="AE468" s="297"/>
      <c r="AF468" s="299">
        <f>AF419+AF433+AF452+AF466</f>
        <v>431685.49999999988</v>
      </c>
      <c r="AG468" s="308"/>
      <c r="AH468" s="302">
        <f t="shared" si="118"/>
        <v>-15517.74518623238</v>
      </c>
      <c r="AI468" s="298">
        <f>AH468/Z468</f>
        <v>-3.4699536180177327E-2</v>
      </c>
      <c r="AJ468" s="300">
        <f>IF($AL$407=0,0,AL468/$AL$407)</f>
        <v>0.98373401975671171</v>
      </c>
      <c r="AK468" s="298"/>
      <c r="AL468" s="299">
        <f>AL419+AL433+AL452+AL466</f>
        <v>404700.66000000003</v>
      </c>
      <c r="AM468" s="309"/>
      <c r="AN468" s="302">
        <f t="shared" si="119"/>
        <v>26984.839999999851</v>
      </c>
      <c r="AO468" s="277">
        <f t="shared" si="117"/>
        <v>6.667851740098435E-2</v>
      </c>
      <c r="AP468" s="310">
        <f>AF468+AF491+AF492+AF493+AF494+AF495+AF496</f>
        <v>449739.10999999987</v>
      </c>
      <c r="AQ468" s="246" t="s">
        <v>221</v>
      </c>
      <c r="AR468" s="246">
        <f>393475+49635</f>
        <v>443110</v>
      </c>
      <c r="AS468" s="310">
        <f>AP468-AR468</f>
        <v>6629.1099999998696</v>
      </c>
      <c r="AT468" s="246"/>
      <c r="AU468" s="246"/>
      <c r="AV468" s="246"/>
      <c r="AW468" s="246"/>
      <c r="AX468" s="246"/>
      <c r="AY468" s="246"/>
      <c r="AZ468" s="246"/>
      <c r="BA468" s="246"/>
      <c r="BB468" s="246"/>
      <c r="BC468" s="246"/>
      <c r="BD468" s="246"/>
      <c r="BE468" s="246"/>
      <c r="BF468" s="246"/>
      <c r="BG468" s="246"/>
      <c r="BH468" s="246"/>
      <c r="BI468" s="246"/>
      <c r="BJ468" s="246"/>
    </row>
    <row r="469" spans="1:62" ht="18">
      <c r="A469" t="str">
        <f t="shared" si="89"/>
        <v>Revenus autres</v>
      </c>
      <c r="B469" s="7"/>
      <c r="C469" s="246"/>
      <c r="D469" s="246"/>
      <c r="E469" s="246"/>
      <c r="F469" s="246"/>
      <c r="G469" s="246"/>
      <c r="H469" s="246"/>
      <c r="I469" s="246"/>
      <c r="J469" s="246"/>
      <c r="K469" s="246"/>
      <c r="L469" s="246"/>
      <c r="M469" s="246"/>
      <c r="N469" s="246"/>
      <c r="O469" s="246"/>
      <c r="P469" s="246"/>
      <c r="Q469" s="246"/>
      <c r="R469" s="246"/>
      <c r="S469" s="246"/>
      <c r="T469" s="246"/>
      <c r="U469" s="246"/>
      <c r="V469" s="102" t="s">
        <v>177</v>
      </c>
      <c r="W469" s="333"/>
      <c r="X469" s="333"/>
      <c r="Y469" s="279"/>
      <c r="Z469" s="313">
        <v>900</v>
      </c>
      <c r="AA469" s="339"/>
      <c r="AB469" s="340"/>
      <c r="AC469" s="313"/>
      <c r="AD469" s="341"/>
      <c r="AE469" s="340"/>
      <c r="AF469" s="280">
        <v>175.28</v>
      </c>
      <c r="AG469" s="342"/>
      <c r="AH469" s="282">
        <f t="shared" si="118"/>
        <v>-724.72</v>
      </c>
      <c r="AI469" s="335">
        <f>IF(AH469=0,0,AH469/Z469)</f>
        <v>-0.80524444444444443</v>
      </c>
      <c r="AJ469" s="341"/>
      <c r="AK469" s="339"/>
      <c r="AL469" s="343">
        <v>432.76</v>
      </c>
      <c r="AM469" s="344"/>
      <c r="AN469" s="282">
        <f t="shared" si="119"/>
        <v>-257.48</v>
      </c>
      <c r="AO469" s="289">
        <f t="shared" si="117"/>
        <v>-0.59497180885479251</v>
      </c>
      <c r="AP469" s="246"/>
      <c r="AQ469" s="246">
        <v>175</v>
      </c>
      <c r="AR469" s="246" t="s">
        <v>242</v>
      </c>
      <c r="AS469" s="246"/>
      <c r="AT469" s="246"/>
      <c r="AU469" s="246"/>
      <c r="AV469" s="246"/>
      <c r="AW469" s="246"/>
      <c r="AX469" s="246"/>
      <c r="AY469" s="246"/>
      <c r="AZ469" s="246"/>
      <c r="BA469" s="246"/>
      <c r="BB469" s="246"/>
      <c r="BC469" s="246"/>
      <c r="BD469" s="246"/>
      <c r="BE469" s="246"/>
      <c r="BF469" s="246"/>
      <c r="BG469" s="246"/>
      <c r="BH469" s="246"/>
      <c r="BI469" s="246"/>
      <c r="BJ469" s="246"/>
    </row>
    <row r="470" spans="1:62" ht="18">
      <c r="A470" t="str">
        <f t="shared" si="89"/>
        <v>Holdbacks</v>
      </c>
      <c r="B470" s="7"/>
      <c r="C470" s="246"/>
      <c r="D470" s="246"/>
      <c r="E470" s="246"/>
      <c r="F470" s="246"/>
      <c r="G470" s="246"/>
      <c r="H470" s="246"/>
      <c r="I470" s="246"/>
      <c r="J470" s="246"/>
      <c r="K470" s="246"/>
      <c r="L470" s="246"/>
      <c r="M470" s="246"/>
      <c r="N470" s="246"/>
      <c r="O470" s="246"/>
      <c r="P470" s="246"/>
      <c r="Q470" s="246"/>
      <c r="R470" s="246"/>
      <c r="S470" s="246"/>
      <c r="T470" s="246"/>
      <c r="U470" s="246"/>
      <c r="V470" s="102" t="s">
        <v>66</v>
      </c>
      <c r="W470" s="279"/>
      <c r="X470" s="279"/>
      <c r="Y470" s="279"/>
      <c r="Z470" s="280">
        <f t="shared" ref="Z470:Z476" si="120">+SUMIF($C:$C,$V470,F:F)</f>
        <v>44929.362461538476</v>
      </c>
      <c r="AA470" s="332"/>
      <c r="AB470" s="333"/>
      <c r="AC470" s="280"/>
      <c r="AD470" s="345"/>
      <c r="AE470" s="333"/>
      <c r="AF470" s="280">
        <f t="shared" ref="AF470:AF476" si="121">+SUMIF($C:$C,$V470,L:L)</f>
        <v>54160.1</v>
      </c>
      <c r="AG470" s="346"/>
      <c r="AH470" s="282">
        <f t="shared" si="118"/>
        <v>9230.7375384615225</v>
      </c>
      <c r="AI470" s="306">
        <f>IF(Z470=0,0,AH470/Z470)</f>
        <v>0.20545000046157882</v>
      </c>
      <c r="AJ470" s="345"/>
      <c r="AK470" s="332"/>
      <c r="AL470" s="347">
        <f t="shared" ref="AL470:AL479" si="122">+SUMIF($C:$C,$V470,Q:Q)</f>
        <v>49858.9</v>
      </c>
      <c r="AM470" s="348"/>
      <c r="AN470" s="282">
        <f t="shared" si="119"/>
        <v>4301.1999999999971</v>
      </c>
      <c r="AO470" s="289">
        <f t="shared" si="117"/>
        <v>8.6267446734685227E-2</v>
      </c>
      <c r="AP470" s="246"/>
      <c r="AQ470" s="246">
        <v>54160</v>
      </c>
      <c r="AR470" s="246"/>
      <c r="AS470" s="246"/>
      <c r="AT470" s="246"/>
      <c r="AU470" s="246"/>
      <c r="AV470" s="246"/>
      <c r="AW470" s="246"/>
      <c r="AX470" s="246"/>
      <c r="AY470" s="246"/>
      <c r="AZ470" s="246"/>
      <c r="BA470" s="246"/>
      <c r="BB470" s="246"/>
      <c r="BC470" s="246"/>
      <c r="BD470" s="246"/>
      <c r="BE470" s="246"/>
      <c r="BF470" s="246"/>
      <c r="BG470" s="246"/>
      <c r="BH470" s="246"/>
      <c r="BI470" s="246"/>
      <c r="BJ470" s="246"/>
    </row>
    <row r="471" spans="1:62" ht="18">
      <c r="A471" t="str">
        <f t="shared" si="89"/>
        <v>RBSC neuf</v>
      </c>
      <c r="B471" s="7"/>
      <c r="C471" s="246"/>
      <c r="D471" s="246"/>
      <c r="E471" s="246"/>
      <c r="F471" s="246"/>
      <c r="G471" s="246"/>
      <c r="H471" s="246"/>
      <c r="I471" s="246"/>
      <c r="J471" s="246"/>
      <c r="K471" s="246"/>
      <c r="L471" s="246"/>
      <c r="M471" s="246"/>
      <c r="N471" s="246"/>
      <c r="O471" s="246"/>
      <c r="P471" s="246"/>
      <c r="Q471" s="246"/>
      <c r="R471" s="246"/>
      <c r="S471" s="246"/>
      <c r="T471" s="246"/>
      <c r="U471" s="246"/>
      <c r="V471" s="102" t="s">
        <v>216</v>
      </c>
      <c r="W471" s="279"/>
      <c r="X471" s="279"/>
      <c r="Y471" s="279"/>
      <c r="Z471" s="280">
        <f t="shared" si="120"/>
        <v>39313.192153846168</v>
      </c>
      <c r="AA471" s="332"/>
      <c r="AB471" s="333"/>
      <c r="AC471" s="280"/>
      <c r="AD471" s="345"/>
      <c r="AE471" s="333"/>
      <c r="AF471" s="280">
        <f t="shared" si="121"/>
        <v>54073.89</v>
      </c>
      <c r="AG471" s="346"/>
      <c r="AH471" s="282">
        <f t="shared" si="118"/>
        <v>14760.697846153831</v>
      </c>
      <c r="AI471" s="306">
        <f t="shared" ref="AI471:AI480" si="123">IF(AH471=0,0,AH471/Z471)</f>
        <v>0.37546424081743596</v>
      </c>
      <c r="AJ471" s="345"/>
      <c r="AK471" s="332"/>
      <c r="AL471" s="347">
        <f>+SUMIF($C:$C,$V471,Q:Q)</f>
        <v>83436.11</v>
      </c>
      <c r="AM471" s="348"/>
      <c r="AN471" s="282">
        <f t="shared" si="119"/>
        <v>-29362.22</v>
      </c>
      <c r="AO471" s="289">
        <f t="shared" si="117"/>
        <v>-0.35191261912857635</v>
      </c>
      <c r="AP471" s="246"/>
      <c r="AQ471" s="246">
        <v>54074</v>
      </c>
      <c r="AR471" s="246"/>
      <c r="AS471" s="246"/>
      <c r="AT471" s="246"/>
      <c r="AU471" s="246"/>
      <c r="AV471" s="246"/>
      <c r="AW471" s="246"/>
      <c r="AX471" s="246"/>
      <c r="AY471" s="246"/>
      <c r="AZ471" s="246"/>
      <c r="BA471" s="246"/>
      <c r="BB471" s="246"/>
      <c r="BC471" s="246"/>
      <c r="BD471" s="246"/>
      <c r="BE471" s="246"/>
      <c r="BF471" s="246"/>
      <c r="BG471" s="246"/>
      <c r="BH471" s="246"/>
      <c r="BI471" s="246"/>
      <c r="BJ471" s="246"/>
    </row>
    <row r="472" spans="1:62" ht="18" hidden="1">
      <c r="A472" t="str">
        <f t="shared" si="89"/>
        <v>Programme neuf 2</v>
      </c>
      <c r="B472" s="7"/>
      <c r="C472" s="246"/>
      <c r="D472" s="246"/>
      <c r="E472" s="246"/>
      <c r="F472" s="246"/>
      <c r="G472" s="246"/>
      <c r="H472" s="246"/>
      <c r="I472" s="246"/>
      <c r="J472" s="246"/>
      <c r="K472" s="246"/>
      <c r="L472" s="246"/>
      <c r="M472" s="246"/>
      <c r="N472" s="246"/>
      <c r="O472" s="246"/>
      <c r="P472" s="246"/>
      <c r="Q472" s="246"/>
      <c r="R472" s="246"/>
      <c r="S472" s="246"/>
      <c r="T472" s="246"/>
      <c r="U472" s="246"/>
      <c r="V472" s="102" t="s">
        <v>188</v>
      </c>
      <c r="W472" s="279"/>
      <c r="X472" s="279"/>
      <c r="Y472" s="279"/>
      <c r="Z472" s="280">
        <f t="shared" si="120"/>
        <v>0</v>
      </c>
      <c r="AA472" s="332"/>
      <c r="AB472" s="333"/>
      <c r="AC472" s="280"/>
      <c r="AD472" s="345"/>
      <c r="AE472" s="333"/>
      <c r="AF472" s="280">
        <f t="shared" si="121"/>
        <v>0</v>
      </c>
      <c r="AG472" s="346"/>
      <c r="AH472" s="282">
        <f t="shared" si="118"/>
        <v>0</v>
      </c>
      <c r="AI472" s="306">
        <f t="shared" si="123"/>
        <v>0</v>
      </c>
      <c r="AJ472" s="345"/>
      <c r="AK472" s="332"/>
      <c r="AL472" s="347">
        <f t="shared" si="122"/>
        <v>0</v>
      </c>
      <c r="AM472" s="348"/>
      <c r="AN472" s="282">
        <f t="shared" si="119"/>
        <v>0</v>
      </c>
      <c r="AO472" s="289">
        <f t="shared" si="117"/>
        <v>0</v>
      </c>
      <c r="AP472" s="246"/>
      <c r="AQ472" s="246"/>
      <c r="AR472" s="246"/>
      <c r="AS472" s="246"/>
      <c r="AT472" s="246"/>
      <c r="AU472" s="246"/>
      <c r="AV472" s="246"/>
      <c r="AW472" s="246"/>
      <c r="AX472" s="246"/>
      <c r="AY472" s="246"/>
      <c r="AZ472" s="246"/>
      <c r="BA472" s="246"/>
      <c r="BB472" s="246"/>
      <c r="BC472" s="246"/>
      <c r="BD472" s="246"/>
      <c r="BE472" s="246"/>
      <c r="BF472" s="246"/>
      <c r="BG472" s="246"/>
      <c r="BH472" s="246"/>
      <c r="BI472" s="246"/>
      <c r="BJ472" s="246"/>
    </row>
    <row r="473" spans="1:62" ht="18" hidden="1">
      <c r="A473" t="str">
        <f t="shared" si="89"/>
        <v>Programme neuf 3</v>
      </c>
      <c r="B473" s="7"/>
      <c r="C473" s="246"/>
      <c r="D473" s="246"/>
      <c r="E473" s="246"/>
      <c r="F473" s="246"/>
      <c r="G473" s="246"/>
      <c r="H473" s="246"/>
      <c r="I473" s="246"/>
      <c r="J473" s="246"/>
      <c r="K473" s="246"/>
      <c r="L473" s="246"/>
      <c r="M473" s="246"/>
      <c r="N473" s="246"/>
      <c r="O473" s="246"/>
      <c r="P473" s="246"/>
      <c r="Q473" s="246"/>
      <c r="R473" s="246"/>
      <c r="S473" s="246"/>
      <c r="T473" s="246"/>
      <c r="U473" s="246"/>
      <c r="V473" s="102" t="s">
        <v>65</v>
      </c>
      <c r="W473" s="279"/>
      <c r="X473" s="279"/>
      <c r="Y473" s="279"/>
      <c r="Z473" s="280">
        <f t="shared" si="120"/>
        <v>0</v>
      </c>
      <c r="AA473" s="332"/>
      <c r="AB473" s="333"/>
      <c r="AC473" s="280"/>
      <c r="AD473" s="345"/>
      <c r="AE473" s="333"/>
      <c r="AF473" s="280">
        <f t="shared" si="121"/>
        <v>0</v>
      </c>
      <c r="AG473" s="346"/>
      <c r="AH473" s="282">
        <f t="shared" si="118"/>
        <v>0</v>
      </c>
      <c r="AI473" s="306">
        <f t="shared" si="123"/>
        <v>0</v>
      </c>
      <c r="AJ473" s="345"/>
      <c r="AK473" s="332"/>
      <c r="AL473" s="347">
        <f t="shared" si="122"/>
        <v>0</v>
      </c>
      <c r="AM473" s="348"/>
      <c r="AN473" s="282">
        <f t="shared" si="119"/>
        <v>0</v>
      </c>
      <c r="AO473" s="289">
        <f t="shared" si="117"/>
        <v>0</v>
      </c>
      <c r="AP473" s="246"/>
      <c r="AQ473" s="246"/>
      <c r="AR473" s="246"/>
      <c r="AS473" s="246"/>
      <c r="AT473" s="246"/>
      <c r="AU473" s="246"/>
      <c r="AV473" s="246"/>
      <c r="AW473" s="246"/>
      <c r="AX473" s="246"/>
      <c r="AY473" s="246"/>
      <c r="AZ473" s="246"/>
      <c r="BA473" s="246"/>
      <c r="BB473" s="246"/>
      <c r="BC473" s="246"/>
      <c r="BD473" s="246"/>
      <c r="BE473" s="246"/>
      <c r="BF473" s="246"/>
      <c r="BG473" s="246"/>
      <c r="BH473" s="246"/>
      <c r="BI473" s="246"/>
      <c r="BJ473" s="246"/>
    </row>
    <row r="474" spans="1:62" ht="18">
      <c r="A474" t="str">
        <f t="shared" si="89"/>
        <v>RBSC used</v>
      </c>
      <c r="B474" s="7"/>
      <c r="C474" s="246"/>
      <c r="D474" s="246"/>
      <c r="E474" s="246"/>
      <c r="F474" s="246"/>
      <c r="G474" s="246"/>
      <c r="H474" s="246"/>
      <c r="I474" s="246"/>
      <c r="J474" s="246"/>
      <c r="K474" s="246"/>
      <c r="L474" s="246"/>
      <c r="M474" s="246"/>
      <c r="N474" s="246"/>
      <c r="O474" s="246"/>
      <c r="P474" s="246"/>
      <c r="Q474" s="246"/>
      <c r="R474" s="246"/>
      <c r="S474" s="246"/>
      <c r="T474" s="246"/>
      <c r="U474" s="246"/>
      <c r="V474" s="102" t="s">
        <v>218</v>
      </c>
      <c r="W474" s="279"/>
      <c r="X474" s="279"/>
      <c r="Y474" s="279"/>
      <c r="Z474" s="280">
        <f t="shared" si="120"/>
        <v>2625</v>
      </c>
      <c r="AA474" s="332"/>
      <c r="AB474" s="333"/>
      <c r="AC474" s="280"/>
      <c r="AD474" s="345"/>
      <c r="AE474" s="333"/>
      <c r="AF474" s="280">
        <f t="shared" si="121"/>
        <v>0</v>
      </c>
      <c r="AG474" s="346"/>
      <c r="AH474" s="282">
        <f t="shared" si="118"/>
        <v>-2625</v>
      </c>
      <c r="AI474" s="306">
        <f t="shared" si="123"/>
        <v>-1</v>
      </c>
      <c r="AJ474" s="345"/>
      <c r="AK474" s="332"/>
      <c r="AL474" s="347">
        <f t="shared" si="122"/>
        <v>1500</v>
      </c>
      <c r="AM474" s="348"/>
      <c r="AN474" s="282">
        <f t="shared" si="119"/>
        <v>-1500</v>
      </c>
      <c r="AO474" s="289">
        <f t="shared" si="117"/>
        <v>-1</v>
      </c>
      <c r="AP474" s="246"/>
      <c r="AQ474" s="246"/>
      <c r="AR474" s="246"/>
      <c r="AS474" s="246"/>
      <c r="AT474" s="246"/>
      <c r="AU474" s="246"/>
      <c r="AV474" s="246"/>
      <c r="AW474" s="246"/>
      <c r="AX474" s="246"/>
      <c r="AY474" s="246"/>
      <c r="AZ474" s="246"/>
      <c r="BA474" s="246"/>
      <c r="BB474" s="246"/>
      <c r="BC474" s="246"/>
      <c r="BD474" s="246"/>
      <c r="BE474" s="246"/>
      <c r="BF474" s="246"/>
      <c r="BG474" s="246"/>
      <c r="BH474" s="246"/>
      <c r="BI474" s="246"/>
      <c r="BJ474" s="246"/>
    </row>
    <row r="475" spans="1:62" ht="18">
      <c r="A475" t="str">
        <f t="shared" si="89"/>
        <v>Programme 360</v>
      </c>
      <c r="B475" s="7"/>
      <c r="C475" s="246"/>
      <c r="D475" s="246"/>
      <c r="E475" s="246"/>
      <c r="F475" s="246"/>
      <c r="G475" s="246"/>
      <c r="H475" s="246"/>
      <c r="I475" s="246"/>
      <c r="J475" s="246"/>
      <c r="K475" s="246"/>
      <c r="L475" s="246"/>
      <c r="M475" s="246"/>
      <c r="N475" s="246"/>
      <c r="O475" s="246"/>
      <c r="P475" s="246"/>
      <c r="Q475" s="246"/>
      <c r="R475" s="246"/>
      <c r="S475" s="246"/>
      <c r="T475" s="246"/>
      <c r="U475" s="246"/>
      <c r="V475" s="102" t="s">
        <v>219</v>
      </c>
      <c r="W475" s="279"/>
      <c r="X475" s="279"/>
      <c r="Y475" s="279"/>
      <c r="Z475" s="280">
        <f t="shared" si="120"/>
        <v>1735.294117647059</v>
      </c>
      <c r="AA475" s="332"/>
      <c r="AB475" s="333"/>
      <c r="AC475" s="280"/>
      <c r="AD475" s="345"/>
      <c r="AE475" s="333"/>
      <c r="AF475" s="280">
        <f t="shared" si="121"/>
        <v>0</v>
      </c>
      <c r="AG475" s="346"/>
      <c r="AH475" s="282">
        <f t="shared" si="118"/>
        <v>-1735.294117647059</v>
      </c>
      <c r="AI475" s="306">
        <f t="shared" si="123"/>
        <v>-1</v>
      </c>
      <c r="AJ475" s="345"/>
      <c r="AK475" s="332"/>
      <c r="AL475" s="347">
        <f t="shared" si="122"/>
        <v>0</v>
      </c>
      <c r="AM475" s="348"/>
      <c r="AN475" s="282">
        <f t="shared" si="119"/>
        <v>0</v>
      </c>
      <c r="AO475" s="289">
        <f t="shared" si="117"/>
        <v>0</v>
      </c>
      <c r="AP475" s="246"/>
      <c r="AQ475" s="246"/>
      <c r="AR475" s="246"/>
      <c r="AS475" s="246"/>
      <c r="AT475" s="246"/>
      <c r="AU475" s="246"/>
      <c r="AV475" s="246"/>
      <c r="AW475" s="246"/>
      <c r="AX475" s="246"/>
      <c r="AY475" s="246"/>
      <c r="AZ475" s="246"/>
      <c r="BA475" s="246"/>
      <c r="BB475" s="246"/>
      <c r="BC475" s="246"/>
      <c r="BD475" s="246"/>
      <c r="BE475" s="246"/>
      <c r="BF475" s="246"/>
      <c r="BG475" s="246"/>
      <c r="BH475" s="246"/>
      <c r="BI475" s="246"/>
      <c r="BJ475" s="246"/>
    </row>
    <row r="476" spans="1:62" ht="18" hidden="1">
      <c r="A476" t="str">
        <f t="shared" si="89"/>
        <v>Programme used 3</v>
      </c>
      <c r="B476" s="7"/>
      <c r="C476" s="246"/>
      <c r="D476" s="246"/>
      <c r="E476" s="246"/>
      <c r="F476" s="246"/>
      <c r="G476" s="246"/>
      <c r="H476" s="246"/>
      <c r="I476" s="246"/>
      <c r="J476" s="246"/>
      <c r="K476" s="246"/>
      <c r="L476" s="246"/>
      <c r="M476" s="246"/>
      <c r="N476" s="246"/>
      <c r="O476" s="246"/>
      <c r="P476" s="246"/>
      <c r="Q476" s="246"/>
      <c r="R476" s="246"/>
      <c r="S476" s="246"/>
      <c r="T476" s="246"/>
      <c r="U476" s="246"/>
      <c r="V476" s="102" t="s">
        <v>77</v>
      </c>
      <c r="W476" s="279"/>
      <c r="X476" s="279"/>
      <c r="Y476" s="279"/>
      <c r="Z476" s="280">
        <f t="shared" si="120"/>
        <v>0</v>
      </c>
      <c r="AA476" s="332"/>
      <c r="AB476" s="333"/>
      <c r="AC476" s="280"/>
      <c r="AD476" s="345"/>
      <c r="AE476" s="333"/>
      <c r="AF476" s="280">
        <f t="shared" si="121"/>
        <v>0</v>
      </c>
      <c r="AG476" s="346"/>
      <c r="AH476" s="282">
        <f t="shared" si="118"/>
        <v>0</v>
      </c>
      <c r="AI476" s="306">
        <f t="shared" si="123"/>
        <v>0</v>
      </c>
      <c r="AJ476" s="345"/>
      <c r="AK476" s="332"/>
      <c r="AL476" s="347">
        <f t="shared" si="122"/>
        <v>0</v>
      </c>
      <c r="AM476" s="348"/>
      <c r="AN476" s="282">
        <f t="shared" si="119"/>
        <v>0</v>
      </c>
      <c r="AO476" s="289">
        <f t="shared" si="117"/>
        <v>0</v>
      </c>
      <c r="AP476" s="246"/>
      <c r="AQ476" s="246"/>
      <c r="AR476" s="246"/>
      <c r="AS476" s="246"/>
      <c r="AT476" s="246"/>
      <c r="AU476" s="246"/>
      <c r="AV476" s="246"/>
      <c r="AW476" s="246"/>
      <c r="AX476" s="246"/>
      <c r="AY476" s="246"/>
      <c r="AZ476" s="246"/>
      <c r="BA476" s="246"/>
      <c r="BB476" s="246"/>
      <c r="BC476" s="246"/>
      <c r="BD476" s="246"/>
      <c r="BE476" s="246"/>
      <c r="BF476" s="246"/>
      <c r="BG476" s="246"/>
      <c r="BH476" s="246"/>
      <c r="BI476" s="246"/>
      <c r="BJ476" s="246"/>
    </row>
    <row r="477" spans="1:62" ht="18">
      <c r="A477" t="str">
        <f t="shared" si="89"/>
        <v>Facility Fund</v>
      </c>
      <c r="B477" s="7"/>
      <c r="C477" s="246"/>
      <c r="D477" s="246"/>
      <c r="E477" s="246"/>
      <c r="F477" s="246"/>
      <c r="G477" s="246"/>
      <c r="H477" s="246"/>
      <c r="I477" s="246"/>
      <c r="J477" s="246"/>
      <c r="K477" s="246"/>
      <c r="L477" s="246"/>
      <c r="M477" s="246"/>
      <c r="N477" s="246"/>
      <c r="O477" s="246"/>
      <c r="P477" s="246"/>
      <c r="Q477" s="246"/>
      <c r="R477" s="246"/>
      <c r="S477" s="246"/>
      <c r="T477" s="246"/>
      <c r="U477" s="246"/>
      <c r="V477" s="102" t="s">
        <v>189</v>
      </c>
      <c r="W477" s="279"/>
      <c r="X477" s="279"/>
      <c r="Y477" s="279"/>
      <c r="Z477" s="280">
        <v>23587.915292307698</v>
      </c>
      <c r="AA477" s="332"/>
      <c r="AB477" s="333"/>
      <c r="AC477" s="280"/>
      <c r="AD477" s="345"/>
      <c r="AE477" s="333"/>
      <c r="AF477" s="280">
        <v>27945.7</v>
      </c>
      <c r="AG477" s="346"/>
      <c r="AH477" s="282">
        <f t="shared" si="118"/>
        <v>4357.7847076923026</v>
      </c>
      <c r="AI477" s="306">
        <f t="shared" si="123"/>
        <v>0.18474649640247895</v>
      </c>
      <c r="AJ477" s="345"/>
      <c r="AK477" s="332"/>
      <c r="AL477" s="347">
        <v>39070.85</v>
      </c>
      <c r="AM477" s="348"/>
      <c r="AN477" s="282">
        <f t="shared" si="119"/>
        <v>-11125.149999999998</v>
      </c>
      <c r="AO477" s="289">
        <f t="shared" si="117"/>
        <v>-0.28474297334201837</v>
      </c>
      <c r="AP477" s="246"/>
      <c r="AQ477" s="246">
        <v>27946</v>
      </c>
      <c r="AR477" s="246"/>
      <c r="AS477" s="246"/>
      <c r="AT477" s="246"/>
      <c r="AU477" s="246"/>
      <c r="AV477" s="246"/>
      <c r="AW477" s="246"/>
      <c r="AX477" s="246"/>
      <c r="AY477" s="246"/>
      <c r="AZ477" s="246"/>
      <c r="BA477" s="246"/>
      <c r="BB477" s="246"/>
      <c r="BC477" s="246"/>
      <c r="BD477" s="246"/>
      <c r="BE477" s="246"/>
      <c r="BF477" s="246"/>
      <c r="BG477" s="246"/>
      <c r="BH477" s="246"/>
      <c r="BI477" s="246"/>
      <c r="BJ477" s="246"/>
    </row>
    <row r="478" spans="1:62" ht="18" hidden="1">
      <c r="A478" t="str">
        <f t="shared" si="89"/>
        <v>[...]</v>
      </c>
      <c r="B478" s="7"/>
      <c r="C478" s="246"/>
      <c r="D478" s="246"/>
      <c r="E478" s="246"/>
      <c r="F478" s="246"/>
      <c r="G478" s="246"/>
      <c r="H478" s="246"/>
      <c r="I478" s="246"/>
      <c r="J478" s="246"/>
      <c r="K478" s="246"/>
      <c r="L478" s="246"/>
      <c r="M478" s="246"/>
      <c r="N478" s="246"/>
      <c r="O478" s="246"/>
      <c r="P478" s="246"/>
      <c r="Q478" s="246"/>
      <c r="R478" s="246"/>
      <c r="S478" s="246"/>
      <c r="T478" s="246"/>
      <c r="U478" s="246"/>
      <c r="V478" s="102" t="s">
        <v>19</v>
      </c>
      <c r="W478" s="279"/>
      <c r="X478" s="279"/>
      <c r="Y478" s="279"/>
      <c r="Z478" s="282">
        <f>IFERROR(SUMIF($C:$C,$V478,F:F),0)</f>
        <v>0</v>
      </c>
      <c r="AA478" s="279"/>
      <c r="AB478" s="279"/>
      <c r="AC478" s="282"/>
      <c r="AD478" s="288"/>
      <c r="AE478" s="287"/>
      <c r="AF478" s="280">
        <f>+SUMIF($C:$C,$V478,L:L)</f>
        <v>0</v>
      </c>
      <c r="AG478" s="281"/>
      <c r="AH478" s="282">
        <f t="shared" si="118"/>
        <v>0</v>
      </c>
      <c r="AI478" s="283">
        <f t="shared" si="123"/>
        <v>0</v>
      </c>
      <c r="AJ478" s="288"/>
      <c r="AK478" s="279"/>
      <c r="AL478" s="280">
        <f t="shared" si="122"/>
        <v>0</v>
      </c>
      <c r="AM478" s="348"/>
      <c r="AN478" s="282">
        <f t="shared" si="119"/>
        <v>0</v>
      </c>
      <c r="AO478" s="289">
        <f t="shared" si="117"/>
        <v>0</v>
      </c>
      <c r="AP478" s="246"/>
      <c r="AQ478" s="246"/>
      <c r="AR478" s="246"/>
      <c r="AS478" s="246"/>
      <c r="AT478" s="246"/>
      <c r="AU478" s="246"/>
      <c r="AV478" s="246"/>
      <c r="AW478" s="246"/>
      <c r="AX478" s="246"/>
      <c r="AY478" s="246"/>
      <c r="AZ478" s="246"/>
      <c r="BA478" s="246"/>
      <c r="BB478" s="246"/>
      <c r="BC478" s="246"/>
      <c r="BD478" s="246"/>
      <c r="BE478" s="246"/>
      <c r="BF478" s="246"/>
      <c r="BG478" s="246"/>
      <c r="BH478" s="246"/>
      <c r="BI478" s="246"/>
      <c r="BJ478" s="246"/>
    </row>
    <row r="479" spans="1:62" ht="18" hidden="1">
      <c r="A479" t="str">
        <f t="shared" si="89"/>
        <v>[...]</v>
      </c>
      <c r="B479" s="7"/>
      <c r="C479" s="246"/>
      <c r="D479" s="246"/>
      <c r="E479" s="246"/>
      <c r="F479" s="246"/>
      <c r="G479" s="246"/>
      <c r="H479" s="246"/>
      <c r="I479" s="246"/>
      <c r="J479" s="246"/>
      <c r="K479" s="246"/>
      <c r="L479" s="246"/>
      <c r="M479" s="246"/>
      <c r="N479" s="246"/>
      <c r="O479" s="246"/>
      <c r="P479" s="246"/>
      <c r="Q479" s="246"/>
      <c r="R479" s="246"/>
      <c r="S479" s="246"/>
      <c r="T479" s="246"/>
      <c r="U479" s="246"/>
      <c r="V479" s="102" t="s">
        <v>19</v>
      </c>
      <c r="W479" s="279"/>
      <c r="X479" s="279"/>
      <c r="Y479" s="279"/>
      <c r="Z479" s="282">
        <f>IFERROR(SUMIF($C:$C,$V479,F:F),0)</f>
        <v>0</v>
      </c>
      <c r="AA479" s="279"/>
      <c r="AB479" s="279"/>
      <c r="AC479" s="282"/>
      <c r="AD479" s="288"/>
      <c r="AE479" s="287"/>
      <c r="AF479" s="280">
        <f>+SUMIF($C:$C,$V479,L:L)</f>
        <v>0</v>
      </c>
      <c r="AG479" s="281"/>
      <c r="AH479" s="282">
        <f t="shared" si="118"/>
        <v>0</v>
      </c>
      <c r="AI479" s="283">
        <f t="shared" si="123"/>
        <v>0</v>
      </c>
      <c r="AJ479" s="288"/>
      <c r="AK479" s="279"/>
      <c r="AL479" s="280">
        <f t="shared" si="122"/>
        <v>0</v>
      </c>
      <c r="AM479" s="348"/>
      <c r="AN479" s="282">
        <f t="shared" si="119"/>
        <v>0</v>
      </c>
      <c r="AO479" s="289">
        <f t="shared" si="117"/>
        <v>0</v>
      </c>
      <c r="AP479" s="246"/>
      <c r="AQ479" s="246"/>
      <c r="AR479" s="246"/>
      <c r="AS479" s="246"/>
      <c r="AT479" s="246"/>
      <c r="AU479" s="246"/>
      <c r="AV479" s="246"/>
      <c r="AW479" s="246"/>
      <c r="AX479" s="246"/>
      <c r="AY479" s="246"/>
      <c r="AZ479" s="246"/>
      <c r="BA479" s="246"/>
      <c r="BB479" s="246"/>
      <c r="BC479" s="246"/>
      <c r="BD479" s="246"/>
      <c r="BE479" s="246"/>
      <c r="BF479" s="246"/>
      <c r="BG479" s="246"/>
      <c r="BH479" s="246"/>
      <c r="BI479" s="246"/>
      <c r="BJ479" s="246"/>
    </row>
    <row r="480" spans="1:62" ht="18">
      <c r="A480" t="str">
        <f t="shared" si="89"/>
        <v>Frais administration</v>
      </c>
      <c r="B480" s="7"/>
      <c r="C480" s="246"/>
      <c r="D480" s="246"/>
      <c r="E480" s="246"/>
      <c r="F480" s="246"/>
      <c r="G480" s="246"/>
      <c r="H480" s="246"/>
      <c r="I480" s="246"/>
      <c r="J480" s="246"/>
      <c r="K480" s="246"/>
      <c r="L480" s="246"/>
      <c r="M480" s="246"/>
      <c r="N480" s="246"/>
      <c r="O480" s="246"/>
      <c r="P480" s="246"/>
      <c r="Q480" s="246"/>
      <c r="R480" s="246"/>
      <c r="S480" s="246"/>
      <c r="T480" s="246"/>
      <c r="U480" s="246"/>
      <c r="V480" s="103" t="s">
        <v>67</v>
      </c>
      <c r="W480" s="279"/>
      <c r="X480" s="279"/>
      <c r="Y480" s="279"/>
      <c r="Z480" s="280">
        <f>+SUMIF($C:$C,$V480,F:F)</f>
        <v>25430.3</v>
      </c>
      <c r="AA480" s="332"/>
      <c r="AB480" s="333"/>
      <c r="AC480" s="280"/>
      <c r="AD480" s="345"/>
      <c r="AE480" s="333"/>
      <c r="AF480" s="280">
        <f>+SUMIF($C:$C,$V480,L:L)</f>
        <v>24990</v>
      </c>
      <c r="AG480" s="346"/>
      <c r="AH480" s="282">
        <f t="shared" si="118"/>
        <v>-440.29999999999927</v>
      </c>
      <c r="AI480" s="306">
        <f t="shared" si="123"/>
        <v>-1.7313991576977043E-2</v>
      </c>
      <c r="AJ480" s="345"/>
      <c r="AK480" s="332"/>
      <c r="AL480" s="347">
        <v>19040</v>
      </c>
      <c r="AM480" s="348"/>
      <c r="AN480" s="282">
        <f t="shared" si="119"/>
        <v>5950</v>
      </c>
      <c r="AO480" s="289">
        <f t="shared" si="117"/>
        <v>0.3125</v>
      </c>
      <c r="AP480" s="246"/>
      <c r="AQ480" s="246">
        <v>24990</v>
      </c>
      <c r="AR480" s="246"/>
      <c r="AS480" s="246"/>
      <c r="AT480" s="246"/>
      <c r="AU480" s="246"/>
      <c r="AV480" s="246"/>
      <c r="AW480" s="246"/>
      <c r="AX480" s="246"/>
      <c r="AY480" s="246"/>
      <c r="AZ480" s="246"/>
      <c r="BA480" s="246"/>
      <c r="BB480" s="246"/>
      <c r="BC480" s="246"/>
      <c r="BD480" s="246"/>
      <c r="BE480" s="246"/>
      <c r="BF480" s="246"/>
      <c r="BG480" s="246"/>
      <c r="BH480" s="246"/>
      <c r="BI480" s="246"/>
      <c r="BJ480" s="246"/>
    </row>
    <row r="481" spans="1:62" ht="18">
      <c r="A481" t="str">
        <f t="shared" si="89"/>
        <v>TOTAL AUTRES REVENUS</v>
      </c>
      <c r="B481" s="7"/>
      <c r="C481" s="246"/>
      <c r="D481" s="246"/>
      <c r="E481" s="246"/>
      <c r="F481" s="246"/>
      <c r="G481" s="246"/>
      <c r="H481" s="246"/>
      <c r="I481" s="246"/>
      <c r="J481" s="246"/>
      <c r="K481" s="246"/>
      <c r="L481" s="246"/>
      <c r="M481" s="246"/>
      <c r="N481" s="246"/>
      <c r="O481" s="246"/>
      <c r="P481" s="246"/>
      <c r="Q481" s="246"/>
      <c r="R481" s="246"/>
      <c r="S481" s="246"/>
      <c r="T481" s="246"/>
      <c r="U481" s="246"/>
      <c r="V481" s="296" t="s">
        <v>178</v>
      </c>
      <c r="W481" s="297"/>
      <c r="X481" s="298">
        <f>Z481/+Z407</f>
        <v>0.29937347797928637</v>
      </c>
      <c r="Y481" s="330"/>
      <c r="Z481" s="299">
        <f>SUM(Z469:Z480)</f>
        <v>138521.06402533938</v>
      </c>
      <c r="AA481" s="298"/>
      <c r="AB481" s="330"/>
      <c r="AC481" s="299"/>
      <c r="AD481" s="298">
        <f>AF481/+AF407</f>
        <v>0.40408664929720306</v>
      </c>
      <c r="AE481" s="330"/>
      <c r="AF481" s="299">
        <f>SUM(AF469:AF480)</f>
        <v>161344.97</v>
      </c>
      <c r="AG481" s="308"/>
      <c r="AH481" s="302">
        <f t="shared" si="118"/>
        <v>22823.905974660622</v>
      </c>
      <c r="AI481" s="298">
        <f>AH481/Z481</f>
        <v>0.16476848582743697</v>
      </c>
      <c r="AJ481" s="349"/>
      <c r="AK481" s="350"/>
      <c r="AL481" s="299">
        <f>SUM(AL469:AL480)</f>
        <v>193338.62000000002</v>
      </c>
      <c r="AM481" s="351"/>
      <c r="AN481" s="302">
        <f t="shared" si="119"/>
        <v>-31993.650000000023</v>
      </c>
      <c r="AO481" s="331">
        <f t="shared" si="117"/>
        <v>-0.16547987153316818</v>
      </c>
      <c r="AP481" s="246"/>
      <c r="AQ481" s="246" t="s">
        <v>221</v>
      </c>
      <c r="AR481" s="246">
        <v>138000</v>
      </c>
      <c r="AS481" s="310">
        <f>AF481-AR481</f>
        <v>23344.97</v>
      </c>
      <c r="AT481" s="246"/>
      <c r="AU481" s="246"/>
      <c r="AV481" s="246"/>
      <c r="AW481" s="246"/>
      <c r="AX481" s="246"/>
      <c r="AY481" s="246"/>
      <c r="AZ481" s="246"/>
      <c r="BA481" s="246"/>
      <c r="BB481" s="246"/>
      <c r="BC481" s="246"/>
      <c r="BD481" s="246"/>
      <c r="BE481" s="246"/>
      <c r="BF481" s="246"/>
      <c r="BG481" s="246"/>
      <c r="BH481" s="246"/>
      <c r="BI481" s="246"/>
      <c r="BJ481" s="246"/>
    </row>
    <row r="482" spans="1:62" ht="18.75" thickBot="1">
      <c r="A482" t="str">
        <f t="shared" si="89"/>
        <v/>
      </c>
      <c r="B482" s="7"/>
      <c r="C482" s="246"/>
      <c r="D482" s="246"/>
      <c r="E482" s="246"/>
      <c r="F482" s="246"/>
      <c r="G482" s="246"/>
      <c r="H482" s="246"/>
      <c r="I482" s="246"/>
      <c r="J482" s="246"/>
      <c r="K482" s="246"/>
      <c r="L482" s="246"/>
      <c r="M482" s="246"/>
      <c r="N482" s="246"/>
      <c r="O482" s="246"/>
      <c r="P482" s="246"/>
      <c r="Q482" s="246"/>
      <c r="R482" s="246"/>
      <c r="S482" s="246"/>
      <c r="T482" s="246"/>
      <c r="U482" s="246"/>
      <c r="V482" s="352"/>
      <c r="W482" s="353"/>
      <c r="X482" s="353"/>
      <c r="Y482" s="354"/>
      <c r="Z482" s="355"/>
      <c r="AA482" s="353"/>
      <c r="AB482" s="356"/>
      <c r="AC482" s="355"/>
      <c r="AD482" s="353"/>
      <c r="AE482" s="356"/>
      <c r="AF482" s="357"/>
      <c r="AG482" s="358"/>
      <c r="AH482" s="359"/>
      <c r="AI482" s="360"/>
      <c r="AJ482" s="361"/>
      <c r="AK482" s="362"/>
      <c r="AL482" s="357"/>
      <c r="AM482" s="363"/>
      <c r="AN482" s="359">
        <f t="shared" si="119"/>
        <v>0</v>
      </c>
      <c r="AO482" s="364">
        <f t="shared" si="117"/>
        <v>0</v>
      </c>
      <c r="AP482" s="246"/>
      <c r="AQ482" s="246"/>
      <c r="AR482" s="246"/>
      <c r="AS482" s="246"/>
      <c r="AT482" s="246"/>
      <c r="AU482" s="246"/>
      <c r="AV482" s="246"/>
      <c r="AW482" s="246"/>
      <c r="AX482" s="246"/>
      <c r="AY482" s="246"/>
      <c r="AZ482" s="246"/>
      <c r="BA482" s="246"/>
      <c r="BB482" s="246"/>
      <c r="BC482" s="246"/>
      <c r="BD482" s="246"/>
      <c r="BE482" s="246"/>
      <c r="BF482" s="246"/>
      <c r="BG482" s="246"/>
      <c r="BH482" s="246"/>
      <c r="BI482" s="246"/>
      <c r="BJ482" s="246"/>
    </row>
    <row r="483" spans="1:62" ht="19.5" thickTop="1" thickBot="1">
      <c r="A483" t="str">
        <f t="shared" si="89"/>
        <v>BAIIA OPÉRATIONNEL</v>
      </c>
      <c r="B483" s="7"/>
      <c r="C483" s="246"/>
      <c r="D483" s="246"/>
      <c r="E483" s="246"/>
      <c r="F483" s="246"/>
      <c r="G483" s="246"/>
      <c r="H483" s="246"/>
      <c r="I483" s="246"/>
      <c r="J483" s="246"/>
      <c r="K483" s="246"/>
      <c r="L483" s="246"/>
      <c r="M483" s="246"/>
      <c r="N483" s="246"/>
      <c r="O483" s="246"/>
      <c r="P483" s="246"/>
      <c r="Q483" s="246"/>
      <c r="R483" s="246"/>
      <c r="S483" s="246"/>
      <c r="T483" s="246"/>
      <c r="U483" s="246"/>
      <c r="V483" s="365" t="s">
        <v>179</v>
      </c>
      <c r="W483" s="366"/>
      <c r="X483" s="367" t="s">
        <v>180</v>
      </c>
      <c r="Y483" s="368">
        <f>Z483/Z406</f>
        <v>3.4712382838658802E-2</v>
      </c>
      <c r="Z483" s="369">
        <f>Z407-Z468+Z481</f>
        <v>154021.0113875253</v>
      </c>
      <c r="AA483" s="367"/>
      <c r="AB483" s="368"/>
      <c r="AC483" s="369"/>
      <c r="AD483" s="367" t="s">
        <v>180</v>
      </c>
      <c r="AE483" s="368">
        <f>AF483/AF406</f>
        <v>2.4044910850971508E-2</v>
      </c>
      <c r="AF483" s="370">
        <f>AF407-AF468+AF481</f>
        <v>128942.56999999998</v>
      </c>
      <c r="AG483" s="371"/>
      <c r="AH483" s="370">
        <f>AF483-Z483</f>
        <v>-25078.441387525323</v>
      </c>
      <c r="AI483" s="487">
        <f>AH483/Z483</f>
        <v>-0.16282480657412768</v>
      </c>
      <c r="AJ483" s="373" t="s">
        <v>180</v>
      </c>
      <c r="AK483" s="368">
        <f>IF($AL$406=0,0,AL483/$AL$406)</f>
        <v>5.0578687607310671E-2</v>
      </c>
      <c r="AL483" s="370">
        <f>AL407-AL468+AL481</f>
        <v>200030.31999999975</v>
      </c>
      <c r="AM483" s="374"/>
      <c r="AN483" s="370">
        <f t="shared" si="119"/>
        <v>-71087.749999999767</v>
      </c>
      <c r="AO483" s="375">
        <f t="shared" si="117"/>
        <v>-0.35538487365315347</v>
      </c>
      <c r="AP483" s="246"/>
      <c r="AQ483" s="246"/>
      <c r="AR483" s="310">
        <f>AR407-AR468+AR481</f>
        <v>98348</v>
      </c>
      <c r="AS483" s="246"/>
      <c r="AT483" s="246"/>
      <c r="AU483" s="246"/>
      <c r="AV483" s="246"/>
      <c r="AW483" s="246"/>
      <c r="AX483" s="246"/>
      <c r="AY483" s="246"/>
      <c r="AZ483" s="246"/>
      <c r="BA483" s="246"/>
      <c r="BB483" s="246"/>
      <c r="BC483" s="246"/>
      <c r="BD483" s="246"/>
      <c r="BE483" s="246"/>
      <c r="BF483" s="246"/>
      <c r="BG483" s="246"/>
      <c r="BH483" s="246"/>
      <c r="BI483" s="246"/>
      <c r="BJ483" s="246"/>
    </row>
    <row r="484" spans="1:62" ht="36" thickTop="1">
      <c r="A484" t="str">
        <f t="shared" si="89"/>
        <v/>
      </c>
      <c r="B484" s="7"/>
      <c r="C484" s="246"/>
      <c r="D484" s="246"/>
      <c r="E484" s="246"/>
      <c r="F484" s="246"/>
      <c r="G484" s="246"/>
      <c r="H484" s="246"/>
      <c r="I484" s="246"/>
      <c r="J484" s="246"/>
      <c r="K484" s="246"/>
      <c r="L484" s="246"/>
      <c r="M484" s="246"/>
      <c r="N484" s="246"/>
      <c r="O484" s="246"/>
      <c r="P484" s="246"/>
      <c r="Q484" s="246"/>
      <c r="R484" s="246"/>
      <c r="S484" s="246"/>
      <c r="T484" s="246"/>
      <c r="U484" s="246"/>
      <c r="V484" s="6"/>
      <c r="W484" s="6"/>
      <c r="X484" s="6"/>
      <c r="Y484" s="6"/>
      <c r="Z484" s="82"/>
      <c r="AA484" s="13"/>
      <c r="AB484" s="13"/>
      <c r="AC484" s="82"/>
      <c r="AD484" s="13"/>
      <c r="AE484" s="13"/>
      <c r="AF484" s="376"/>
      <c r="AG484" s="13"/>
      <c r="AH484" s="13"/>
      <c r="AI484" s="13"/>
      <c r="AJ484" s="13"/>
      <c r="AK484" s="13"/>
      <c r="AL484" s="82"/>
      <c r="AM484" s="13"/>
      <c r="AN484" s="13"/>
      <c r="AO484" s="13"/>
      <c r="AP484" s="246"/>
      <c r="AQ484" s="246"/>
      <c r="AR484" s="246"/>
      <c r="AS484" s="246"/>
      <c r="AT484" s="246"/>
      <c r="AU484" s="246"/>
      <c r="AV484" s="246"/>
      <c r="AW484" s="246"/>
      <c r="AX484" s="246"/>
      <c r="AY484" s="246"/>
      <c r="AZ484" s="246"/>
      <c r="BA484" s="246"/>
      <c r="BB484" s="246"/>
      <c r="BC484" s="246"/>
      <c r="BD484" s="246"/>
      <c r="BE484" s="246"/>
      <c r="BF484" s="246"/>
      <c r="BG484" s="246"/>
      <c r="BH484" s="246"/>
      <c r="BI484" s="246"/>
      <c r="BJ484" s="246"/>
    </row>
    <row r="485" spans="1:62" ht="35.25">
      <c r="A485" t="str">
        <f t="shared" ref="A485:A498" si="124">+U485&amp;V485</f>
        <v>BMW Sherbrooke</v>
      </c>
      <c r="B485" s="7"/>
      <c r="C485" s="246"/>
      <c r="D485" s="246"/>
      <c r="E485" s="246"/>
      <c r="F485" s="246"/>
      <c r="G485" s="246"/>
      <c r="H485" s="246"/>
      <c r="I485" s="246"/>
      <c r="J485" s="246"/>
      <c r="K485" s="246"/>
      <c r="L485" s="246"/>
      <c r="M485" s="246"/>
      <c r="N485" s="246"/>
      <c r="O485" s="246"/>
      <c r="P485" s="246"/>
      <c r="Q485" s="246"/>
      <c r="R485" s="246"/>
      <c r="S485" s="246"/>
      <c r="T485" s="246"/>
      <c r="U485" s="246"/>
      <c r="V485" s="6" t="str">
        <f>C1</f>
        <v>BMW Sherbrooke</v>
      </c>
      <c r="W485" s="6"/>
      <c r="X485" s="6"/>
      <c r="Y485" s="6"/>
      <c r="Z485" s="1"/>
      <c r="AA485" s="1"/>
      <c r="AB485" s="6"/>
      <c r="AC485" s="6"/>
      <c r="AD485" s="1"/>
      <c r="AE485" s="3" t="s">
        <v>181</v>
      </c>
      <c r="AF485" s="6"/>
      <c r="AG485" s="6"/>
      <c r="AH485" s="1"/>
      <c r="AI485" s="1"/>
      <c r="AJ485" s="255"/>
      <c r="AK485" s="2"/>
      <c r="AL485" s="1"/>
      <c r="AM485" s="6"/>
      <c r="AN485" s="6"/>
      <c r="AO485" s="5" t="str">
        <f>$S$1</f>
        <v>Réalisé, Septembre 2024</v>
      </c>
      <c r="AP485" s="246"/>
      <c r="AQ485" s="246"/>
      <c r="AR485" s="246"/>
      <c r="AS485" s="246"/>
      <c r="AT485" s="246"/>
      <c r="AU485" s="246"/>
      <c r="AV485" s="246"/>
      <c r="AW485" s="246"/>
      <c r="AX485" s="246"/>
      <c r="AY485" s="246"/>
      <c r="AZ485" s="246"/>
      <c r="BA485" s="246"/>
      <c r="BB485" s="246"/>
      <c r="BC485" s="246"/>
      <c r="BD485" s="246"/>
      <c r="BE485" s="246"/>
      <c r="BF485" s="246"/>
      <c r="BG485" s="246"/>
      <c r="BH485" s="246"/>
      <c r="BI485" s="246"/>
      <c r="BJ485" s="246"/>
    </row>
    <row r="486" spans="1:62" ht="35.25">
      <c r="A486" t="str">
        <f t="shared" si="124"/>
        <v/>
      </c>
      <c r="B486" s="7"/>
      <c r="C486" s="246"/>
      <c r="D486" s="246"/>
      <c r="E486" s="246"/>
      <c r="F486" s="246"/>
      <c r="G486" s="246"/>
      <c r="H486" s="246"/>
      <c r="I486" s="246"/>
      <c r="J486" s="246"/>
      <c r="K486" s="246"/>
      <c r="L486" s="246"/>
      <c r="M486" s="246"/>
      <c r="N486" s="246"/>
      <c r="O486" s="246"/>
      <c r="P486" s="246"/>
      <c r="Q486" s="246"/>
      <c r="R486" s="246"/>
      <c r="S486" s="246"/>
      <c r="T486" s="246"/>
      <c r="U486" s="246"/>
      <c r="V486" s="6"/>
      <c r="W486" s="6"/>
      <c r="X486" s="6"/>
      <c r="Y486" s="6"/>
      <c r="Z486" s="82"/>
      <c r="AA486" s="13"/>
      <c r="AB486" s="13"/>
      <c r="AC486" s="82"/>
      <c r="AD486" s="13"/>
      <c r="AE486" s="13"/>
      <c r="AF486" s="376"/>
      <c r="AG486" s="13"/>
      <c r="AH486" s="13"/>
      <c r="AI486" s="13"/>
      <c r="AJ486" s="13"/>
      <c r="AK486" s="13"/>
      <c r="AL486" s="82"/>
      <c r="AM486" s="13"/>
      <c r="AN486" s="13"/>
      <c r="AO486" s="13"/>
      <c r="AP486" s="246"/>
      <c r="AQ486" s="246"/>
      <c r="AR486" s="246"/>
      <c r="AS486" s="246"/>
      <c r="AT486" s="246"/>
      <c r="AU486" s="246"/>
      <c r="AV486" s="246"/>
      <c r="AW486" s="246"/>
      <c r="AX486" s="246"/>
      <c r="AY486" s="246"/>
      <c r="AZ486" s="246"/>
      <c r="BA486" s="246"/>
      <c r="BB486" s="246"/>
      <c r="BC486" s="246"/>
      <c r="BD486" s="246"/>
      <c r="BE486" s="246"/>
      <c r="BF486" s="246"/>
      <c r="BG486" s="246"/>
      <c r="BH486" s="246"/>
      <c r="BI486" s="246"/>
      <c r="BJ486" s="246"/>
    </row>
    <row r="487" spans="1:62" ht="36" thickBot="1">
      <c r="A487" t="str">
        <f t="shared" si="124"/>
        <v/>
      </c>
      <c r="B487" s="7"/>
      <c r="C487" s="246"/>
      <c r="D487" s="246"/>
      <c r="E487" s="246"/>
      <c r="F487" s="246"/>
      <c r="G487" s="246"/>
      <c r="H487" s="246"/>
      <c r="I487" s="246"/>
      <c r="J487" s="246"/>
      <c r="K487" s="246"/>
      <c r="L487" s="246"/>
      <c r="M487" s="246"/>
      <c r="N487" s="246"/>
      <c r="O487" s="246"/>
      <c r="P487" s="246"/>
      <c r="Q487" s="246"/>
      <c r="R487" s="246"/>
      <c r="S487" s="246"/>
      <c r="T487" s="246"/>
      <c r="U487" s="246"/>
      <c r="V487" s="6"/>
      <c r="W487" s="6"/>
      <c r="X487" s="6"/>
      <c r="Y487" s="6"/>
      <c r="Z487" s="82"/>
      <c r="AA487" s="13"/>
      <c r="AB487" s="13"/>
      <c r="AC487" s="82"/>
      <c r="AD487" s="13"/>
      <c r="AE487" s="13"/>
      <c r="AF487" s="376"/>
      <c r="AG487" s="13"/>
      <c r="AH487" s="13"/>
      <c r="AI487" s="13"/>
      <c r="AJ487" s="13"/>
      <c r="AK487" s="13"/>
      <c r="AL487" s="82"/>
      <c r="AM487" s="13"/>
      <c r="AN487" s="13"/>
      <c r="AO487" s="13"/>
      <c r="AP487" s="246"/>
      <c r="AQ487" s="246"/>
      <c r="AR487" s="246"/>
      <c r="AS487" s="246"/>
      <c r="AT487" s="246"/>
      <c r="AU487" s="246"/>
      <c r="AV487" s="246"/>
      <c r="AW487" s="246"/>
      <c r="AX487" s="246"/>
      <c r="AY487" s="246"/>
      <c r="AZ487" s="246"/>
      <c r="BA487" s="246"/>
      <c r="BB487" s="246"/>
      <c r="BC487" s="246"/>
      <c r="BD487" s="246"/>
      <c r="BE487" s="246"/>
      <c r="BF487" s="246"/>
      <c r="BG487" s="246"/>
      <c r="BH487" s="246"/>
      <c r="BI487" s="246"/>
      <c r="BJ487" s="246"/>
    </row>
    <row r="488" spans="1:62" ht="19.5" thickTop="1" thickBot="1">
      <c r="A488" t="e">
        <f>+U488&amp;#REF!</f>
        <v>#REF!</v>
      </c>
      <c r="B488" s="7"/>
      <c r="C488" s="246"/>
      <c r="D488" s="246"/>
      <c r="E488" s="246"/>
      <c r="F488" s="246"/>
      <c r="G488" s="246"/>
      <c r="H488" s="246"/>
      <c r="I488" s="246"/>
      <c r="J488" s="246"/>
      <c r="K488" s="246"/>
      <c r="L488" s="246"/>
      <c r="M488" s="246"/>
      <c r="N488" s="246"/>
      <c r="O488" s="246"/>
      <c r="P488" s="246"/>
      <c r="Q488" s="246"/>
      <c r="R488" s="246"/>
      <c r="S488" s="246"/>
      <c r="T488" s="246"/>
      <c r="U488" s="246"/>
      <c r="V488" s="444" t="s">
        <v>209</v>
      </c>
      <c r="W488" s="445"/>
      <c r="X488" s="446" t="s">
        <v>180</v>
      </c>
      <c r="Y488" s="447">
        <f>Z488/Z406</f>
        <v>4.2585410575833683E-2</v>
      </c>
      <c r="Z488" s="449">
        <f>Z489+Z415</f>
        <v>188954.12734207863</v>
      </c>
      <c r="AA488" s="446"/>
      <c r="AB488" s="447"/>
      <c r="AC488" s="448"/>
      <c r="AD488" s="446" t="s">
        <v>180</v>
      </c>
      <c r="AE488" s="447">
        <f>AF488/AF406</f>
        <v>2.8828212434429165E-2</v>
      </c>
      <c r="AF488" s="449">
        <f>AF489+AF415</f>
        <v>154593.36999999997</v>
      </c>
      <c r="AG488" s="450"/>
      <c r="AH488" s="450">
        <f t="shared" ref="AH488" si="125">AF488-Z488</f>
        <v>-34360.757342078665</v>
      </c>
      <c r="AI488" s="451">
        <f>AH488/Z488</f>
        <v>-0.18184708545621056</v>
      </c>
      <c r="AJ488" s="446" t="s">
        <v>180</v>
      </c>
      <c r="AK488" s="447">
        <f>IF($AL$406=0,0,AL488/$AL$406)</f>
        <v>5.6217369096084019E-2</v>
      </c>
      <c r="AL488" s="449">
        <f>AL489+AL415</f>
        <v>222330.36999999973</v>
      </c>
      <c r="AM488" s="452"/>
      <c r="AN488" s="449">
        <f t="shared" ref="AN488" si="126">AF488-AL488</f>
        <v>-67736.999999999767</v>
      </c>
      <c r="AO488" s="453">
        <f t="shared" ref="AO488" si="127">IF(AL488=0,0,AN488/AL488)</f>
        <v>-0.30466822863650994</v>
      </c>
      <c r="AP488" s="246"/>
      <c r="AQ488" s="246"/>
      <c r="AR488" s="246"/>
      <c r="AS488" s="246"/>
      <c r="AT488" s="246"/>
      <c r="AU488" s="246"/>
      <c r="AV488" s="246"/>
      <c r="AW488" s="246"/>
      <c r="AX488" s="246"/>
      <c r="AY488" s="246"/>
      <c r="AZ488" s="246"/>
      <c r="BA488" s="246"/>
      <c r="BB488" s="246"/>
      <c r="BC488" s="246"/>
      <c r="BD488" s="246"/>
      <c r="BE488" s="246"/>
      <c r="BF488" s="246"/>
      <c r="BG488" s="246"/>
      <c r="BH488" s="246"/>
      <c r="BI488" s="246"/>
      <c r="BJ488" s="246"/>
    </row>
    <row r="489" spans="1:62" ht="19.5" hidden="1" thickTop="1" thickBot="1">
      <c r="A489" t="str">
        <f t="shared" si="124"/>
        <v>BAIIA OPÉRATIONNEL</v>
      </c>
      <c r="B489" s="7"/>
      <c r="C489" s="246"/>
      <c r="D489" s="246"/>
      <c r="E489" s="246"/>
      <c r="F489" s="246"/>
      <c r="G489" s="246"/>
      <c r="H489" s="246"/>
      <c r="I489" s="246"/>
      <c r="J489" s="246"/>
      <c r="K489" s="246"/>
      <c r="L489" s="246"/>
      <c r="M489" s="246"/>
      <c r="N489" s="246"/>
      <c r="O489" s="246"/>
      <c r="P489" s="246"/>
      <c r="Q489" s="246"/>
      <c r="R489" s="246"/>
      <c r="S489" s="246"/>
      <c r="T489" s="246"/>
      <c r="U489" s="246"/>
      <c r="V489" s="377" t="s">
        <v>179</v>
      </c>
      <c r="W489" s="378"/>
      <c r="X489" s="379" t="s">
        <v>180</v>
      </c>
      <c r="Y489" s="380">
        <f>Z489/Z406</f>
        <v>3.4712382838658802E-2</v>
      </c>
      <c r="Z489" s="381">
        <f>Z483</f>
        <v>154021.0113875253</v>
      </c>
      <c r="AA489" s="379"/>
      <c r="AB489" s="380"/>
      <c r="AC489" s="381"/>
      <c r="AD489" s="379" t="s">
        <v>180</v>
      </c>
      <c r="AE489" s="380">
        <f>AF489/AF406</f>
        <v>2.4044910850971508E-2</v>
      </c>
      <c r="AF489" s="381">
        <f>AF483</f>
        <v>128942.56999999998</v>
      </c>
      <c r="AG489" s="382"/>
      <c r="AH489" s="370">
        <f>AF489-Z489</f>
        <v>-25078.441387525323</v>
      </c>
      <c r="AI489" s="487">
        <f>AH489/Z489</f>
        <v>-0.16282480657412768</v>
      </c>
      <c r="AJ489" s="379" t="s">
        <v>180</v>
      </c>
      <c r="AK489" s="380">
        <f>IF($AL$406=0,0,AL489/$AL$406)</f>
        <v>5.0578687607310671E-2</v>
      </c>
      <c r="AL489" s="383">
        <f>AL483</f>
        <v>200030.31999999975</v>
      </c>
      <c r="AM489" s="384"/>
      <c r="AN489" s="385">
        <f>AF489-AL489</f>
        <v>-71087.749999999767</v>
      </c>
      <c r="AO489" s="386">
        <f>IF(AL489=0,0,AN489/AL489)</f>
        <v>-0.35538487365315347</v>
      </c>
      <c r="AP489" s="246"/>
      <c r="AQ489" s="246"/>
      <c r="AR489" s="246"/>
      <c r="AS489" s="246"/>
      <c r="AT489" s="246"/>
      <c r="AU489" s="246"/>
      <c r="AV489" s="246"/>
      <c r="AW489" s="246"/>
      <c r="AX489" s="246"/>
      <c r="AY489" s="246"/>
      <c r="AZ489" s="246"/>
      <c r="BA489" s="246"/>
      <c r="BB489" s="246"/>
      <c r="BC489" s="246"/>
      <c r="BD489" s="246"/>
      <c r="BE489" s="246"/>
      <c r="BF489" s="246"/>
      <c r="BG489" s="246"/>
      <c r="BH489" s="246"/>
      <c r="BI489" s="246"/>
      <c r="BJ489" s="246"/>
    </row>
    <row r="490" spans="1:62" ht="16.5" thickTop="1">
      <c r="A490" t="str">
        <f t="shared" si="124"/>
        <v/>
      </c>
      <c r="B490" s="7"/>
      <c r="C490" s="246"/>
      <c r="D490" s="246"/>
      <c r="E490" s="246"/>
      <c r="F490" s="310"/>
      <c r="G490" s="246"/>
      <c r="H490" s="246"/>
      <c r="I490" s="310"/>
      <c r="J490" s="246"/>
      <c r="K490" s="246"/>
      <c r="L490" s="246"/>
      <c r="M490" s="310"/>
      <c r="N490" s="246"/>
      <c r="O490" s="246"/>
      <c r="P490" s="246"/>
      <c r="Q490" s="310"/>
      <c r="R490" s="310"/>
      <c r="S490" s="310"/>
      <c r="T490" s="334"/>
      <c r="U490" s="334"/>
      <c r="V490" s="387"/>
      <c r="W490" s="246"/>
      <c r="X490" s="246"/>
      <c r="Y490" s="246"/>
      <c r="Z490" s="388"/>
      <c r="AA490" s="246"/>
      <c r="AB490" s="246"/>
      <c r="AC490" s="389"/>
      <c r="AD490" s="246"/>
      <c r="AE490" s="246"/>
      <c r="AF490" s="389"/>
      <c r="AG490" s="246"/>
      <c r="AH490" s="246"/>
      <c r="AI490" s="389"/>
      <c r="AJ490" s="246"/>
      <c r="AK490" s="246"/>
      <c r="AL490" s="390"/>
      <c r="AM490" s="391"/>
      <c r="AN490" s="246"/>
      <c r="AO490" s="392"/>
      <c r="AP490" s="246"/>
      <c r="AQ490" s="246"/>
      <c r="AR490" s="246"/>
      <c r="AS490" s="246"/>
      <c r="AT490" s="246"/>
      <c r="AU490" s="246"/>
      <c r="AV490" s="246"/>
      <c r="AW490" s="246"/>
      <c r="AX490" s="246"/>
      <c r="AY490" s="246"/>
      <c r="AZ490" s="246"/>
      <c r="BA490" s="246"/>
      <c r="BB490" s="246"/>
      <c r="BC490" s="246"/>
      <c r="BD490" s="246"/>
      <c r="BE490" s="246"/>
      <c r="BF490" s="246"/>
      <c r="BG490" s="246"/>
      <c r="BH490" s="246"/>
      <c r="BI490" s="246"/>
      <c r="BJ490" s="246"/>
    </row>
    <row r="491" spans="1:62" ht="18">
      <c r="A491" t="str">
        <f t="shared" si="124"/>
        <v>Amortissement</v>
      </c>
      <c r="B491" s="7"/>
      <c r="C491" s="246"/>
      <c r="D491" s="246"/>
      <c r="E491" s="246"/>
      <c r="F491" s="246"/>
      <c r="G491" s="246"/>
      <c r="H491" s="246"/>
      <c r="I491" s="246"/>
      <c r="J491" s="246"/>
      <c r="K491" s="246"/>
      <c r="L491" s="246"/>
      <c r="M491" s="246"/>
      <c r="N491" s="246"/>
      <c r="O491" s="246"/>
      <c r="P491" s="246"/>
      <c r="Q491" s="246"/>
      <c r="R491" s="246"/>
      <c r="S491" s="246"/>
      <c r="T491" s="246"/>
      <c r="U491" s="246"/>
      <c r="V491" s="102" t="s">
        <v>182</v>
      </c>
      <c r="W491" s="286"/>
      <c r="X491" s="279"/>
      <c r="Y491" s="287"/>
      <c r="Z491" s="280">
        <v>20970</v>
      </c>
      <c r="AA491" s="279"/>
      <c r="AB491" s="287"/>
      <c r="AC491" s="280"/>
      <c r="AD491" s="279"/>
      <c r="AE491" s="287"/>
      <c r="AF491" s="280">
        <v>20970</v>
      </c>
      <c r="AG491" s="279"/>
      <c r="AH491" s="282">
        <f t="shared" ref="AH491:AH498" si="128">AF491-Z491</f>
        <v>0</v>
      </c>
      <c r="AI491" s="306">
        <f t="shared" ref="AI491:AI497" si="129">IF(Z491=0,0,AH491/Z491)</f>
        <v>0</v>
      </c>
      <c r="AJ491" s="279"/>
      <c r="AK491" s="279"/>
      <c r="AL491" s="280">
        <v>19520</v>
      </c>
      <c r="AM491" s="284"/>
      <c r="AN491" s="282">
        <f t="shared" ref="AN491:AN498" si="130">AF491-AL491</f>
        <v>1450</v>
      </c>
      <c r="AO491" s="289">
        <f t="shared" ref="AO491:AO498" si="131">IF(AL491=0,0,AN491/AL491)</f>
        <v>7.4282786885245908E-2</v>
      </c>
      <c r="AP491" s="246"/>
      <c r="AQ491" s="486">
        <v>20970</v>
      </c>
      <c r="AR491" s="246"/>
      <c r="AS491" s="246"/>
      <c r="AT491" s="246"/>
      <c r="AU491" s="246"/>
      <c r="AV491" s="246"/>
      <c r="AW491" s="246"/>
      <c r="AX491" s="246"/>
      <c r="AY491" s="246"/>
      <c r="AZ491" s="246"/>
      <c r="BA491" s="246"/>
      <c r="BB491" s="246"/>
      <c r="BC491" s="246"/>
      <c r="BD491" s="246"/>
      <c r="BE491" s="246"/>
      <c r="BF491" s="246"/>
      <c r="BG491" s="246"/>
      <c r="BH491" s="246"/>
      <c r="BI491" s="246"/>
      <c r="BJ491" s="246"/>
    </row>
    <row r="492" spans="1:62" ht="20.25">
      <c r="A492" t="str">
        <f t="shared" si="124"/>
        <v>Intérêts sur marge</v>
      </c>
      <c r="B492" s="7"/>
      <c r="C492" s="246"/>
      <c r="D492" s="246"/>
      <c r="E492" s="246"/>
      <c r="F492" s="310"/>
      <c r="G492" s="246"/>
      <c r="H492" s="246"/>
      <c r="I492" s="310"/>
      <c r="J492" s="246"/>
      <c r="K492" s="246"/>
      <c r="L492" s="246"/>
      <c r="M492" s="310"/>
      <c r="N492" s="246"/>
      <c r="O492" s="246"/>
      <c r="P492" s="246"/>
      <c r="Q492" s="310"/>
      <c r="R492" s="310"/>
      <c r="S492" s="310"/>
      <c r="T492" s="246"/>
      <c r="U492" s="246"/>
      <c r="V492" s="102" t="s">
        <v>183</v>
      </c>
      <c r="W492" s="10"/>
      <c r="X492" s="10"/>
      <c r="Y492" s="10"/>
      <c r="Z492" s="280">
        <v>0</v>
      </c>
      <c r="AA492" s="10"/>
      <c r="AB492" s="10"/>
      <c r="AC492" s="280"/>
      <c r="AD492" s="10"/>
      <c r="AE492" s="13"/>
      <c r="AF492" s="280">
        <v>0</v>
      </c>
      <c r="AG492" s="10"/>
      <c r="AH492" s="282">
        <f t="shared" si="128"/>
        <v>0</v>
      </c>
      <c r="AI492" s="306">
        <f t="shared" si="129"/>
        <v>0</v>
      </c>
      <c r="AJ492" s="10"/>
      <c r="AK492" s="10"/>
      <c r="AL492" s="280">
        <v>0</v>
      </c>
      <c r="AM492" s="393"/>
      <c r="AN492" s="282">
        <f t="shared" si="130"/>
        <v>0</v>
      </c>
      <c r="AO492" s="289">
        <f t="shared" si="131"/>
        <v>0</v>
      </c>
      <c r="AP492" s="246"/>
      <c r="AQ492" s="246"/>
      <c r="AR492" s="246"/>
      <c r="AS492" s="246"/>
      <c r="AT492" s="246"/>
      <c r="AU492" s="246"/>
      <c r="AV492" s="246"/>
      <c r="AW492" s="246"/>
      <c r="AX492" s="246"/>
      <c r="AY492" s="246"/>
      <c r="AZ492" s="246"/>
      <c r="BA492" s="246"/>
      <c r="BB492" s="246"/>
      <c r="BC492" s="246"/>
      <c r="BD492" s="246"/>
      <c r="BE492" s="246"/>
      <c r="BF492" s="246"/>
      <c r="BG492" s="246"/>
      <c r="BH492" s="246"/>
      <c r="BI492" s="246"/>
      <c r="BJ492" s="246"/>
    </row>
    <row r="493" spans="1:62" ht="20.25">
      <c r="A493" t="str">
        <f t="shared" si="124"/>
        <v>Intérêts sur prêt</v>
      </c>
      <c r="B493" s="7"/>
      <c r="C493" s="246"/>
      <c r="D493" s="246"/>
      <c r="E493" s="246"/>
      <c r="F493" s="310"/>
      <c r="G493" s="246"/>
      <c r="H493" s="246"/>
      <c r="I493" s="310"/>
      <c r="J493" s="246"/>
      <c r="K493" s="246"/>
      <c r="L493" s="246"/>
      <c r="M493" s="310"/>
      <c r="N493" s="246"/>
      <c r="O493" s="246"/>
      <c r="P493" s="246"/>
      <c r="Q493" s="310"/>
      <c r="R493" s="310"/>
      <c r="S493" s="310"/>
      <c r="T493" s="246"/>
      <c r="U493" s="246"/>
      <c r="V493" s="102" t="s">
        <v>184</v>
      </c>
      <c r="W493" s="13"/>
      <c r="X493" s="13"/>
      <c r="Y493" s="13"/>
      <c r="Z493" s="280">
        <v>0</v>
      </c>
      <c r="AA493" s="10"/>
      <c r="AB493" s="10"/>
      <c r="AC493" s="280"/>
      <c r="AD493" s="10"/>
      <c r="AE493" s="13"/>
      <c r="AF493" s="280">
        <v>0</v>
      </c>
      <c r="AG493" s="10"/>
      <c r="AH493" s="282">
        <f t="shared" si="128"/>
        <v>0</v>
      </c>
      <c r="AI493" s="306">
        <f t="shared" si="129"/>
        <v>0</v>
      </c>
      <c r="AJ493" s="10"/>
      <c r="AK493" s="10"/>
      <c r="AL493" s="280">
        <v>0</v>
      </c>
      <c r="AM493" s="393"/>
      <c r="AN493" s="282">
        <f t="shared" si="130"/>
        <v>0</v>
      </c>
      <c r="AO493" s="289">
        <f t="shared" si="131"/>
        <v>0</v>
      </c>
      <c r="AP493" s="246"/>
      <c r="AQ493" s="246"/>
      <c r="AR493" s="246"/>
      <c r="AS493" s="246"/>
      <c r="AT493" s="246"/>
      <c r="AU493" s="246"/>
      <c r="AV493" s="246"/>
      <c r="AW493" s="246"/>
      <c r="AX493" s="246"/>
      <c r="AY493" s="246"/>
      <c r="AZ493" s="246"/>
      <c r="BA493" s="246"/>
      <c r="BB493" s="246"/>
      <c r="BC493" s="246"/>
      <c r="BD493" s="246"/>
      <c r="BE493" s="246"/>
      <c r="BF493" s="246"/>
      <c r="BG493" s="246"/>
      <c r="BH493" s="246"/>
      <c r="BI493" s="246"/>
      <c r="BJ493" s="246"/>
    </row>
    <row r="494" spans="1:62" ht="20.25">
      <c r="A494" t="str">
        <f t="shared" si="124"/>
        <v>Intérêts sur avance</v>
      </c>
      <c r="B494" s="7"/>
      <c r="C494" s="246"/>
      <c r="D494" s="246"/>
      <c r="E494" s="246"/>
      <c r="F494" s="310"/>
      <c r="G494" s="246"/>
      <c r="H494" s="246"/>
      <c r="I494" s="310"/>
      <c r="J494" s="246"/>
      <c r="K494" s="246"/>
      <c r="L494" s="246"/>
      <c r="M494" s="310"/>
      <c r="N494" s="246"/>
      <c r="O494" s="246"/>
      <c r="P494" s="246"/>
      <c r="Q494" s="310"/>
      <c r="R494" s="310"/>
      <c r="S494" s="310"/>
      <c r="T494" s="246"/>
      <c r="U494" s="246"/>
      <c r="V494" s="102" t="s">
        <v>185</v>
      </c>
      <c r="W494" s="13"/>
      <c r="X494" s="13"/>
      <c r="Y494" s="13"/>
      <c r="Z494" s="280">
        <v>0</v>
      </c>
      <c r="AA494" s="10"/>
      <c r="AB494" s="10"/>
      <c r="AC494" s="280"/>
      <c r="AD494" s="10"/>
      <c r="AE494" s="13"/>
      <c r="AF494" s="280">
        <v>0</v>
      </c>
      <c r="AG494" s="10"/>
      <c r="AH494" s="282">
        <f t="shared" si="128"/>
        <v>0</v>
      </c>
      <c r="AI494" s="306">
        <f t="shared" si="129"/>
        <v>0</v>
      </c>
      <c r="AJ494" s="10"/>
      <c r="AK494" s="10"/>
      <c r="AL494" s="280">
        <v>0</v>
      </c>
      <c r="AM494" s="393"/>
      <c r="AN494" s="282">
        <f t="shared" si="130"/>
        <v>0</v>
      </c>
      <c r="AO494" s="289">
        <f t="shared" si="131"/>
        <v>0</v>
      </c>
      <c r="AP494" s="246"/>
      <c r="AQ494" s="246"/>
      <c r="AR494" s="246"/>
      <c r="AS494" s="246"/>
      <c r="AT494" s="246"/>
      <c r="AU494" s="246"/>
      <c r="AV494" s="246"/>
      <c r="AW494" s="246"/>
      <c r="AX494" s="246"/>
      <c r="AY494" s="246"/>
      <c r="AZ494" s="246"/>
      <c r="BA494" s="246"/>
      <c r="BB494" s="246"/>
      <c r="BC494" s="246"/>
      <c r="BD494" s="246"/>
      <c r="BE494" s="246"/>
      <c r="BF494" s="246"/>
      <c r="BG494" s="246"/>
      <c r="BH494" s="246"/>
      <c r="BI494" s="246"/>
      <c r="BJ494" s="246"/>
    </row>
    <row r="495" spans="1:62" ht="20.25" hidden="1">
      <c r="A495" t="str">
        <f t="shared" si="124"/>
        <v>[...]</v>
      </c>
      <c r="B495" s="7"/>
      <c r="C495" s="246"/>
      <c r="D495" s="246"/>
      <c r="E495" s="246"/>
      <c r="F495" s="310"/>
      <c r="G495" s="246"/>
      <c r="H495" s="246"/>
      <c r="I495" s="310"/>
      <c r="J495" s="246"/>
      <c r="K495" s="246"/>
      <c r="L495" s="246"/>
      <c r="M495" s="310"/>
      <c r="N495" s="246"/>
      <c r="O495" s="246"/>
      <c r="P495" s="246"/>
      <c r="Q495" s="310"/>
      <c r="R495" s="310"/>
      <c r="S495" s="310"/>
      <c r="T495" s="246"/>
      <c r="U495" s="246"/>
      <c r="V495" s="102" t="s">
        <v>19</v>
      </c>
      <c r="W495" s="13"/>
      <c r="X495" s="13"/>
      <c r="Y495" s="13"/>
      <c r="Z495" s="282">
        <f>IFERROR(SUMIF($C:$C,$V495,F:F),0)</f>
        <v>0</v>
      </c>
      <c r="AA495" s="279"/>
      <c r="AB495" s="279"/>
      <c r="AC495" s="282"/>
      <c r="AD495" s="288"/>
      <c r="AE495" s="287"/>
      <c r="AF495" s="280">
        <v>0</v>
      </c>
      <c r="AG495" s="281"/>
      <c r="AH495" s="282">
        <f t="shared" si="128"/>
        <v>0</v>
      </c>
      <c r="AI495" s="283">
        <f t="shared" si="129"/>
        <v>0</v>
      </c>
      <c r="AJ495" s="288"/>
      <c r="AK495" s="279"/>
      <c r="AL495" s="280">
        <v>0</v>
      </c>
      <c r="AM495" s="393"/>
      <c r="AN495" s="282">
        <f t="shared" si="130"/>
        <v>0</v>
      </c>
      <c r="AO495" s="289">
        <f t="shared" si="131"/>
        <v>0</v>
      </c>
      <c r="AP495" s="246"/>
      <c r="AQ495" s="246"/>
      <c r="AR495" s="246"/>
      <c r="AS495" s="246"/>
      <c r="AT495" s="246"/>
      <c r="AU495" s="246"/>
      <c r="AV495" s="246"/>
      <c r="AW495" s="246"/>
      <c r="AX495" s="246"/>
      <c r="AY495" s="246"/>
      <c r="AZ495" s="246"/>
      <c r="BA495" s="246"/>
      <c r="BB495" s="246"/>
      <c r="BC495" s="246"/>
      <c r="BD495" s="246"/>
      <c r="BE495" s="246"/>
      <c r="BF495" s="246"/>
      <c r="BG495" s="246"/>
      <c r="BH495" s="246"/>
      <c r="BI495" s="246"/>
      <c r="BJ495" s="246"/>
    </row>
    <row r="496" spans="1:62" ht="21" thickBot="1">
      <c r="A496" t="str">
        <f t="shared" si="124"/>
        <v>Revenus d'intérêts floor plan</v>
      </c>
      <c r="B496" s="7"/>
      <c r="C496" s="246"/>
      <c r="D496" s="246"/>
      <c r="E496" s="246"/>
      <c r="F496" s="310"/>
      <c r="G496" s="246"/>
      <c r="H496" s="246"/>
      <c r="I496" s="310"/>
      <c r="J496" s="246"/>
      <c r="K496" s="246"/>
      <c r="L496" s="246"/>
      <c r="M496" s="310"/>
      <c r="N496" s="246"/>
      <c r="O496" s="246"/>
      <c r="P496" s="246"/>
      <c r="Q496" s="310"/>
      <c r="R496" s="310"/>
      <c r="S496" s="310"/>
      <c r="T496" s="246"/>
      <c r="U496" s="246"/>
      <c r="V496" s="102" t="s">
        <v>239</v>
      </c>
      <c r="W496" s="13"/>
      <c r="X496" s="13"/>
      <c r="Y496" s="13"/>
      <c r="Z496" s="282">
        <v>-8893.4426229508208</v>
      </c>
      <c r="AA496" s="279"/>
      <c r="AB496" s="279"/>
      <c r="AC496" s="282"/>
      <c r="AD496" s="288"/>
      <c r="AE496" s="287"/>
      <c r="AF496" s="280">
        <v>-2916.39</v>
      </c>
      <c r="AG496" s="281"/>
      <c r="AH496" s="282">
        <f t="shared" si="128"/>
        <v>5977.0526229508214</v>
      </c>
      <c r="AI496" s="283">
        <f t="shared" si="129"/>
        <v>-0.67207411981566834</v>
      </c>
      <c r="AJ496" s="288"/>
      <c r="AK496" s="279"/>
      <c r="AL496" s="280">
        <v>0</v>
      </c>
      <c r="AM496" s="393"/>
      <c r="AN496" s="282">
        <f t="shared" si="130"/>
        <v>-2916.39</v>
      </c>
      <c r="AO496" s="289">
        <f t="shared" si="131"/>
        <v>0</v>
      </c>
      <c r="AP496" s="246"/>
      <c r="AQ496" s="246">
        <v>-2916</v>
      </c>
      <c r="AR496" s="246"/>
      <c r="AS496" s="246"/>
      <c r="AT496" s="246"/>
      <c r="AU496" s="246"/>
      <c r="AV496" s="246"/>
      <c r="AW496" s="246"/>
      <c r="AX496" s="246"/>
      <c r="AY496" s="246"/>
      <c r="AZ496" s="246"/>
      <c r="BA496" s="246"/>
      <c r="BB496" s="246"/>
      <c r="BC496" s="246"/>
      <c r="BD496" s="246"/>
      <c r="BE496" s="246"/>
      <c r="BF496" s="246"/>
      <c r="BG496" s="246"/>
      <c r="BH496" s="246"/>
      <c r="BI496" s="246"/>
      <c r="BJ496" s="246"/>
    </row>
    <row r="497" spans="1:62" ht="21" hidden="1" thickBot="1">
      <c r="A497" t="str">
        <f t="shared" si="124"/>
        <v>[...]</v>
      </c>
      <c r="B497" s="7"/>
      <c r="C497" s="246"/>
      <c r="D497" s="246"/>
      <c r="E497" s="246"/>
      <c r="F497" s="310"/>
      <c r="G497" s="246"/>
      <c r="H497" s="246"/>
      <c r="I497" s="310"/>
      <c r="J497" s="246"/>
      <c r="K497" s="246"/>
      <c r="L497" s="246"/>
      <c r="M497" s="310"/>
      <c r="N497" s="246"/>
      <c r="O497" s="246"/>
      <c r="P497" s="246"/>
      <c r="Q497" s="310"/>
      <c r="R497" s="310"/>
      <c r="S497" s="310"/>
      <c r="T497" s="246"/>
      <c r="U497" s="246"/>
      <c r="V497" s="102" t="s">
        <v>19</v>
      </c>
      <c r="W497" s="13"/>
      <c r="X497" s="246"/>
      <c r="Y497" s="13"/>
      <c r="Z497" s="282">
        <f>IFERROR(SUMIF($C:$C,$V497,F:F),0)</f>
        <v>0</v>
      </c>
      <c r="AA497" s="279"/>
      <c r="AB497" s="279"/>
      <c r="AC497" s="282"/>
      <c r="AD497" s="288"/>
      <c r="AE497" s="287"/>
      <c r="AF497" s="280">
        <v>0</v>
      </c>
      <c r="AG497" s="281"/>
      <c r="AH497" s="282">
        <f t="shared" si="128"/>
        <v>0</v>
      </c>
      <c r="AI497" s="283">
        <f t="shared" si="129"/>
        <v>0</v>
      </c>
      <c r="AJ497" s="288"/>
      <c r="AK497" s="279"/>
      <c r="AL497" s="280">
        <v>0</v>
      </c>
      <c r="AM497" s="393"/>
      <c r="AN497" s="282">
        <f t="shared" si="130"/>
        <v>0</v>
      </c>
      <c r="AO497" s="289">
        <f t="shared" si="131"/>
        <v>0</v>
      </c>
      <c r="AP497" s="246"/>
      <c r="AQ497" s="246"/>
      <c r="AR497" s="246"/>
      <c r="AS497" s="246"/>
      <c r="AT497" s="246"/>
      <c r="AU497" s="246"/>
      <c r="AV497" s="246"/>
      <c r="AW497" s="246"/>
      <c r="AX497" s="246"/>
      <c r="AY497" s="246"/>
      <c r="AZ497" s="246"/>
      <c r="BA497" s="246"/>
      <c r="BB497" s="246"/>
      <c r="BC497" s="246"/>
      <c r="BD497" s="246"/>
      <c r="BE497" s="246"/>
      <c r="BF497" s="246"/>
      <c r="BG497" s="246"/>
      <c r="BH497" s="246"/>
      <c r="BI497" s="246"/>
      <c r="BJ497" s="246"/>
    </row>
    <row r="498" spans="1:62" ht="19.5" thickTop="1" thickBot="1">
      <c r="A498" t="str">
        <f t="shared" si="124"/>
        <v>Profit Net</v>
      </c>
      <c r="B498" s="7"/>
      <c r="C498" s="246"/>
      <c r="D498" s="246"/>
      <c r="E498" s="246"/>
      <c r="F498" s="310"/>
      <c r="G498" s="246"/>
      <c r="H498" s="246"/>
      <c r="I498" s="310"/>
      <c r="J498" s="246"/>
      <c r="K498" s="246"/>
      <c r="L498" s="246"/>
      <c r="M498" s="310"/>
      <c r="N498" s="246"/>
      <c r="O498" s="246"/>
      <c r="P498" s="246"/>
      <c r="Q498" s="310"/>
      <c r="R498" s="310"/>
      <c r="S498" s="310"/>
      <c r="T498" s="246"/>
      <c r="U498" s="246"/>
      <c r="V498" s="365" t="s">
        <v>186</v>
      </c>
      <c r="W498" s="366"/>
      <c r="X498" s="367" t="s">
        <v>180</v>
      </c>
      <c r="Y498" s="368">
        <f>Z498/Z406</f>
        <v>3.1990636764738963E-2</v>
      </c>
      <c r="Z498" s="369">
        <f>Z489-Z491-Z492-Z493-Z497-Z496-Z494-Z495</f>
        <v>141944.45401047613</v>
      </c>
      <c r="AA498" s="367"/>
      <c r="AB498" s="368"/>
      <c r="AC498" s="369"/>
      <c r="AD498" s="367" t="s">
        <v>180</v>
      </c>
      <c r="AE498" s="368">
        <f>AF498/AF406</f>
        <v>2.0678315606373794E-2</v>
      </c>
      <c r="AF498" s="370">
        <f>AF489-AF491-AF492-AF493-AF497-AF496-AF494-AF495</f>
        <v>110888.95999999998</v>
      </c>
      <c r="AG498" s="371"/>
      <c r="AH498" s="370">
        <f t="shared" si="128"/>
        <v>-31055.494010476148</v>
      </c>
      <c r="AI498" s="487">
        <f>AH498/Z498</f>
        <v>-0.21878624442899414</v>
      </c>
      <c r="AJ498" s="373" t="s">
        <v>180</v>
      </c>
      <c r="AK498" s="368">
        <f>IF($AL$406=0,0,AL498/$AL$406)</f>
        <v>4.5642955953755816E-2</v>
      </c>
      <c r="AL498" s="370">
        <f>AL489-AL491-AL492-AL493-AL497-AL496-AL494-AL495</f>
        <v>180510.31999999975</v>
      </c>
      <c r="AM498" s="374"/>
      <c r="AN498" s="370">
        <f t="shared" si="130"/>
        <v>-69621.359999999768</v>
      </c>
      <c r="AO498" s="394">
        <f t="shared" si="131"/>
        <v>-0.38569185407238693</v>
      </c>
      <c r="AP498" s="246"/>
      <c r="AQ498" s="246"/>
      <c r="AR498" s="246"/>
      <c r="AS498" s="246"/>
      <c r="AT498" s="246"/>
      <c r="AU498" s="246"/>
      <c r="AV498" s="246"/>
      <c r="AW498" s="246"/>
      <c r="AX498" s="246"/>
      <c r="AY498" s="246"/>
      <c r="AZ498" s="246"/>
      <c r="BA498" s="246"/>
      <c r="BB498" s="246"/>
      <c r="BC498" s="246"/>
      <c r="BD498" s="246"/>
      <c r="BE498" s="246"/>
      <c r="BF498" s="246"/>
      <c r="BG498" s="246"/>
      <c r="BH498" s="246"/>
      <c r="BI498" s="246"/>
      <c r="BJ498" s="246"/>
    </row>
    <row r="499" spans="1:62" ht="16.5" thickTop="1">
      <c r="A499" t="str">
        <f>+U499&amp;V488</f>
        <v>BAIIA Corpo</v>
      </c>
      <c r="B499" s="7"/>
      <c r="C499" s="246"/>
      <c r="D499" s="246"/>
      <c r="E499" s="246"/>
      <c r="F499" s="310"/>
      <c r="G499" s="246"/>
      <c r="H499" s="246"/>
      <c r="I499" s="310"/>
      <c r="J499" s="246"/>
      <c r="K499" s="246"/>
      <c r="L499" s="246"/>
      <c r="M499" s="310"/>
      <c r="N499" s="246"/>
      <c r="O499" s="246"/>
      <c r="P499" s="246"/>
      <c r="Q499" s="310"/>
      <c r="R499" s="310"/>
      <c r="S499" s="310"/>
      <c r="T499" s="246"/>
      <c r="U499" s="246"/>
      <c r="AP499" s="246"/>
      <c r="AQ499" s="246"/>
      <c r="AR499" s="246"/>
      <c r="AS499" s="246"/>
      <c r="AT499" s="246"/>
      <c r="AU499" s="246"/>
      <c r="AV499" s="246"/>
      <c r="AW499" s="246"/>
      <c r="AX499" s="246"/>
      <c r="AY499" s="246"/>
      <c r="AZ499" s="246"/>
      <c r="BA499" s="246"/>
      <c r="BB499" s="246"/>
      <c r="BC499" s="246"/>
      <c r="BD499" s="246"/>
      <c r="BE499" s="246"/>
      <c r="BF499" s="246"/>
      <c r="BG499" s="246"/>
      <c r="BH499" s="246"/>
      <c r="BI499" s="246"/>
      <c r="BJ499" s="246"/>
    </row>
    <row r="500" spans="1:62" ht="15.75" customHeight="1" outlineLevel="1">
      <c r="B500" s="7"/>
      <c r="C500" s="246"/>
      <c r="D500" s="246"/>
      <c r="E500" s="246"/>
      <c r="F500" s="310"/>
      <c r="G500" s="246"/>
      <c r="H500" s="246"/>
      <c r="I500" s="310"/>
      <c r="J500" s="246"/>
      <c r="K500" s="246"/>
      <c r="L500" s="246"/>
      <c r="M500" s="310"/>
      <c r="N500" s="246"/>
      <c r="O500" s="246"/>
      <c r="P500" s="246"/>
      <c r="Q500" s="310"/>
      <c r="R500" s="310"/>
      <c r="S500" s="310"/>
      <c r="T500" s="246"/>
      <c r="U500" s="246"/>
      <c r="V500" s="246" t="s">
        <v>240</v>
      </c>
      <c r="W500" s="246"/>
      <c r="X500" s="246"/>
      <c r="Y500" s="246"/>
      <c r="Z500" s="246"/>
      <c r="AA500" s="246"/>
      <c r="AB500" s="246"/>
      <c r="AC500" s="246"/>
      <c r="AD500" s="246"/>
      <c r="AE500" s="395"/>
      <c r="AF500" s="280">
        <v>28831.13</v>
      </c>
      <c r="AG500" s="246"/>
      <c r="AH500" s="246"/>
      <c r="AI500" s="246"/>
      <c r="AJ500" s="246"/>
      <c r="AK500" s="246"/>
      <c r="AL500" s="246"/>
      <c r="AM500" s="246"/>
      <c r="AN500" s="246"/>
      <c r="AO500" s="246"/>
      <c r="AP500" s="246"/>
      <c r="AQ500" s="246"/>
      <c r="AR500" s="246"/>
      <c r="AS500" s="246"/>
      <c r="AT500" s="246"/>
      <c r="AU500" s="246"/>
      <c r="AV500" s="246"/>
      <c r="AW500" s="246"/>
      <c r="AX500" s="246"/>
      <c r="AY500" s="246"/>
      <c r="AZ500" s="246"/>
      <c r="BA500" s="246"/>
      <c r="BB500" s="246"/>
      <c r="BC500" s="246"/>
      <c r="BD500" s="246"/>
      <c r="BE500" s="246"/>
      <c r="BF500" s="246"/>
      <c r="BG500" s="246"/>
      <c r="BH500" s="246"/>
      <c r="BI500" s="246"/>
      <c r="BJ500" s="246"/>
    </row>
    <row r="501" spans="1:62" ht="15.75" customHeight="1" outlineLevel="1" thickBot="1">
      <c r="B501" s="7"/>
      <c r="C501" s="246"/>
      <c r="D501" s="246"/>
      <c r="E501" s="246"/>
      <c r="F501" s="310"/>
      <c r="G501" s="246"/>
      <c r="H501" s="246"/>
      <c r="I501" s="310"/>
      <c r="J501" s="246"/>
      <c r="K501" s="246"/>
      <c r="L501" s="246"/>
      <c r="M501" s="310"/>
      <c r="N501" s="246"/>
      <c r="O501" s="246"/>
      <c r="P501" s="246"/>
      <c r="Q501" s="310"/>
      <c r="R501" s="310"/>
      <c r="S501" s="310"/>
      <c r="T501" s="246"/>
      <c r="U501" s="246"/>
      <c r="V501" s="246"/>
      <c r="W501" s="246"/>
      <c r="X501" s="246"/>
      <c r="Y501" s="246"/>
      <c r="Z501" s="246"/>
      <c r="AA501" s="246"/>
      <c r="AB501" s="246"/>
      <c r="AC501" s="246"/>
      <c r="AD501" s="246"/>
      <c r="AE501" s="395"/>
      <c r="AF501" s="396"/>
      <c r="AG501" s="246"/>
      <c r="AH501" s="246"/>
      <c r="AI501" s="246"/>
      <c r="AJ501" s="246"/>
      <c r="AK501" s="246"/>
      <c r="AL501" s="246"/>
      <c r="AM501" s="246"/>
      <c r="AN501" s="246"/>
      <c r="AO501" s="246"/>
      <c r="AP501" s="246"/>
      <c r="AQ501" s="246"/>
      <c r="AR501" s="246"/>
      <c r="AS501" s="246"/>
      <c r="AT501" s="246"/>
      <c r="AU501" s="246"/>
      <c r="AV501" s="246"/>
      <c r="AW501" s="246"/>
      <c r="AX501" s="246"/>
      <c r="AY501" s="246"/>
      <c r="AZ501" s="246"/>
      <c r="BA501" s="246"/>
      <c r="BB501" s="246"/>
      <c r="BC501" s="246"/>
      <c r="BD501" s="246"/>
      <c r="BE501" s="246"/>
      <c r="BF501" s="246"/>
      <c r="BG501" s="246"/>
      <c r="BH501" s="246"/>
      <c r="BI501" s="246"/>
      <c r="BJ501" s="246"/>
    </row>
    <row r="502" spans="1:62" ht="15.75" customHeight="1" outlineLevel="1" thickTop="1" thickBot="1">
      <c r="B502" s="7"/>
      <c r="C502" s="246"/>
      <c r="D502" s="246"/>
      <c r="E502" s="246"/>
      <c r="F502" s="310"/>
      <c r="G502" s="246"/>
      <c r="H502" s="246"/>
      <c r="I502" s="310"/>
      <c r="J502" s="246"/>
      <c r="K502" s="246"/>
      <c r="L502" s="246"/>
      <c r="M502" s="310"/>
      <c r="N502" s="246"/>
      <c r="O502" s="246"/>
      <c r="P502" s="246"/>
      <c r="Q502" s="310"/>
      <c r="R502" s="310"/>
      <c r="S502" s="310"/>
      <c r="T502" s="246"/>
      <c r="U502" s="246"/>
      <c r="V502" s="365" t="s">
        <v>241</v>
      </c>
      <c r="W502" s="366"/>
      <c r="X502" s="367"/>
      <c r="Y502" s="368"/>
      <c r="Z502" s="369"/>
      <c r="AA502" s="367"/>
      <c r="AB502" s="368"/>
      <c r="AC502" s="369"/>
      <c r="AD502" s="367"/>
      <c r="AE502" s="368"/>
      <c r="AF502" s="370">
        <f>+AF498-AF500</f>
        <v>82057.829999999973</v>
      </c>
      <c r="AG502" s="371"/>
      <c r="AH502" s="371"/>
      <c r="AI502" s="372"/>
      <c r="AJ502" s="373"/>
      <c r="AK502" s="368"/>
      <c r="AL502" s="370"/>
      <c r="AM502" s="374"/>
      <c r="AN502" s="370"/>
      <c r="AO502" s="394"/>
      <c r="AP502" s="246"/>
      <c r="AQ502" s="246"/>
      <c r="AR502" s="310"/>
      <c r="AS502" s="246"/>
      <c r="AT502" s="246"/>
      <c r="AU502" s="246"/>
      <c r="AV502" s="246"/>
      <c r="AW502" s="246"/>
      <c r="AX502" s="246"/>
      <c r="AY502" s="246"/>
      <c r="AZ502" s="246"/>
      <c r="BA502" s="246"/>
      <c r="BB502" s="246"/>
      <c r="BC502" s="246"/>
      <c r="BD502" s="246"/>
      <c r="BE502" s="246"/>
      <c r="BF502" s="246"/>
      <c r="BG502" s="246"/>
      <c r="BH502" s="246"/>
      <c r="BI502" s="246"/>
      <c r="BJ502" s="246"/>
    </row>
    <row r="503" spans="1:62" ht="16.5" thickTop="1">
      <c r="B503" s="7"/>
      <c r="C503" s="246"/>
      <c r="D503" s="246"/>
      <c r="E503" s="246"/>
      <c r="F503" s="310"/>
      <c r="G503" s="246"/>
      <c r="H503" s="246"/>
      <c r="I503" s="310"/>
      <c r="J503" s="246"/>
      <c r="K503" s="246"/>
      <c r="L503" s="246"/>
      <c r="M503" s="310"/>
      <c r="N503" s="246"/>
      <c r="O503" s="246"/>
      <c r="P503" s="246"/>
      <c r="Q503" s="310"/>
      <c r="R503" s="310"/>
      <c r="S503" s="310"/>
      <c r="T503" s="246"/>
      <c r="U503" s="246"/>
      <c r="V503" s="246"/>
      <c r="W503" s="246"/>
      <c r="X503" s="246"/>
      <c r="Y503" s="246"/>
      <c r="Z503" s="246"/>
      <c r="AA503" s="246"/>
      <c r="AB503" s="246"/>
      <c r="AC503" s="246"/>
      <c r="AD503" s="246"/>
      <c r="AE503" s="395"/>
      <c r="AF503" s="396"/>
      <c r="AG503" s="246"/>
      <c r="AH503" s="310"/>
      <c r="AI503" s="246"/>
      <c r="AJ503" s="246"/>
      <c r="AK503" s="246"/>
      <c r="AL503" s="246"/>
      <c r="AM503" s="246"/>
      <c r="AN503" s="246"/>
      <c r="AO503" s="246"/>
      <c r="AP503" s="246"/>
      <c r="AQ503" s="246"/>
      <c r="AR503" s="246"/>
      <c r="AS503" s="246"/>
      <c r="AT503" s="246"/>
      <c r="AU503" s="246"/>
      <c r="AV503" s="246"/>
      <c r="AW503" s="246"/>
      <c r="AX503" s="246"/>
      <c r="AY503" s="246"/>
      <c r="AZ503" s="246"/>
      <c r="BA503" s="246"/>
      <c r="BB503" s="246"/>
      <c r="BC503" s="246"/>
      <c r="BD503" s="246"/>
      <c r="BE503" s="246"/>
      <c r="BF503" s="246"/>
      <c r="BG503" s="246"/>
      <c r="BH503" s="246"/>
      <c r="BI503" s="246"/>
      <c r="BJ503" s="246"/>
    </row>
    <row r="504" spans="1:62" ht="18">
      <c r="B504" s="7"/>
      <c r="C504" s="246"/>
      <c r="D504" s="246"/>
      <c r="E504" s="246"/>
      <c r="F504" s="310"/>
      <c r="G504" s="246"/>
      <c r="H504" s="246"/>
      <c r="I504" s="310"/>
      <c r="J504" s="246"/>
      <c r="K504" s="246"/>
      <c r="L504" s="246"/>
      <c r="M504" s="310"/>
      <c r="N504" s="246"/>
      <c r="O504" s="246"/>
      <c r="P504" s="246"/>
      <c r="Q504" s="310"/>
      <c r="R504" s="310"/>
      <c r="S504" s="310"/>
      <c r="T504" s="246"/>
      <c r="U504" s="246"/>
      <c r="V504" s="246"/>
      <c r="W504" s="246"/>
      <c r="X504" s="246"/>
      <c r="Y504" s="246"/>
      <c r="Z504" s="310"/>
      <c r="AA504" s="246"/>
      <c r="AB504" s="246"/>
      <c r="AC504" s="246"/>
      <c r="AD504" s="246"/>
      <c r="AE504" s="246"/>
      <c r="AF504" s="488">
        <f>AF500/AF498</f>
        <v>0.2600000036072122</v>
      </c>
      <c r="AG504" s="246"/>
      <c r="AH504" s="246"/>
      <c r="AI504" s="246"/>
      <c r="AJ504" s="246"/>
      <c r="AK504" s="246"/>
      <c r="AL504" s="246"/>
      <c r="AM504" s="246"/>
      <c r="AN504" s="246"/>
      <c r="AO504" s="246"/>
      <c r="AP504" s="246"/>
      <c r="AQ504" s="246"/>
      <c r="AR504" s="246"/>
      <c r="AS504" s="246"/>
      <c r="AT504" s="246"/>
      <c r="AU504" s="246"/>
      <c r="AV504" s="246"/>
      <c r="AW504" s="246"/>
      <c r="AX504" s="246"/>
      <c r="AY504" s="246"/>
      <c r="AZ504" s="246"/>
      <c r="BA504" s="246"/>
      <c r="BB504" s="246"/>
      <c r="BC504" s="246"/>
      <c r="BD504" s="246"/>
      <c r="BE504" s="246"/>
      <c r="BF504" s="246"/>
      <c r="BG504" s="246"/>
      <c r="BH504" s="246"/>
      <c r="BI504" s="246"/>
      <c r="BJ504" s="246"/>
    </row>
    <row r="505" spans="1:62" ht="15.75">
      <c r="B505" s="7"/>
      <c r="C505" s="246"/>
      <c r="D505" s="246"/>
      <c r="E505" s="246"/>
      <c r="F505" s="310"/>
      <c r="G505" s="246"/>
      <c r="H505" s="246"/>
      <c r="I505" s="310"/>
      <c r="J505" s="246"/>
      <c r="K505" s="246"/>
      <c r="L505" s="246"/>
      <c r="M505" s="310"/>
      <c r="N505" s="246"/>
      <c r="O505" s="246"/>
      <c r="P505" s="246"/>
      <c r="Q505" s="310"/>
      <c r="R505" s="310"/>
      <c r="S505" s="310"/>
      <c r="T505" s="334"/>
      <c r="U505" s="334"/>
      <c r="V505" s="246"/>
      <c r="W505" s="246"/>
      <c r="X505" s="246"/>
      <c r="Y505" s="246"/>
      <c r="Z505" s="310"/>
      <c r="AA505" s="246"/>
      <c r="AB505" s="246"/>
      <c r="AC505" s="246"/>
      <c r="AD505" s="246" t="s">
        <v>242</v>
      </c>
      <c r="AE505" s="246"/>
      <c r="AF505" s="246">
        <v>98348</v>
      </c>
      <c r="AG505" s="246"/>
      <c r="AH505" s="246" t="s">
        <v>276</v>
      </c>
      <c r="AI505" s="246"/>
      <c r="AJ505" s="246">
        <v>82099</v>
      </c>
      <c r="AK505" s="246"/>
      <c r="AL505" s="246"/>
      <c r="AM505" s="246"/>
      <c r="AN505" s="246"/>
      <c r="AO505" s="246"/>
      <c r="AP505" s="246"/>
      <c r="AQ505" s="246"/>
      <c r="AR505" s="246"/>
      <c r="AS505" s="246"/>
      <c r="AT505" s="246"/>
      <c r="AU505" s="246"/>
      <c r="AV505" s="246"/>
      <c r="AW505" s="246"/>
      <c r="AX505" s="246"/>
      <c r="AY505" s="246"/>
      <c r="AZ505" s="246"/>
      <c r="BA505" s="246"/>
      <c r="BB505" s="246"/>
      <c r="BC505" s="246"/>
      <c r="BD505" s="246"/>
      <c r="BE505" s="246"/>
      <c r="BF505" s="246"/>
      <c r="BG505" s="246"/>
      <c r="BH505" s="246"/>
      <c r="BI505" s="246"/>
      <c r="BJ505" s="246"/>
    </row>
    <row r="506" spans="1:62" ht="18">
      <c r="B506" s="7"/>
      <c r="C506" s="246"/>
      <c r="D506" s="246"/>
      <c r="E506" s="246"/>
      <c r="F506" s="310"/>
      <c r="G506" s="246"/>
      <c r="H506" s="246"/>
      <c r="I506" s="310"/>
      <c r="J506" s="246"/>
      <c r="K506" s="246"/>
      <c r="L506" s="246"/>
      <c r="M506" s="310"/>
      <c r="N506" s="246"/>
      <c r="O506" s="246"/>
      <c r="P506" s="246"/>
      <c r="Q506" s="310"/>
      <c r="R506" s="310"/>
      <c r="S506" s="310"/>
      <c r="T506" s="334"/>
      <c r="U506" s="334"/>
      <c r="V506" s="246"/>
      <c r="W506" s="246"/>
      <c r="X506" s="246"/>
      <c r="Y506" s="246"/>
      <c r="Z506" s="310"/>
      <c r="AA506" s="246"/>
      <c r="AB506" s="246"/>
      <c r="AC506" s="246"/>
      <c r="AD506" s="246"/>
      <c r="AE506" s="246"/>
      <c r="AF506" s="397"/>
      <c r="AG506" s="246"/>
      <c r="AH506" s="246"/>
      <c r="AI506" s="246"/>
      <c r="AJ506" s="246"/>
      <c r="AK506" s="246"/>
      <c r="AL506" s="246"/>
      <c r="AM506" s="246"/>
      <c r="AN506" s="246"/>
      <c r="AO506" s="246"/>
      <c r="AP506" s="246"/>
      <c r="AQ506" s="246"/>
      <c r="AR506" s="246"/>
      <c r="AS506" s="246"/>
      <c r="AT506" s="246"/>
      <c r="AU506" s="246"/>
      <c r="AV506" s="246"/>
      <c r="AW506" s="246"/>
      <c r="AX506" s="246"/>
      <c r="AY506" s="246"/>
      <c r="AZ506" s="246"/>
      <c r="BA506" s="246"/>
      <c r="BB506" s="246"/>
      <c r="BC506" s="246"/>
      <c r="BD506" s="246"/>
      <c r="BE506" s="246"/>
      <c r="BF506" s="246"/>
      <c r="BG506" s="246"/>
      <c r="BH506" s="246"/>
      <c r="BI506" s="246"/>
      <c r="BJ506" s="246"/>
    </row>
    <row r="507" spans="1:62" ht="15.75">
      <c r="B507" s="7"/>
      <c r="C507" s="246"/>
      <c r="D507" s="246"/>
      <c r="E507" s="246"/>
      <c r="F507" s="310"/>
      <c r="G507" s="246"/>
      <c r="H507" s="246"/>
      <c r="I507" s="310"/>
      <c r="J507" s="246"/>
      <c r="K507" s="246"/>
      <c r="L507" s="246"/>
      <c r="M507" s="310"/>
      <c r="N507" s="246"/>
      <c r="O507" s="246"/>
      <c r="P507" s="246"/>
      <c r="Q507" s="310"/>
      <c r="R507" s="310"/>
      <c r="S507" s="310"/>
      <c r="T507" s="334"/>
      <c r="U507" s="334"/>
      <c r="V507" s="246"/>
      <c r="W507" s="246"/>
      <c r="X507" s="246"/>
      <c r="Y507" s="246"/>
      <c r="Z507" s="246"/>
      <c r="AA507" s="246"/>
      <c r="AB507" s="246"/>
      <c r="AC507" s="246"/>
      <c r="AD507" s="246"/>
      <c r="AE507" s="246"/>
      <c r="AF507" s="310">
        <f>AF498-AF505</f>
        <v>12540.959999999977</v>
      </c>
      <c r="AG507" s="246"/>
      <c r="AH507" s="246"/>
      <c r="AI507" s="246"/>
      <c r="AJ507" s="246">
        <f>AF511/AJ505</f>
        <v>1.3506736988270256</v>
      </c>
      <c r="AK507" s="246"/>
      <c r="AL507" s="246"/>
      <c r="AM507" s="246"/>
      <c r="AN507" s="246"/>
      <c r="AO507" s="246"/>
      <c r="AP507" s="246"/>
      <c r="AQ507" s="246"/>
      <c r="AR507" s="246"/>
      <c r="AS507" s="246"/>
      <c r="AT507" s="246"/>
      <c r="AU507" s="246"/>
      <c r="AV507" s="246"/>
      <c r="AW507" s="246"/>
      <c r="AX507" s="246"/>
      <c r="AY507" s="246"/>
      <c r="AZ507" s="246"/>
      <c r="BA507" s="246"/>
      <c r="BB507" s="246"/>
      <c r="BC507" s="246"/>
      <c r="BD507" s="246"/>
      <c r="BE507" s="246"/>
      <c r="BF507" s="246"/>
      <c r="BG507" s="246"/>
      <c r="BH507" s="246"/>
      <c r="BI507" s="246"/>
      <c r="BJ507" s="246"/>
    </row>
    <row r="508" spans="1:62" ht="15.75">
      <c r="B508" s="7"/>
      <c r="C508" s="246"/>
      <c r="D508" s="246"/>
      <c r="E508" s="246"/>
      <c r="F508" s="310"/>
      <c r="G508" s="246"/>
      <c r="H508" s="246"/>
      <c r="I508" s="310"/>
      <c r="J508" s="246"/>
      <c r="K508" s="246"/>
      <c r="L508" s="246"/>
      <c r="M508" s="310"/>
      <c r="N508" s="246"/>
      <c r="O508" s="246"/>
      <c r="P508" s="246"/>
      <c r="Q508" s="310"/>
      <c r="R508" s="310"/>
      <c r="S508" s="310"/>
      <c r="T508" s="334"/>
      <c r="U508" s="334"/>
      <c r="V508" s="246"/>
      <c r="W508" s="246"/>
      <c r="X508" s="246"/>
      <c r="Y508" s="246"/>
      <c r="Z508" s="246"/>
      <c r="AA508" s="246"/>
      <c r="AB508" s="246"/>
      <c r="AC508" s="246"/>
      <c r="AD508" s="246"/>
      <c r="AE508" s="246"/>
      <c r="AF508" s="246"/>
      <c r="AG508" s="246"/>
      <c r="AH508" s="246"/>
      <c r="AI508" s="246"/>
      <c r="AJ508" s="246"/>
      <c r="AK508" s="246"/>
      <c r="AL508" s="246"/>
      <c r="AM508" s="246"/>
      <c r="AN508" s="246"/>
      <c r="AO508" s="246"/>
      <c r="AP508" s="246"/>
      <c r="AQ508" s="246"/>
      <c r="AR508" s="246"/>
      <c r="AS508" s="246"/>
      <c r="AT508" s="246"/>
      <c r="AU508" s="246"/>
      <c r="AV508" s="246"/>
      <c r="AW508" s="246"/>
      <c r="AX508" s="246"/>
      <c r="AY508" s="246"/>
      <c r="AZ508" s="246"/>
      <c r="BA508" s="246"/>
      <c r="BB508" s="246"/>
      <c r="BC508" s="246"/>
      <c r="BD508" s="246"/>
      <c r="BE508" s="246"/>
      <c r="BF508" s="246"/>
      <c r="BG508" s="246"/>
      <c r="BH508" s="246"/>
      <c r="BI508" s="246"/>
      <c r="BJ508" s="246"/>
    </row>
    <row r="509" spans="1:62" ht="15.75">
      <c r="B509" s="7"/>
      <c r="C509" s="246"/>
      <c r="D509" s="246"/>
      <c r="E509" s="246"/>
      <c r="F509" s="310"/>
      <c r="G509" s="246"/>
      <c r="H509" s="246"/>
      <c r="I509" s="310"/>
      <c r="J509" s="246"/>
      <c r="K509" s="246"/>
      <c r="L509" s="246"/>
      <c r="M509" s="310"/>
      <c r="N509" s="246"/>
      <c r="O509" s="246"/>
      <c r="P509" s="246"/>
      <c r="Q509" s="310"/>
      <c r="R509" s="310"/>
      <c r="S509" s="310"/>
      <c r="T509" s="334"/>
      <c r="U509" s="334"/>
      <c r="V509" s="246"/>
      <c r="W509" s="246"/>
      <c r="X509" s="246"/>
      <c r="Y509" s="246"/>
      <c r="Z509" s="246"/>
      <c r="AA509" s="246"/>
      <c r="AB509" s="246"/>
      <c r="AC509" s="246"/>
      <c r="AD509" s="246" t="s">
        <v>277</v>
      </c>
      <c r="AE509" s="246"/>
      <c r="AF509" s="246"/>
      <c r="AG509" s="246"/>
      <c r="AH509" s="246"/>
      <c r="AI509" s="246"/>
      <c r="AJ509" s="246"/>
      <c r="AK509" s="246"/>
      <c r="AL509" s="246"/>
      <c r="AM509" s="246"/>
      <c r="AN509" s="246"/>
      <c r="AO509" s="246"/>
      <c r="AP509" s="246"/>
      <c r="AQ509" s="246"/>
      <c r="AR509" s="246"/>
      <c r="AS509" s="246"/>
      <c r="AT509" s="246"/>
      <c r="AU509" s="246"/>
      <c r="AV509" s="246"/>
      <c r="AW509" s="246"/>
      <c r="AX509" s="246"/>
      <c r="AY509" s="246"/>
      <c r="AZ509" s="246"/>
      <c r="BA509" s="246"/>
      <c r="BB509" s="246"/>
      <c r="BC509" s="246"/>
      <c r="BD509" s="246"/>
      <c r="BE509" s="246"/>
      <c r="BF509" s="246"/>
      <c r="BG509" s="246"/>
      <c r="BH509" s="246"/>
      <c r="BI509" s="246"/>
      <c r="BJ509" s="246"/>
    </row>
    <row r="510" spans="1:62" ht="15.75">
      <c r="B510" s="7"/>
      <c r="C510" s="246"/>
      <c r="D510" s="246"/>
      <c r="E510" s="246"/>
      <c r="F510" s="310"/>
      <c r="G510" s="246"/>
      <c r="H510" s="246"/>
      <c r="I510" s="310"/>
      <c r="J510" s="246"/>
      <c r="K510" s="246"/>
      <c r="L510" s="246"/>
      <c r="M510" s="310"/>
      <c r="N510" s="246"/>
      <c r="O510" s="246"/>
      <c r="P510" s="246"/>
      <c r="Q510" s="310"/>
      <c r="R510" s="310"/>
      <c r="S510" s="310"/>
      <c r="T510" s="334"/>
      <c r="U510" s="334"/>
      <c r="V510" s="246"/>
      <c r="W510" s="246"/>
      <c r="X510" s="246"/>
      <c r="Y510" s="246"/>
      <c r="Z510" s="246"/>
      <c r="AA510" s="246"/>
      <c r="AB510" s="246"/>
      <c r="AC510" s="246"/>
      <c r="AD510" s="246"/>
      <c r="AE510" s="246"/>
      <c r="AF510" s="246"/>
      <c r="AG510" s="246"/>
      <c r="AH510" s="246"/>
      <c r="AI510" s="246"/>
      <c r="AJ510" s="246"/>
      <c r="AK510" s="246"/>
      <c r="AL510" s="246"/>
      <c r="AM510" s="246"/>
      <c r="AN510" s="246"/>
      <c r="AO510" s="246"/>
      <c r="AP510" s="246"/>
      <c r="AQ510" s="246"/>
      <c r="AR510" s="246"/>
      <c r="AS510" s="246"/>
      <c r="AT510" s="246"/>
      <c r="AU510" s="246"/>
      <c r="AV510" s="246"/>
      <c r="AW510" s="246"/>
      <c r="AX510" s="246"/>
      <c r="AY510" s="246"/>
      <c r="AZ510" s="246"/>
      <c r="BA510" s="246"/>
      <c r="BB510" s="246"/>
      <c r="BC510" s="246"/>
      <c r="BD510" s="246"/>
      <c r="BE510" s="246"/>
      <c r="BF510" s="246"/>
      <c r="BG510" s="246"/>
      <c r="BH510" s="246"/>
      <c r="BI510" s="246"/>
      <c r="BJ510" s="246"/>
    </row>
    <row r="511" spans="1:62" ht="15.75">
      <c r="B511" s="7"/>
      <c r="C511" s="246"/>
      <c r="D511" s="246"/>
      <c r="E511" s="246"/>
      <c r="F511" s="310"/>
      <c r="G511" s="246"/>
      <c r="H511" s="246"/>
      <c r="I511" s="310"/>
      <c r="J511" s="246"/>
      <c r="K511" s="246"/>
      <c r="L511" s="246"/>
      <c r="M511" s="310"/>
      <c r="N511" s="246"/>
      <c r="O511" s="246"/>
      <c r="P511" s="246"/>
      <c r="Q511" s="310"/>
      <c r="R511" s="310"/>
      <c r="S511" s="310"/>
      <c r="T511" s="334"/>
      <c r="U511" s="334"/>
      <c r="V511" s="246"/>
      <c r="W511" s="246"/>
      <c r="X511" s="246"/>
      <c r="Y511" s="246"/>
      <c r="Z511" s="246"/>
      <c r="AA511" s="246"/>
      <c r="AB511" s="246"/>
      <c r="AC511" s="246"/>
      <c r="AD511" s="246"/>
      <c r="AE511" s="246"/>
      <c r="AF511" s="310">
        <f>AF498+AF509</f>
        <v>110888.95999999998</v>
      </c>
      <c r="AG511" s="246"/>
      <c r="AH511" s="246"/>
      <c r="AI511" s="246"/>
      <c r="AJ511" s="246"/>
      <c r="AK511" s="246"/>
      <c r="AL511" s="246"/>
      <c r="AM511" s="246"/>
      <c r="AN511" s="246"/>
      <c r="AO511" s="246"/>
      <c r="AP511" s="246"/>
      <c r="AQ511" s="246"/>
      <c r="AR511" s="246"/>
      <c r="AS511" s="246"/>
      <c r="AT511" s="246"/>
      <c r="AU511" s="246"/>
      <c r="AV511" s="246"/>
      <c r="AW511" s="246"/>
      <c r="AX511" s="246"/>
      <c r="AY511" s="246"/>
      <c r="AZ511" s="246"/>
      <c r="BA511" s="246"/>
      <c r="BB511" s="246"/>
      <c r="BC511" s="246"/>
      <c r="BD511" s="246"/>
      <c r="BE511" s="246"/>
      <c r="BF511" s="246"/>
      <c r="BG511" s="246"/>
      <c r="BH511" s="246"/>
      <c r="BI511" s="246"/>
      <c r="BJ511" s="246"/>
    </row>
    <row r="512" spans="1:62" ht="15.75">
      <c r="B512" s="7"/>
      <c r="C512" s="246"/>
      <c r="D512" s="246"/>
      <c r="E512" s="246"/>
      <c r="F512" s="310"/>
      <c r="G512" s="246"/>
      <c r="H512" s="246"/>
      <c r="I512" s="310"/>
      <c r="J512" s="246"/>
      <c r="K512" s="246"/>
      <c r="L512" s="246"/>
      <c r="M512" s="310"/>
      <c r="N512" s="246"/>
      <c r="O512" s="246"/>
      <c r="P512" s="246"/>
      <c r="Q512" s="310"/>
      <c r="R512" s="310"/>
      <c r="S512" s="310"/>
      <c r="T512" s="334"/>
      <c r="U512" s="334"/>
      <c r="V512" s="246"/>
      <c r="W512" s="334"/>
      <c r="X512" s="334"/>
      <c r="Y512" s="246"/>
      <c r="Z512" s="246"/>
      <c r="AA512" s="246"/>
      <c r="AB512" s="246"/>
      <c r="AC512" s="246"/>
      <c r="AD512" s="246"/>
      <c r="AE512" s="246"/>
      <c r="AF512" s="310"/>
      <c r="AG512" s="246"/>
      <c r="AH512" s="246"/>
      <c r="AI512" s="246"/>
      <c r="AJ512" s="246"/>
      <c r="AK512" s="246"/>
      <c r="AL512" s="246"/>
      <c r="AM512" s="246"/>
      <c r="AN512" s="246"/>
      <c r="AO512" s="246"/>
      <c r="AP512" s="246"/>
      <c r="AQ512" s="246"/>
      <c r="AR512" s="246"/>
      <c r="AS512" s="246"/>
      <c r="AT512" s="246"/>
      <c r="AU512" s="246"/>
      <c r="AV512" s="246"/>
      <c r="AW512" s="246"/>
      <c r="AX512" s="246"/>
      <c r="AY512" s="246"/>
      <c r="AZ512" s="246"/>
      <c r="BA512" s="246"/>
      <c r="BB512" s="246"/>
      <c r="BC512" s="246"/>
      <c r="BD512" s="246"/>
      <c r="BE512" s="246"/>
      <c r="BF512" s="246"/>
      <c r="BG512" s="246"/>
      <c r="BH512" s="246"/>
      <c r="BI512" s="246"/>
      <c r="BJ512" s="246"/>
    </row>
    <row r="513" spans="2:62" ht="15.75">
      <c r="B513" s="7"/>
      <c r="C513" s="246"/>
      <c r="D513" s="246"/>
      <c r="E513" s="246"/>
      <c r="F513" s="310"/>
      <c r="G513" s="246"/>
      <c r="H513" s="246"/>
      <c r="I513" s="310"/>
      <c r="J513" s="246"/>
      <c r="K513" s="246"/>
      <c r="L513" s="246"/>
      <c r="M513" s="310"/>
      <c r="N513" s="246"/>
      <c r="O513" s="246"/>
      <c r="P513" s="246"/>
      <c r="Q513" s="310"/>
      <c r="R513" s="310"/>
      <c r="S513" s="310"/>
      <c r="T513" s="334"/>
      <c r="U513" s="334"/>
      <c r="V513" s="246"/>
      <c r="W513" s="334"/>
      <c r="X513" s="334"/>
      <c r="Y513" s="246"/>
      <c r="Z513" s="246"/>
      <c r="AA513" s="246"/>
      <c r="AB513" s="246"/>
      <c r="AC513" s="246"/>
      <c r="AD513" s="246"/>
      <c r="AE513" s="246"/>
      <c r="AF513" s="246"/>
      <c r="AG513" s="246"/>
      <c r="AH513" s="246"/>
      <c r="AI513" s="246"/>
      <c r="AJ513" s="246"/>
      <c r="AK513" s="246"/>
      <c r="AL513" s="246"/>
      <c r="AM513" s="246"/>
      <c r="AN513" s="246"/>
      <c r="AO513" s="246"/>
      <c r="AP513" s="246"/>
      <c r="AQ513" s="246"/>
      <c r="AR513" s="246"/>
      <c r="AS513" s="246"/>
      <c r="AT513" s="246"/>
      <c r="AU513" s="246"/>
      <c r="AV513" s="246"/>
      <c r="AW513" s="246"/>
      <c r="AX513" s="246"/>
      <c r="AY513" s="246"/>
      <c r="AZ513" s="246"/>
      <c r="BA513" s="246"/>
      <c r="BB513" s="246"/>
      <c r="BC513" s="246"/>
      <c r="BD513" s="246"/>
      <c r="BE513" s="246"/>
      <c r="BF513" s="246"/>
      <c r="BG513" s="246"/>
      <c r="BH513" s="246"/>
      <c r="BI513" s="246"/>
      <c r="BJ513" s="246"/>
    </row>
    <row r="514" spans="2:62" ht="15.75">
      <c r="B514" s="7"/>
      <c r="C514" s="246"/>
      <c r="D514" s="246"/>
      <c r="E514" s="246"/>
      <c r="F514" s="310"/>
      <c r="G514" s="246"/>
      <c r="H514" s="246"/>
      <c r="I514" s="310"/>
      <c r="J514" s="246"/>
      <c r="K514" s="246"/>
      <c r="L514" s="246"/>
      <c r="M514" s="310"/>
      <c r="N514" s="246"/>
      <c r="O514" s="246"/>
      <c r="P514" s="246"/>
      <c r="Q514" s="310"/>
      <c r="R514" s="310"/>
      <c r="S514" s="310"/>
      <c r="T514" s="334"/>
      <c r="U514" s="334"/>
      <c r="V514" s="246"/>
      <c r="W514" s="334"/>
      <c r="X514" s="334"/>
      <c r="Y514" s="246"/>
      <c r="Z514" s="246"/>
      <c r="AA514" s="246"/>
      <c r="AB514" s="246"/>
      <c r="AC514" s="246"/>
      <c r="AD514" s="246"/>
      <c r="AE514" s="246"/>
      <c r="AF514" s="246"/>
      <c r="AG514" s="246"/>
      <c r="AH514" s="246"/>
      <c r="AI514" s="246"/>
      <c r="AJ514" s="246"/>
      <c r="AK514" s="246"/>
      <c r="AL514" s="246"/>
      <c r="AM514" s="246"/>
      <c r="AN514" s="246"/>
      <c r="AO514" s="246"/>
      <c r="AP514" s="246"/>
      <c r="AQ514" s="246"/>
      <c r="AR514" s="246"/>
      <c r="AS514" s="246"/>
      <c r="AT514" s="246"/>
      <c r="AU514" s="246"/>
      <c r="AV514" s="246"/>
      <c r="AW514" s="246"/>
      <c r="AX514" s="246"/>
      <c r="AY514" s="246"/>
      <c r="AZ514" s="246"/>
      <c r="BA514" s="246"/>
      <c r="BB514" s="246"/>
      <c r="BC514" s="246"/>
      <c r="BD514" s="246"/>
      <c r="BE514" s="246"/>
      <c r="BF514" s="246"/>
      <c r="BG514" s="246"/>
      <c r="BH514" s="246"/>
      <c r="BI514" s="246"/>
      <c r="BJ514" s="246"/>
    </row>
    <row r="515" spans="2:62" ht="15.75">
      <c r="B515" s="7"/>
      <c r="C515" s="246"/>
      <c r="D515" s="246"/>
      <c r="E515" s="246"/>
      <c r="F515" s="310"/>
      <c r="G515" s="246"/>
      <c r="H515" s="246"/>
      <c r="I515" s="310"/>
      <c r="J515" s="246"/>
      <c r="K515" s="246"/>
      <c r="L515" s="246"/>
      <c r="M515" s="310"/>
      <c r="N515" s="246"/>
      <c r="O515" s="246"/>
      <c r="P515" s="246"/>
      <c r="Q515" s="310"/>
      <c r="R515" s="310"/>
      <c r="S515" s="310"/>
      <c r="T515" s="334"/>
      <c r="U515" s="334"/>
      <c r="V515" s="246"/>
      <c r="W515" s="334"/>
      <c r="X515" s="334"/>
      <c r="Y515" s="246"/>
      <c r="Z515" s="246"/>
      <c r="AA515" s="246"/>
      <c r="AB515" s="246"/>
      <c r="AC515" s="246"/>
      <c r="AD515" s="246"/>
      <c r="AE515" s="246"/>
      <c r="AF515" s="246"/>
      <c r="AG515" s="246"/>
      <c r="AH515" s="246"/>
      <c r="AI515" s="246"/>
      <c r="AJ515" s="246"/>
      <c r="AK515" s="246"/>
      <c r="AL515" s="246"/>
      <c r="AM515" s="246"/>
      <c r="AN515" s="246"/>
      <c r="AO515" s="246"/>
      <c r="AP515" s="246"/>
      <c r="AQ515" s="246"/>
      <c r="AR515" s="246"/>
      <c r="AS515" s="246"/>
      <c r="AT515" s="246"/>
      <c r="AU515" s="246"/>
      <c r="AV515" s="246"/>
      <c r="AW515" s="246"/>
      <c r="AX515" s="246"/>
      <c r="AY515" s="246"/>
      <c r="AZ515" s="246"/>
      <c r="BA515" s="246"/>
      <c r="BB515" s="246"/>
      <c r="BC515" s="246"/>
      <c r="BD515" s="246"/>
      <c r="BE515" s="246"/>
      <c r="BF515" s="246"/>
      <c r="BG515" s="246"/>
      <c r="BH515" s="246"/>
      <c r="BI515" s="246"/>
      <c r="BJ515" s="246"/>
    </row>
    <row r="516" spans="2:62" ht="15.75">
      <c r="B516" s="7"/>
      <c r="C516" s="246"/>
      <c r="D516" s="246"/>
      <c r="E516" s="246"/>
      <c r="F516" s="310"/>
      <c r="G516" s="246"/>
      <c r="H516" s="246"/>
      <c r="I516" s="310"/>
      <c r="J516" s="246"/>
      <c r="K516" s="246"/>
      <c r="L516" s="246"/>
      <c r="M516" s="310"/>
      <c r="N516" s="246"/>
      <c r="O516" s="246"/>
      <c r="P516" s="246"/>
      <c r="Q516" s="310"/>
      <c r="R516" s="310"/>
      <c r="S516" s="310"/>
      <c r="T516" s="334"/>
      <c r="U516" s="334"/>
      <c r="V516" s="246"/>
      <c r="W516" s="334"/>
      <c r="X516" s="334"/>
      <c r="Y516" s="246"/>
      <c r="Z516" s="246"/>
      <c r="AA516" s="246"/>
      <c r="AB516" s="246"/>
      <c r="AC516" s="246"/>
      <c r="AD516" s="246"/>
      <c r="AE516" s="246"/>
      <c r="AF516" s="310"/>
      <c r="AG516" s="310"/>
      <c r="AH516" s="310"/>
      <c r="AI516" s="246"/>
      <c r="AJ516" s="246"/>
      <c r="AK516" s="246"/>
      <c r="AL516" s="246"/>
      <c r="AM516" s="246"/>
      <c r="AN516" s="246"/>
      <c r="AO516" s="246"/>
      <c r="AP516" s="246"/>
      <c r="AQ516" s="246"/>
      <c r="AR516" s="246"/>
      <c r="AS516" s="246"/>
      <c r="AT516" s="246"/>
      <c r="AU516" s="246"/>
      <c r="AV516" s="246"/>
      <c r="AW516" s="246"/>
      <c r="AX516" s="246"/>
      <c r="AY516" s="246"/>
      <c r="AZ516" s="246"/>
      <c r="BA516" s="246"/>
      <c r="BB516" s="246"/>
      <c r="BC516" s="246"/>
      <c r="BD516" s="246"/>
      <c r="BE516" s="246"/>
      <c r="BF516" s="246"/>
      <c r="BG516" s="246"/>
      <c r="BH516" s="246"/>
      <c r="BI516" s="246"/>
      <c r="BJ516" s="246"/>
    </row>
    <row r="517" spans="2:62" ht="15.75">
      <c r="B517" s="7"/>
      <c r="C517" s="246"/>
      <c r="D517" s="246"/>
      <c r="E517" s="246"/>
      <c r="F517" s="310"/>
      <c r="G517" s="246"/>
      <c r="H517" s="246"/>
      <c r="I517" s="310"/>
      <c r="J517" s="246"/>
      <c r="K517" s="246"/>
      <c r="L517" s="246"/>
      <c r="M517" s="310"/>
      <c r="N517" s="246"/>
      <c r="O517" s="246"/>
      <c r="P517" s="246"/>
      <c r="Q517" s="310"/>
      <c r="R517" s="310"/>
      <c r="S517" s="310"/>
      <c r="T517" s="334"/>
      <c r="U517" s="334"/>
      <c r="V517" s="334"/>
      <c r="W517" s="334"/>
      <c r="X517" s="334"/>
      <c r="Y517" s="246"/>
      <c r="Z517" s="246"/>
      <c r="AA517" s="246"/>
      <c r="AB517" s="246"/>
      <c r="AC517" s="246"/>
      <c r="AD517" s="246"/>
      <c r="AE517" s="246"/>
      <c r="AF517" s="246"/>
      <c r="AG517" s="246"/>
      <c r="AH517" s="246"/>
      <c r="AI517" s="246"/>
      <c r="AJ517" s="246"/>
      <c r="AK517" s="246"/>
      <c r="AL517" s="246"/>
      <c r="AM517" s="246"/>
      <c r="AN517" s="246"/>
      <c r="AO517" s="246"/>
      <c r="AP517" s="246"/>
      <c r="AQ517" s="246"/>
      <c r="AR517" s="246"/>
      <c r="AS517" s="246"/>
      <c r="AT517" s="246"/>
      <c r="AU517" s="246"/>
      <c r="AV517" s="246"/>
      <c r="AW517" s="246"/>
      <c r="AX517" s="246"/>
      <c r="AY517" s="246"/>
      <c r="AZ517" s="246"/>
      <c r="BA517" s="246"/>
      <c r="BB517" s="246"/>
      <c r="BC517" s="246"/>
      <c r="BD517" s="246"/>
      <c r="BE517" s="246"/>
      <c r="BF517" s="246"/>
      <c r="BG517" s="246"/>
      <c r="BH517" s="246"/>
      <c r="BI517" s="246"/>
      <c r="BJ517" s="246"/>
    </row>
    <row r="518" spans="2:62" ht="15.75">
      <c r="B518" s="7"/>
      <c r="C518" s="398"/>
      <c r="D518" s="334"/>
      <c r="E518" s="334"/>
      <c r="F518" s="399"/>
      <c r="G518" s="334"/>
      <c r="H518" s="334"/>
      <c r="I518" s="399"/>
      <c r="J518" s="334"/>
      <c r="K518" s="334"/>
      <c r="L518" s="334"/>
      <c r="M518" s="399"/>
      <c r="N518" s="334"/>
      <c r="O518" s="334"/>
      <c r="P518" s="334"/>
      <c r="Q518" s="399"/>
      <c r="R518" s="399"/>
      <c r="S518" s="399"/>
      <c r="T518" s="334"/>
      <c r="U518" s="334"/>
      <c r="V518" s="334"/>
      <c r="W518" s="334"/>
      <c r="X518" s="334"/>
      <c r="Y518" s="246"/>
      <c r="Z518" s="246"/>
      <c r="AA518" s="246"/>
      <c r="AB518" s="246"/>
      <c r="AC518" s="246"/>
      <c r="AD518" s="246"/>
      <c r="AE518" s="246"/>
      <c r="AF518" s="310"/>
      <c r="AG518" s="246"/>
      <c r="AH518" s="246"/>
      <c r="AI518" s="246"/>
      <c r="AJ518" s="246"/>
      <c r="AK518" s="246"/>
      <c r="AL518" s="246"/>
      <c r="AM518" s="246"/>
      <c r="AN518" s="246"/>
      <c r="AO518" s="246"/>
      <c r="AP518" s="246"/>
      <c r="AQ518" s="246"/>
      <c r="AR518" s="246"/>
      <c r="AS518" s="246"/>
      <c r="AT518" s="246"/>
      <c r="AU518" s="246"/>
      <c r="AV518" s="246"/>
      <c r="AW518" s="246"/>
      <c r="AX518" s="246"/>
      <c r="AY518" s="246"/>
      <c r="AZ518" s="246"/>
      <c r="BA518" s="246"/>
      <c r="BB518" s="246"/>
      <c r="BC518" s="246"/>
      <c r="BD518" s="246"/>
      <c r="BE518" s="246"/>
      <c r="BF518" s="246"/>
      <c r="BG518" s="246"/>
      <c r="BH518" s="246"/>
      <c r="BI518" s="246"/>
      <c r="BJ518" s="246"/>
    </row>
    <row r="519" spans="2:62" ht="15.75">
      <c r="B519" s="7"/>
      <c r="C519" s="400"/>
      <c r="D519" s="334"/>
      <c r="E519" s="334"/>
      <c r="F519" s="399"/>
      <c r="G519" s="334"/>
      <c r="H519" s="334"/>
      <c r="I519" s="399"/>
      <c r="J519" s="334"/>
      <c r="K519" s="334"/>
      <c r="L519" s="334"/>
      <c r="M519" s="399"/>
      <c r="N519" s="334"/>
      <c r="O519" s="334"/>
      <c r="P519" s="334"/>
      <c r="Q519" s="399"/>
      <c r="R519" s="399"/>
      <c r="S519" s="399"/>
      <c r="T519" s="334"/>
      <c r="U519" s="334"/>
      <c r="V519" s="334"/>
      <c r="W519" s="334"/>
      <c r="X519" s="334"/>
      <c r="Y519" s="246"/>
      <c r="Z519" s="246"/>
      <c r="AA519" s="246"/>
      <c r="AB519" s="246"/>
      <c r="AC519" s="246"/>
      <c r="AD519" s="246"/>
      <c r="AE519" s="246"/>
      <c r="AF519" s="310"/>
      <c r="AG519" s="246"/>
      <c r="AH519" s="246"/>
      <c r="AI519" s="246"/>
      <c r="AJ519" s="246"/>
      <c r="AK519" s="246"/>
      <c r="AL519" s="246"/>
      <c r="AM519" s="246"/>
      <c r="AN519" s="246"/>
      <c r="AO519" s="246"/>
      <c r="AP519" s="246"/>
      <c r="AQ519" s="246"/>
      <c r="AR519" s="246"/>
      <c r="AS519" s="246"/>
      <c r="AT519" s="246"/>
      <c r="AU519" s="246"/>
      <c r="AV519" s="246"/>
      <c r="AW519" s="246"/>
      <c r="AX519" s="246"/>
      <c r="AY519" s="246"/>
      <c r="AZ519" s="246"/>
      <c r="BA519" s="246"/>
      <c r="BB519" s="246"/>
      <c r="BC519" s="246"/>
      <c r="BD519" s="246"/>
      <c r="BE519" s="246"/>
      <c r="BF519" s="246"/>
      <c r="BG519" s="246"/>
      <c r="BH519" s="246"/>
      <c r="BI519" s="246"/>
      <c r="BJ519" s="246"/>
    </row>
    <row r="520" spans="2:62" ht="15.75">
      <c r="B520" s="7"/>
      <c r="C520" s="334"/>
      <c r="D520" s="334"/>
      <c r="E520" s="334"/>
      <c r="F520" s="399"/>
      <c r="G520" s="334"/>
      <c r="H520" s="334"/>
      <c r="I520" s="399"/>
      <c r="J520" s="334"/>
      <c r="K520" s="334"/>
      <c r="L520" s="334"/>
      <c r="M520" s="399"/>
      <c r="N520" s="334"/>
      <c r="O520" s="334"/>
      <c r="P520" s="334"/>
      <c r="Q520" s="399"/>
      <c r="R520" s="399"/>
      <c r="S520" s="399"/>
      <c r="T520" s="334"/>
      <c r="U520" s="334"/>
      <c r="V520" s="334"/>
      <c r="W520" s="334"/>
      <c r="X520" s="334"/>
      <c r="Y520" s="246"/>
      <c r="Z520" s="246"/>
      <c r="AA520" s="246"/>
      <c r="AB520" s="246"/>
      <c r="AC520" s="246"/>
      <c r="AD520" s="246"/>
      <c r="AE520" s="246"/>
      <c r="AF520" s="246"/>
      <c r="AG520" s="246"/>
      <c r="AH520" s="246"/>
      <c r="AI520" s="246"/>
      <c r="AJ520" s="246"/>
      <c r="AK520" s="246"/>
      <c r="AL520" s="246"/>
      <c r="AM520" s="246"/>
      <c r="AN520" s="246"/>
      <c r="AO520" s="246"/>
      <c r="AP520" s="246"/>
      <c r="AQ520" s="246"/>
      <c r="AR520" s="246"/>
      <c r="AS520" s="246"/>
      <c r="AT520" s="246"/>
      <c r="AU520" s="246"/>
      <c r="AV520" s="246"/>
      <c r="AW520" s="246"/>
      <c r="AX520" s="246"/>
      <c r="AY520" s="246"/>
      <c r="AZ520" s="246"/>
      <c r="BA520" s="246"/>
      <c r="BB520" s="246"/>
      <c r="BC520" s="246"/>
      <c r="BD520" s="246"/>
      <c r="BE520" s="246"/>
      <c r="BF520" s="246"/>
      <c r="BG520" s="246"/>
      <c r="BH520" s="246"/>
      <c r="BI520" s="246"/>
      <c r="BJ520" s="246"/>
    </row>
    <row r="521" spans="2:62" ht="15.75">
      <c r="B521" s="7"/>
      <c r="C521" s="334"/>
      <c r="D521" s="334"/>
      <c r="E521" s="334"/>
      <c r="F521" s="334"/>
      <c r="G521" s="334"/>
      <c r="H521" s="334"/>
      <c r="I521" s="334"/>
      <c r="J521" s="398"/>
      <c r="K521" s="398"/>
      <c r="L521" s="398"/>
      <c r="M521" s="399"/>
      <c r="N521" s="334"/>
      <c r="O521" s="334"/>
      <c r="P521" s="334"/>
      <c r="Q521" s="334"/>
      <c r="R521" s="334"/>
      <c r="S521" s="399"/>
      <c r="T521" s="334"/>
      <c r="U521" s="334"/>
      <c r="V521" s="334"/>
      <c r="W521" s="334"/>
      <c r="X521" s="334"/>
      <c r="Y521" s="246"/>
      <c r="Z521" s="246"/>
      <c r="AA521" s="246"/>
      <c r="AB521" s="246"/>
      <c r="AC521" s="246"/>
      <c r="AD521" s="246"/>
      <c r="AE521" s="246"/>
      <c r="AF521" s="310"/>
      <c r="AG521" s="246"/>
      <c r="AH521" s="246"/>
      <c r="AI521" s="246"/>
      <c r="AJ521" s="246"/>
      <c r="AK521" s="246"/>
      <c r="AL521" s="246"/>
      <c r="AM521" s="246"/>
      <c r="AN521" s="246"/>
      <c r="AO521" s="246"/>
      <c r="AP521" s="246"/>
      <c r="AQ521" s="246"/>
      <c r="AR521" s="246"/>
      <c r="AS521" s="246"/>
      <c r="AT521" s="246"/>
      <c r="AU521" s="246"/>
      <c r="AV521" s="246"/>
      <c r="AW521" s="246"/>
      <c r="AX521" s="246"/>
      <c r="AY521" s="246"/>
      <c r="AZ521" s="246"/>
      <c r="BA521" s="246"/>
      <c r="BB521" s="246"/>
      <c r="BC521" s="246"/>
      <c r="BD521" s="246"/>
      <c r="BE521" s="246"/>
      <c r="BF521" s="246"/>
      <c r="BG521" s="246"/>
      <c r="BH521" s="246"/>
      <c r="BI521" s="246"/>
      <c r="BJ521" s="246"/>
    </row>
    <row r="522" spans="2:62" ht="15.75">
      <c r="B522" s="7"/>
      <c r="C522" s="334"/>
      <c r="D522" s="334"/>
      <c r="E522" s="334"/>
      <c r="F522" s="334"/>
      <c r="G522" s="334"/>
      <c r="H522" s="334"/>
      <c r="I522" s="334"/>
      <c r="J522" s="334"/>
      <c r="K522" s="334"/>
      <c r="L522" s="334"/>
      <c r="M522" s="399"/>
      <c r="N522" s="334"/>
      <c r="O522" s="334"/>
      <c r="P522" s="334"/>
      <c r="Q522" s="334"/>
      <c r="R522" s="334"/>
      <c r="S522" s="399"/>
      <c r="T522" s="334"/>
      <c r="U522" s="334"/>
      <c r="V522" s="334"/>
      <c r="W522" s="334"/>
      <c r="X522" s="334"/>
      <c r="Y522" s="246"/>
      <c r="Z522" s="246"/>
      <c r="AA522" s="246"/>
      <c r="AB522" s="246"/>
      <c r="AC522" s="246"/>
      <c r="AD522" s="246"/>
      <c r="AE522" s="246"/>
      <c r="AF522" s="246"/>
      <c r="AG522" s="246"/>
      <c r="AH522" s="246"/>
      <c r="AI522" s="246"/>
      <c r="AJ522" s="246"/>
      <c r="AK522" s="246"/>
      <c r="AL522" s="246"/>
      <c r="AM522" s="246"/>
      <c r="AN522" s="246"/>
      <c r="AO522" s="246"/>
      <c r="AP522" s="246"/>
      <c r="AQ522" s="246"/>
      <c r="AR522" s="246"/>
      <c r="AS522" s="246"/>
      <c r="AT522" s="246"/>
      <c r="AU522" s="246"/>
      <c r="AV522" s="246"/>
      <c r="AW522" s="246"/>
      <c r="AX522" s="246"/>
      <c r="AY522" s="246"/>
      <c r="AZ522" s="246"/>
      <c r="BA522" s="246"/>
      <c r="BB522" s="246"/>
      <c r="BC522" s="246"/>
      <c r="BD522" s="246"/>
      <c r="BE522" s="246"/>
      <c r="BF522" s="246"/>
      <c r="BG522" s="246"/>
      <c r="BH522" s="246"/>
      <c r="BI522" s="246"/>
      <c r="BJ522" s="246"/>
    </row>
    <row r="523" spans="2:62" ht="15.75">
      <c r="B523" s="7"/>
      <c r="C523" s="334"/>
      <c r="D523" s="334"/>
      <c r="E523" s="334"/>
      <c r="F523" s="334"/>
      <c r="G523" s="334"/>
      <c r="H523" s="334"/>
      <c r="I523" s="334"/>
      <c r="J523" s="334"/>
      <c r="K523" s="334"/>
      <c r="L523" s="334"/>
      <c r="M523" s="399"/>
      <c r="N523" s="334"/>
      <c r="O523" s="334"/>
      <c r="P523" s="334"/>
      <c r="Q523" s="334"/>
      <c r="R523" s="334"/>
      <c r="S523" s="399"/>
      <c r="T523" s="334"/>
      <c r="U523" s="334"/>
      <c r="V523" s="334"/>
      <c r="W523" s="334"/>
      <c r="X523" s="334"/>
      <c r="Y523" s="246"/>
      <c r="Z523" s="246"/>
      <c r="AA523" s="246"/>
      <c r="AB523" s="246"/>
      <c r="AC523" s="246"/>
      <c r="AD523" s="246"/>
      <c r="AE523" s="246"/>
      <c r="AF523" s="246"/>
      <c r="AG523" s="246"/>
      <c r="AH523" s="246"/>
      <c r="AI523" s="246"/>
      <c r="AJ523" s="246"/>
      <c r="AK523" s="246"/>
      <c r="AL523" s="246"/>
      <c r="AM523" s="246"/>
      <c r="AN523" s="246"/>
      <c r="AO523" s="246"/>
      <c r="AP523" s="246"/>
      <c r="AQ523" s="246"/>
      <c r="AR523" s="246"/>
      <c r="AS523" s="246"/>
      <c r="AT523" s="246"/>
      <c r="AU523" s="246"/>
      <c r="AV523" s="246"/>
      <c r="AW523" s="246"/>
      <c r="AX523" s="246"/>
      <c r="AY523" s="246"/>
      <c r="AZ523" s="246"/>
      <c r="BA523" s="246"/>
      <c r="BB523" s="246"/>
      <c r="BC523" s="246"/>
      <c r="BD523" s="246"/>
      <c r="BE523" s="246"/>
      <c r="BF523" s="246"/>
      <c r="BG523" s="246"/>
      <c r="BH523" s="246"/>
      <c r="BI523" s="246"/>
      <c r="BJ523" s="246"/>
    </row>
    <row r="524" spans="2:62" ht="15.75">
      <c r="B524" s="7"/>
      <c r="C524" s="334"/>
      <c r="D524" s="334"/>
      <c r="E524" s="334"/>
      <c r="F524" s="334"/>
      <c r="G524" s="334"/>
      <c r="H524" s="334"/>
      <c r="I524" s="334"/>
      <c r="J524" s="334"/>
      <c r="K524" s="334"/>
      <c r="L524" s="334"/>
      <c r="M524" s="399"/>
      <c r="N524" s="334"/>
      <c r="O524" s="334"/>
      <c r="P524" s="334"/>
      <c r="Q524" s="334"/>
      <c r="R524" s="334"/>
      <c r="S524" s="399"/>
      <c r="T524" s="334"/>
      <c r="U524" s="334"/>
      <c r="V524" s="334"/>
      <c r="W524" s="334"/>
      <c r="X524" s="334"/>
      <c r="Y524" s="246"/>
      <c r="Z524" s="246"/>
      <c r="AA524" s="246"/>
      <c r="AB524" s="246"/>
      <c r="AC524" s="246"/>
      <c r="AD524" s="246"/>
      <c r="AE524" s="246"/>
      <c r="AF524" s="246"/>
      <c r="AG524" s="246"/>
      <c r="AH524" s="246"/>
      <c r="AI524" s="246"/>
      <c r="AJ524" s="246"/>
      <c r="AK524" s="246"/>
      <c r="AL524" s="246"/>
      <c r="AM524" s="246"/>
      <c r="AN524" s="246"/>
      <c r="AO524" s="246"/>
      <c r="AP524" s="246"/>
      <c r="AQ524" s="246"/>
      <c r="AR524" s="246"/>
      <c r="AS524" s="246"/>
      <c r="AT524" s="246"/>
      <c r="AU524" s="246"/>
      <c r="AV524" s="246"/>
      <c r="AW524" s="246"/>
      <c r="AX524" s="246"/>
      <c r="AY524" s="246"/>
      <c r="AZ524" s="246"/>
      <c r="BA524" s="246"/>
      <c r="BB524" s="246"/>
      <c r="BC524" s="246"/>
      <c r="BD524" s="246"/>
      <c r="BE524" s="246"/>
      <c r="BF524" s="246"/>
      <c r="BG524" s="246"/>
      <c r="BH524" s="246"/>
      <c r="BI524" s="246"/>
      <c r="BJ524" s="246"/>
    </row>
    <row r="525" spans="2:62" ht="15.75">
      <c r="B525" s="7"/>
      <c r="C525" s="334"/>
      <c r="D525" s="334"/>
      <c r="E525" s="334"/>
      <c r="F525" s="334"/>
      <c r="G525" s="334"/>
      <c r="H525" s="334"/>
      <c r="I525" s="334"/>
      <c r="J525" s="334"/>
      <c r="K525" s="334"/>
      <c r="L525" s="334"/>
      <c r="M525" s="399"/>
      <c r="N525" s="334"/>
      <c r="O525" s="334"/>
      <c r="P525" s="334"/>
      <c r="Q525" s="334"/>
      <c r="R525" s="334"/>
      <c r="S525" s="334"/>
      <c r="T525" s="334"/>
      <c r="U525" s="334"/>
      <c r="V525" s="334"/>
      <c r="W525" s="334"/>
      <c r="X525" s="334"/>
      <c r="Y525" s="246"/>
      <c r="Z525" s="246"/>
      <c r="AA525" s="246"/>
      <c r="AB525" s="246"/>
      <c r="AC525" s="246"/>
      <c r="AD525" s="246"/>
      <c r="AE525" s="246"/>
      <c r="AF525" s="246"/>
      <c r="AG525" s="246"/>
      <c r="AH525" s="246"/>
      <c r="AI525" s="246"/>
      <c r="AJ525" s="246"/>
      <c r="AK525" s="246"/>
      <c r="AL525" s="246"/>
      <c r="AM525" s="246"/>
      <c r="AN525" s="246"/>
      <c r="AO525" s="246"/>
      <c r="AP525" s="246"/>
      <c r="AQ525" s="246"/>
      <c r="AR525" s="246"/>
      <c r="AS525" s="246"/>
      <c r="AT525" s="246"/>
      <c r="AU525" s="246"/>
      <c r="AV525" s="246"/>
      <c r="AW525" s="246"/>
      <c r="AX525" s="246"/>
      <c r="AY525" s="246"/>
      <c r="AZ525" s="246"/>
      <c r="BA525" s="246"/>
      <c r="BB525" s="246"/>
      <c r="BC525" s="246"/>
      <c r="BD525" s="246"/>
      <c r="BE525" s="246"/>
      <c r="BF525" s="246"/>
      <c r="BG525" s="246"/>
      <c r="BH525" s="246"/>
      <c r="BI525" s="246"/>
      <c r="BJ525" s="246"/>
    </row>
    <row r="526" spans="2:62" ht="15.75">
      <c r="B526" s="7"/>
      <c r="C526" s="334"/>
      <c r="D526" s="334"/>
      <c r="E526" s="334"/>
      <c r="F526" s="334"/>
      <c r="G526" s="334"/>
      <c r="H526" s="334"/>
      <c r="I526" s="334"/>
      <c r="J526" s="398"/>
      <c r="K526" s="398"/>
      <c r="L526" s="398"/>
      <c r="M526" s="401"/>
      <c r="N526" s="398"/>
      <c r="O526" s="398"/>
      <c r="P526" s="398"/>
      <c r="Q526" s="334"/>
      <c r="R526" s="334"/>
      <c r="S526" s="398"/>
      <c r="T526" s="334"/>
      <c r="U526" s="334"/>
      <c r="V526" s="334"/>
      <c r="W526" s="334"/>
      <c r="X526" s="334"/>
      <c r="Y526" s="246"/>
      <c r="Z526" s="246"/>
      <c r="AA526" s="246"/>
      <c r="AB526" s="246"/>
      <c r="AC526" s="246"/>
      <c r="AD526" s="246"/>
      <c r="AE526" s="246"/>
      <c r="AF526" s="246"/>
      <c r="AG526" s="246"/>
      <c r="AH526" s="246"/>
      <c r="AI526" s="246"/>
      <c r="AJ526" s="246"/>
      <c r="AK526" s="246"/>
      <c r="AL526" s="246"/>
      <c r="AM526" s="246"/>
      <c r="AN526" s="246"/>
      <c r="AO526" s="246"/>
      <c r="AP526" s="246"/>
      <c r="AQ526" s="246"/>
      <c r="AR526" s="246"/>
      <c r="AS526" s="246"/>
      <c r="AT526" s="246"/>
      <c r="AU526" s="246"/>
      <c r="AV526" s="246"/>
      <c r="AW526" s="246"/>
      <c r="AX526" s="246"/>
      <c r="AY526" s="246"/>
      <c r="AZ526" s="246"/>
      <c r="BA526" s="246"/>
      <c r="BB526" s="246"/>
      <c r="BC526" s="246"/>
      <c r="BD526" s="246"/>
      <c r="BE526" s="246"/>
      <c r="BF526" s="246"/>
      <c r="BG526" s="246"/>
      <c r="BH526" s="246"/>
      <c r="BI526" s="246"/>
      <c r="BJ526" s="246"/>
    </row>
    <row r="527" spans="2:62" ht="15.75">
      <c r="B527" s="7"/>
      <c r="C527" s="334"/>
      <c r="D527" s="334"/>
      <c r="E527" s="334"/>
      <c r="F527" s="334"/>
      <c r="G527" s="334"/>
      <c r="H527" s="334"/>
      <c r="I527" s="334"/>
      <c r="J527" s="334"/>
      <c r="K527" s="334"/>
      <c r="L527" s="334"/>
      <c r="M527" s="334"/>
      <c r="N527" s="334"/>
      <c r="O527" s="334"/>
      <c r="P527" s="334"/>
      <c r="Q527" s="334"/>
      <c r="R527" s="334"/>
      <c r="S527" s="334"/>
      <c r="T527" s="334"/>
      <c r="U527" s="334"/>
      <c r="V527" s="334"/>
      <c r="W527" s="334"/>
      <c r="X527" s="334"/>
      <c r="Y527" s="246"/>
      <c r="Z527" s="246"/>
      <c r="AA527" s="246"/>
      <c r="AB527" s="246"/>
      <c r="AC527" s="246"/>
      <c r="AD527" s="246"/>
      <c r="AE527" s="246"/>
      <c r="AF527" s="246"/>
      <c r="AG527" s="246"/>
      <c r="AH527" s="246"/>
      <c r="AI527" s="246"/>
      <c r="AJ527" s="246"/>
      <c r="AK527" s="246"/>
      <c r="AL527" s="246"/>
      <c r="AM527" s="246"/>
      <c r="AN527" s="246"/>
      <c r="AO527" s="246"/>
      <c r="AP527" s="246"/>
      <c r="AQ527" s="246"/>
      <c r="AR527" s="246"/>
      <c r="AS527" s="246"/>
      <c r="AT527" s="246"/>
      <c r="AU527" s="246"/>
      <c r="AV527" s="246"/>
      <c r="AW527" s="246"/>
      <c r="AX527" s="246"/>
      <c r="AY527" s="246"/>
      <c r="AZ527" s="246"/>
      <c r="BA527" s="246"/>
      <c r="BB527" s="246"/>
      <c r="BC527" s="246"/>
      <c r="BD527" s="246"/>
      <c r="BE527" s="246"/>
      <c r="BF527" s="246"/>
      <c r="BG527" s="246"/>
      <c r="BH527" s="246"/>
      <c r="BI527" s="246"/>
      <c r="BJ527" s="246"/>
    </row>
    <row r="528" spans="2:62" ht="15.75">
      <c r="B528" s="7"/>
      <c r="C528" s="334"/>
      <c r="D528" s="334"/>
      <c r="E528" s="334"/>
      <c r="F528" s="334"/>
      <c r="G528" s="334"/>
      <c r="H528" s="334"/>
      <c r="I528" s="334"/>
      <c r="J528" s="334"/>
      <c r="K528" s="334"/>
      <c r="L528" s="334"/>
      <c r="M528" s="334"/>
      <c r="N528" s="334"/>
      <c r="O528" s="334"/>
      <c r="P528" s="334"/>
      <c r="Q528" s="334"/>
      <c r="R528" s="334"/>
      <c r="S528" s="334"/>
      <c r="T528" s="334"/>
      <c r="U528" s="334"/>
      <c r="V528" s="334"/>
      <c r="W528" s="334"/>
      <c r="X528" s="334"/>
      <c r="Y528" s="246"/>
      <c r="Z528" s="246"/>
      <c r="AA528" s="246"/>
      <c r="AB528" s="246"/>
      <c r="AC528" s="246"/>
      <c r="AD528" s="246"/>
      <c r="AE528" s="246"/>
      <c r="AF528" s="246"/>
      <c r="AG528" s="246"/>
      <c r="AH528" s="246"/>
      <c r="AI528" s="246"/>
      <c r="AJ528" s="246"/>
      <c r="AK528" s="246"/>
      <c r="AL528" s="246"/>
      <c r="AM528" s="246"/>
      <c r="AN528" s="246"/>
      <c r="AO528" s="246"/>
      <c r="AP528" s="246"/>
      <c r="AQ528" s="246"/>
      <c r="AR528" s="246"/>
      <c r="AS528" s="246"/>
      <c r="AT528" s="246"/>
      <c r="AU528" s="246"/>
      <c r="AV528" s="246"/>
      <c r="AW528" s="246"/>
      <c r="AX528" s="246"/>
      <c r="AY528" s="246"/>
      <c r="AZ528" s="246"/>
      <c r="BA528" s="246"/>
      <c r="BB528" s="246"/>
      <c r="BC528" s="246"/>
      <c r="BD528" s="246"/>
      <c r="BE528" s="246"/>
      <c r="BF528" s="246"/>
      <c r="BG528" s="246"/>
      <c r="BH528" s="246"/>
      <c r="BI528" s="246"/>
      <c r="BJ528" s="246"/>
    </row>
    <row r="529" spans="2:62" ht="15.75">
      <c r="B529" s="7"/>
      <c r="C529" s="334"/>
      <c r="D529" s="334"/>
      <c r="E529" s="334"/>
      <c r="F529" s="334"/>
      <c r="G529" s="334"/>
      <c r="H529" s="334"/>
      <c r="I529" s="334"/>
      <c r="J529" s="334"/>
      <c r="K529" s="334"/>
      <c r="L529" s="334"/>
      <c r="M529" s="334"/>
      <c r="N529" s="334"/>
      <c r="O529" s="334"/>
      <c r="P529" s="334"/>
      <c r="Q529" s="334"/>
      <c r="R529" s="334"/>
      <c r="S529" s="334"/>
      <c r="T529" s="334"/>
      <c r="U529" s="334"/>
      <c r="V529" s="334"/>
      <c r="W529" s="334"/>
      <c r="X529" s="334"/>
      <c r="Y529" s="246"/>
      <c r="Z529" s="246"/>
      <c r="AA529" s="246"/>
      <c r="AB529" s="246"/>
      <c r="AC529" s="246"/>
      <c r="AD529" s="246"/>
      <c r="AE529" s="246"/>
      <c r="AF529" s="246"/>
      <c r="AG529" s="246"/>
      <c r="AH529" s="246"/>
      <c r="AI529" s="246"/>
      <c r="AJ529" s="246"/>
      <c r="AK529" s="246"/>
      <c r="AL529" s="246"/>
      <c r="AM529" s="246"/>
      <c r="AN529" s="246"/>
      <c r="AO529" s="246"/>
      <c r="AP529" s="246"/>
      <c r="AQ529" s="246"/>
      <c r="AR529" s="246"/>
      <c r="AS529" s="246"/>
      <c r="AT529" s="246"/>
      <c r="AU529" s="246"/>
      <c r="AV529" s="246"/>
      <c r="AW529" s="246"/>
      <c r="AX529" s="246"/>
      <c r="AY529" s="246"/>
      <c r="AZ529" s="246"/>
      <c r="BA529" s="246"/>
      <c r="BB529" s="246"/>
      <c r="BC529" s="246"/>
      <c r="BD529" s="246"/>
      <c r="BE529" s="246"/>
      <c r="BF529" s="246"/>
      <c r="BG529" s="246"/>
      <c r="BH529" s="246"/>
      <c r="BI529" s="246"/>
      <c r="BJ529" s="246"/>
    </row>
    <row r="530" spans="2:62" ht="18.75">
      <c r="B530" s="7"/>
      <c r="C530" s="402"/>
      <c r="D530" s="403"/>
      <c r="E530" s="403"/>
      <c r="F530" s="403"/>
      <c r="G530" s="403"/>
      <c r="H530" s="403"/>
      <c r="I530" s="403"/>
      <c r="J530" s="403"/>
      <c r="K530" s="403"/>
      <c r="L530" s="403"/>
      <c r="M530" s="403"/>
      <c r="N530" s="403"/>
      <c r="O530" s="403"/>
      <c r="P530" s="403"/>
      <c r="Q530" s="403"/>
      <c r="R530" s="403"/>
      <c r="S530" s="403"/>
      <c r="T530" s="334"/>
      <c r="U530" s="334"/>
      <c r="V530" s="334"/>
      <c r="W530" s="334"/>
      <c r="X530" s="334"/>
      <c r="Y530" s="246"/>
      <c r="Z530" s="246"/>
      <c r="AA530" s="246"/>
      <c r="AB530" s="246"/>
      <c r="AC530" s="246"/>
      <c r="AD530" s="246"/>
      <c r="AE530" s="246"/>
      <c r="AF530" s="246"/>
      <c r="AG530" s="246"/>
      <c r="AH530" s="246"/>
      <c r="AI530" s="246"/>
      <c r="AJ530" s="246"/>
      <c r="AK530" s="246"/>
      <c r="AL530" s="246"/>
      <c r="AM530" s="246"/>
      <c r="AN530" s="246"/>
      <c r="AO530" s="246"/>
      <c r="AP530" s="246"/>
      <c r="AQ530" s="246"/>
      <c r="AR530" s="246"/>
      <c r="AS530" s="246"/>
      <c r="AT530" s="246"/>
      <c r="AU530" s="246"/>
      <c r="AV530" s="246"/>
      <c r="AW530" s="246"/>
      <c r="AX530" s="246"/>
      <c r="AY530" s="246"/>
      <c r="AZ530" s="246"/>
      <c r="BA530" s="246"/>
      <c r="BB530" s="246"/>
      <c r="BC530" s="246"/>
      <c r="BD530" s="246"/>
      <c r="BE530" s="246"/>
      <c r="BF530" s="246"/>
      <c r="BG530" s="246"/>
      <c r="BH530" s="246"/>
      <c r="BI530" s="246"/>
      <c r="BJ530" s="246"/>
    </row>
    <row r="531" spans="2:62" ht="15.75">
      <c r="B531" s="7"/>
      <c r="C531" s="334"/>
      <c r="D531" s="334"/>
      <c r="E531" s="334"/>
      <c r="F531" s="334"/>
      <c r="G531" s="334"/>
      <c r="H531" s="334"/>
      <c r="I531" s="334"/>
      <c r="J531" s="334"/>
      <c r="K531" s="334"/>
      <c r="L531" s="334"/>
      <c r="M531" s="334"/>
      <c r="N531" s="334"/>
      <c r="O531" s="334"/>
      <c r="P531" s="334"/>
      <c r="Q531" s="404"/>
      <c r="R531" s="334"/>
      <c r="S531" s="334"/>
      <c r="T531" s="334"/>
      <c r="U531" s="334"/>
      <c r="V531" s="334"/>
      <c r="W531" s="334"/>
      <c r="X531" s="334"/>
      <c r="Y531" s="246"/>
      <c r="Z531" s="246"/>
      <c r="AA531" s="246"/>
      <c r="AB531" s="246"/>
      <c r="AC531" s="246"/>
      <c r="AD531" s="246"/>
      <c r="AE531" s="246"/>
      <c r="AF531" s="246"/>
      <c r="AG531" s="246"/>
      <c r="AH531" s="246"/>
      <c r="AI531" s="246"/>
      <c r="AJ531" s="246"/>
      <c r="AK531" s="246"/>
      <c r="AL531" s="246"/>
      <c r="AM531" s="246"/>
      <c r="AN531" s="246"/>
      <c r="AO531" s="246"/>
      <c r="AP531" s="246"/>
      <c r="AQ531" s="246"/>
      <c r="AR531" s="246"/>
      <c r="AS531" s="246"/>
      <c r="AT531" s="246"/>
      <c r="AU531" s="246"/>
      <c r="AV531" s="246"/>
      <c r="AW531" s="246"/>
      <c r="AX531" s="246"/>
      <c r="AY531" s="246"/>
      <c r="AZ531" s="246"/>
      <c r="BA531" s="246"/>
      <c r="BB531" s="246"/>
      <c r="BC531" s="246"/>
      <c r="BD531" s="246"/>
      <c r="BE531" s="246"/>
      <c r="BF531" s="246"/>
      <c r="BG531" s="246"/>
      <c r="BH531" s="246"/>
      <c r="BI531" s="246"/>
      <c r="BJ531" s="246"/>
    </row>
    <row r="532" spans="2:62" ht="15.75">
      <c r="B532" s="7"/>
      <c r="C532" s="334"/>
      <c r="D532" s="334"/>
      <c r="E532" s="334"/>
      <c r="F532" s="334"/>
      <c r="G532" s="334"/>
      <c r="H532" s="334"/>
      <c r="I532" s="334"/>
      <c r="J532" s="334"/>
      <c r="K532" s="334"/>
      <c r="L532" s="405"/>
      <c r="M532" s="406"/>
      <c r="N532" s="406"/>
      <c r="O532" s="334"/>
      <c r="P532" s="405"/>
      <c r="Q532" s="406"/>
      <c r="R532" s="406"/>
      <c r="S532" s="405"/>
      <c r="T532" s="334"/>
      <c r="U532" s="334"/>
      <c r="V532" s="334"/>
      <c r="W532" s="334"/>
      <c r="X532" s="334"/>
      <c r="Y532" s="246"/>
      <c r="Z532" s="246"/>
      <c r="AA532" s="246"/>
      <c r="AB532" s="246"/>
      <c r="AC532" s="246"/>
      <c r="AD532" s="246"/>
      <c r="AE532" s="246"/>
      <c r="AF532" s="246"/>
      <c r="AG532" s="246"/>
      <c r="AH532" s="246"/>
      <c r="AI532" s="246"/>
      <c r="AJ532" s="246"/>
      <c r="AK532" s="246"/>
      <c r="AL532" s="246"/>
      <c r="AM532" s="246"/>
      <c r="AN532" s="246"/>
      <c r="AO532" s="246"/>
      <c r="AP532" s="246"/>
      <c r="AQ532" s="246"/>
      <c r="AR532" s="246"/>
      <c r="AS532" s="246"/>
      <c r="AT532" s="246"/>
      <c r="AU532" s="246"/>
      <c r="AV532" s="246"/>
      <c r="AW532" s="246"/>
      <c r="AX532" s="246"/>
      <c r="AY532" s="246"/>
      <c r="AZ532" s="246"/>
      <c r="BA532" s="246"/>
      <c r="BB532" s="246"/>
      <c r="BC532" s="246"/>
      <c r="BD532" s="246"/>
      <c r="BE532" s="246"/>
      <c r="BF532" s="246"/>
      <c r="BG532" s="246"/>
      <c r="BH532" s="246"/>
      <c r="BI532" s="246"/>
      <c r="BJ532" s="246"/>
    </row>
    <row r="533" spans="2:62" ht="15.75">
      <c r="B533" s="7"/>
      <c r="C533" s="334"/>
      <c r="D533" s="334"/>
      <c r="E533" s="405"/>
      <c r="F533" s="407"/>
      <c r="G533" s="334"/>
      <c r="H533" s="405"/>
      <c r="I533" s="407"/>
      <c r="J533" s="406"/>
      <c r="K533" s="398"/>
      <c r="L533" s="405"/>
      <c r="M533" s="406"/>
      <c r="N533" s="406"/>
      <c r="O533" s="398"/>
      <c r="P533" s="405"/>
      <c r="Q533" s="406"/>
      <c r="R533" s="406"/>
      <c r="S533" s="405"/>
      <c r="T533" s="334"/>
      <c r="U533" s="334"/>
      <c r="V533" s="334"/>
      <c r="W533" s="334"/>
      <c r="X533" s="334"/>
      <c r="Y533" s="246"/>
      <c r="Z533" s="246"/>
      <c r="AA533" s="246"/>
      <c r="AB533" s="246"/>
      <c r="AC533" s="246"/>
      <c r="AD533" s="246"/>
      <c r="AE533" s="246"/>
      <c r="AF533" s="246"/>
      <c r="AG533" s="246"/>
      <c r="AH533" s="246"/>
      <c r="AI533" s="246"/>
      <c r="AJ533" s="246"/>
      <c r="AK533" s="246"/>
      <c r="AL533" s="246"/>
      <c r="AM533" s="246"/>
      <c r="AN533" s="246"/>
      <c r="AO533" s="246"/>
      <c r="AP533" s="246"/>
      <c r="AQ533" s="246"/>
      <c r="AR533" s="246"/>
      <c r="AS533" s="246"/>
      <c r="AT533" s="246"/>
      <c r="AU533" s="246"/>
      <c r="AV533" s="246"/>
      <c r="AW533" s="246"/>
      <c r="AX533" s="246"/>
      <c r="AY533" s="246"/>
      <c r="AZ533" s="246"/>
      <c r="BA533" s="246"/>
      <c r="BB533" s="246"/>
      <c r="BC533" s="246"/>
      <c r="BD533" s="246"/>
      <c r="BE533" s="246"/>
      <c r="BF533" s="246"/>
      <c r="BG533" s="246"/>
      <c r="BH533" s="246"/>
      <c r="BI533" s="246"/>
      <c r="BJ533" s="246"/>
    </row>
    <row r="534" spans="2:62" ht="15.75">
      <c r="B534" s="7"/>
      <c r="C534" s="334"/>
      <c r="D534" s="408"/>
      <c r="E534" s="407"/>
      <c r="F534" s="407"/>
      <c r="G534" s="408"/>
      <c r="H534" s="407"/>
      <c r="I534" s="407"/>
      <c r="J534" s="407"/>
      <c r="K534" s="407"/>
      <c r="L534" s="407"/>
      <c r="M534" s="407"/>
      <c r="N534" s="407"/>
      <c r="O534" s="407"/>
      <c r="P534" s="407"/>
      <c r="Q534" s="407"/>
      <c r="R534" s="407"/>
      <c r="S534" s="407"/>
      <c r="T534" s="334"/>
      <c r="U534" s="334"/>
      <c r="V534" s="334"/>
      <c r="W534" s="334"/>
      <c r="X534" s="334"/>
      <c r="Y534" s="246"/>
      <c r="Z534" s="246"/>
      <c r="AA534" s="246"/>
      <c r="AB534" s="246"/>
      <c r="AC534" s="246"/>
      <c r="AD534" s="246"/>
      <c r="AE534" s="246"/>
      <c r="AF534" s="246"/>
      <c r="AG534" s="246"/>
      <c r="AH534" s="246"/>
      <c r="AI534" s="246"/>
      <c r="AJ534" s="246"/>
      <c r="AK534" s="246"/>
      <c r="AL534" s="246"/>
      <c r="AM534" s="246"/>
      <c r="AN534" s="246"/>
      <c r="AO534" s="246"/>
      <c r="AP534" s="246"/>
      <c r="AQ534" s="246"/>
      <c r="AR534" s="246"/>
      <c r="AS534" s="246"/>
      <c r="AT534" s="246"/>
      <c r="AU534" s="246"/>
      <c r="AV534" s="246"/>
      <c r="AW534" s="246"/>
      <c r="AX534" s="246"/>
      <c r="AY534" s="246"/>
      <c r="AZ534" s="246"/>
      <c r="BA534" s="246"/>
      <c r="BB534" s="246"/>
      <c r="BC534" s="246"/>
      <c r="BD534" s="246"/>
      <c r="BE534" s="246"/>
      <c r="BF534" s="246"/>
      <c r="BG534" s="246"/>
      <c r="BH534" s="246"/>
      <c r="BI534" s="246"/>
      <c r="BJ534" s="246"/>
    </row>
    <row r="535" spans="2:62" ht="15.75">
      <c r="B535" s="7"/>
      <c r="C535" s="398"/>
      <c r="D535" s="334"/>
      <c r="E535" s="334"/>
      <c r="F535" s="334"/>
      <c r="G535" s="334"/>
      <c r="H535" s="334"/>
      <c r="I535" s="334"/>
      <c r="J535" s="334"/>
      <c r="K535" s="334"/>
      <c r="L535" s="334"/>
      <c r="M535" s="334"/>
      <c r="N535" s="334"/>
      <c r="O535" s="334"/>
      <c r="P535" s="334"/>
      <c r="Q535" s="334"/>
      <c r="R535" s="334"/>
      <c r="S535" s="334"/>
      <c r="T535" s="334"/>
      <c r="U535" s="334"/>
      <c r="V535" s="334"/>
      <c r="W535" s="334"/>
      <c r="X535" s="334"/>
      <c r="Y535" s="246"/>
      <c r="Z535" s="246"/>
      <c r="AA535" s="246"/>
      <c r="AB535" s="246"/>
      <c r="AC535" s="246"/>
      <c r="AD535" s="246"/>
      <c r="AE535" s="246"/>
      <c r="AF535" s="246"/>
      <c r="AG535" s="246"/>
      <c r="AH535" s="246"/>
      <c r="AI535" s="246"/>
      <c r="AJ535" s="246"/>
      <c r="AK535" s="246"/>
      <c r="AL535" s="246"/>
      <c r="AM535" s="246"/>
      <c r="AN535" s="246"/>
      <c r="AO535" s="246"/>
      <c r="AP535" s="246"/>
      <c r="AQ535" s="246"/>
      <c r="AR535" s="246"/>
      <c r="AS535" s="246"/>
      <c r="AT535" s="246"/>
      <c r="AU535" s="246"/>
      <c r="AV535" s="246"/>
      <c r="AW535" s="246"/>
      <c r="AX535" s="246"/>
      <c r="AY535" s="246"/>
      <c r="AZ535" s="246"/>
      <c r="BA535" s="246"/>
      <c r="BB535" s="246"/>
      <c r="BC535" s="246"/>
      <c r="BD535" s="246"/>
      <c r="BE535" s="246"/>
      <c r="BF535" s="246"/>
      <c r="BG535" s="246"/>
      <c r="BH535" s="246"/>
      <c r="BI535" s="246"/>
      <c r="BJ535" s="246"/>
    </row>
    <row r="536" spans="2:62" ht="15.75">
      <c r="B536" s="7"/>
      <c r="C536" s="334"/>
      <c r="D536" s="334"/>
      <c r="E536" s="334"/>
      <c r="F536" s="334"/>
      <c r="G536" s="334"/>
      <c r="H536" s="334"/>
      <c r="I536" s="334"/>
      <c r="J536" s="334"/>
      <c r="K536" s="334"/>
      <c r="L536" s="334"/>
      <c r="M536" s="334"/>
      <c r="N536" s="334"/>
      <c r="O536" s="334"/>
      <c r="P536" s="334"/>
      <c r="Q536" s="334"/>
      <c r="R536" s="334"/>
      <c r="S536" s="334"/>
      <c r="T536" s="334"/>
      <c r="U536" s="334"/>
      <c r="V536" s="334"/>
      <c r="W536" s="334"/>
      <c r="X536" s="334"/>
      <c r="Y536" s="246"/>
      <c r="Z536" s="246"/>
      <c r="AA536" s="246"/>
      <c r="AB536" s="246"/>
      <c r="AC536" s="246"/>
      <c r="AD536" s="246"/>
      <c r="AE536" s="246"/>
      <c r="AF536" s="246"/>
      <c r="AG536" s="246"/>
      <c r="AH536" s="246"/>
      <c r="AI536" s="246"/>
      <c r="AJ536" s="246"/>
      <c r="AK536" s="246"/>
      <c r="AL536" s="246"/>
      <c r="AM536" s="246"/>
      <c r="AN536" s="246"/>
      <c r="AO536" s="246"/>
      <c r="AP536" s="246"/>
      <c r="AQ536" s="246"/>
      <c r="AR536" s="246"/>
      <c r="AS536" s="246"/>
      <c r="AT536" s="246"/>
      <c r="AU536" s="246"/>
      <c r="AV536" s="246"/>
      <c r="AW536" s="246"/>
      <c r="AX536" s="246"/>
      <c r="AY536" s="246"/>
      <c r="AZ536" s="246"/>
      <c r="BA536" s="246"/>
      <c r="BB536" s="246"/>
      <c r="BC536" s="246"/>
      <c r="BD536" s="246"/>
      <c r="BE536" s="246"/>
      <c r="BF536" s="246"/>
      <c r="BG536" s="246"/>
      <c r="BH536" s="246"/>
      <c r="BI536" s="246"/>
      <c r="BJ536" s="246"/>
    </row>
    <row r="537" spans="2:62" ht="15.75">
      <c r="B537" s="7"/>
      <c r="C537" s="334"/>
      <c r="D537" s="334"/>
      <c r="E537" s="399"/>
      <c r="F537" s="409"/>
      <c r="G537" s="334"/>
      <c r="H537" s="399"/>
      <c r="I537" s="409"/>
      <c r="J537" s="409"/>
      <c r="K537" s="399"/>
      <c r="L537" s="409"/>
      <c r="M537" s="399"/>
      <c r="N537" s="409"/>
      <c r="O537" s="399"/>
      <c r="P537" s="409"/>
      <c r="Q537" s="399"/>
      <c r="R537" s="399"/>
      <c r="S537" s="399"/>
      <c r="T537" s="334"/>
      <c r="U537" s="334"/>
      <c r="V537" s="334"/>
      <c r="W537" s="334"/>
      <c r="X537" s="334"/>
      <c r="Y537" s="246"/>
      <c r="Z537" s="246"/>
      <c r="AA537" s="246"/>
      <c r="AB537" s="246"/>
      <c r="AC537" s="246"/>
      <c r="AD537" s="246"/>
      <c r="AE537" s="246"/>
      <c r="AF537" s="246"/>
      <c r="AG537" s="246"/>
      <c r="AH537" s="246"/>
      <c r="AI537" s="246"/>
      <c r="AJ537" s="246"/>
      <c r="AK537" s="246"/>
      <c r="AL537" s="246"/>
      <c r="AM537" s="246"/>
      <c r="AN537" s="246"/>
      <c r="AO537" s="246"/>
      <c r="AP537" s="246"/>
      <c r="AQ537" s="246"/>
      <c r="AR537" s="246"/>
      <c r="AS537" s="246"/>
      <c r="AT537" s="246"/>
      <c r="AU537" s="246"/>
      <c r="AV537" s="246"/>
      <c r="AW537" s="246"/>
      <c r="AX537" s="246"/>
      <c r="AY537" s="246"/>
      <c r="AZ537" s="246"/>
      <c r="BA537" s="246"/>
      <c r="BB537" s="246"/>
      <c r="BC537" s="246"/>
      <c r="BD537" s="246"/>
      <c r="BE537" s="246"/>
      <c r="BF537" s="246"/>
      <c r="BG537" s="246"/>
      <c r="BH537" s="246"/>
      <c r="BI537" s="246"/>
      <c r="BJ537" s="246"/>
    </row>
    <row r="538" spans="2:62" ht="15.75">
      <c r="B538" s="7"/>
      <c r="C538" s="334"/>
      <c r="D538" s="334"/>
      <c r="E538" s="399"/>
      <c r="F538" s="409"/>
      <c r="G538" s="334"/>
      <c r="H538" s="399"/>
      <c r="I538" s="409"/>
      <c r="J538" s="409"/>
      <c r="K538" s="399"/>
      <c r="L538" s="409"/>
      <c r="M538" s="399"/>
      <c r="N538" s="409"/>
      <c r="O538" s="399"/>
      <c r="P538" s="409"/>
      <c r="Q538" s="399"/>
      <c r="R538" s="399"/>
      <c r="S538" s="399"/>
      <c r="T538" s="334"/>
      <c r="U538" s="334"/>
      <c r="V538" s="334"/>
      <c r="W538" s="334"/>
      <c r="X538" s="334"/>
      <c r="Y538" s="246"/>
      <c r="Z538" s="246"/>
      <c r="AA538" s="246"/>
      <c r="AB538" s="246"/>
      <c r="AC538" s="246"/>
      <c r="AD538" s="246"/>
      <c r="AE538" s="246"/>
      <c r="AF538" s="246"/>
      <c r="AG538" s="246"/>
      <c r="AH538" s="246"/>
      <c r="AI538" s="246"/>
      <c r="AJ538" s="246"/>
      <c r="AK538" s="246"/>
      <c r="AL538" s="246"/>
      <c r="AM538" s="246"/>
      <c r="AN538" s="246"/>
      <c r="AO538" s="246"/>
      <c r="AP538" s="246"/>
      <c r="AQ538" s="246"/>
      <c r="AR538" s="246"/>
      <c r="AS538" s="246"/>
      <c r="AT538" s="246"/>
      <c r="AU538" s="246"/>
      <c r="AV538" s="246"/>
      <c r="AW538" s="246"/>
      <c r="AX538" s="246"/>
      <c r="AY538" s="246"/>
      <c r="AZ538" s="246"/>
      <c r="BA538" s="246"/>
      <c r="BB538" s="246"/>
      <c r="BC538" s="246"/>
      <c r="BD538" s="246"/>
      <c r="BE538" s="246"/>
      <c r="BF538" s="246"/>
      <c r="BG538" s="246"/>
      <c r="BH538" s="246"/>
      <c r="BI538" s="246"/>
      <c r="BJ538" s="246"/>
    </row>
    <row r="539" spans="2:62" ht="15.75">
      <c r="B539" s="7"/>
      <c r="C539" s="334"/>
      <c r="D539" s="334"/>
      <c r="E539" s="399"/>
      <c r="F539" s="409"/>
      <c r="G539" s="334"/>
      <c r="H539" s="399"/>
      <c r="I539" s="409"/>
      <c r="J539" s="409"/>
      <c r="K539" s="399"/>
      <c r="L539" s="409"/>
      <c r="M539" s="399"/>
      <c r="N539" s="409"/>
      <c r="O539" s="399"/>
      <c r="P539" s="409"/>
      <c r="Q539" s="399"/>
      <c r="R539" s="399"/>
      <c r="S539" s="399"/>
      <c r="T539" s="334"/>
      <c r="U539" s="334"/>
      <c r="V539" s="334"/>
      <c r="W539" s="334"/>
      <c r="X539" s="334"/>
      <c r="Y539" s="246"/>
      <c r="Z539" s="246"/>
      <c r="AA539" s="246"/>
      <c r="AB539" s="246"/>
      <c r="AC539" s="246"/>
      <c r="AD539" s="246"/>
      <c r="AE539" s="246"/>
      <c r="AF539" s="246"/>
      <c r="AG539" s="246"/>
      <c r="AH539" s="246"/>
      <c r="AI539" s="246"/>
      <c r="AJ539" s="246"/>
      <c r="AK539" s="246"/>
      <c r="AL539" s="246"/>
      <c r="AM539" s="246"/>
      <c r="AN539" s="246"/>
      <c r="AO539" s="246"/>
      <c r="AP539" s="246"/>
      <c r="AQ539" s="246"/>
      <c r="AR539" s="246"/>
      <c r="AS539" s="246"/>
      <c r="AT539" s="246"/>
      <c r="AU539" s="246"/>
      <c r="AV539" s="246"/>
      <c r="AW539" s="246"/>
      <c r="AX539" s="246"/>
      <c r="AY539" s="246"/>
      <c r="AZ539" s="246"/>
      <c r="BA539" s="246"/>
      <c r="BB539" s="246"/>
      <c r="BC539" s="246"/>
      <c r="BD539" s="246"/>
      <c r="BE539" s="246"/>
      <c r="BF539" s="246"/>
      <c r="BG539" s="246"/>
      <c r="BH539" s="246"/>
      <c r="BI539" s="246"/>
      <c r="BJ539" s="246"/>
    </row>
    <row r="540" spans="2:62" ht="15.75">
      <c r="B540" s="7"/>
      <c r="C540" s="334"/>
      <c r="D540" s="334"/>
      <c r="E540" s="399"/>
      <c r="F540" s="409"/>
      <c r="G540" s="334"/>
      <c r="H540" s="399"/>
      <c r="I540" s="409"/>
      <c r="J540" s="409"/>
      <c r="K540" s="399"/>
      <c r="L540" s="409"/>
      <c r="M540" s="399"/>
      <c r="N540" s="409"/>
      <c r="O540" s="399"/>
      <c r="P540" s="409"/>
      <c r="Q540" s="399"/>
      <c r="R540" s="399"/>
      <c r="S540" s="399"/>
      <c r="T540" s="334"/>
      <c r="U540" s="334"/>
      <c r="V540" s="334"/>
      <c r="W540" s="334"/>
      <c r="X540" s="334"/>
      <c r="Y540" s="246"/>
      <c r="Z540" s="246"/>
      <c r="AA540" s="246"/>
      <c r="AB540" s="246"/>
      <c r="AC540" s="246"/>
      <c r="AD540" s="246"/>
      <c r="AE540" s="246"/>
      <c r="AF540" s="246"/>
      <c r="AG540" s="246"/>
      <c r="AH540" s="246"/>
      <c r="AI540" s="246"/>
      <c r="AJ540" s="246"/>
      <c r="AK540" s="246"/>
      <c r="AL540" s="246"/>
      <c r="AM540" s="246"/>
      <c r="AN540" s="246"/>
      <c r="AO540" s="246"/>
      <c r="AP540" s="246"/>
      <c r="AQ540" s="246"/>
      <c r="AR540" s="246"/>
      <c r="AS540" s="246"/>
      <c r="AT540" s="246"/>
      <c r="AU540" s="246"/>
      <c r="AV540" s="246"/>
      <c r="AW540" s="246"/>
      <c r="AX540" s="246"/>
      <c r="AY540" s="246"/>
      <c r="AZ540" s="246"/>
      <c r="BA540" s="246"/>
      <c r="BB540" s="246"/>
      <c r="BC540" s="246"/>
      <c r="BD540" s="246"/>
      <c r="BE540" s="246"/>
      <c r="BF540" s="246"/>
      <c r="BG540" s="246"/>
      <c r="BH540" s="246"/>
      <c r="BI540" s="246"/>
      <c r="BJ540" s="246"/>
    </row>
    <row r="541" spans="2:62" ht="15.75">
      <c r="B541" s="7"/>
      <c r="C541" s="334"/>
      <c r="D541" s="334"/>
      <c r="E541" s="399"/>
      <c r="F541" s="409"/>
      <c r="G541" s="334"/>
      <c r="H541" s="399"/>
      <c r="I541" s="409"/>
      <c r="J541" s="409"/>
      <c r="K541" s="399"/>
      <c r="L541" s="409"/>
      <c r="M541" s="399"/>
      <c r="N541" s="409"/>
      <c r="O541" s="399"/>
      <c r="P541" s="409"/>
      <c r="Q541" s="399"/>
      <c r="R541" s="399"/>
      <c r="S541" s="334"/>
      <c r="T541" s="334"/>
      <c r="U541" s="334"/>
      <c r="V541" s="334"/>
      <c r="W541" s="334"/>
      <c r="X541" s="334"/>
      <c r="Y541" s="246"/>
      <c r="Z541" s="246"/>
      <c r="AA541" s="246"/>
      <c r="AB541" s="246"/>
      <c r="AC541" s="246"/>
      <c r="AD541" s="246"/>
      <c r="AE541" s="246"/>
      <c r="AF541" s="246"/>
      <c r="AG541" s="246"/>
      <c r="AH541" s="246"/>
      <c r="AI541" s="246"/>
      <c r="AJ541" s="246"/>
      <c r="AK541" s="246"/>
      <c r="AL541" s="246"/>
      <c r="AM541" s="246"/>
      <c r="AN541" s="246"/>
      <c r="AO541" s="246"/>
      <c r="AP541" s="246"/>
      <c r="AQ541" s="246"/>
      <c r="AR541" s="246"/>
      <c r="AS541" s="246"/>
      <c r="AT541" s="246"/>
      <c r="AU541" s="246"/>
      <c r="AV541" s="246"/>
      <c r="AW541" s="246"/>
      <c r="AX541" s="246"/>
      <c r="AY541" s="246"/>
      <c r="AZ541" s="246"/>
      <c r="BA541" s="246"/>
      <c r="BB541" s="246"/>
      <c r="BC541" s="246"/>
      <c r="BD541" s="246"/>
      <c r="BE541" s="246"/>
      <c r="BF541" s="246"/>
      <c r="BG541" s="246"/>
      <c r="BH541" s="246"/>
      <c r="BI541" s="246"/>
      <c r="BJ541" s="246"/>
    </row>
    <row r="542" spans="2:62" ht="15.75">
      <c r="B542" s="7"/>
      <c r="C542" s="334"/>
      <c r="D542" s="334"/>
      <c r="E542" s="399"/>
      <c r="F542" s="409"/>
      <c r="G542" s="334"/>
      <c r="H542" s="399"/>
      <c r="I542" s="409"/>
      <c r="J542" s="409"/>
      <c r="K542" s="399"/>
      <c r="L542" s="409"/>
      <c r="M542" s="399"/>
      <c r="N542" s="409"/>
      <c r="O542" s="399"/>
      <c r="P542" s="409"/>
      <c r="Q542" s="399"/>
      <c r="R542" s="399"/>
      <c r="S542" s="399"/>
      <c r="T542" s="334"/>
      <c r="U542" s="334"/>
      <c r="V542" s="334"/>
      <c r="W542" s="334"/>
      <c r="X542" s="334"/>
      <c r="Y542" s="246"/>
      <c r="Z542" s="246"/>
      <c r="AA542" s="246"/>
      <c r="AB542" s="246"/>
      <c r="AC542" s="246"/>
      <c r="AD542" s="246"/>
      <c r="AE542" s="246"/>
      <c r="AF542" s="246"/>
      <c r="AG542" s="246"/>
      <c r="AH542" s="246"/>
      <c r="AI542" s="246"/>
      <c r="AJ542" s="246"/>
      <c r="AK542" s="246"/>
      <c r="AL542" s="246"/>
      <c r="AM542" s="246"/>
      <c r="AN542" s="246"/>
      <c r="AO542" s="246"/>
      <c r="AP542" s="246"/>
      <c r="AQ542" s="246"/>
      <c r="AR542" s="246"/>
      <c r="AS542" s="246"/>
      <c r="AT542" s="246"/>
      <c r="AU542" s="246"/>
      <c r="AV542" s="246"/>
      <c r="AW542" s="246"/>
      <c r="AX542" s="246"/>
      <c r="AY542" s="246"/>
      <c r="AZ542" s="246"/>
      <c r="BA542" s="246"/>
      <c r="BB542" s="246"/>
      <c r="BC542" s="246"/>
      <c r="BD542" s="246"/>
      <c r="BE542" s="246"/>
      <c r="BF542" s="246"/>
      <c r="BG542" s="246"/>
      <c r="BH542" s="246"/>
      <c r="BI542" s="246"/>
      <c r="BJ542" s="246"/>
    </row>
    <row r="543" spans="2:62" ht="15.75">
      <c r="B543" s="7"/>
      <c r="C543" s="334"/>
      <c r="D543" s="334"/>
      <c r="E543" s="399"/>
      <c r="F543" s="410"/>
      <c r="G543" s="334"/>
      <c r="H543" s="399"/>
      <c r="I543" s="410"/>
      <c r="J543" s="409"/>
      <c r="K543" s="399"/>
      <c r="L543" s="409"/>
      <c r="M543" s="399"/>
      <c r="N543" s="409"/>
      <c r="O543" s="399"/>
      <c r="P543" s="334"/>
      <c r="Q543" s="334"/>
      <c r="R543" s="399"/>
      <c r="S543" s="399"/>
      <c r="T543" s="334"/>
      <c r="U543" s="334"/>
      <c r="V543" s="334"/>
      <c r="W543" s="334"/>
      <c r="X543" s="334"/>
      <c r="Y543" s="246"/>
      <c r="Z543" s="246"/>
      <c r="AA543" s="246"/>
      <c r="AB543" s="246"/>
      <c r="AC543" s="246"/>
      <c r="AD543" s="246"/>
      <c r="AE543" s="246"/>
      <c r="AF543" s="246"/>
      <c r="AG543" s="246"/>
      <c r="AH543" s="246"/>
      <c r="AI543" s="246"/>
      <c r="AJ543" s="246"/>
      <c r="AK543" s="246"/>
      <c r="AL543" s="246"/>
      <c r="AM543" s="246"/>
      <c r="AN543" s="246"/>
      <c r="AO543" s="246"/>
      <c r="AP543" s="246"/>
      <c r="AQ543" s="246"/>
      <c r="AR543" s="246"/>
      <c r="AS543" s="246"/>
      <c r="AT543" s="246"/>
      <c r="AU543" s="246"/>
      <c r="AV543" s="246"/>
      <c r="AW543" s="246"/>
      <c r="AX543" s="246"/>
      <c r="AY543" s="246"/>
      <c r="AZ543" s="246"/>
      <c r="BA543" s="246"/>
      <c r="BB543" s="246"/>
      <c r="BC543" s="246"/>
      <c r="BD543" s="246"/>
      <c r="BE543" s="246"/>
      <c r="BF543" s="246"/>
      <c r="BG543" s="246"/>
      <c r="BH543" s="246"/>
      <c r="BI543" s="246"/>
      <c r="BJ543" s="246"/>
    </row>
    <row r="544" spans="2:62" ht="15.75">
      <c r="B544" s="7"/>
      <c r="C544" s="398"/>
      <c r="D544" s="398"/>
      <c r="E544" s="401"/>
      <c r="F544" s="411"/>
      <c r="G544" s="398"/>
      <c r="H544" s="401"/>
      <c r="I544" s="411"/>
      <c r="J544" s="411"/>
      <c r="K544" s="401"/>
      <c r="L544" s="411"/>
      <c r="M544" s="401"/>
      <c r="N544" s="411"/>
      <c r="O544" s="401"/>
      <c r="P544" s="411"/>
      <c r="Q544" s="401"/>
      <c r="R544" s="401"/>
      <c r="S544" s="398"/>
      <c r="T544" s="334"/>
      <c r="U544" s="334"/>
      <c r="V544" s="334"/>
      <c r="W544" s="334"/>
      <c r="X544" s="334"/>
      <c r="Y544" s="246"/>
      <c r="Z544" s="246"/>
      <c r="AA544" s="246"/>
      <c r="AB544" s="246"/>
      <c r="AC544" s="246"/>
      <c r="AD544" s="246"/>
      <c r="AE544" s="246"/>
      <c r="AF544" s="246"/>
      <c r="AG544" s="246"/>
      <c r="AH544" s="246"/>
      <c r="AI544" s="246"/>
      <c r="AJ544" s="246"/>
      <c r="AK544" s="246"/>
      <c r="AL544" s="246"/>
      <c r="AM544" s="246"/>
      <c r="AN544" s="246"/>
      <c r="AO544" s="246"/>
      <c r="AP544" s="246"/>
      <c r="AQ544" s="246"/>
      <c r="AR544" s="246"/>
      <c r="AS544" s="246"/>
      <c r="AT544" s="246"/>
      <c r="AU544" s="246"/>
      <c r="AV544" s="246"/>
      <c r="AW544" s="246"/>
      <c r="AX544" s="246"/>
      <c r="AY544" s="246"/>
      <c r="AZ544" s="246"/>
      <c r="BA544" s="246"/>
      <c r="BB544" s="246"/>
      <c r="BC544" s="246"/>
      <c r="BD544" s="246"/>
      <c r="BE544" s="246"/>
      <c r="BF544" s="246"/>
      <c r="BG544" s="246"/>
      <c r="BH544" s="246"/>
      <c r="BI544" s="246"/>
      <c r="BJ544" s="246"/>
    </row>
    <row r="545" spans="2:62" ht="15.75">
      <c r="B545" s="7"/>
      <c r="C545" s="334"/>
      <c r="D545" s="334"/>
      <c r="E545" s="399"/>
      <c r="F545" s="334"/>
      <c r="G545" s="334"/>
      <c r="H545" s="399"/>
      <c r="I545" s="334"/>
      <c r="J545" s="409"/>
      <c r="K545" s="399"/>
      <c r="L545" s="409"/>
      <c r="M545" s="399"/>
      <c r="N545" s="409"/>
      <c r="O545" s="399"/>
      <c r="P545" s="398"/>
      <c r="Q545" s="411"/>
      <c r="R545" s="411"/>
      <c r="S545" s="334"/>
      <c r="T545" s="334"/>
      <c r="U545" s="334"/>
      <c r="V545" s="334"/>
      <c r="W545" s="334"/>
      <c r="X545" s="334"/>
      <c r="Y545" s="246"/>
      <c r="Z545" s="246"/>
      <c r="AA545" s="246"/>
      <c r="AB545" s="246"/>
      <c r="AC545" s="246"/>
      <c r="AD545" s="246"/>
      <c r="AE545" s="246"/>
      <c r="AF545" s="246"/>
      <c r="AG545" s="246"/>
      <c r="AH545" s="246"/>
      <c r="AI545" s="246"/>
      <c r="AJ545" s="246"/>
      <c r="AK545" s="246"/>
      <c r="AL545" s="246"/>
      <c r="AM545" s="246"/>
      <c r="AN545" s="246"/>
      <c r="AO545" s="246"/>
      <c r="AP545" s="246"/>
      <c r="AQ545" s="246"/>
      <c r="AR545" s="246"/>
      <c r="AS545" s="246"/>
      <c r="AT545" s="246"/>
      <c r="AU545" s="246"/>
      <c r="AV545" s="246"/>
      <c r="AW545" s="246"/>
      <c r="AX545" s="246"/>
      <c r="AY545" s="246"/>
      <c r="AZ545" s="246"/>
      <c r="BA545" s="246"/>
      <c r="BB545" s="246"/>
      <c r="BC545" s="246"/>
      <c r="BD545" s="246"/>
      <c r="BE545" s="246"/>
      <c r="BF545" s="246"/>
      <c r="BG545" s="246"/>
      <c r="BH545" s="246"/>
      <c r="BI545" s="246"/>
      <c r="BJ545" s="246"/>
    </row>
    <row r="546" spans="2:62" ht="15.75">
      <c r="B546" s="7"/>
      <c r="C546" s="334"/>
      <c r="D546" s="334"/>
      <c r="E546" s="399"/>
      <c r="F546" s="334"/>
      <c r="G546" s="334"/>
      <c r="H546" s="399"/>
      <c r="I546" s="334"/>
      <c r="J546" s="409"/>
      <c r="K546" s="399"/>
      <c r="L546" s="409"/>
      <c r="M546" s="399"/>
      <c r="N546" s="409"/>
      <c r="O546" s="399"/>
      <c r="P546" s="334"/>
      <c r="Q546" s="334"/>
      <c r="R546" s="399"/>
      <c r="S546" s="334"/>
      <c r="T546" s="334"/>
      <c r="U546" s="334"/>
      <c r="V546" s="334"/>
      <c r="W546" s="334"/>
      <c r="X546" s="334"/>
      <c r="Y546" s="246"/>
      <c r="Z546" s="246"/>
      <c r="AA546" s="246"/>
      <c r="AB546" s="246"/>
      <c r="AC546" s="246"/>
      <c r="AD546" s="246"/>
      <c r="AE546" s="246"/>
      <c r="AF546" s="246"/>
      <c r="AG546" s="246"/>
      <c r="AH546" s="246"/>
      <c r="AI546" s="246"/>
      <c r="AJ546" s="246"/>
      <c r="AK546" s="246"/>
      <c r="AL546" s="246"/>
      <c r="AM546" s="246"/>
      <c r="AN546" s="246"/>
      <c r="AO546" s="246"/>
      <c r="AP546" s="246"/>
      <c r="AQ546" s="246"/>
      <c r="AR546" s="246"/>
      <c r="AS546" s="246"/>
      <c r="AT546" s="246"/>
      <c r="AU546" s="246"/>
      <c r="AV546" s="246"/>
      <c r="AW546" s="246"/>
      <c r="AX546" s="246"/>
      <c r="AY546" s="246"/>
      <c r="AZ546" s="246"/>
      <c r="BA546" s="246"/>
      <c r="BB546" s="246"/>
      <c r="BC546" s="246"/>
      <c r="BD546" s="246"/>
      <c r="BE546" s="246"/>
      <c r="BF546" s="246"/>
      <c r="BG546" s="246"/>
      <c r="BH546" s="246"/>
      <c r="BI546" s="246"/>
      <c r="BJ546" s="246"/>
    </row>
    <row r="547" spans="2:62" ht="15.75">
      <c r="B547" s="7"/>
      <c r="C547" s="398"/>
      <c r="D547" s="334"/>
      <c r="E547" s="399"/>
      <c r="F547" s="334"/>
      <c r="G547" s="334"/>
      <c r="H547" s="399"/>
      <c r="I547" s="334"/>
      <c r="J547" s="409"/>
      <c r="K547" s="399"/>
      <c r="L547" s="409"/>
      <c r="M547" s="399"/>
      <c r="N547" s="409"/>
      <c r="O547" s="399"/>
      <c r="P547" s="334"/>
      <c r="Q547" s="334"/>
      <c r="R547" s="399"/>
      <c r="S547" s="334"/>
      <c r="T547" s="334"/>
      <c r="U547" s="334"/>
      <c r="V547" s="334"/>
      <c r="W547" s="334"/>
      <c r="X547" s="334"/>
      <c r="Y547" s="246"/>
      <c r="Z547" s="246"/>
      <c r="AA547" s="246"/>
      <c r="AB547" s="246"/>
      <c r="AC547" s="246"/>
      <c r="AD547" s="246"/>
      <c r="AE547" s="246"/>
      <c r="AF547" s="246"/>
      <c r="AG547" s="246"/>
      <c r="AH547" s="246"/>
      <c r="AI547" s="246"/>
      <c r="AJ547" s="246"/>
      <c r="AK547" s="246"/>
      <c r="AL547" s="246"/>
      <c r="AM547" s="246"/>
      <c r="AN547" s="246"/>
      <c r="AO547" s="246"/>
      <c r="AP547" s="246"/>
      <c r="AQ547" s="246"/>
      <c r="AR547" s="246"/>
      <c r="AS547" s="246"/>
      <c r="AT547" s="246"/>
      <c r="AU547" s="246"/>
      <c r="AV547" s="246"/>
      <c r="AW547" s="246"/>
      <c r="AX547" s="246"/>
      <c r="AY547" s="246"/>
      <c r="AZ547" s="246"/>
      <c r="BA547" s="246"/>
      <c r="BB547" s="246"/>
      <c r="BC547" s="246"/>
      <c r="BD547" s="246"/>
      <c r="BE547" s="246"/>
      <c r="BF547" s="246"/>
      <c r="BG547" s="246"/>
      <c r="BH547" s="246"/>
      <c r="BI547" s="246"/>
      <c r="BJ547" s="246"/>
    </row>
    <row r="548" spans="2:62" ht="15.75">
      <c r="B548" s="7"/>
      <c r="C548" s="334"/>
      <c r="D548" s="334"/>
      <c r="E548" s="334"/>
      <c r="F548" s="334"/>
      <c r="G548" s="334"/>
      <c r="H548" s="334"/>
      <c r="I548" s="334"/>
      <c r="J548" s="334"/>
      <c r="K548" s="334"/>
      <c r="L548" s="334"/>
      <c r="M548" s="334"/>
      <c r="N548" s="334"/>
      <c r="O548" s="334"/>
      <c r="P548" s="334"/>
      <c r="Q548" s="334"/>
      <c r="R548" s="334"/>
      <c r="S548" s="334"/>
      <c r="T548" s="334"/>
      <c r="U548" s="334"/>
      <c r="V548" s="334"/>
      <c r="W548" s="334"/>
      <c r="X548" s="334"/>
      <c r="Y548" s="246"/>
      <c r="Z548" s="246"/>
      <c r="AA548" s="246"/>
      <c r="AB548" s="246"/>
      <c r="AC548" s="246"/>
      <c r="AD548" s="246"/>
      <c r="AE548" s="246"/>
      <c r="AF548" s="246"/>
      <c r="AG548" s="246"/>
      <c r="AH548" s="246"/>
      <c r="AI548" s="246"/>
      <c r="AJ548" s="246"/>
      <c r="AK548" s="246"/>
      <c r="AL548" s="246"/>
      <c r="AM548" s="246"/>
      <c r="AN548" s="246"/>
      <c r="AO548" s="246"/>
      <c r="AP548" s="246"/>
      <c r="AQ548" s="246"/>
      <c r="AR548" s="246"/>
      <c r="AS548" s="246"/>
      <c r="AT548" s="246"/>
      <c r="AU548" s="246"/>
      <c r="AV548" s="246"/>
      <c r="AW548" s="246"/>
      <c r="AX548" s="246"/>
      <c r="AY548" s="246"/>
      <c r="AZ548" s="246"/>
      <c r="BA548" s="246"/>
      <c r="BB548" s="246"/>
      <c r="BC548" s="246"/>
      <c r="BD548" s="246"/>
      <c r="BE548" s="246"/>
      <c r="BF548" s="246"/>
      <c r="BG548" s="246"/>
      <c r="BH548" s="246"/>
      <c r="BI548" s="246"/>
      <c r="BJ548" s="246"/>
    </row>
    <row r="549" spans="2:62" ht="15.75">
      <c r="B549" s="7"/>
      <c r="C549" s="334"/>
      <c r="D549" s="334"/>
      <c r="E549" s="399"/>
      <c r="F549" s="409"/>
      <c r="G549" s="334"/>
      <c r="H549" s="399"/>
      <c r="I549" s="409"/>
      <c r="J549" s="409"/>
      <c r="K549" s="334"/>
      <c r="L549" s="409"/>
      <c r="M549" s="334"/>
      <c r="N549" s="409"/>
      <c r="O549" s="334"/>
      <c r="P549" s="409"/>
      <c r="Q549" s="399"/>
      <c r="R549" s="399"/>
      <c r="S549" s="334"/>
      <c r="T549" s="334"/>
      <c r="U549" s="334"/>
      <c r="V549" s="334"/>
      <c r="W549" s="334"/>
      <c r="X549" s="334"/>
      <c r="Y549" s="246"/>
      <c r="Z549" s="246"/>
      <c r="AA549" s="246"/>
      <c r="AB549" s="246"/>
      <c r="AC549" s="246"/>
      <c r="AD549" s="246"/>
      <c r="AE549" s="246"/>
      <c r="AF549" s="246"/>
      <c r="AG549" s="246"/>
      <c r="AH549" s="246"/>
      <c r="AI549" s="246"/>
      <c r="AJ549" s="246"/>
      <c r="AK549" s="246"/>
      <c r="AL549" s="246"/>
      <c r="AM549" s="246"/>
      <c r="AN549" s="246"/>
      <c r="AO549" s="246"/>
      <c r="AP549" s="246"/>
      <c r="AQ549" s="246"/>
      <c r="AR549" s="246"/>
      <c r="AS549" s="246"/>
      <c r="AT549" s="246"/>
      <c r="AU549" s="246"/>
      <c r="AV549" s="246"/>
      <c r="AW549" s="246"/>
      <c r="AX549" s="246"/>
      <c r="AY549" s="246"/>
      <c r="AZ549" s="246"/>
      <c r="BA549" s="246"/>
      <c r="BB549" s="246"/>
      <c r="BC549" s="246"/>
      <c r="BD549" s="246"/>
      <c r="BE549" s="246"/>
      <c r="BF549" s="246"/>
      <c r="BG549" s="246"/>
      <c r="BH549" s="246"/>
      <c r="BI549" s="246"/>
      <c r="BJ549" s="246"/>
    </row>
    <row r="550" spans="2:62" ht="15.75">
      <c r="B550" s="7"/>
      <c r="C550" s="334"/>
      <c r="D550" s="334"/>
      <c r="E550" s="399"/>
      <c r="F550" s="410"/>
      <c r="G550" s="334"/>
      <c r="H550" s="399"/>
      <c r="I550" s="410"/>
      <c r="J550" s="409"/>
      <c r="K550" s="399"/>
      <c r="L550" s="409"/>
      <c r="M550" s="399"/>
      <c r="N550" s="409"/>
      <c r="O550" s="399"/>
      <c r="P550" s="334"/>
      <c r="Q550" s="409"/>
      <c r="R550" s="409"/>
      <c r="S550" s="399"/>
      <c r="T550" s="334"/>
      <c r="U550" s="334"/>
      <c r="V550" s="334"/>
      <c r="W550" s="334"/>
      <c r="X550" s="334"/>
      <c r="Y550" s="246"/>
      <c r="Z550" s="246"/>
      <c r="AA550" s="246"/>
      <c r="AB550" s="246"/>
      <c r="AC550" s="246"/>
      <c r="AD550" s="246"/>
      <c r="AE550" s="246"/>
      <c r="AF550" s="246"/>
      <c r="AG550" s="246"/>
      <c r="AH550" s="246"/>
      <c r="AI550" s="246"/>
      <c r="AJ550" s="246"/>
      <c r="AK550" s="246"/>
      <c r="AL550" s="246"/>
      <c r="AM550" s="246"/>
      <c r="AN550" s="246"/>
      <c r="AO550" s="246"/>
      <c r="AP550" s="246"/>
      <c r="AQ550" s="246"/>
      <c r="AR550" s="246"/>
      <c r="AS550" s="246"/>
      <c r="AT550" s="246"/>
      <c r="AU550" s="246"/>
      <c r="AV550" s="246"/>
      <c r="AW550" s="246"/>
      <c r="AX550" s="246"/>
      <c r="AY550" s="246"/>
      <c r="AZ550" s="246"/>
      <c r="BA550" s="246"/>
      <c r="BB550" s="246"/>
      <c r="BC550" s="246"/>
      <c r="BD550" s="246"/>
      <c r="BE550" s="246"/>
      <c r="BF550" s="246"/>
      <c r="BG550" s="246"/>
      <c r="BH550" s="246"/>
      <c r="BI550" s="246"/>
      <c r="BJ550" s="246"/>
    </row>
    <row r="551" spans="2:62" ht="15.75">
      <c r="B551" s="7"/>
      <c r="C551" s="334"/>
      <c r="D551" s="334"/>
      <c r="E551" s="399"/>
      <c r="F551" s="410"/>
      <c r="G551" s="334"/>
      <c r="H551" s="399"/>
      <c r="I551" s="410"/>
      <c r="J551" s="409"/>
      <c r="K551" s="399"/>
      <c r="L551" s="409"/>
      <c r="M551" s="399"/>
      <c r="N551" s="409"/>
      <c r="O551" s="399"/>
      <c r="P551" s="334"/>
      <c r="Q551" s="334"/>
      <c r="R551" s="399"/>
      <c r="S551" s="399"/>
      <c r="T551" s="334"/>
      <c r="U551" s="334"/>
      <c r="V551" s="334"/>
      <c r="W551" s="334"/>
      <c r="X551" s="334"/>
      <c r="Y551" s="246"/>
      <c r="Z551" s="246"/>
      <c r="AA551" s="246"/>
      <c r="AB551" s="246"/>
      <c r="AC551" s="246"/>
      <c r="AD551" s="246"/>
      <c r="AE551" s="246"/>
      <c r="AF551" s="246"/>
      <c r="AG551" s="246"/>
      <c r="AH551" s="246"/>
      <c r="AI551" s="246"/>
      <c r="AJ551" s="246"/>
      <c r="AK551" s="246"/>
      <c r="AL551" s="246"/>
      <c r="AM551" s="246"/>
      <c r="AN551" s="246"/>
      <c r="AO551" s="246"/>
      <c r="AP551" s="246"/>
      <c r="AQ551" s="246"/>
      <c r="AR551" s="246"/>
      <c r="AS551" s="246"/>
      <c r="AT551" s="246"/>
      <c r="AU551" s="246"/>
      <c r="AV551" s="246"/>
      <c r="AW551" s="246"/>
      <c r="AX551" s="246"/>
      <c r="AY551" s="246"/>
      <c r="AZ551" s="246"/>
      <c r="BA551" s="246"/>
      <c r="BB551" s="246"/>
      <c r="BC551" s="246"/>
      <c r="BD551" s="246"/>
      <c r="BE551" s="246"/>
      <c r="BF551" s="246"/>
      <c r="BG551" s="246"/>
      <c r="BH551" s="246"/>
      <c r="BI551" s="246"/>
      <c r="BJ551" s="246"/>
    </row>
    <row r="552" spans="2:62" ht="15.75">
      <c r="B552" s="7"/>
      <c r="C552" s="334"/>
      <c r="D552" s="334"/>
      <c r="E552" s="399"/>
      <c r="F552" s="409"/>
      <c r="G552" s="334"/>
      <c r="H552" s="399"/>
      <c r="I552" s="409"/>
      <c r="J552" s="409"/>
      <c r="K552" s="399"/>
      <c r="L552" s="409"/>
      <c r="M552" s="399"/>
      <c r="N552" s="409"/>
      <c r="O552" s="399"/>
      <c r="P552" s="334"/>
      <c r="Q552" s="334"/>
      <c r="R552" s="399"/>
      <c r="S552" s="334"/>
      <c r="T552" s="334"/>
      <c r="U552" s="334"/>
      <c r="V552" s="334"/>
      <c r="W552" s="334"/>
      <c r="X552" s="334"/>
      <c r="Y552" s="246"/>
      <c r="Z552" s="246"/>
      <c r="AA552" s="246"/>
      <c r="AB552" s="246"/>
      <c r="AC552" s="246"/>
      <c r="AD552" s="246"/>
      <c r="AE552" s="246"/>
      <c r="AF552" s="246"/>
      <c r="AG552" s="246"/>
      <c r="AH552" s="246"/>
      <c r="AI552" s="246"/>
      <c r="AJ552" s="246"/>
      <c r="AK552" s="246"/>
      <c r="AL552" s="246"/>
      <c r="AM552" s="246"/>
      <c r="AN552" s="246"/>
      <c r="AO552" s="246"/>
      <c r="AP552" s="246"/>
      <c r="AQ552" s="246"/>
      <c r="AR552" s="246"/>
      <c r="AS552" s="246"/>
      <c r="AT552" s="246"/>
      <c r="AU552" s="246"/>
      <c r="AV552" s="246"/>
      <c r="AW552" s="246"/>
      <c r="AX552" s="246"/>
      <c r="AY552" s="246"/>
      <c r="AZ552" s="246"/>
      <c r="BA552" s="246"/>
      <c r="BB552" s="246"/>
      <c r="BC552" s="246"/>
      <c r="BD552" s="246"/>
      <c r="BE552" s="246"/>
      <c r="BF552" s="246"/>
      <c r="BG552" s="246"/>
      <c r="BH552" s="246"/>
      <c r="BI552" s="246"/>
      <c r="BJ552" s="246"/>
    </row>
    <row r="553" spans="2:62" ht="15.75">
      <c r="B553" s="7"/>
      <c r="C553" s="398"/>
      <c r="D553" s="398"/>
      <c r="E553" s="401"/>
      <c r="F553" s="411"/>
      <c r="G553" s="398"/>
      <c r="H553" s="401"/>
      <c r="I553" s="411"/>
      <c r="J553" s="411"/>
      <c r="K553" s="401"/>
      <c r="L553" s="411"/>
      <c r="M553" s="401"/>
      <c r="N553" s="411"/>
      <c r="O553" s="401"/>
      <c r="P553" s="411"/>
      <c r="Q553" s="398"/>
      <c r="R553" s="401"/>
      <c r="S553" s="398"/>
      <c r="T553" s="334"/>
      <c r="U553" s="334"/>
      <c r="V553" s="334"/>
      <c r="W553" s="334"/>
      <c r="X553" s="334"/>
      <c r="Y553" s="246"/>
      <c r="Z553" s="246"/>
      <c r="AA553" s="246"/>
      <c r="AB553" s="246"/>
      <c r="AC553" s="246"/>
      <c r="AD553" s="246"/>
      <c r="AE553" s="246"/>
      <c r="AF553" s="246"/>
      <c r="AG553" s="246"/>
      <c r="AH553" s="246"/>
      <c r="AI553" s="246"/>
      <c r="AJ553" s="246"/>
      <c r="AK553" s="246"/>
      <c r="AL553" s="246"/>
      <c r="AM553" s="246"/>
      <c r="AN553" s="246"/>
      <c r="AO553" s="246"/>
      <c r="AP553" s="246"/>
      <c r="AQ553" s="246"/>
      <c r="AR553" s="246"/>
      <c r="AS553" s="246"/>
      <c r="AT553" s="246"/>
      <c r="AU553" s="246"/>
      <c r="AV553" s="246"/>
      <c r="AW553" s="246"/>
      <c r="AX553" s="246"/>
      <c r="AY553" s="246"/>
      <c r="AZ553" s="246"/>
      <c r="BA553" s="246"/>
      <c r="BB553" s="246"/>
      <c r="BC553" s="246"/>
      <c r="BD553" s="246"/>
      <c r="BE553" s="246"/>
      <c r="BF553" s="246"/>
      <c r="BG553" s="246"/>
      <c r="BH553" s="246"/>
      <c r="BI553" s="246"/>
      <c r="BJ553" s="246"/>
    </row>
    <row r="554" spans="2:62" ht="15.75">
      <c r="B554" s="7"/>
      <c r="C554" s="334"/>
      <c r="D554" s="334"/>
      <c r="E554" s="334"/>
      <c r="F554" s="334"/>
      <c r="G554" s="334"/>
      <c r="H554" s="334"/>
      <c r="I554" s="334"/>
      <c r="J554" s="334"/>
      <c r="K554" s="334"/>
      <c r="L554" s="334"/>
      <c r="M554" s="334"/>
      <c r="N554" s="334"/>
      <c r="O554" s="334"/>
      <c r="P554" s="398"/>
      <c r="Q554" s="411"/>
      <c r="R554" s="411"/>
      <c r="S554" s="334"/>
      <c r="T554" s="334"/>
      <c r="U554" s="334"/>
      <c r="V554" s="334"/>
      <c r="W554" s="334"/>
      <c r="X554" s="334"/>
      <c r="Y554" s="246"/>
      <c r="Z554" s="246"/>
      <c r="AA554" s="246"/>
      <c r="AB554" s="246"/>
      <c r="AC554" s="246"/>
      <c r="AD554" s="246"/>
      <c r="AE554" s="246"/>
      <c r="AF554" s="246"/>
      <c r="AG554" s="246"/>
      <c r="AH554" s="246"/>
      <c r="AI554" s="246"/>
      <c r="AJ554" s="246"/>
      <c r="AK554" s="246"/>
      <c r="AL554" s="246"/>
      <c r="AM554" s="246"/>
      <c r="AN554" s="246"/>
      <c r="AO554" s="246"/>
      <c r="AP554" s="246"/>
      <c r="AQ554" s="246"/>
      <c r="AR554" s="246"/>
      <c r="AS554" s="246"/>
      <c r="AT554" s="246"/>
      <c r="AU554" s="246"/>
      <c r="AV554" s="246"/>
      <c r="AW554" s="246"/>
      <c r="AX554" s="246"/>
      <c r="AY554" s="246"/>
      <c r="AZ554" s="246"/>
      <c r="BA554" s="246"/>
      <c r="BB554" s="246"/>
      <c r="BC554" s="246"/>
      <c r="BD554" s="246"/>
      <c r="BE554" s="246"/>
      <c r="BF554" s="246"/>
      <c r="BG554" s="246"/>
      <c r="BH554" s="246"/>
      <c r="BI554" s="246"/>
      <c r="BJ554" s="246"/>
    </row>
    <row r="555" spans="2:62" ht="15.75">
      <c r="B555" s="7"/>
      <c r="C555" s="334"/>
      <c r="D555" s="334"/>
      <c r="E555" s="399"/>
      <c r="F555" s="409"/>
      <c r="G555" s="334"/>
      <c r="H555" s="399"/>
      <c r="I555" s="409"/>
      <c r="J555" s="409"/>
      <c r="K555" s="399"/>
      <c r="L555" s="409"/>
      <c r="M555" s="399"/>
      <c r="N555" s="409"/>
      <c r="O555" s="399"/>
      <c r="P555" s="334"/>
      <c r="Q555" s="334"/>
      <c r="R555" s="399"/>
      <c r="S555" s="334"/>
      <c r="T555" s="334"/>
      <c r="U555" s="334"/>
      <c r="V555" s="334"/>
      <c r="W555" s="334"/>
      <c r="X555" s="334"/>
      <c r="Y555" s="246"/>
      <c r="Z555" s="246"/>
      <c r="AA555" s="246"/>
      <c r="AB555" s="246"/>
      <c r="AC555" s="246"/>
      <c r="AD555" s="246"/>
      <c r="AE555" s="246"/>
      <c r="AF555" s="246"/>
      <c r="AG555" s="246"/>
      <c r="AH555" s="246"/>
      <c r="AI555" s="246"/>
      <c r="AJ555" s="246"/>
      <c r="AK555" s="246"/>
      <c r="AL555" s="246"/>
      <c r="AM555" s="246"/>
      <c r="AN555" s="246"/>
      <c r="AO555" s="246"/>
      <c r="AP555" s="246"/>
      <c r="AQ555" s="246"/>
      <c r="AR555" s="246"/>
      <c r="AS555" s="246"/>
      <c r="AT555" s="246"/>
      <c r="AU555" s="246"/>
      <c r="AV555" s="246"/>
      <c r="AW555" s="246"/>
      <c r="AX555" s="246"/>
      <c r="AY555" s="246"/>
      <c r="AZ555" s="246"/>
      <c r="BA555" s="246"/>
      <c r="BB555" s="246"/>
      <c r="BC555" s="246"/>
      <c r="BD555" s="246"/>
      <c r="BE555" s="246"/>
      <c r="BF555" s="246"/>
      <c r="BG555" s="246"/>
      <c r="BH555" s="246"/>
      <c r="BI555" s="246"/>
      <c r="BJ555" s="246"/>
    </row>
    <row r="556" spans="2:62" ht="15.75">
      <c r="B556" s="7"/>
      <c r="C556" s="398"/>
      <c r="D556" s="334"/>
      <c r="E556" s="399"/>
      <c r="F556" s="409"/>
      <c r="G556" s="334"/>
      <c r="H556" s="399"/>
      <c r="I556" s="409"/>
      <c r="J556" s="409"/>
      <c r="K556" s="399"/>
      <c r="L556" s="409"/>
      <c r="M556" s="399"/>
      <c r="N556" s="409"/>
      <c r="O556" s="399"/>
      <c r="P556" s="334"/>
      <c r="Q556" s="334"/>
      <c r="R556" s="399"/>
      <c r="S556" s="334"/>
      <c r="T556" s="334"/>
      <c r="U556" s="334"/>
      <c r="V556" s="334"/>
      <c r="W556" s="334"/>
      <c r="X556" s="334"/>
      <c r="Y556" s="246"/>
      <c r="Z556" s="246"/>
      <c r="AA556" s="246"/>
      <c r="AB556" s="246"/>
      <c r="AC556" s="246"/>
      <c r="AD556" s="246"/>
      <c r="AE556" s="246"/>
      <c r="AF556" s="246"/>
      <c r="AG556" s="246"/>
      <c r="AH556" s="246"/>
      <c r="AI556" s="246"/>
      <c r="AJ556" s="246"/>
      <c r="AK556" s="246"/>
      <c r="AL556" s="246"/>
      <c r="AM556" s="246"/>
      <c r="AN556" s="246"/>
      <c r="AO556" s="246"/>
      <c r="AP556" s="246"/>
      <c r="AQ556" s="246"/>
      <c r="AR556" s="246"/>
      <c r="AS556" s="246"/>
      <c r="AT556" s="246"/>
      <c r="AU556" s="246"/>
      <c r="AV556" s="246"/>
      <c r="AW556" s="246"/>
      <c r="AX556" s="246"/>
      <c r="AY556" s="246"/>
      <c r="AZ556" s="246"/>
      <c r="BA556" s="246"/>
      <c r="BB556" s="246"/>
      <c r="BC556" s="246"/>
      <c r="BD556" s="246"/>
      <c r="BE556" s="246"/>
      <c r="BF556" s="246"/>
      <c r="BG556" s="246"/>
      <c r="BH556" s="246"/>
      <c r="BI556" s="246"/>
      <c r="BJ556" s="246"/>
    </row>
    <row r="557" spans="2:62" ht="15.75">
      <c r="B557" s="7"/>
      <c r="C557" s="334"/>
      <c r="D557" s="334"/>
      <c r="E557" s="399"/>
      <c r="F557" s="409"/>
      <c r="G557" s="334"/>
      <c r="H557" s="399"/>
      <c r="I557" s="409"/>
      <c r="J557" s="409"/>
      <c r="K557" s="399"/>
      <c r="L557" s="409"/>
      <c r="M557" s="399"/>
      <c r="N557" s="409"/>
      <c r="O557" s="399"/>
      <c r="P557" s="334"/>
      <c r="Q557" s="334"/>
      <c r="R557" s="399"/>
      <c r="S557" s="334"/>
      <c r="T557" s="334"/>
      <c r="U557" s="334"/>
      <c r="V557" s="334"/>
      <c r="W557" s="334"/>
      <c r="X557" s="334"/>
      <c r="Y557" s="246"/>
      <c r="Z557" s="246"/>
      <c r="AA557" s="246"/>
      <c r="AB557" s="246"/>
      <c r="AC557" s="246"/>
      <c r="AD557" s="246"/>
      <c r="AE557" s="246"/>
      <c r="AF557" s="246"/>
      <c r="AG557" s="246"/>
      <c r="AH557" s="246"/>
      <c r="AI557" s="246"/>
      <c r="AJ557" s="246"/>
      <c r="AK557" s="246"/>
      <c r="AL557" s="246"/>
      <c r="AM557" s="246"/>
      <c r="AN557" s="246"/>
      <c r="AO557" s="246"/>
      <c r="AP557" s="246"/>
      <c r="AQ557" s="246"/>
      <c r="AR557" s="246"/>
      <c r="AS557" s="246"/>
      <c r="AT557" s="246"/>
      <c r="AU557" s="246"/>
      <c r="AV557" s="246"/>
      <c r="AW557" s="246"/>
      <c r="AX557" s="246"/>
      <c r="AY557" s="246"/>
      <c r="AZ557" s="246"/>
      <c r="BA557" s="246"/>
      <c r="BB557" s="246"/>
      <c r="BC557" s="246"/>
      <c r="BD557" s="246"/>
      <c r="BE557" s="246"/>
      <c r="BF557" s="246"/>
      <c r="BG557" s="246"/>
      <c r="BH557" s="246"/>
      <c r="BI557" s="246"/>
      <c r="BJ557" s="246"/>
    </row>
    <row r="558" spans="2:62" ht="15.75">
      <c r="B558" s="7"/>
      <c r="C558" s="334"/>
      <c r="D558" s="334"/>
      <c r="E558" s="334"/>
      <c r="F558" s="334"/>
      <c r="G558" s="334"/>
      <c r="H558" s="334"/>
      <c r="I558" s="334"/>
      <c r="J558" s="334"/>
      <c r="K558" s="334"/>
      <c r="L558" s="334"/>
      <c r="M558" s="334"/>
      <c r="N558" s="334"/>
      <c r="O558" s="334"/>
      <c r="P558" s="409"/>
      <c r="Q558" s="399"/>
      <c r="R558" s="334"/>
      <c r="S558" s="399"/>
      <c r="T558" s="334"/>
      <c r="U558" s="334"/>
      <c r="V558" s="334"/>
      <c r="W558" s="334"/>
      <c r="X558" s="334"/>
      <c r="Y558" s="246"/>
      <c r="Z558" s="246"/>
      <c r="AA558" s="246"/>
      <c r="AB558" s="246"/>
      <c r="AC558" s="246"/>
      <c r="AD558" s="246"/>
      <c r="AE558" s="246"/>
      <c r="AF558" s="246"/>
      <c r="AG558" s="246"/>
      <c r="AH558" s="246"/>
      <c r="AI558" s="246"/>
      <c r="AJ558" s="246"/>
      <c r="AK558" s="246"/>
      <c r="AL558" s="246"/>
      <c r="AM558" s="246"/>
      <c r="AN558" s="246"/>
      <c r="AO558" s="246"/>
      <c r="AP558" s="246"/>
      <c r="AQ558" s="246"/>
      <c r="AR558" s="246"/>
      <c r="AS558" s="246"/>
      <c r="AT558" s="246"/>
      <c r="AU558" s="246"/>
      <c r="AV558" s="246"/>
      <c r="AW558" s="246"/>
      <c r="AX558" s="246"/>
      <c r="AY558" s="246"/>
      <c r="AZ558" s="246"/>
      <c r="BA558" s="246"/>
      <c r="BB558" s="246"/>
      <c r="BC558" s="246"/>
      <c r="BD558" s="246"/>
      <c r="BE558" s="246"/>
      <c r="BF558" s="246"/>
      <c r="BG558" s="246"/>
      <c r="BH558" s="246"/>
      <c r="BI558" s="246"/>
      <c r="BJ558" s="246"/>
    </row>
    <row r="559" spans="2:62" ht="15.75">
      <c r="B559" s="7"/>
      <c r="C559" s="334"/>
      <c r="D559" s="334"/>
      <c r="E559" s="334"/>
      <c r="F559" s="334"/>
      <c r="G559" s="334"/>
      <c r="H559" s="334"/>
      <c r="I559" s="334"/>
      <c r="J559" s="334"/>
      <c r="K559" s="334"/>
      <c r="L559" s="334"/>
      <c r="M559" s="334"/>
      <c r="N559" s="334"/>
      <c r="O559" s="334"/>
      <c r="P559" s="409"/>
      <c r="Q559" s="399"/>
      <c r="R559" s="334"/>
      <c r="S559" s="399"/>
      <c r="T559" s="334"/>
      <c r="U559" s="334"/>
      <c r="V559" s="334"/>
      <c r="W559" s="334"/>
      <c r="X559" s="334"/>
      <c r="Y559" s="246"/>
      <c r="Z559" s="246"/>
      <c r="AA559" s="246"/>
      <c r="AB559" s="246"/>
      <c r="AC559" s="246"/>
      <c r="AD559" s="246"/>
      <c r="AE559" s="246"/>
      <c r="AF559" s="246"/>
      <c r="AG559" s="246"/>
      <c r="AH559" s="246"/>
      <c r="AI559" s="246"/>
      <c r="AJ559" s="246"/>
      <c r="AK559" s="246"/>
      <c r="AL559" s="246"/>
      <c r="AM559" s="246"/>
      <c r="AN559" s="246"/>
      <c r="AO559" s="246"/>
      <c r="AP559" s="246"/>
      <c r="AQ559" s="246"/>
      <c r="AR559" s="246"/>
      <c r="AS559" s="246"/>
      <c r="AT559" s="246"/>
      <c r="AU559" s="246"/>
      <c r="AV559" s="246"/>
      <c r="AW559" s="246"/>
      <c r="AX559" s="246"/>
      <c r="AY559" s="246"/>
      <c r="AZ559" s="246"/>
      <c r="BA559" s="246"/>
      <c r="BB559" s="246"/>
      <c r="BC559" s="246"/>
      <c r="BD559" s="246"/>
      <c r="BE559" s="246"/>
      <c r="BF559" s="246"/>
      <c r="BG559" s="246"/>
      <c r="BH559" s="246"/>
      <c r="BI559" s="246"/>
      <c r="BJ559" s="246"/>
    </row>
    <row r="560" spans="2:62" ht="15.75">
      <c r="B560" s="7"/>
      <c r="C560" s="334"/>
      <c r="D560" s="334"/>
      <c r="E560" s="334"/>
      <c r="F560" s="334"/>
      <c r="G560" s="334"/>
      <c r="H560" s="334"/>
      <c r="I560" s="334"/>
      <c r="J560" s="334"/>
      <c r="K560" s="334"/>
      <c r="L560" s="334"/>
      <c r="M560" s="334"/>
      <c r="N560" s="334"/>
      <c r="O560" s="334"/>
      <c r="P560" s="409"/>
      <c r="Q560" s="399"/>
      <c r="R560" s="334"/>
      <c r="S560" s="399"/>
      <c r="T560" s="334"/>
      <c r="U560" s="334"/>
      <c r="V560" s="334"/>
      <c r="W560" s="334"/>
      <c r="X560" s="334"/>
      <c r="Y560" s="246"/>
      <c r="Z560" s="246"/>
      <c r="AA560" s="246"/>
      <c r="AB560" s="246"/>
      <c r="AC560" s="246"/>
      <c r="AD560" s="246"/>
      <c r="AE560" s="246"/>
      <c r="AF560" s="246"/>
      <c r="AG560" s="246"/>
      <c r="AH560" s="246"/>
      <c r="AI560" s="246"/>
      <c r="AJ560" s="246"/>
      <c r="AK560" s="246"/>
      <c r="AL560" s="246"/>
      <c r="AM560" s="246"/>
      <c r="AN560" s="246"/>
      <c r="AO560" s="246"/>
      <c r="AP560" s="246"/>
      <c r="AQ560" s="246"/>
      <c r="AR560" s="246"/>
      <c r="AS560" s="246"/>
      <c r="AT560" s="246"/>
      <c r="AU560" s="246"/>
      <c r="AV560" s="246"/>
      <c r="AW560" s="246"/>
      <c r="AX560" s="246"/>
      <c r="AY560" s="246"/>
      <c r="AZ560" s="246"/>
      <c r="BA560" s="246"/>
      <c r="BB560" s="246"/>
      <c r="BC560" s="246"/>
      <c r="BD560" s="246"/>
      <c r="BE560" s="246"/>
      <c r="BF560" s="246"/>
      <c r="BG560" s="246"/>
      <c r="BH560" s="246"/>
      <c r="BI560" s="246"/>
      <c r="BJ560" s="246"/>
    </row>
    <row r="561" spans="2:62" ht="15.75">
      <c r="B561" s="7"/>
      <c r="C561" s="334"/>
      <c r="D561" s="334"/>
      <c r="E561" s="334"/>
      <c r="F561" s="334"/>
      <c r="G561" s="334"/>
      <c r="H561" s="334"/>
      <c r="I561" s="334"/>
      <c r="J561" s="334"/>
      <c r="K561" s="334"/>
      <c r="L561" s="334"/>
      <c r="M561" s="334"/>
      <c r="N561" s="334"/>
      <c r="O561" s="334"/>
      <c r="P561" s="409"/>
      <c r="Q561" s="399"/>
      <c r="R561" s="334"/>
      <c r="S561" s="399"/>
      <c r="T561" s="334"/>
      <c r="U561" s="334"/>
      <c r="V561" s="334"/>
      <c r="W561" s="334"/>
      <c r="X561" s="334"/>
      <c r="Y561" s="246"/>
      <c r="Z561" s="246"/>
      <c r="AA561" s="246"/>
      <c r="AB561" s="246"/>
      <c r="AC561" s="246"/>
      <c r="AD561" s="246"/>
      <c r="AE561" s="246"/>
      <c r="AF561" s="246"/>
      <c r="AG561" s="246"/>
      <c r="AH561" s="246"/>
      <c r="AI561" s="246"/>
      <c r="AJ561" s="246"/>
      <c r="AK561" s="246"/>
      <c r="AL561" s="246"/>
      <c r="AM561" s="246"/>
      <c r="AN561" s="246"/>
      <c r="AO561" s="246"/>
      <c r="AP561" s="246"/>
      <c r="AQ561" s="246"/>
      <c r="AR561" s="246"/>
      <c r="AS561" s="246"/>
      <c r="AT561" s="246"/>
      <c r="AU561" s="246"/>
      <c r="AV561" s="246"/>
      <c r="AW561" s="246"/>
      <c r="AX561" s="246"/>
      <c r="AY561" s="246"/>
      <c r="AZ561" s="246"/>
      <c r="BA561" s="246"/>
      <c r="BB561" s="246"/>
      <c r="BC561" s="246"/>
      <c r="BD561" s="246"/>
      <c r="BE561" s="246"/>
      <c r="BF561" s="246"/>
      <c r="BG561" s="246"/>
      <c r="BH561" s="246"/>
      <c r="BI561" s="246"/>
      <c r="BJ561" s="246"/>
    </row>
    <row r="562" spans="2:62" ht="15.75">
      <c r="B562" s="7"/>
      <c r="C562" s="334"/>
      <c r="D562" s="334"/>
      <c r="E562" s="334"/>
      <c r="F562" s="334"/>
      <c r="G562" s="334"/>
      <c r="H562" s="334"/>
      <c r="I562" s="334"/>
      <c r="J562" s="334"/>
      <c r="K562" s="334"/>
      <c r="L562" s="334"/>
      <c r="M562" s="334"/>
      <c r="N562" s="334"/>
      <c r="O562" s="334"/>
      <c r="P562" s="409"/>
      <c r="Q562" s="399"/>
      <c r="R562" s="334"/>
      <c r="S562" s="399"/>
      <c r="T562" s="334"/>
      <c r="U562" s="334"/>
      <c r="V562" s="334"/>
      <c r="W562" s="334"/>
      <c r="X562" s="334"/>
      <c r="Y562" s="246"/>
      <c r="Z562" s="246"/>
      <c r="AA562" s="246"/>
      <c r="AB562" s="246"/>
      <c r="AC562" s="246"/>
      <c r="AD562" s="246"/>
      <c r="AE562" s="246"/>
      <c r="AF562" s="246"/>
      <c r="AG562" s="246"/>
      <c r="AH562" s="246"/>
      <c r="AI562" s="246"/>
      <c r="AJ562" s="246"/>
      <c r="AK562" s="246"/>
      <c r="AL562" s="246"/>
      <c r="AM562" s="246"/>
      <c r="AN562" s="246"/>
      <c r="AO562" s="246"/>
      <c r="AP562" s="246"/>
      <c r="AQ562" s="246"/>
      <c r="AR562" s="246"/>
      <c r="AS562" s="246"/>
      <c r="AT562" s="246"/>
      <c r="AU562" s="246"/>
      <c r="AV562" s="246"/>
      <c r="AW562" s="246"/>
      <c r="AX562" s="246"/>
      <c r="AY562" s="246"/>
      <c r="AZ562" s="246"/>
      <c r="BA562" s="246"/>
      <c r="BB562" s="246"/>
      <c r="BC562" s="246"/>
      <c r="BD562" s="246"/>
      <c r="BE562" s="246"/>
      <c r="BF562" s="246"/>
      <c r="BG562" s="246"/>
      <c r="BH562" s="246"/>
      <c r="BI562" s="246"/>
      <c r="BJ562" s="246"/>
    </row>
    <row r="563" spans="2:62" ht="15.75">
      <c r="B563" s="7"/>
      <c r="C563" s="334"/>
      <c r="D563" s="334"/>
      <c r="E563" s="334"/>
      <c r="F563" s="334"/>
      <c r="G563" s="334"/>
      <c r="H563" s="334"/>
      <c r="I563" s="334"/>
      <c r="J563" s="334"/>
      <c r="K563" s="334"/>
      <c r="L563" s="334"/>
      <c r="M563" s="334"/>
      <c r="N563" s="334"/>
      <c r="O563" s="334"/>
      <c r="P563" s="409"/>
      <c r="Q563" s="399"/>
      <c r="R563" s="334"/>
      <c r="S563" s="399"/>
      <c r="T563" s="334"/>
      <c r="U563" s="334"/>
      <c r="V563" s="334"/>
      <c r="W563" s="334"/>
      <c r="X563" s="334"/>
      <c r="Y563" s="246"/>
      <c r="Z563" s="246"/>
      <c r="AA563" s="246"/>
      <c r="AB563" s="246"/>
      <c r="AC563" s="246"/>
      <c r="AD563" s="246"/>
      <c r="AE563" s="246"/>
      <c r="AF563" s="246"/>
      <c r="AG563" s="246"/>
      <c r="AH563" s="246"/>
      <c r="AI563" s="246"/>
      <c r="AJ563" s="246"/>
      <c r="AK563" s="246"/>
      <c r="AL563" s="246"/>
      <c r="AM563" s="246"/>
      <c r="AN563" s="246"/>
      <c r="AO563" s="246"/>
      <c r="AP563" s="246"/>
      <c r="AQ563" s="246"/>
      <c r="AR563" s="246"/>
      <c r="AS563" s="246"/>
      <c r="AT563" s="246"/>
      <c r="AU563" s="246"/>
      <c r="AV563" s="246"/>
      <c r="AW563" s="246"/>
      <c r="AX563" s="246"/>
      <c r="AY563" s="246"/>
      <c r="AZ563" s="246"/>
      <c r="BA563" s="246"/>
      <c r="BB563" s="246"/>
      <c r="BC563" s="246"/>
      <c r="BD563" s="246"/>
      <c r="BE563" s="246"/>
      <c r="BF563" s="246"/>
      <c r="BG563" s="246"/>
      <c r="BH563" s="246"/>
      <c r="BI563" s="246"/>
      <c r="BJ563" s="246"/>
    </row>
    <row r="564" spans="2:62" ht="15.75">
      <c r="B564" s="7"/>
      <c r="C564" s="334"/>
      <c r="D564" s="334"/>
      <c r="E564" s="334"/>
      <c r="F564" s="334"/>
      <c r="G564" s="334"/>
      <c r="H564" s="334"/>
      <c r="I564" s="334"/>
      <c r="J564" s="334"/>
      <c r="K564" s="334"/>
      <c r="L564" s="334"/>
      <c r="M564" s="334"/>
      <c r="N564" s="334"/>
      <c r="O564" s="334"/>
      <c r="P564" s="409"/>
      <c r="Q564" s="399"/>
      <c r="R564" s="334"/>
      <c r="S564" s="399"/>
      <c r="T564" s="334"/>
      <c r="U564" s="334"/>
      <c r="V564" s="334"/>
      <c r="W564" s="334"/>
      <c r="X564" s="334"/>
      <c r="Y564" s="246"/>
      <c r="Z564" s="246"/>
      <c r="AA564" s="246"/>
      <c r="AB564" s="246"/>
      <c r="AC564" s="246"/>
      <c r="AD564" s="246"/>
      <c r="AE564" s="246"/>
      <c r="AF564" s="246"/>
      <c r="AG564" s="246"/>
      <c r="AH564" s="246"/>
      <c r="AI564" s="246"/>
      <c r="AJ564" s="246"/>
      <c r="AK564" s="246"/>
      <c r="AL564" s="246"/>
      <c r="AM564" s="246"/>
      <c r="AN564" s="246"/>
      <c r="AO564" s="246"/>
      <c r="AP564" s="246"/>
      <c r="AQ564" s="246"/>
      <c r="AR564" s="246"/>
      <c r="AS564" s="246"/>
      <c r="AT564" s="246"/>
      <c r="AU564" s="246"/>
      <c r="AV564" s="246"/>
      <c r="AW564" s="246"/>
      <c r="AX564" s="246"/>
      <c r="AY564" s="246"/>
      <c r="AZ564" s="246"/>
      <c r="BA564" s="246"/>
      <c r="BB564" s="246"/>
      <c r="BC564" s="246"/>
      <c r="BD564" s="246"/>
      <c r="BE564" s="246"/>
      <c r="BF564" s="246"/>
      <c r="BG564" s="246"/>
      <c r="BH564" s="246"/>
      <c r="BI564" s="246"/>
      <c r="BJ564" s="246"/>
    </row>
    <row r="565" spans="2:62" ht="15.75">
      <c r="B565" s="7"/>
      <c r="C565" s="334"/>
      <c r="D565" s="334"/>
      <c r="E565" s="334"/>
      <c r="F565" s="334"/>
      <c r="G565" s="334"/>
      <c r="H565" s="334"/>
      <c r="I565" s="334"/>
      <c r="J565" s="334"/>
      <c r="K565" s="334"/>
      <c r="L565" s="334"/>
      <c r="M565" s="334"/>
      <c r="N565" s="334"/>
      <c r="O565" s="334"/>
      <c r="P565" s="409"/>
      <c r="Q565" s="399"/>
      <c r="R565" s="334"/>
      <c r="S565" s="399"/>
      <c r="T565" s="334"/>
      <c r="U565" s="334"/>
      <c r="V565" s="334"/>
      <c r="W565" s="334"/>
      <c r="X565" s="334"/>
      <c r="Y565" s="246"/>
      <c r="Z565" s="246"/>
      <c r="AA565" s="246"/>
      <c r="AB565" s="246"/>
      <c r="AC565" s="246"/>
      <c r="AD565" s="246"/>
      <c r="AE565" s="246"/>
      <c r="AF565" s="246"/>
      <c r="AG565" s="246"/>
      <c r="AH565" s="246"/>
      <c r="AI565" s="246"/>
      <c r="AJ565" s="246"/>
      <c r="AK565" s="246"/>
      <c r="AL565" s="246"/>
      <c r="AM565" s="246"/>
      <c r="AN565" s="246"/>
      <c r="AO565" s="246"/>
      <c r="AP565" s="246"/>
      <c r="AQ565" s="246"/>
      <c r="AR565" s="246"/>
      <c r="AS565" s="246"/>
      <c r="AT565" s="246"/>
      <c r="AU565" s="246"/>
      <c r="AV565" s="246"/>
      <c r="AW565" s="246"/>
      <c r="AX565" s="246"/>
      <c r="AY565" s="246"/>
      <c r="AZ565" s="246"/>
      <c r="BA565" s="246"/>
      <c r="BB565" s="246"/>
      <c r="BC565" s="246"/>
      <c r="BD565" s="246"/>
      <c r="BE565" s="246"/>
      <c r="BF565" s="246"/>
      <c r="BG565" s="246"/>
      <c r="BH565" s="246"/>
      <c r="BI565" s="246"/>
      <c r="BJ565" s="246"/>
    </row>
    <row r="566" spans="2:62" ht="15.75">
      <c r="B566" s="7"/>
      <c r="C566" s="398"/>
      <c r="D566" s="398"/>
      <c r="E566" s="334"/>
      <c r="F566" s="334"/>
      <c r="G566" s="398"/>
      <c r="H566" s="334"/>
      <c r="I566" s="334"/>
      <c r="J566" s="334"/>
      <c r="K566" s="334"/>
      <c r="L566" s="334"/>
      <c r="M566" s="334"/>
      <c r="N566" s="334"/>
      <c r="O566" s="334"/>
      <c r="P566" s="411"/>
      <c r="Q566" s="401"/>
      <c r="R566" s="334"/>
      <c r="S566" s="401"/>
      <c r="T566" s="334"/>
      <c r="U566" s="334"/>
      <c r="V566" s="334"/>
      <c r="W566" s="334"/>
      <c r="X566" s="334"/>
      <c r="Y566" s="246"/>
      <c r="Z566" s="246"/>
      <c r="AA566" s="246"/>
      <c r="AB566" s="246"/>
      <c r="AC566" s="246"/>
      <c r="AD566" s="246"/>
      <c r="AE566" s="246"/>
      <c r="AF566" s="246"/>
      <c r="AG566" s="246"/>
      <c r="AH566" s="246"/>
      <c r="AI566" s="246"/>
      <c r="AJ566" s="246"/>
      <c r="AK566" s="246"/>
      <c r="AL566" s="246"/>
      <c r="AM566" s="246"/>
      <c r="AN566" s="246"/>
      <c r="AO566" s="246"/>
      <c r="AP566" s="246"/>
      <c r="AQ566" s="246"/>
      <c r="AR566" s="246"/>
      <c r="AS566" s="246"/>
      <c r="AT566" s="246"/>
      <c r="AU566" s="246"/>
      <c r="AV566" s="246"/>
      <c r="AW566" s="246"/>
      <c r="AX566" s="246"/>
      <c r="AY566" s="246"/>
      <c r="AZ566" s="246"/>
      <c r="BA566" s="246"/>
      <c r="BB566" s="246"/>
      <c r="BC566" s="246"/>
      <c r="BD566" s="246"/>
      <c r="BE566" s="246"/>
      <c r="BF566" s="246"/>
      <c r="BG566" s="246"/>
      <c r="BH566" s="246"/>
      <c r="BI566" s="246"/>
      <c r="BJ566" s="246"/>
    </row>
    <row r="567" spans="2:62" ht="15.75">
      <c r="B567" s="7"/>
      <c r="C567" s="334"/>
      <c r="D567" s="334"/>
      <c r="E567" s="334"/>
      <c r="F567" s="334"/>
      <c r="G567" s="334"/>
      <c r="H567" s="334"/>
      <c r="I567" s="334"/>
      <c r="J567" s="334"/>
      <c r="K567" s="334"/>
      <c r="L567" s="334"/>
      <c r="M567" s="334"/>
      <c r="N567" s="334"/>
      <c r="O567" s="334"/>
      <c r="P567" s="411"/>
      <c r="Q567" s="411"/>
      <c r="R567" s="334"/>
      <c r="S567" s="334"/>
      <c r="T567" s="334"/>
      <c r="U567" s="334"/>
      <c r="V567" s="334"/>
      <c r="W567" s="334"/>
      <c r="X567" s="334"/>
      <c r="Y567" s="246"/>
      <c r="Z567" s="246"/>
      <c r="AA567" s="246"/>
      <c r="AB567" s="246"/>
      <c r="AC567" s="246"/>
      <c r="AD567" s="246"/>
      <c r="AE567" s="246"/>
      <c r="AF567" s="246"/>
      <c r="AG567" s="246"/>
      <c r="AH567" s="246"/>
      <c r="AI567" s="246"/>
      <c r="AJ567" s="246"/>
      <c r="AK567" s="246"/>
      <c r="AL567" s="246"/>
      <c r="AM567" s="246"/>
      <c r="AN567" s="246"/>
      <c r="AO567" s="246"/>
      <c r="AP567" s="246"/>
      <c r="AQ567" s="246"/>
      <c r="AR567" s="246"/>
      <c r="AS567" s="246"/>
      <c r="AT567" s="246"/>
      <c r="AU567" s="246"/>
      <c r="AV567" s="246"/>
      <c r="AW567" s="246"/>
      <c r="AX567" s="246"/>
      <c r="AY567" s="246"/>
      <c r="AZ567" s="246"/>
      <c r="BA567" s="246"/>
      <c r="BB567" s="246"/>
      <c r="BC567" s="246"/>
      <c r="BD567" s="246"/>
      <c r="BE567" s="246"/>
      <c r="BF567" s="246"/>
      <c r="BG567" s="246"/>
      <c r="BH567" s="246"/>
      <c r="BI567" s="246"/>
      <c r="BJ567" s="246"/>
    </row>
    <row r="568" spans="2:62" ht="15.75">
      <c r="B568" s="7"/>
      <c r="C568" s="334"/>
      <c r="D568" s="334"/>
      <c r="E568" s="334"/>
      <c r="F568" s="334"/>
      <c r="G568" s="334"/>
      <c r="H568" s="334"/>
      <c r="I568" s="334"/>
      <c r="J568" s="334"/>
      <c r="K568" s="334"/>
      <c r="L568" s="334"/>
      <c r="M568" s="334"/>
      <c r="N568" s="334"/>
      <c r="O568" s="334"/>
      <c r="P568" s="409"/>
      <c r="Q568" s="399"/>
      <c r="R568" s="334"/>
      <c r="S568" s="399"/>
      <c r="T568" s="334"/>
      <c r="U568" s="334"/>
      <c r="V568" s="334"/>
      <c r="W568" s="334"/>
      <c r="X568" s="334"/>
      <c r="Y568" s="246"/>
      <c r="Z568" s="246"/>
      <c r="AA568" s="246"/>
      <c r="AB568" s="246"/>
      <c r="AC568" s="246"/>
      <c r="AD568" s="246"/>
      <c r="AE568" s="246"/>
      <c r="AF568" s="246"/>
      <c r="AG568" s="246"/>
      <c r="AH568" s="246"/>
      <c r="AI568" s="246"/>
      <c r="AJ568" s="246"/>
      <c r="AK568" s="246"/>
      <c r="AL568" s="246"/>
      <c r="AM568" s="246"/>
      <c r="AN568" s="246"/>
      <c r="AO568" s="246"/>
      <c r="AP568" s="246"/>
      <c r="AQ568" s="246"/>
      <c r="AR568" s="246"/>
      <c r="AS568" s="246"/>
      <c r="AT568" s="246"/>
      <c r="AU568" s="246"/>
      <c r="AV568" s="246"/>
      <c r="AW568" s="246"/>
      <c r="AX568" s="246"/>
      <c r="AY568" s="246"/>
      <c r="AZ568" s="246"/>
      <c r="BA568" s="246"/>
      <c r="BB568" s="246"/>
      <c r="BC568" s="246"/>
      <c r="BD568" s="246"/>
      <c r="BE568" s="246"/>
      <c r="BF568" s="246"/>
      <c r="BG568" s="246"/>
      <c r="BH568" s="246"/>
      <c r="BI568" s="246"/>
      <c r="BJ568" s="246"/>
    </row>
    <row r="569" spans="2:62" ht="15.75">
      <c r="B569" s="7"/>
      <c r="C569" s="334"/>
      <c r="D569" s="334"/>
      <c r="E569" s="334"/>
      <c r="F569" s="334"/>
      <c r="G569" s="334"/>
      <c r="H569" s="334"/>
      <c r="I569" s="334"/>
      <c r="J569" s="334"/>
      <c r="K569" s="334"/>
      <c r="L569" s="334"/>
      <c r="M569" s="334"/>
      <c r="N569" s="334"/>
      <c r="O569" s="334"/>
      <c r="P569" s="409"/>
      <c r="Q569" s="399"/>
      <c r="R569" s="334"/>
      <c r="S569" s="399"/>
      <c r="T569" s="334"/>
      <c r="U569" s="334"/>
      <c r="V569" s="334"/>
      <c r="W569" s="334"/>
      <c r="X569" s="334"/>
      <c r="Y569" s="246"/>
      <c r="Z569" s="246"/>
      <c r="AA569" s="246"/>
      <c r="AB569" s="246"/>
      <c r="AC569" s="246"/>
      <c r="AD569" s="246"/>
      <c r="AE569" s="246"/>
      <c r="AF569" s="246"/>
      <c r="AG569" s="246"/>
      <c r="AH569" s="246"/>
      <c r="AI569" s="246"/>
      <c r="AJ569" s="246"/>
      <c r="AK569" s="246"/>
      <c r="AL569" s="246"/>
      <c r="AM569" s="246"/>
      <c r="AN569" s="246"/>
      <c r="AO569" s="246"/>
      <c r="AP569" s="246"/>
      <c r="AQ569" s="246"/>
      <c r="AR569" s="246"/>
      <c r="AS569" s="246"/>
      <c r="AT569" s="246"/>
      <c r="AU569" s="246"/>
      <c r="AV569" s="246"/>
      <c r="AW569" s="246"/>
      <c r="AX569" s="246"/>
      <c r="AY569" s="246"/>
      <c r="AZ569" s="246"/>
      <c r="BA569" s="246"/>
      <c r="BB569" s="246"/>
      <c r="BC569" s="246"/>
      <c r="BD569" s="246"/>
      <c r="BE569" s="246"/>
      <c r="BF569" s="246"/>
      <c r="BG569" s="246"/>
      <c r="BH569" s="246"/>
      <c r="BI569" s="246"/>
      <c r="BJ569" s="246"/>
    </row>
    <row r="570" spans="2:62" ht="15.75">
      <c r="B570" s="7"/>
      <c r="C570" s="398"/>
      <c r="D570" s="334"/>
      <c r="E570" s="334"/>
      <c r="F570" s="334"/>
      <c r="G570" s="334"/>
      <c r="H570" s="334"/>
      <c r="I570" s="334"/>
      <c r="J570" s="334"/>
      <c r="K570" s="334"/>
      <c r="L570" s="334"/>
      <c r="M570" s="334"/>
      <c r="N570" s="334"/>
      <c r="O570" s="334"/>
      <c r="P570" s="411"/>
      <c r="Q570" s="401"/>
      <c r="R570" s="334"/>
      <c r="S570" s="401"/>
      <c r="T570" s="334"/>
      <c r="U570" s="334"/>
      <c r="V570" s="334"/>
      <c r="W570" s="334"/>
      <c r="X570" s="334"/>
      <c r="Y570" s="246"/>
      <c r="Z570" s="246"/>
      <c r="AA570" s="246"/>
      <c r="AB570" s="246"/>
      <c r="AC570" s="246"/>
      <c r="AD570" s="246"/>
      <c r="AE570" s="246"/>
      <c r="AF570" s="246"/>
      <c r="AG570" s="246"/>
      <c r="AH570" s="246"/>
      <c r="AI570" s="246"/>
      <c r="AJ570" s="246"/>
      <c r="AK570" s="246"/>
      <c r="AL570" s="246"/>
      <c r="AM570" s="246"/>
      <c r="AN570" s="246"/>
      <c r="AO570" s="246"/>
      <c r="AP570" s="246"/>
      <c r="AQ570" s="246"/>
      <c r="AR570" s="246"/>
      <c r="AS570" s="246"/>
      <c r="AT570" s="246"/>
      <c r="AU570" s="246"/>
      <c r="AV570" s="246"/>
      <c r="AW570" s="246"/>
      <c r="AX570" s="246"/>
      <c r="AY570" s="246"/>
      <c r="AZ570" s="246"/>
      <c r="BA570" s="246"/>
      <c r="BB570" s="246"/>
      <c r="BC570" s="246"/>
      <c r="BD570" s="246"/>
      <c r="BE570" s="246"/>
      <c r="BF570" s="246"/>
      <c r="BG570" s="246"/>
      <c r="BH570" s="246"/>
      <c r="BI570" s="246"/>
      <c r="BJ570" s="246"/>
    </row>
    <row r="571" spans="2:62" ht="15.75">
      <c r="B571" s="7"/>
      <c r="C571" s="334"/>
      <c r="D571" s="334"/>
      <c r="E571" s="334"/>
      <c r="F571" s="334"/>
      <c r="G571" s="334"/>
      <c r="H571" s="334"/>
      <c r="I571" s="334"/>
      <c r="J571" s="334"/>
      <c r="K571" s="334"/>
      <c r="L571" s="334"/>
      <c r="M571" s="334"/>
      <c r="N571" s="334"/>
      <c r="O571" s="334"/>
      <c r="P571" s="411"/>
      <c r="Q571" s="411"/>
      <c r="R571" s="334"/>
      <c r="S571" s="334"/>
      <c r="T571" s="334"/>
      <c r="U571" s="334"/>
      <c r="V571" s="334"/>
      <c r="W571" s="334"/>
      <c r="X571" s="334"/>
      <c r="Y571" s="246"/>
      <c r="Z571" s="246"/>
      <c r="AA571" s="246"/>
      <c r="AB571" s="246"/>
      <c r="AC571" s="246"/>
      <c r="AD571" s="246"/>
      <c r="AE571" s="246"/>
      <c r="AF571" s="246"/>
      <c r="AG571" s="246"/>
      <c r="AH571" s="246"/>
      <c r="AI571" s="246"/>
      <c r="AJ571" s="246"/>
      <c r="AK571" s="246"/>
      <c r="AL571" s="246"/>
      <c r="AM571" s="246"/>
      <c r="AN571" s="246"/>
      <c r="AO571" s="246"/>
      <c r="AP571" s="246"/>
      <c r="AQ571" s="246"/>
      <c r="AR571" s="246"/>
      <c r="AS571" s="246"/>
      <c r="AT571" s="246"/>
      <c r="AU571" s="246"/>
      <c r="AV571" s="246"/>
      <c r="AW571" s="246"/>
      <c r="AX571" s="246"/>
      <c r="AY571" s="246"/>
      <c r="AZ571" s="246"/>
      <c r="BA571" s="246"/>
      <c r="BB571" s="246"/>
      <c r="BC571" s="246"/>
      <c r="BD571" s="246"/>
      <c r="BE571" s="246"/>
      <c r="BF571" s="246"/>
      <c r="BG571" s="246"/>
      <c r="BH571" s="246"/>
      <c r="BI571" s="246"/>
      <c r="BJ571" s="246"/>
    </row>
    <row r="572" spans="2:62" ht="15.75">
      <c r="B572" s="7"/>
      <c r="C572" s="334"/>
      <c r="D572" s="334"/>
      <c r="E572" s="334"/>
      <c r="F572" s="334"/>
      <c r="G572" s="334"/>
      <c r="H572" s="334"/>
      <c r="I572" s="334"/>
      <c r="J572" s="334"/>
      <c r="K572" s="334"/>
      <c r="L572" s="334"/>
      <c r="M572" s="334"/>
      <c r="N572" s="334"/>
      <c r="O572" s="334"/>
      <c r="P572" s="409"/>
      <c r="Q572" s="399"/>
      <c r="R572" s="334"/>
      <c r="S572" s="399"/>
      <c r="T572" s="334"/>
      <c r="U572" s="334"/>
      <c r="V572" s="334"/>
      <c r="W572" s="334"/>
      <c r="X572" s="334"/>
      <c r="Y572" s="246"/>
      <c r="Z572" s="246"/>
      <c r="AA572" s="246"/>
      <c r="AB572" s="246"/>
      <c r="AC572" s="246"/>
      <c r="AD572" s="246"/>
      <c r="AE572" s="246"/>
      <c r="AF572" s="246"/>
      <c r="AG572" s="246"/>
      <c r="AH572" s="246"/>
      <c r="AI572" s="246"/>
      <c r="AJ572" s="246"/>
      <c r="AK572" s="246"/>
      <c r="AL572" s="246"/>
      <c r="AM572" s="246"/>
      <c r="AN572" s="246"/>
      <c r="AO572" s="246"/>
      <c r="AP572" s="246"/>
      <c r="AQ572" s="246"/>
      <c r="AR572" s="246"/>
      <c r="AS572" s="246"/>
      <c r="AT572" s="246"/>
      <c r="AU572" s="246"/>
      <c r="AV572" s="246"/>
      <c r="AW572" s="246"/>
      <c r="AX572" s="246"/>
      <c r="AY572" s="246"/>
      <c r="AZ572" s="246"/>
      <c r="BA572" s="246"/>
      <c r="BB572" s="246"/>
      <c r="BC572" s="246"/>
      <c r="BD572" s="246"/>
      <c r="BE572" s="246"/>
      <c r="BF572" s="246"/>
      <c r="BG572" s="246"/>
      <c r="BH572" s="246"/>
      <c r="BI572" s="246"/>
      <c r="BJ572" s="246"/>
    </row>
    <row r="573" spans="2:62" ht="15.75">
      <c r="B573" s="7"/>
      <c r="C573" s="398"/>
      <c r="D573" s="398"/>
      <c r="E573" s="334"/>
      <c r="F573" s="334"/>
      <c r="G573" s="398"/>
      <c r="H573" s="334"/>
      <c r="I573" s="334"/>
      <c r="J573" s="334"/>
      <c r="K573" s="334"/>
      <c r="L573" s="334"/>
      <c r="M573" s="334"/>
      <c r="N573" s="334"/>
      <c r="O573" s="334"/>
      <c r="P573" s="411"/>
      <c r="Q573" s="401"/>
      <c r="R573" s="334"/>
      <c r="S573" s="401"/>
      <c r="T573" s="334"/>
      <c r="U573" s="334"/>
      <c r="V573" s="334"/>
      <c r="W573" s="334"/>
      <c r="X573" s="334"/>
      <c r="Y573" s="246"/>
      <c r="Z573" s="246"/>
      <c r="AA573" s="246"/>
      <c r="AB573" s="246"/>
      <c r="AC573" s="246"/>
      <c r="AD573" s="246"/>
      <c r="AE573" s="246"/>
      <c r="AF573" s="246"/>
      <c r="AG573" s="246"/>
      <c r="AH573" s="246"/>
      <c r="AI573" s="246"/>
      <c r="AJ573" s="246"/>
      <c r="AK573" s="246"/>
      <c r="AL573" s="246"/>
      <c r="AM573" s="246"/>
      <c r="AN573" s="246"/>
      <c r="AO573" s="246"/>
      <c r="AP573" s="246"/>
      <c r="AQ573" s="246"/>
      <c r="AR573" s="246"/>
      <c r="AS573" s="246"/>
      <c r="AT573" s="246"/>
      <c r="AU573" s="246"/>
      <c r="AV573" s="246"/>
      <c r="AW573" s="246"/>
      <c r="AX573" s="246"/>
      <c r="AY573" s="246"/>
      <c r="AZ573" s="246"/>
      <c r="BA573" s="246"/>
      <c r="BB573" s="246"/>
      <c r="BC573" s="246"/>
      <c r="BD573" s="246"/>
      <c r="BE573" s="246"/>
      <c r="BF573" s="246"/>
      <c r="BG573" s="246"/>
      <c r="BH573" s="246"/>
      <c r="BI573" s="246"/>
      <c r="BJ573" s="246"/>
    </row>
    <row r="574" spans="2:62" ht="15.75">
      <c r="B574" s="7"/>
      <c r="C574" s="334"/>
      <c r="D574" s="334"/>
      <c r="E574" s="334"/>
      <c r="F574" s="334"/>
      <c r="G574" s="334"/>
      <c r="H574" s="334"/>
      <c r="I574" s="334"/>
      <c r="J574" s="334"/>
      <c r="K574" s="334"/>
      <c r="L574" s="334"/>
      <c r="M574" s="334"/>
      <c r="N574" s="334"/>
      <c r="O574" s="334"/>
      <c r="P574" s="411"/>
      <c r="Q574" s="411"/>
      <c r="R574" s="334"/>
      <c r="S574" s="334"/>
      <c r="T574" s="334"/>
      <c r="U574" s="334"/>
      <c r="V574" s="334"/>
      <c r="W574" s="334"/>
      <c r="X574" s="334"/>
      <c r="Y574" s="246"/>
      <c r="Z574" s="246"/>
      <c r="AA574" s="246"/>
      <c r="AB574" s="246"/>
      <c r="AC574" s="246"/>
      <c r="AD574" s="246"/>
      <c r="AE574" s="246"/>
      <c r="AF574" s="246"/>
      <c r="AG574" s="246"/>
      <c r="AH574" s="246"/>
      <c r="AI574" s="246"/>
      <c r="AJ574" s="246"/>
      <c r="AK574" s="246"/>
      <c r="AL574" s="246"/>
      <c r="AM574" s="246"/>
      <c r="AN574" s="246"/>
      <c r="AO574" s="246"/>
      <c r="AP574" s="246"/>
      <c r="AQ574" s="246"/>
      <c r="AR574" s="246"/>
      <c r="AS574" s="246"/>
      <c r="AT574" s="246"/>
      <c r="AU574" s="246"/>
      <c r="AV574" s="246"/>
      <c r="AW574" s="246"/>
      <c r="AX574" s="246"/>
      <c r="AY574" s="246"/>
      <c r="AZ574" s="246"/>
      <c r="BA574" s="246"/>
      <c r="BB574" s="246"/>
      <c r="BC574" s="246"/>
      <c r="BD574" s="246"/>
      <c r="BE574" s="246"/>
      <c r="BF574" s="246"/>
      <c r="BG574" s="246"/>
      <c r="BH574" s="246"/>
      <c r="BI574" s="246"/>
      <c r="BJ574" s="246"/>
    </row>
    <row r="575" spans="2:62" ht="15.75">
      <c r="B575" s="7"/>
      <c r="C575" s="334"/>
      <c r="D575" s="334"/>
      <c r="E575" s="399"/>
      <c r="F575" s="409"/>
      <c r="G575" s="334"/>
      <c r="H575" s="399"/>
      <c r="I575" s="409"/>
      <c r="J575" s="409"/>
      <c r="K575" s="399"/>
      <c r="L575" s="409"/>
      <c r="M575" s="399"/>
      <c r="N575" s="409"/>
      <c r="O575" s="399"/>
      <c r="P575" s="409"/>
      <c r="Q575" s="399"/>
      <c r="R575" s="399"/>
      <c r="S575" s="334"/>
      <c r="T575" s="334"/>
      <c r="U575" s="334"/>
      <c r="V575" s="334"/>
      <c r="W575" s="334"/>
      <c r="X575" s="334"/>
      <c r="Y575" s="246"/>
      <c r="Z575" s="246"/>
      <c r="AA575" s="246"/>
      <c r="AB575" s="246"/>
      <c r="AC575" s="246"/>
      <c r="AD575" s="246"/>
      <c r="AE575" s="246"/>
      <c r="AF575" s="246"/>
      <c r="AG575" s="246"/>
      <c r="AH575" s="246"/>
      <c r="AI575" s="246"/>
      <c r="AJ575" s="246"/>
      <c r="AK575" s="246"/>
      <c r="AL575" s="246"/>
      <c r="AM575" s="246"/>
      <c r="AN575" s="246"/>
      <c r="AO575" s="246"/>
      <c r="AP575" s="246"/>
      <c r="AQ575" s="246"/>
      <c r="AR575" s="246"/>
      <c r="AS575" s="246"/>
      <c r="AT575" s="246"/>
      <c r="AU575" s="246"/>
      <c r="AV575" s="246"/>
      <c r="AW575" s="246"/>
      <c r="AX575" s="246"/>
      <c r="AY575" s="246"/>
      <c r="AZ575" s="246"/>
      <c r="BA575" s="246"/>
      <c r="BB575" s="246"/>
      <c r="BC575" s="246"/>
      <c r="BD575" s="246"/>
      <c r="BE575" s="246"/>
      <c r="BF575" s="246"/>
      <c r="BG575" s="246"/>
      <c r="BH575" s="246"/>
      <c r="BI575" s="246"/>
      <c r="BJ575" s="246"/>
    </row>
    <row r="576" spans="2:62" ht="15.75">
      <c r="B576" s="7"/>
      <c r="C576" s="398"/>
      <c r="D576" s="398"/>
      <c r="E576" s="401"/>
      <c r="F576" s="411"/>
      <c r="G576" s="398"/>
      <c r="H576" s="401"/>
      <c r="I576" s="411"/>
      <c r="J576" s="411"/>
      <c r="K576" s="401"/>
      <c r="L576" s="411"/>
      <c r="M576" s="401"/>
      <c r="N576" s="411"/>
      <c r="O576" s="401"/>
      <c r="P576" s="411"/>
      <c r="Q576" s="401"/>
      <c r="R576" s="401"/>
      <c r="S576" s="401"/>
      <c r="T576" s="334"/>
      <c r="U576" s="334"/>
      <c r="V576" s="334"/>
      <c r="W576" s="334"/>
      <c r="X576" s="334"/>
      <c r="Y576" s="246"/>
      <c r="Z576" s="246"/>
      <c r="AA576" s="246"/>
      <c r="AB576" s="246"/>
      <c r="AC576" s="246"/>
      <c r="AD576" s="246"/>
      <c r="AE576" s="246"/>
      <c r="AF576" s="246"/>
      <c r="AG576" s="246"/>
      <c r="AH576" s="246"/>
      <c r="AI576" s="246"/>
      <c r="AJ576" s="246"/>
      <c r="AK576" s="246"/>
      <c r="AL576" s="246"/>
      <c r="AM576" s="246"/>
      <c r="AN576" s="246"/>
      <c r="AO576" s="246"/>
      <c r="AP576" s="246"/>
      <c r="AQ576" s="246"/>
      <c r="AR576" s="246"/>
      <c r="AS576" s="246"/>
      <c r="AT576" s="246"/>
      <c r="AU576" s="246"/>
      <c r="AV576" s="246"/>
      <c r="AW576" s="246"/>
      <c r="AX576" s="246"/>
      <c r="AY576" s="246"/>
      <c r="AZ576" s="246"/>
      <c r="BA576" s="246"/>
      <c r="BB576" s="246"/>
      <c r="BC576" s="246"/>
      <c r="BD576" s="246"/>
      <c r="BE576" s="246"/>
      <c r="BF576" s="246"/>
      <c r="BG576" s="246"/>
      <c r="BH576" s="246"/>
      <c r="BI576" s="246"/>
      <c r="BJ576" s="246"/>
    </row>
    <row r="577" spans="2:62" ht="15.75">
      <c r="B577" s="7"/>
      <c r="C577" s="334"/>
      <c r="D577" s="334"/>
      <c r="E577" s="399"/>
      <c r="F577" s="409"/>
      <c r="G577" s="334"/>
      <c r="H577" s="399"/>
      <c r="I577" s="409"/>
      <c r="J577" s="399"/>
      <c r="K577" s="409"/>
      <c r="L577" s="399"/>
      <c r="M577" s="334"/>
      <c r="N577" s="399"/>
      <c r="O577" s="409"/>
      <c r="P577" s="401"/>
      <c r="Q577" s="411"/>
      <c r="R577" s="411"/>
      <c r="S577" s="399"/>
      <c r="T577" s="334"/>
      <c r="U577" s="334"/>
      <c r="V577" s="334"/>
      <c r="W577" s="334"/>
      <c r="X577" s="334"/>
      <c r="Y577" s="246"/>
      <c r="Z577" s="246"/>
      <c r="AA577" s="246"/>
      <c r="AB577" s="246"/>
      <c r="AC577" s="246"/>
      <c r="AD577" s="246"/>
      <c r="AE577" s="246"/>
      <c r="AF577" s="246"/>
      <c r="AG577" s="246"/>
      <c r="AH577" s="246"/>
      <c r="AI577" s="246"/>
      <c r="AJ577" s="246"/>
      <c r="AK577" s="246"/>
      <c r="AL577" s="246"/>
      <c r="AM577" s="246"/>
      <c r="AN577" s="246"/>
      <c r="AO577" s="246"/>
      <c r="AP577" s="246"/>
      <c r="AQ577" s="246"/>
      <c r="AR577" s="246"/>
      <c r="AS577" s="246"/>
      <c r="AT577" s="246"/>
      <c r="AU577" s="246"/>
      <c r="AV577" s="246"/>
      <c r="AW577" s="246"/>
      <c r="AX577" s="246"/>
      <c r="AY577" s="246"/>
      <c r="AZ577" s="246"/>
      <c r="BA577" s="246"/>
      <c r="BB577" s="246"/>
      <c r="BC577" s="246"/>
      <c r="BD577" s="246"/>
      <c r="BE577" s="246"/>
      <c r="BF577" s="246"/>
      <c r="BG577" s="246"/>
      <c r="BH577" s="246"/>
      <c r="BI577" s="246"/>
      <c r="BJ577" s="246"/>
    </row>
    <row r="578" spans="2:62" ht="15.75">
      <c r="B578" s="7"/>
      <c r="C578" s="334"/>
      <c r="D578" s="334"/>
      <c r="E578" s="399"/>
      <c r="F578" s="409"/>
      <c r="G578" s="334"/>
      <c r="H578" s="399"/>
      <c r="I578" s="409"/>
      <c r="J578" s="399"/>
      <c r="K578" s="409"/>
      <c r="L578" s="399"/>
      <c r="M578" s="334"/>
      <c r="N578" s="399"/>
      <c r="O578" s="409"/>
      <c r="P578" s="399"/>
      <c r="Q578" s="334"/>
      <c r="R578" s="409"/>
      <c r="S578" s="399"/>
      <c r="T578" s="334"/>
      <c r="U578" s="334"/>
      <c r="V578" s="334"/>
      <c r="W578" s="334"/>
      <c r="X578" s="334"/>
      <c r="Y578" s="246"/>
      <c r="Z578" s="246"/>
      <c r="AA578" s="246"/>
      <c r="AB578" s="246"/>
      <c r="AC578" s="246"/>
      <c r="AD578" s="246"/>
      <c r="AE578" s="246"/>
      <c r="AF578" s="246"/>
      <c r="AG578" s="246"/>
      <c r="AH578" s="246"/>
      <c r="AI578" s="246"/>
      <c r="AJ578" s="246"/>
      <c r="AK578" s="246"/>
      <c r="AL578" s="246"/>
      <c r="AM578" s="246"/>
      <c r="AN578" s="246"/>
      <c r="AO578" s="246"/>
      <c r="AP578" s="246"/>
      <c r="AQ578" s="246"/>
      <c r="AR578" s="246"/>
      <c r="AS578" s="246"/>
      <c r="AT578" s="246"/>
      <c r="AU578" s="246"/>
      <c r="AV578" s="246"/>
      <c r="AW578" s="246"/>
      <c r="AX578" s="246"/>
      <c r="AY578" s="246"/>
      <c r="AZ578" s="246"/>
      <c r="BA578" s="246"/>
      <c r="BB578" s="246"/>
      <c r="BC578" s="246"/>
      <c r="BD578" s="246"/>
      <c r="BE578" s="246"/>
      <c r="BF578" s="246"/>
      <c r="BG578" s="246"/>
      <c r="BH578" s="246"/>
      <c r="BI578" s="246"/>
      <c r="BJ578" s="246"/>
    </row>
    <row r="579" spans="2:62" ht="15.75">
      <c r="B579" s="7"/>
      <c r="C579" s="334"/>
      <c r="D579" s="334"/>
      <c r="E579" s="334"/>
      <c r="F579" s="334"/>
      <c r="G579" s="334"/>
      <c r="H579" s="334"/>
      <c r="I579" s="334"/>
      <c r="J579" s="334"/>
      <c r="K579" s="334"/>
      <c r="L579" s="334"/>
      <c r="M579" s="334"/>
      <c r="N579" s="334"/>
      <c r="O579" s="334"/>
      <c r="P579" s="334"/>
      <c r="Q579" s="334"/>
      <c r="R579" s="409"/>
      <c r="S579" s="399"/>
      <c r="T579" s="334"/>
      <c r="U579" s="334"/>
      <c r="V579" s="334"/>
      <c r="W579" s="334"/>
      <c r="X579" s="334"/>
      <c r="Y579" s="246"/>
      <c r="Z579" s="246"/>
      <c r="AA579" s="246"/>
      <c r="AB579" s="246"/>
      <c r="AC579" s="246"/>
      <c r="AD579" s="246"/>
      <c r="AE579" s="246"/>
      <c r="AF579" s="246"/>
      <c r="AG579" s="246"/>
      <c r="AH579" s="246"/>
      <c r="AI579" s="246"/>
      <c r="AJ579" s="246"/>
      <c r="AK579" s="246"/>
      <c r="AL579" s="246"/>
      <c r="AM579" s="246"/>
      <c r="AN579" s="246"/>
      <c r="AO579" s="246"/>
      <c r="AP579" s="246"/>
      <c r="AQ579" s="246"/>
      <c r="AR579" s="246"/>
      <c r="AS579" s="246"/>
      <c r="AT579" s="246"/>
      <c r="AU579" s="246"/>
      <c r="AV579" s="246"/>
      <c r="AW579" s="246"/>
      <c r="AX579" s="246"/>
      <c r="AY579" s="246"/>
      <c r="AZ579" s="246"/>
      <c r="BA579" s="246"/>
      <c r="BB579" s="246"/>
      <c r="BC579" s="246"/>
      <c r="BD579" s="246"/>
      <c r="BE579" s="246"/>
      <c r="BF579" s="246"/>
      <c r="BG579" s="246"/>
      <c r="BH579" s="246"/>
      <c r="BI579" s="246"/>
      <c r="BJ579" s="246"/>
    </row>
    <row r="580" spans="2:62" ht="15.75">
      <c r="B580" s="7"/>
      <c r="C580" s="334"/>
      <c r="D580" s="334"/>
      <c r="E580" s="399"/>
      <c r="F580" s="409"/>
      <c r="G580" s="334"/>
      <c r="H580" s="399"/>
      <c r="I580" s="409"/>
      <c r="J580" s="399"/>
      <c r="K580" s="409"/>
      <c r="L580" s="399"/>
      <c r="M580" s="334"/>
      <c r="N580" s="399"/>
      <c r="O580" s="409"/>
      <c r="P580" s="399"/>
      <c r="Q580" s="334"/>
      <c r="R580" s="409"/>
      <c r="S580" s="399"/>
      <c r="T580" s="334"/>
      <c r="U580" s="334"/>
      <c r="V580" s="334"/>
      <c r="W580" s="334"/>
      <c r="X580" s="334"/>
      <c r="Y580" s="246"/>
      <c r="Z580" s="246"/>
      <c r="AA580" s="246"/>
      <c r="AB580" s="246"/>
      <c r="AC580" s="246"/>
      <c r="AD580" s="246"/>
      <c r="AE580" s="246"/>
      <c r="AF580" s="246"/>
      <c r="AG580" s="246"/>
      <c r="AH580" s="246"/>
      <c r="AI580" s="246"/>
      <c r="AJ580" s="246"/>
      <c r="AK580" s="246"/>
      <c r="AL580" s="246"/>
      <c r="AM580" s="246"/>
      <c r="AN580" s="246"/>
      <c r="AO580" s="246"/>
      <c r="AP580" s="246"/>
      <c r="AQ580" s="246"/>
      <c r="AR580" s="246"/>
      <c r="AS580" s="246"/>
      <c r="AT580" s="246"/>
      <c r="AU580" s="246"/>
      <c r="AV580" s="246"/>
      <c r="AW580" s="246"/>
      <c r="AX580" s="246"/>
      <c r="AY580" s="246"/>
      <c r="AZ580" s="246"/>
      <c r="BA580" s="246"/>
      <c r="BB580" s="246"/>
      <c r="BC580" s="246"/>
      <c r="BD580" s="246"/>
      <c r="BE580" s="246"/>
      <c r="BF580" s="246"/>
      <c r="BG580" s="246"/>
      <c r="BH580" s="246"/>
      <c r="BI580" s="246"/>
      <c r="BJ580" s="246"/>
    </row>
    <row r="581" spans="2:62" ht="15.75">
      <c r="B581" s="7"/>
      <c r="C581" s="334"/>
      <c r="D581" s="334"/>
      <c r="E581" s="399"/>
      <c r="F581" s="409"/>
      <c r="G581" s="334"/>
      <c r="H581" s="399"/>
      <c r="I581" s="409"/>
      <c r="J581" s="399"/>
      <c r="K581" s="409"/>
      <c r="L581" s="399"/>
      <c r="M581" s="334"/>
      <c r="N581" s="399"/>
      <c r="O581" s="409"/>
      <c r="P581" s="399"/>
      <c r="Q581" s="334"/>
      <c r="R581" s="409"/>
      <c r="S581" s="399"/>
      <c r="T581" s="334"/>
      <c r="U581" s="334"/>
      <c r="V581" s="334"/>
      <c r="W581" s="334"/>
      <c r="X581" s="334"/>
      <c r="Y581" s="246"/>
      <c r="Z581" s="246"/>
      <c r="AA581" s="246"/>
      <c r="AB581" s="246"/>
      <c r="AC581" s="246"/>
      <c r="AD581" s="246"/>
      <c r="AE581" s="246"/>
      <c r="AF581" s="246"/>
      <c r="AG581" s="246"/>
      <c r="AH581" s="246"/>
      <c r="AI581" s="246"/>
      <c r="AJ581" s="246"/>
      <c r="AK581" s="246"/>
      <c r="AL581" s="246"/>
      <c r="AM581" s="246"/>
      <c r="AN581" s="246"/>
      <c r="AO581" s="246"/>
      <c r="AP581" s="246"/>
      <c r="AQ581" s="246"/>
      <c r="AR581" s="246"/>
      <c r="AS581" s="246"/>
      <c r="AT581" s="246"/>
      <c r="AU581" s="246"/>
      <c r="AV581" s="246"/>
      <c r="AW581" s="246"/>
      <c r="AX581" s="246"/>
      <c r="AY581" s="246"/>
      <c r="AZ581" s="246"/>
      <c r="BA581" s="246"/>
      <c r="BB581" s="246"/>
      <c r="BC581" s="246"/>
      <c r="BD581" s="246"/>
      <c r="BE581" s="246"/>
      <c r="BF581" s="246"/>
      <c r="BG581" s="246"/>
      <c r="BH581" s="246"/>
      <c r="BI581" s="246"/>
      <c r="BJ581" s="246"/>
    </row>
    <row r="582" spans="2:62" ht="15.75">
      <c r="B582" s="7"/>
      <c r="C582" s="334"/>
      <c r="D582" s="334"/>
      <c r="E582" s="399"/>
      <c r="F582" s="409"/>
      <c r="G582" s="334"/>
      <c r="H582" s="399"/>
      <c r="I582" s="409"/>
      <c r="J582" s="399"/>
      <c r="K582" s="409"/>
      <c r="L582" s="399"/>
      <c r="M582" s="334"/>
      <c r="N582" s="399"/>
      <c r="O582" s="409"/>
      <c r="P582" s="399"/>
      <c r="Q582" s="334"/>
      <c r="R582" s="409"/>
      <c r="S582" s="399"/>
      <c r="T582" s="334"/>
      <c r="U582" s="334"/>
      <c r="V582" s="334"/>
      <c r="W582" s="334"/>
      <c r="X582" s="334"/>
      <c r="Y582" s="246"/>
      <c r="Z582" s="246"/>
      <c r="AA582" s="246"/>
      <c r="AB582" s="246"/>
      <c r="AC582" s="246"/>
      <c r="AD582" s="246"/>
      <c r="AE582" s="246"/>
      <c r="AF582" s="246"/>
      <c r="AG582" s="246"/>
      <c r="AH582" s="246"/>
      <c r="AI582" s="246"/>
      <c r="AJ582" s="246"/>
      <c r="AK582" s="246"/>
      <c r="AL582" s="246"/>
      <c r="AM582" s="246"/>
      <c r="AN582" s="246"/>
      <c r="AO582" s="246"/>
      <c r="AP582" s="246"/>
      <c r="AQ582" s="246"/>
      <c r="AR582" s="246"/>
      <c r="AS582" s="246"/>
      <c r="AT582" s="246"/>
      <c r="AU582" s="246"/>
      <c r="AV582" s="246"/>
      <c r="AW582" s="246"/>
      <c r="AX582" s="246"/>
      <c r="AY582" s="246"/>
      <c r="AZ582" s="246"/>
      <c r="BA582" s="246"/>
      <c r="BB582" s="246"/>
      <c r="BC582" s="246"/>
      <c r="BD582" s="246"/>
      <c r="BE582" s="246"/>
      <c r="BF582" s="246"/>
      <c r="BG582" s="246"/>
      <c r="BH582" s="246"/>
      <c r="BI582" s="246"/>
      <c r="BJ582" s="246"/>
    </row>
    <row r="583" spans="2:62" ht="15.75">
      <c r="B583" s="7"/>
      <c r="C583" s="334"/>
      <c r="D583" s="334"/>
      <c r="E583" s="399"/>
      <c r="F583" s="409"/>
      <c r="G583" s="334"/>
      <c r="H583" s="399"/>
      <c r="I583" s="409"/>
      <c r="J583" s="399"/>
      <c r="K583" s="409"/>
      <c r="L583" s="399"/>
      <c r="M583" s="334"/>
      <c r="N583" s="399"/>
      <c r="O583" s="409"/>
      <c r="P583" s="399"/>
      <c r="Q583" s="334"/>
      <c r="R583" s="409"/>
      <c r="S583" s="399"/>
      <c r="T583" s="334"/>
      <c r="U583" s="334"/>
      <c r="V583" s="334"/>
      <c r="W583" s="334"/>
      <c r="X583" s="334"/>
      <c r="Y583" s="246"/>
      <c r="Z583" s="246"/>
      <c r="AA583" s="246"/>
      <c r="AB583" s="246"/>
      <c r="AC583" s="246"/>
      <c r="AD583" s="246"/>
      <c r="AE583" s="246"/>
      <c r="AF583" s="246"/>
      <c r="AG583" s="246"/>
      <c r="AH583" s="246"/>
      <c r="AI583" s="246"/>
      <c r="AJ583" s="246"/>
      <c r="AK583" s="246"/>
      <c r="AL583" s="246"/>
      <c r="AM583" s="246"/>
      <c r="AN583" s="246"/>
      <c r="AO583" s="246"/>
      <c r="AP583" s="246"/>
      <c r="AQ583" s="246"/>
      <c r="AR583" s="246"/>
      <c r="AS583" s="246"/>
      <c r="AT583" s="246"/>
      <c r="AU583" s="246"/>
      <c r="AV583" s="246"/>
      <c r="AW583" s="246"/>
      <c r="AX583" s="246"/>
      <c r="AY583" s="246"/>
      <c r="AZ583" s="246"/>
      <c r="BA583" s="246"/>
      <c r="BB583" s="246"/>
      <c r="BC583" s="246"/>
      <c r="BD583" s="246"/>
      <c r="BE583" s="246"/>
      <c r="BF583" s="246"/>
      <c r="BG583" s="246"/>
      <c r="BH583" s="246"/>
      <c r="BI583" s="246"/>
      <c r="BJ583" s="246"/>
    </row>
    <row r="584" spans="2:62" ht="15.75">
      <c r="B584" s="7"/>
      <c r="C584" s="334"/>
      <c r="D584" s="334"/>
      <c r="E584" s="399"/>
      <c r="F584" s="409"/>
      <c r="G584" s="334"/>
      <c r="H584" s="399"/>
      <c r="I584" s="409"/>
      <c r="J584" s="399"/>
      <c r="K584" s="409"/>
      <c r="L584" s="399"/>
      <c r="M584" s="334"/>
      <c r="N584" s="399"/>
      <c r="O584" s="409"/>
      <c r="P584" s="399"/>
      <c r="Q584" s="334"/>
      <c r="R584" s="409"/>
      <c r="S584" s="399"/>
      <c r="T584" s="334"/>
      <c r="U584" s="334"/>
      <c r="V584" s="334"/>
      <c r="W584" s="334"/>
      <c r="X584" s="334"/>
      <c r="Y584" s="246"/>
      <c r="Z584" s="246"/>
      <c r="AA584" s="246"/>
      <c r="AB584" s="246"/>
      <c r="AC584" s="246"/>
      <c r="AD584" s="246"/>
      <c r="AE584" s="246"/>
      <c r="AF584" s="246"/>
      <c r="AG584" s="246"/>
      <c r="AH584" s="246"/>
      <c r="AI584" s="246"/>
      <c r="AJ584" s="246"/>
      <c r="AK584" s="246"/>
      <c r="AL584" s="246"/>
      <c r="AM584" s="246"/>
      <c r="AN584" s="246"/>
      <c r="AO584" s="246"/>
      <c r="AP584" s="246"/>
      <c r="AQ584" s="246"/>
      <c r="AR584" s="246"/>
      <c r="AS584" s="246"/>
      <c r="AT584" s="246"/>
      <c r="AU584" s="246"/>
      <c r="AV584" s="246"/>
      <c r="AW584" s="246"/>
      <c r="AX584" s="246"/>
      <c r="AY584" s="246"/>
      <c r="AZ584" s="246"/>
      <c r="BA584" s="246"/>
      <c r="BB584" s="246"/>
      <c r="BC584" s="246"/>
      <c r="BD584" s="246"/>
      <c r="BE584" s="246"/>
      <c r="BF584" s="246"/>
      <c r="BG584" s="246"/>
      <c r="BH584" s="246"/>
      <c r="BI584" s="246"/>
      <c r="BJ584" s="246"/>
    </row>
    <row r="585" spans="2:62" ht="15.75">
      <c r="B585" s="7"/>
      <c r="C585" s="334"/>
      <c r="D585" s="334"/>
      <c r="E585" s="399"/>
      <c r="F585" s="409"/>
      <c r="G585" s="334"/>
      <c r="H585" s="399"/>
      <c r="I585" s="409"/>
      <c r="J585" s="399"/>
      <c r="K585" s="409"/>
      <c r="L585" s="399"/>
      <c r="M585" s="334"/>
      <c r="N585" s="399"/>
      <c r="O585" s="409"/>
      <c r="P585" s="399"/>
      <c r="Q585" s="334"/>
      <c r="R585" s="409"/>
      <c r="S585" s="399"/>
      <c r="T585" s="334"/>
      <c r="U585" s="334"/>
      <c r="V585" s="334"/>
      <c r="W585" s="334"/>
      <c r="X585" s="334"/>
      <c r="Y585" s="246"/>
      <c r="Z585" s="246"/>
      <c r="AA585" s="246"/>
      <c r="AB585" s="246"/>
      <c r="AC585" s="246"/>
      <c r="AD585" s="246"/>
      <c r="AE585" s="246"/>
      <c r="AF585" s="246"/>
      <c r="AG585" s="246"/>
      <c r="AH585" s="246"/>
      <c r="AI585" s="246"/>
      <c r="AJ585" s="246"/>
      <c r="AK585" s="246"/>
      <c r="AL585" s="246"/>
      <c r="AM585" s="246"/>
      <c r="AN585" s="246"/>
      <c r="AO585" s="246"/>
      <c r="AP585" s="246"/>
      <c r="AQ585" s="246"/>
      <c r="AR585" s="246"/>
      <c r="AS585" s="246"/>
      <c r="AT585" s="246"/>
      <c r="AU585" s="246"/>
      <c r="AV585" s="246"/>
      <c r="AW585" s="246"/>
      <c r="AX585" s="246"/>
      <c r="AY585" s="246"/>
      <c r="AZ585" s="246"/>
      <c r="BA585" s="246"/>
      <c r="BB585" s="246"/>
      <c r="BC585" s="246"/>
      <c r="BD585" s="246"/>
      <c r="BE585" s="246"/>
      <c r="BF585" s="246"/>
      <c r="BG585" s="246"/>
      <c r="BH585" s="246"/>
      <c r="BI585" s="246"/>
      <c r="BJ585" s="246"/>
    </row>
    <row r="586" spans="2:62" ht="15.75">
      <c r="B586" s="7"/>
      <c r="C586" s="334"/>
      <c r="D586" s="334"/>
      <c r="E586" s="399"/>
      <c r="F586" s="409"/>
      <c r="G586" s="334"/>
      <c r="H586" s="399"/>
      <c r="I586" s="409"/>
      <c r="J586" s="399"/>
      <c r="K586" s="409"/>
      <c r="L586" s="399"/>
      <c r="M586" s="334"/>
      <c r="N586" s="399"/>
      <c r="O586" s="409"/>
      <c r="P586" s="399"/>
      <c r="Q586" s="334"/>
      <c r="R586" s="409"/>
      <c r="S586" s="399"/>
      <c r="T586" s="334"/>
      <c r="U586" s="334"/>
      <c r="V586" s="334"/>
      <c r="W586" s="334"/>
      <c r="X586" s="334"/>
      <c r="Y586" s="246"/>
      <c r="Z586" s="246"/>
      <c r="AA586" s="246"/>
      <c r="AB586" s="246"/>
      <c r="AC586" s="246"/>
      <c r="AD586" s="246"/>
      <c r="AE586" s="246"/>
      <c r="AF586" s="246"/>
      <c r="AG586" s="246"/>
      <c r="AH586" s="246"/>
      <c r="AI586" s="246"/>
      <c r="AJ586" s="246"/>
      <c r="AK586" s="246"/>
      <c r="AL586" s="246"/>
      <c r="AM586" s="246"/>
      <c r="AN586" s="246"/>
      <c r="AO586" s="246"/>
      <c r="AP586" s="246"/>
      <c r="AQ586" s="246"/>
      <c r="AR586" s="246"/>
      <c r="AS586" s="246"/>
      <c r="AT586" s="246"/>
      <c r="AU586" s="246"/>
      <c r="AV586" s="246"/>
      <c r="AW586" s="246"/>
      <c r="AX586" s="246"/>
      <c r="AY586" s="246"/>
      <c r="AZ586" s="246"/>
      <c r="BA586" s="246"/>
      <c r="BB586" s="246"/>
      <c r="BC586" s="246"/>
      <c r="BD586" s="246"/>
      <c r="BE586" s="246"/>
      <c r="BF586" s="246"/>
      <c r="BG586" s="246"/>
      <c r="BH586" s="246"/>
      <c r="BI586" s="246"/>
      <c r="BJ586" s="246"/>
    </row>
    <row r="587" spans="2:62" ht="15.75">
      <c r="B587" s="7"/>
      <c r="C587" s="334"/>
      <c r="D587" s="334"/>
      <c r="E587" s="334"/>
      <c r="F587" s="334"/>
      <c r="G587" s="334"/>
      <c r="H587" s="334"/>
      <c r="I587" s="334"/>
      <c r="J587" s="334"/>
      <c r="K587" s="334"/>
      <c r="L587" s="334"/>
      <c r="M587" s="334"/>
      <c r="N587" s="334"/>
      <c r="O587" s="334"/>
      <c r="P587" s="334"/>
      <c r="Q587" s="334"/>
      <c r="R587" s="334"/>
      <c r="S587" s="334"/>
      <c r="T587" s="334"/>
      <c r="U587" s="334"/>
      <c r="V587" s="334"/>
      <c r="W587" s="334"/>
      <c r="X587" s="334"/>
      <c r="Y587" s="246"/>
      <c r="Z587" s="246"/>
      <c r="AA587" s="246"/>
      <c r="AB587" s="246"/>
      <c r="AC587" s="246"/>
      <c r="AD587" s="246"/>
      <c r="AE587" s="246"/>
      <c r="AF587" s="246"/>
      <c r="AG587" s="246"/>
      <c r="AH587" s="246"/>
      <c r="AI587" s="246"/>
      <c r="AJ587" s="246"/>
      <c r="AK587" s="246"/>
      <c r="AL587" s="246"/>
      <c r="AM587" s="246"/>
      <c r="AN587" s="246"/>
      <c r="AO587" s="246"/>
      <c r="AP587" s="246"/>
      <c r="AQ587" s="246"/>
      <c r="AR587" s="246"/>
      <c r="AS587" s="246"/>
      <c r="AT587" s="246"/>
      <c r="AU587" s="246"/>
      <c r="AV587" s="246"/>
      <c r="AW587" s="246"/>
      <c r="AX587" s="246"/>
      <c r="AY587" s="246"/>
      <c r="AZ587" s="246"/>
      <c r="BA587" s="246"/>
      <c r="BB587" s="246"/>
      <c r="BC587" s="246"/>
      <c r="BD587" s="246"/>
      <c r="BE587" s="246"/>
      <c r="BF587" s="246"/>
      <c r="BG587" s="246"/>
      <c r="BH587" s="246"/>
      <c r="BI587" s="246"/>
      <c r="BJ587" s="246"/>
    </row>
    <row r="588" spans="2:62" ht="15.75">
      <c r="B588" s="7"/>
      <c r="C588" s="334"/>
      <c r="D588" s="334"/>
      <c r="E588" s="334"/>
      <c r="F588" s="334"/>
      <c r="G588" s="334"/>
      <c r="H588" s="334"/>
      <c r="I588" s="334"/>
      <c r="J588" s="334"/>
      <c r="K588" s="334"/>
      <c r="L588" s="334"/>
      <c r="M588" s="334"/>
      <c r="N588" s="334"/>
      <c r="O588" s="334"/>
      <c r="P588" s="334"/>
      <c r="Q588" s="334"/>
      <c r="R588" s="334"/>
      <c r="S588" s="334"/>
      <c r="T588" s="334"/>
      <c r="U588" s="334"/>
      <c r="V588" s="334"/>
      <c r="W588" s="334"/>
      <c r="X588" s="334"/>
      <c r="Y588" s="246"/>
      <c r="Z588" s="246"/>
      <c r="AA588" s="246"/>
      <c r="AB588" s="246"/>
      <c r="AC588" s="246"/>
      <c r="AD588" s="246"/>
      <c r="AE588" s="246"/>
      <c r="AF588" s="246"/>
      <c r="AG588" s="246"/>
      <c r="AH588" s="246"/>
      <c r="AI588" s="246"/>
      <c r="AJ588" s="246"/>
      <c r="AK588" s="246"/>
      <c r="AL588" s="246"/>
      <c r="AM588" s="246"/>
      <c r="AN588" s="246"/>
      <c r="AO588" s="246"/>
      <c r="AP588" s="246"/>
      <c r="AQ588" s="246"/>
      <c r="AR588" s="246"/>
      <c r="AS588" s="246"/>
      <c r="AT588" s="246"/>
      <c r="AU588" s="246"/>
      <c r="AV588" s="246"/>
      <c r="AW588" s="246"/>
      <c r="AX588" s="246"/>
      <c r="AY588" s="246"/>
      <c r="AZ588" s="246"/>
      <c r="BA588" s="246"/>
      <c r="BB588" s="246"/>
      <c r="BC588" s="246"/>
      <c r="BD588" s="246"/>
      <c r="BE588" s="246"/>
      <c r="BF588" s="246"/>
      <c r="BG588" s="246"/>
      <c r="BH588" s="246"/>
      <c r="BI588" s="246"/>
      <c r="BJ588" s="246"/>
    </row>
    <row r="589" spans="2:62" ht="15.75">
      <c r="B589" s="7"/>
      <c r="C589" s="334"/>
      <c r="D589" s="334"/>
      <c r="E589" s="334"/>
      <c r="F589" s="334"/>
      <c r="G589" s="334"/>
      <c r="H589" s="334"/>
      <c r="I589" s="334"/>
      <c r="J589" s="334"/>
      <c r="K589" s="334"/>
      <c r="L589" s="334"/>
      <c r="M589" s="334"/>
      <c r="N589" s="334"/>
      <c r="O589" s="334"/>
      <c r="P589" s="334"/>
      <c r="Q589" s="334"/>
      <c r="R589" s="334"/>
      <c r="S589" s="334"/>
      <c r="T589" s="334"/>
      <c r="U589" s="334"/>
      <c r="V589" s="334"/>
      <c r="W589" s="334"/>
      <c r="X589" s="334"/>
      <c r="Y589" s="246"/>
      <c r="Z589" s="246"/>
      <c r="AA589" s="246"/>
      <c r="AB589" s="246"/>
      <c r="AC589" s="246"/>
      <c r="AD589" s="246"/>
      <c r="AE589" s="246"/>
      <c r="AF589" s="246"/>
      <c r="AG589" s="246"/>
      <c r="AH589" s="246"/>
      <c r="AI589" s="246"/>
      <c r="AJ589" s="246"/>
      <c r="AK589" s="246"/>
      <c r="AL589" s="246"/>
      <c r="AM589" s="246"/>
      <c r="AN589" s="246"/>
      <c r="AO589" s="246"/>
      <c r="AP589" s="246"/>
      <c r="AQ589" s="246"/>
      <c r="AR589" s="246"/>
      <c r="AS589" s="246"/>
      <c r="AT589" s="246"/>
      <c r="AU589" s="246"/>
      <c r="AV589" s="246"/>
      <c r="AW589" s="246"/>
      <c r="AX589" s="246"/>
      <c r="AY589" s="246"/>
      <c r="AZ589" s="246"/>
      <c r="BA589" s="246"/>
      <c r="BB589" s="246"/>
      <c r="BC589" s="246"/>
      <c r="BD589" s="246"/>
      <c r="BE589" s="246"/>
      <c r="BF589" s="246"/>
      <c r="BG589" s="246"/>
      <c r="BH589" s="246"/>
      <c r="BI589" s="246"/>
      <c r="BJ589" s="246"/>
    </row>
    <row r="590" spans="2:62" ht="15.75">
      <c r="B590" s="7"/>
      <c r="C590" s="334"/>
      <c r="D590" s="334"/>
      <c r="E590" s="334"/>
      <c r="F590" s="334"/>
      <c r="G590" s="334"/>
      <c r="H590" s="334"/>
      <c r="I590" s="334"/>
      <c r="J590" s="334"/>
      <c r="K590" s="334"/>
      <c r="L590" s="334"/>
      <c r="M590" s="334"/>
      <c r="N590" s="334"/>
      <c r="O590" s="334"/>
      <c r="P590" s="334"/>
      <c r="Q590" s="334"/>
      <c r="R590" s="334"/>
      <c r="S590" s="334"/>
      <c r="T590" s="334"/>
      <c r="U590" s="334"/>
      <c r="V590" s="334"/>
      <c r="W590" s="334"/>
      <c r="X590" s="334"/>
      <c r="Y590" s="246"/>
      <c r="Z590" s="246"/>
      <c r="AA590" s="246"/>
      <c r="AB590" s="246"/>
      <c r="AC590" s="246"/>
      <c r="AD590" s="246"/>
      <c r="AE590" s="246"/>
      <c r="AF590" s="246"/>
      <c r="AG590" s="246"/>
      <c r="AH590" s="246"/>
      <c r="AI590" s="246"/>
      <c r="AJ590" s="246"/>
      <c r="AK590" s="246"/>
      <c r="AL590" s="246"/>
      <c r="AM590" s="246"/>
      <c r="AN590" s="246"/>
      <c r="AO590" s="246"/>
      <c r="AP590" s="246"/>
      <c r="AQ590" s="246"/>
      <c r="AR590" s="246"/>
      <c r="AS590" s="246"/>
      <c r="AT590" s="246"/>
      <c r="AU590" s="246"/>
      <c r="AV590" s="246"/>
      <c r="AW590" s="246"/>
      <c r="AX590" s="246"/>
      <c r="AY590" s="246"/>
      <c r="AZ590" s="246"/>
      <c r="BA590" s="246"/>
      <c r="BB590" s="246"/>
      <c r="BC590" s="246"/>
      <c r="BD590" s="246"/>
      <c r="BE590" s="246"/>
      <c r="BF590" s="246"/>
      <c r="BG590" s="246"/>
      <c r="BH590" s="246"/>
      <c r="BI590" s="246"/>
      <c r="BJ590" s="246"/>
    </row>
    <row r="591" spans="2:62" ht="15.75">
      <c r="B591" s="7"/>
      <c r="C591" s="334"/>
      <c r="D591" s="334"/>
      <c r="E591" s="334"/>
      <c r="F591" s="334"/>
      <c r="G591" s="334"/>
      <c r="H591" s="334"/>
      <c r="I591" s="334"/>
      <c r="J591" s="334"/>
      <c r="K591" s="334"/>
      <c r="L591" s="334"/>
      <c r="M591" s="334"/>
      <c r="N591" s="334"/>
      <c r="O591" s="334"/>
      <c r="P591" s="334"/>
      <c r="Q591" s="334"/>
      <c r="R591" s="334"/>
      <c r="S591" s="334"/>
      <c r="T591" s="334"/>
      <c r="U591" s="334"/>
      <c r="V591" s="334"/>
      <c r="W591" s="334"/>
      <c r="X591" s="334"/>
      <c r="Y591" s="246"/>
      <c r="Z591" s="246"/>
      <c r="AA591" s="246"/>
      <c r="AB591" s="246"/>
      <c r="AC591" s="246"/>
      <c r="AD591" s="246"/>
      <c r="AE591" s="246"/>
      <c r="AF591" s="246"/>
      <c r="AG591" s="246"/>
      <c r="AH591" s="246"/>
      <c r="AI591" s="246"/>
      <c r="AJ591" s="246"/>
      <c r="AK591" s="246"/>
      <c r="AL591" s="246"/>
      <c r="AM591" s="246"/>
      <c r="AN591" s="246"/>
      <c r="AO591" s="246"/>
      <c r="AP591" s="246"/>
      <c r="AQ591" s="246"/>
      <c r="AR591" s="246"/>
      <c r="AS591" s="246"/>
      <c r="AT591" s="246"/>
      <c r="AU591" s="246"/>
      <c r="AV591" s="246"/>
      <c r="AW591" s="246"/>
      <c r="AX591" s="246"/>
      <c r="AY591" s="246"/>
      <c r="AZ591" s="246"/>
      <c r="BA591" s="246"/>
      <c r="BB591" s="246"/>
      <c r="BC591" s="246"/>
      <c r="BD591" s="246"/>
      <c r="BE591" s="246"/>
      <c r="BF591" s="246"/>
      <c r="BG591" s="246"/>
      <c r="BH591" s="246"/>
      <c r="BI591" s="246"/>
      <c r="BJ591" s="246"/>
    </row>
    <row r="592" spans="2:62" ht="15.75">
      <c r="B592" s="7"/>
      <c r="C592" s="334"/>
      <c r="D592" s="334"/>
      <c r="E592" s="334"/>
      <c r="F592" s="334"/>
      <c r="G592" s="334"/>
      <c r="H592" s="334"/>
      <c r="I592" s="334"/>
      <c r="J592" s="334"/>
      <c r="K592" s="334"/>
      <c r="L592" s="334"/>
      <c r="M592" s="334"/>
      <c r="N592" s="334"/>
      <c r="O592" s="334"/>
      <c r="P592" s="334"/>
      <c r="Q592" s="334"/>
      <c r="R592" s="334"/>
      <c r="S592" s="334"/>
      <c r="T592" s="334"/>
      <c r="U592" s="334"/>
      <c r="V592" s="334"/>
      <c r="W592" s="334"/>
      <c r="X592" s="334"/>
      <c r="Y592" s="246"/>
      <c r="Z592" s="246"/>
      <c r="AA592" s="246"/>
      <c r="AB592" s="246"/>
      <c r="AC592" s="246"/>
      <c r="AD592" s="246"/>
      <c r="AE592" s="246"/>
      <c r="AF592" s="246"/>
      <c r="AG592" s="246"/>
      <c r="AH592" s="246"/>
      <c r="AI592" s="246"/>
      <c r="AJ592" s="246"/>
      <c r="AK592" s="246"/>
      <c r="AL592" s="246"/>
      <c r="AM592" s="246"/>
      <c r="AN592" s="246"/>
      <c r="AO592" s="246"/>
      <c r="AP592" s="246"/>
      <c r="AQ592" s="246"/>
      <c r="AR592" s="246"/>
      <c r="AS592" s="246"/>
      <c r="AT592" s="246"/>
      <c r="AU592" s="246"/>
      <c r="AV592" s="246"/>
      <c r="AW592" s="246"/>
      <c r="AX592" s="246"/>
      <c r="AY592" s="246"/>
      <c r="AZ592" s="246"/>
      <c r="BA592" s="246"/>
      <c r="BB592" s="246"/>
      <c r="BC592" s="246"/>
      <c r="BD592" s="246"/>
      <c r="BE592" s="246"/>
      <c r="BF592" s="246"/>
      <c r="BG592" s="246"/>
      <c r="BH592" s="246"/>
      <c r="BI592" s="246"/>
      <c r="BJ592" s="246"/>
    </row>
    <row r="593" spans="2:62" ht="15.75">
      <c r="B593" s="7"/>
      <c r="C593" s="334"/>
      <c r="D593" s="334"/>
      <c r="E593" s="334"/>
      <c r="F593" s="334"/>
      <c r="G593" s="334"/>
      <c r="H593" s="334"/>
      <c r="I593" s="334"/>
      <c r="J593" s="334"/>
      <c r="K593" s="334"/>
      <c r="L593" s="334"/>
      <c r="M593" s="334"/>
      <c r="N593" s="334"/>
      <c r="O593" s="334"/>
      <c r="P593" s="334"/>
      <c r="Q593" s="334"/>
      <c r="R593" s="334"/>
      <c r="S593" s="334"/>
      <c r="T593" s="334"/>
      <c r="U593" s="334"/>
      <c r="V593" s="334"/>
      <c r="W593" s="334"/>
      <c r="X593" s="334"/>
      <c r="Y593" s="246"/>
      <c r="Z593" s="246"/>
      <c r="AA593" s="246"/>
      <c r="AB593" s="246"/>
      <c r="AC593" s="246"/>
      <c r="AD593" s="246"/>
      <c r="AE593" s="246"/>
      <c r="AF593" s="246"/>
      <c r="AG593" s="246"/>
      <c r="AH593" s="246"/>
      <c r="AI593" s="246"/>
      <c r="AJ593" s="246"/>
      <c r="AK593" s="246"/>
      <c r="AL593" s="246"/>
      <c r="AM593" s="246"/>
      <c r="AN593" s="246"/>
      <c r="AO593" s="246"/>
      <c r="AP593" s="246"/>
      <c r="AQ593" s="246"/>
      <c r="AR593" s="246"/>
      <c r="AS593" s="246"/>
      <c r="AT593" s="246"/>
      <c r="AU593" s="246"/>
      <c r="AV593" s="246"/>
      <c r="AW593" s="246"/>
      <c r="AX593" s="246"/>
      <c r="AY593" s="246"/>
      <c r="AZ593" s="246"/>
      <c r="BA593" s="246"/>
      <c r="BB593" s="246"/>
      <c r="BC593" s="246"/>
      <c r="BD593" s="246"/>
      <c r="BE593" s="246"/>
      <c r="BF593" s="246"/>
      <c r="BG593" s="246"/>
      <c r="BH593" s="246"/>
      <c r="BI593" s="246"/>
      <c r="BJ593" s="246"/>
    </row>
    <row r="594" spans="2:62" ht="15.75">
      <c r="B594" s="7"/>
      <c r="C594" s="334"/>
      <c r="D594" s="334"/>
      <c r="E594" s="334"/>
      <c r="F594" s="334"/>
      <c r="G594" s="334"/>
      <c r="H594" s="334"/>
      <c r="I594" s="334"/>
      <c r="J594" s="334"/>
      <c r="K594" s="334"/>
      <c r="L594" s="334"/>
      <c r="M594" s="334"/>
      <c r="N594" s="334"/>
      <c r="O594" s="334"/>
      <c r="P594" s="334"/>
      <c r="Q594" s="334"/>
      <c r="R594" s="334"/>
      <c r="S594" s="334"/>
      <c r="T594" s="334"/>
      <c r="U594" s="334"/>
      <c r="V594" s="334"/>
      <c r="W594" s="334"/>
      <c r="X594" s="334"/>
      <c r="Y594" s="246"/>
      <c r="Z594" s="246"/>
      <c r="AA594" s="246"/>
      <c r="AB594" s="246"/>
      <c r="AC594" s="246"/>
      <c r="AD594" s="246"/>
      <c r="AE594" s="246"/>
      <c r="AF594" s="246"/>
      <c r="AG594" s="246"/>
      <c r="AH594" s="246"/>
      <c r="AI594" s="246"/>
      <c r="AJ594" s="246"/>
      <c r="AK594" s="246"/>
      <c r="AL594" s="246"/>
      <c r="AM594" s="246"/>
      <c r="AN594" s="246"/>
      <c r="AO594" s="246"/>
      <c r="AP594" s="246"/>
      <c r="AQ594" s="246"/>
      <c r="AR594" s="246"/>
      <c r="AS594" s="246"/>
      <c r="AT594" s="246"/>
      <c r="AU594" s="246"/>
      <c r="AV594" s="246"/>
      <c r="AW594" s="246"/>
      <c r="AX594" s="246"/>
      <c r="AY594" s="246"/>
      <c r="AZ594" s="246"/>
      <c r="BA594" s="246"/>
      <c r="BB594" s="246"/>
      <c r="BC594" s="246"/>
      <c r="BD594" s="246"/>
      <c r="BE594" s="246"/>
      <c r="BF594" s="246"/>
      <c r="BG594" s="246"/>
      <c r="BH594" s="246"/>
      <c r="BI594" s="246"/>
      <c r="BJ594" s="246"/>
    </row>
    <row r="595" spans="2:62" ht="15.75">
      <c r="B595" s="7"/>
      <c r="C595" s="334"/>
      <c r="D595" s="334"/>
      <c r="E595" s="334"/>
      <c r="F595" s="334"/>
      <c r="G595" s="334"/>
      <c r="H595" s="334"/>
      <c r="I595" s="334"/>
      <c r="J595" s="334"/>
      <c r="K595" s="334"/>
      <c r="L595" s="334"/>
      <c r="M595" s="334"/>
      <c r="N595" s="334"/>
      <c r="O595" s="334"/>
      <c r="P595" s="334"/>
      <c r="Q595" s="334"/>
      <c r="R595" s="334"/>
      <c r="S595" s="334"/>
      <c r="T595" s="334"/>
      <c r="U595" s="334"/>
      <c r="V595" s="334"/>
      <c r="W595" s="334"/>
      <c r="X595" s="334"/>
      <c r="Y595" s="246"/>
      <c r="Z595" s="246"/>
      <c r="AA595" s="246"/>
      <c r="AB595" s="246"/>
      <c r="AC595" s="246"/>
      <c r="AD595" s="246"/>
      <c r="AE595" s="246"/>
      <c r="AF595" s="246"/>
      <c r="AG595" s="246"/>
      <c r="AH595" s="246"/>
      <c r="AI595" s="246"/>
      <c r="AJ595" s="246"/>
      <c r="AK595" s="246"/>
      <c r="AL595" s="246"/>
      <c r="AM595" s="246"/>
      <c r="AN595" s="246"/>
      <c r="AO595" s="246"/>
      <c r="AP595" s="246"/>
      <c r="AQ595" s="246"/>
      <c r="AR595" s="246"/>
      <c r="AS595" s="246"/>
      <c r="AT595" s="246"/>
      <c r="AU595" s="246"/>
      <c r="AV595" s="246"/>
      <c r="AW595" s="246"/>
      <c r="AX595" s="246"/>
      <c r="AY595" s="246"/>
      <c r="AZ595" s="246"/>
      <c r="BA595" s="246"/>
      <c r="BB595" s="246"/>
      <c r="BC595" s="246"/>
      <c r="BD595" s="246"/>
      <c r="BE595" s="246"/>
      <c r="BF595" s="246"/>
      <c r="BG595" s="246"/>
      <c r="BH595" s="246"/>
      <c r="BI595" s="246"/>
      <c r="BJ595" s="246"/>
    </row>
    <row r="596" spans="2:62" ht="15.75">
      <c r="B596" s="7"/>
      <c r="C596" s="334"/>
      <c r="D596" s="334"/>
      <c r="E596" s="334"/>
      <c r="F596" s="334"/>
      <c r="G596" s="334"/>
      <c r="H596" s="334"/>
      <c r="I596" s="334"/>
      <c r="J596" s="334"/>
      <c r="K596" s="334"/>
      <c r="L596" s="334"/>
      <c r="M596" s="334"/>
      <c r="N596" s="334"/>
      <c r="O596" s="334"/>
      <c r="P596" s="334"/>
      <c r="Q596" s="334"/>
      <c r="R596" s="334"/>
      <c r="S596" s="334"/>
      <c r="T596" s="334"/>
      <c r="U596" s="334"/>
      <c r="V596" s="334"/>
      <c r="W596" s="334"/>
      <c r="X596" s="334"/>
      <c r="Y596" s="246"/>
      <c r="Z596" s="246"/>
      <c r="AA596" s="246"/>
      <c r="AB596" s="246"/>
      <c r="AC596" s="246"/>
      <c r="AD596" s="246"/>
      <c r="AE596" s="246"/>
      <c r="AF596" s="246"/>
      <c r="AG596" s="246"/>
      <c r="AH596" s="246"/>
      <c r="AI596" s="246"/>
      <c r="AJ596" s="246"/>
      <c r="AK596" s="246"/>
      <c r="AL596" s="246"/>
      <c r="AM596" s="246"/>
      <c r="AN596" s="246"/>
      <c r="AO596" s="246"/>
      <c r="AP596" s="246"/>
      <c r="AQ596" s="246"/>
      <c r="AR596" s="246"/>
      <c r="AS596" s="246"/>
      <c r="AT596" s="246"/>
      <c r="AU596" s="246"/>
      <c r="AV596" s="246"/>
      <c r="AW596" s="246"/>
      <c r="AX596" s="246"/>
      <c r="AY596" s="246"/>
      <c r="AZ596" s="246"/>
      <c r="BA596" s="246"/>
      <c r="BB596" s="246"/>
      <c r="BC596" s="246"/>
      <c r="BD596" s="246"/>
      <c r="BE596" s="246"/>
      <c r="BF596" s="246"/>
      <c r="BG596" s="246"/>
      <c r="BH596" s="246"/>
      <c r="BI596" s="246"/>
      <c r="BJ596" s="246"/>
    </row>
    <row r="597" spans="2:62" ht="15.75">
      <c r="B597" s="7"/>
      <c r="C597" s="334"/>
      <c r="D597" s="334"/>
      <c r="E597" s="334"/>
      <c r="F597" s="334"/>
      <c r="G597" s="334"/>
      <c r="H597" s="334"/>
      <c r="I597" s="334"/>
      <c r="J597" s="334"/>
      <c r="K597" s="334"/>
      <c r="L597" s="334"/>
      <c r="M597" s="334"/>
      <c r="N597" s="334"/>
      <c r="O597" s="334"/>
      <c r="P597" s="334"/>
      <c r="Q597" s="334"/>
      <c r="R597" s="334"/>
      <c r="S597" s="334"/>
      <c r="T597" s="334"/>
      <c r="U597" s="334"/>
      <c r="V597" s="334"/>
      <c r="W597" s="334"/>
      <c r="X597" s="334"/>
      <c r="Y597" s="246"/>
      <c r="Z597" s="246"/>
      <c r="AA597" s="246"/>
      <c r="AB597" s="246"/>
      <c r="AC597" s="246"/>
      <c r="AD597" s="246"/>
      <c r="AE597" s="246"/>
      <c r="AF597" s="246"/>
      <c r="AG597" s="246"/>
      <c r="AH597" s="246"/>
      <c r="AI597" s="246"/>
      <c r="AJ597" s="246"/>
      <c r="AK597" s="246"/>
      <c r="AL597" s="246"/>
      <c r="AM597" s="246"/>
      <c r="AN597" s="246"/>
      <c r="AO597" s="246"/>
      <c r="AP597" s="246"/>
      <c r="AQ597" s="246"/>
      <c r="AR597" s="246"/>
      <c r="AS597" s="246"/>
      <c r="AT597" s="246"/>
      <c r="AU597" s="246"/>
      <c r="AV597" s="246"/>
      <c r="AW597" s="246"/>
      <c r="AX597" s="246"/>
      <c r="AY597" s="246"/>
      <c r="AZ597" s="246"/>
      <c r="BA597" s="246"/>
      <c r="BB597" s="246"/>
      <c r="BC597" s="246"/>
      <c r="BD597" s="246"/>
      <c r="BE597" s="246"/>
      <c r="BF597" s="246"/>
      <c r="BG597" s="246"/>
      <c r="BH597" s="246"/>
      <c r="BI597" s="246"/>
      <c r="BJ597" s="246"/>
    </row>
    <row r="598" spans="2:62" ht="15.75">
      <c r="B598" s="7"/>
      <c r="C598" s="334"/>
      <c r="D598" s="334"/>
      <c r="E598" s="334"/>
      <c r="F598" s="334"/>
      <c r="G598" s="334"/>
      <c r="H598" s="334"/>
      <c r="I598" s="334"/>
      <c r="J598" s="334"/>
      <c r="K598" s="334"/>
      <c r="L598" s="334"/>
      <c r="M598" s="334"/>
      <c r="N598" s="334"/>
      <c r="O598" s="334"/>
      <c r="P598" s="334"/>
      <c r="Q598" s="334"/>
      <c r="R598" s="334"/>
      <c r="S598" s="334"/>
      <c r="T598" s="334"/>
      <c r="U598" s="334"/>
      <c r="V598" s="334"/>
      <c r="W598" s="334"/>
      <c r="X598" s="334"/>
      <c r="Y598" s="246"/>
      <c r="Z598" s="246"/>
      <c r="AA598" s="246"/>
      <c r="AB598" s="246"/>
      <c r="AC598" s="246"/>
      <c r="AD598" s="246"/>
      <c r="AE598" s="246"/>
      <c r="AF598" s="246"/>
      <c r="AG598" s="246"/>
      <c r="AH598" s="246"/>
      <c r="AI598" s="246"/>
      <c r="AJ598" s="246"/>
      <c r="AK598" s="246"/>
      <c r="AL598" s="246"/>
      <c r="AM598" s="246"/>
      <c r="AN598" s="246"/>
      <c r="AO598" s="246"/>
      <c r="AP598" s="246"/>
      <c r="AQ598" s="246"/>
      <c r="AR598" s="246"/>
      <c r="AS598" s="246"/>
      <c r="AT598" s="246"/>
      <c r="AU598" s="246"/>
      <c r="AV598" s="246"/>
      <c r="AW598" s="246"/>
      <c r="AX598" s="246"/>
      <c r="AY598" s="246"/>
      <c r="AZ598" s="246"/>
      <c r="BA598" s="246"/>
      <c r="BB598" s="246"/>
      <c r="BC598" s="246"/>
      <c r="BD598" s="246"/>
      <c r="BE598" s="246"/>
      <c r="BF598" s="246"/>
      <c r="BG598" s="246"/>
      <c r="BH598" s="246"/>
      <c r="BI598" s="246"/>
      <c r="BJ598" s="246"/>
    </row>
    <row r="599" spans="2:62" ht="15.75">
      <c r="B599" s="7"/>
      <c r="C599" s="334"/>
      <c r="D599" s="334"/>
      <c r="E599" s="334"/>
      <c r="F599" s="334"/>
      <c r="G599" s="334"/>
      <c r="H599" s="334"/>
      <c r="I599" s="334"/>
      <c r="J599" s="334"/>
      <c r="K599" s="334"/>
      <c r="L599" s="334"/>
      <c r="M599" s="334"/>
      <c r="N599" s="334"/>
      <c r="O599" s="334"/>
      <c r="P599" s="334"/>
      <c r="Q599" s="334"/>
      <c r="R599" s="334"/>
      <c r="S599" s="334"/>
      <c r="T599" s="334"/>
      <c r="U599" s="334"/>
      <c r="V599" s="334"/>
      <c r="W599" s="334"/>
      <c r="X599" s="334"/>
      <c r="Y599" s="246"/>
      <c r="Z599" s="246"/>
      <c r="AA599" s="246"/>
      <c r="AB599" s="246"/>
      <c r="AC599" s="246"/>
      <c r="AD599" s="246"/>
      <c r="AE599" s="246"/>
      <c r="AF599" s="246"/>
      <c r="AG599" s="246"/>
      <c r="AH599" s="246"/>
      <c r="AI599" s="246"/>
      <c r="AJ599" s="246"/>
      <c r="AK599" s="246"/>
      <c r="AL599" s="246"/>
      <c r="AM599" s="246"/>
      <c r="AN599" s="246"/>
      <c r="AO599" s="246"/>
      <c r="AP599" s="246"/>
      <c r="AQ599" s="246"/>
      <c r="AR599" s="246"/>
      <c r="AS599" s="246"/>
      <c r="AT599" s="246"/>
      <c r="AU599" s="246"/>
      <c r="AV599" s="246"/>
      <c r="AW599" s="246"/>
      <c r="AX599" s="246"/>
      <c r="AY599" s="246"/>
      <c r="AZ599" s="246"/>
      <c r="BA599" s="246"/>
      <c r="BB599" s="246"/>
      <c r="BC599" s="246"/>
      <c r="BD599" s="246"/>
      <c r="BE599" s="246"/>
      <c r="BF599" s="246"/>
      <c r="BG599" s="246"/>
      <c r="BH599" s="246"/>
      <c r="BI599" s="246"/>
      <c r="BJ599" s="246"/>
    </row>
    <row r="600" spans="2:62" ht="15.75">
      <c r="B600" s="7"/>
      <c r="C600" s="334"/>
      <c r="D600" s="334"/>
      <c r="E600" s="334"/>
      <c r="F600" s="334"/>
      <c r="G600" s="334"/>
      <c r="H600" s="334"/>
      <c r="I600" s="334"/>
      <c r="J600" s="334"/>
      <c r="K600" s="334"/>
      <c r="L600" s="334"/>
      <c r="M600" s="334"/>
      <c r="N600" s="334"/>
      <c r="O600" s="334"/>
      <c r="P600" s="334"/>
      <c r="Q600" s="334"/>
      <c r="R600" s="334"/>
      <c r="S600" s="334"/>
      <c r="T600" s="334"/>
      <c r="U600" s="334"/>
      <c r="V600" s="334"/>
      <c r="W600" s="334"/>
      <c r="X600" s="334"/>
      <c r="Y600" s="246"/>
      <c r="Z600" s="246"/>
      <c r="AA600" s="246"/>
      <c r="AB600" s="246"/>
      <c r="AC600" s="246"/>
      <c r="AD600" s="246"/>
      <c r="AE600" s="246"/>
      <c r="AF600" s="246"/>
      <c r="AG600" s="246"/>
      <c r="AH600" s="246"/>
      <c r="AI600" s="246"/>
      <c r="AJ600" s="246"/>
      <c r="AK600" s="246"/>
      <c r="AL600" s="246"/>
      <c r="AM600" s="246"/>
      <c r="AN600" s="246"/>
      <c r="AO600" s="246"/>
      <c r="AP600" s="246"/>
      <c r="AQ600" s="246"/>
      <c r="AR600" s="246"/>
      <c r="AS600" s="246"/>
      <c r="AT600" s="246"/>
      <c r="AU600" s="246"/>
      <c r="AV600" s="246"/>
      <c r="AW600" s="246"/>
      <c r="AX600" s="246"/>
      <c r="AY600" s="246"/>
      <c r="AZ600" s="246"/>
      <c r="BA600" s="246"/>
      <c r="BB600" s="246"/>
      <c r="BC600" s="246"/>
      <c r="BD600" s="246"/>
      <c r="BE600" s="246"/>
      <c r="BF600" s="246"/>
      <c r="BG600" s="246"/>
      <c r="BH600" s="246"/>
      <c r="BI600" s="246"/>
      <c r="BJ600" s="246"/>
    </row>
    <row r="601" spans="2:62" ht="15.75">
      <c r="B601" s="7"/>
      <c r="C601" s="334"/>
      <c r="D601" s="334"/>
      <c r="E601" s="334"/>
      <c r="F601" s="334"/>
      <c r="G601" s="334"/>
      <c r="H601" s="334"/>
      <c r="I601" s="334"/>
      <c r="J601" s="334"/>
      <c r="K601" s="334"/>
      <c r="L601" s="334"/>
      <c r="M601" s="334"/>
      <c r="N601" s="334"/>
      <c r="O601" s="334"/>
      <c r="P601" s="334"/>
      <c r="Q601" s="334"/>
      <c r="R601" s="334"/>
      <c r="S601" s="334"/>
      <c r="T601" s="334"/>
      <c r="U601" s="334"/>
      <c r="V601" s="334"/>
      <c r="W601" s="334"/>
      <c r="X601" s="334"/>
      <c r="Y601" s="246"/>
      <c r="Z601" s="246"/>
      <c r="AA601" s="246"/>
      <c r="AB601" s="246"/>
      <c r="AC601" s="246"/>
      <c r="AD601" s="246"/>
      <c r="AE601" s="246"/>
      <c r="AF601" s="246"/>
      <c r="AG601" s="246"/>
      <c r="AH601" s="246"/>
      <c r="AI601" s="246"/>
      <c r="AJ601" s="246"/>
      <c r="AK601" s="246"/>
      <c r="AL601" s="246"/>
      <c r="AM601" s="246"/>
      <c r="AN601" s="246"/>
      <c r="AO601" s="246"/>
      <c r="AP601" s="246"/>
      <c r="AQ601" s="246"/>
      <c r="AR601" s="246"/>
      <c r="AS601" s="246"/>
      <c r="AT601" s="246"/>
      <c r="AU601" s="246"/>
      <c r="AV601" s="246"/>
      <c r="AW601" s="246"/>
      <c r="AX601" s="246"/>
      <c r="AY601" s="246"/>
      <c r="AZ601" s="246"/>
      <c r="BA601" s="246"/>
      <c r="BB601" s="246"/>
      <c r="BC601" s="246"/>
      <c r="BD601" s="246"/>
      <c r="BE601" s="246"/>
      <c r="BF601" s="246"/>
      <c r="BG601" s="246"/>
      <c r="BH601" s="246"/>
      <c r="BI601" s="246"/>
      <c r="BJ601" s="246"/>
    </row>
    <row r="602" spans="2:62" ht="15.75">
      <c r="B602" s="7"/>
      <c r="C602" s="334"/>
      <c r="D602" s="334"/>
      <c r="E602" s="334"/>
      <c r="F602" s="334"/>
      <c r="G602" s="334"/>
      <c r="H602" s="334"/>
      <c r="I602" s="334"/>
      <c r="J602" s="334"/>
      <c r="K602" s="334"/>
      <c r="L602" s="334"/>
      <c r="M602" s="334"/>
      <c r="N602" s="334"/>
      <c r="O602" s="334"/>
      <c r="P602" s="334"/>
      <c r="Q602" s="334"/>
      <c r="R602" s="334"/>
      <c r="S602" s="334"/>
      <c r="T602" s="334"/>
      <c r="U602" s="334"/>
      <c r="V602" s="334"/>
      <c r="W602" s="334"/>
      <c r="X602" s="334"/>
      <c r="Y602" s="246"/>
      <c r="Z602" s="246"/>
      <c r="AA602" s="246"/>
      <c r="AB602" s="246"/>
      <c r="AC602" s="246"/>
      <c r="AD602" s="246"/>
      <c r="AE602" s="246"/>
      <c r="AF602" s="246"/>
      <c r="AG602" s="246"/>
      <c r="AH602" s="246"/>
      <c r="AI602" s="246"/>
      <c r="AJ602" s="246"/>
      <c r="AK602" s="246"/>
      <c r="AL602" s="246"/>
      <c r="AM602" s="246"/>
      <c r="AN602" s="246"/>
      <c r="AO602" s="246"/>
      <c r="AP602" s="246"/>
      <c r="AQ602" s="246"/>
      <c r="AR602" s="246"/>
      <c r="AS602" s="246"/>
      <c r="AT602" s="246"/>
      <c r="AU602" s="246"/>
      <c r="AV602" s="246"/>
      <c r="AW602" s="246"/>
      <c r="AX602" s="246"/>
      <c r="AY602" s="246"/>
      <c r="AZ602" s="246"/>
      <c r="BA602" s="246"/>
      <c r="BB602" s="246"/>
      <c r="BC602" s="246"/>
      <c r="BD602" s="246"/>
      <c r="BE602" s="246"/>
      <c r="BF602" s="246"/>
      <c r="BG602" s="246"/>
      <c r="BH602" s="246"/>
      <c r="BI602" s="246"/>
      <c r="BJ602" s="246"/>
    </row>
    <row r="603" spans="2:62" ht="15.75">
      <c r="B603" s="7"/>
      <c r="C603" s="334"/>
      <c r="D603" s="334"/>
      <c r="E603" s="334"/>
      <c r="F603" s="334"/>
      <c r="G603" s="334"/>
      <c r="H603" s="334"/>
      <c r="I603" s="334"/>
      <c r="J603" s="334"/>
      <c r="K603" s="334"/>
      <c r="L603" s="334"/>
      <c r="M603" s="334"/>
      <c r="N603" s="334"/>
      <c r="O603" s="334"/>
      <c r="P603" s="334"/>
      <c r="Q603" s="334"/>
      <c r="R603" s="334"/>
      <c r="S603" s="334"/>
      <c r="T603" s="334"/>
      <c r="U603" s="334"/>
      <c r="V603" s="334"/>
      <c r="W603" s="334"/>
      <c r="X603" s="334"/>
      <c r="Y603" s="246"/>
      <c r="Z603" s="246"/>
      <c r="AA603" s="246"/>
      <c r="AB603" s="246"/>
      <c r="AC603" s="246"/>
      <c r="AD603" s="246"/>
      <c r="AE603" s="246"/>
      <c r="AF603" s="246"/>
      <c r="AG603" s="246"/>
      <c r="AH603" s="246"/>
      <c r="AI603" s="246"/>
      <c r="AJ603" s="246"/>
      <c r="AK603" s="246"/>
      <c r="AL603" s="246"/>
      <c r="AM603" s="246"/>
      <c r="AN603" s="246"/>
      <c r="AO603" s="246"/>
      <c r="AP603" s="246"/>
      <c r="AQ603" s="246"/>
      <c r="AR603" s="246"/>
      <c r="AS603" s="246"/>
      <c r="AT603" s="246"/>
      <c r="AU603" s="246"/>
      <c r="AV603" s="246"/>
      <c r="AW603" s="246"/>
      <c r="AX603" s="246"/>
      <c r="AY603" s="246"/>
      <c r="AZ603" s="246"/>
      <c r="BA603" s="246"/>
      <c r="BB603" s="246"/>
      <c r="BC603" s="246"/>
      <c r="BD603" s="246"/>
      <c r="BE603" s="246"/>
      <c r="BF603" s="246"/>
      <c r="BG603" s="246"/>
      <c r="BH603" s="246"/>
      <c r="BI603" s="246"/>
      <c r="BJ603" s="246"/>
    </row>
    <row r="604" spans="2:62" ht="15.75">
      <c r="B604" s="7"/>
      <c r="C604" s="334"/>
      <c r="D604" s="334"/>
      <c r="E604" s="334"/>
      <c r="F604" s="334"/>
      <c r="G604" s="334"/>
      <c r="H604" s="334"/>
      <c r="I604" s="334"/>
      <c r="J604" s="334"/>
      <c r="K604" s="334"/>
      <c r="L604" s="334"/>
      <c r="M604" s="334"/>
      <c r="N604" s="334"/>
      <c r="O604" s="334"/>
      <c r="P604" s="334"/>
      <c r="Q604" s="334"/>
      <c r="R604" s="334"/>
      <c r="S604" s="334"/>
      <c r="T604" s="334"/>
      <c r="U604" s="334"/>
      <c r="V604" s="334"/>
      <c r="W604" s="334"/>
      <c r="X604" s="334"/>
      <c r="Y604" s="246"/>
      <c r="Z604" s="246"/>
      <c r="AA604" s="246"/>
      <c r="AB604" s="246"/>
      <c r="AC604" s="246"/>
      <c r="AD604" s="246"/>
      <c r="AE604" s="246"/>
      <c r="AF604" s="246"/>
      <c r="AG604" s="246"/>
      <c r="AH604" s="246"/>
      <c r="AI604" s="246"/>
      <c r="AJ604" s="246"/>
      <c r="AK604" s="246"/>
      <c r="AL604" s="246"/>
      <c r="AM604" s="246"/>
      <c r="AN604" s="246"/>
      <c r="AO604" s="246"/>
      <c r="AP604" s="246"/>
      <c r="AQ604" s="246"/>
      <c r="AR604" s="246"/>
      <c r="AS604" s="246"/>
      <c r="AT604" s="246"/>
      <c r="AU604" s="246"/>
      <c r="AV604" s="246"/>
      <c r="AW604" s="246"/>
      <c r="AX604" s="246"/>
      <c r="AY604" s="246"/>
      <c r="AZ604" s="246"/>
      <c r="BA604" s="246"/>
      <c r="BB604" s="246"/>
      <c r="BC604" s="246"/>
      <c r="BD604" s="246"/>
      <c r="BE604" s="246"/>
      <c r="BF604" s="246"/>
      <c r="BG604" s="246"/>
      <c r="BH604" s="246"/>
      <c r="BI604" s="246"/>
      <c r="BJ604" s="246"/>
    </row>
    <row r="605" spans="2:62" ht="15.75">
      <c r="B605" s="7"/>
      <c r="C605" s="334"/>
      <c r="D605" s="334"/>
      <c r="E605" s="334"/>
      <c r="F605" s="334"/>
      <c r="G605" s="334"/>
      <c r="H605" s="334"/>
      <c r="I605" s="334"/>
      <c r="J605" s="334"/>
      <c r="K605" s="334"/>
      <c r="L605" s="334"/>
      <c r="M605" s="334"/>
      <c r="N605" s="334"/>
      <c r="O605" s="334"/>
      <c r="P605" s="334"/>
      <c r="Q605" s="334"/>
      <c r="R605" s="334"/>
      <c r="S605" s="334"/>
      <c r="T605" s="334"/>
      <c r="U605" s="334"/>
      <c r="V605" s="334"/>
      <c r="W605" s="334"/>
      <c r="X605" s="334"/>
      <c r="Y605" s="246"/>
      <c r="Z605" s="246"/>
      <c r="AA605" s="246"/>
      <c r="AB605" s="246"/>
      <c r="AC605" s="246"/>
      <c r="AD605" s="246"/>
      <c r="AE605" s="246"/>
      <c r="AF605" s="246"/>
      <c r="AG605" s="246"/>
      <c r="AH605" s="246"/>
      <c r="AI605" s="246"/>
      <c r="AJ605" s="246"/>
      <c r="AK605" s="246"/>
      <c r="AL605" s="246"/>
      <c r="AM605" s="246"/>
      <c r="AN605" s="246"/>
      <c r="AO605" s="246"/>
      <c r="AP605" s="246"/>
      <c r="AQ605" s="246"/>
      <c r="AR605" s="246"/>
      <c r="AS605" s="246"/>
      <c r="AT605" s="246"/>
      <c r="AU605" s="246"/>
      <c r="AV605" s="246"/>
      <c r="AW605" s="246"/>
      <c r="AX605" s="246"/>
      <c r="AY605" s="246"/>
      <c r="AZ605" s="246"/>
      <c r="BA605" s="246"/>
      <c r="BB605" s="246"/>
      <c r="BC605" s="246"/>
      <c r="BD605" s="246"/>
      <c r="BE605" s="246"/>
      <c r="BF605" s="246"/>
      <c r="BG605" s="246"/>
      <c r="BH605" s="246"/>
      <c r="BI605" s="246"/>
      <c r="BJ605" s="246"/>
    </row>
    <row r="606" spans="2:62" ht="15.75">
      <c r="B606" s="7"/>
      <c r="C606" s="334"/>
      <c r="D606" s="334"/>
      <c r="E606" s="334"/>
      <c r="F606" s="334"/>
      <c r="G606" s="334"/>
      <c r="H606" s="334"/>
      <c r="I606" s="334"/>
      <c r="J606" s="334"/>
      <c r="K606" s="334"/>
      <c r="L606" s="334"/>
      <c r="M606" s="334"/>
      <c r="N606" s="334"/>
      <c r="O606" s="334"/>
      <c r="P606" s="334"/>
      <c r="Q606" s="334"/>
      <c r="R606" s="334"/>
      <c r="S606" s="334"/>
      <c r="T606" s="334"/>
      <c r="U606" s="334"/>
      <c r="V606" s="334"/>
      <c r="W606" s="334"/>
      <c r="X606" s="334"/>
      <c r="Y606" s="246"/>
      <c r="Z606" s="246"/>
      <c r="AA606" s="246"/>
      <c r="AB606" s="246"/>
      <c r="AC606" s="246"/>
      <c r="AD606" s="246"/>
      <c r="AE606" s="246"/>
      <c r="AF606" s="246"/>
      <c r="AG606" s="246"/>
      <c r="AH606" s="246"/>
      <c r="AI606" s="246"/>
      <c r="AJ606" s="246"/>
      <c r="AK606" s="246"/>
      <c r="AL606" s="246"/>
      <c r="AM606" s="246"/>
      <c r="AN606" s="246"/>
      <c r="AO606" s="246"/>
      <c r="AP606" s="246"/>
      <c r="AQ606" s="246"/>
      <c r="AR606" s="246"/>
      <c r="AS606" s="246"/>
      <c r="AT606" s="246"/>
      <c r="AU606" s="246"/>
      <c r="AV606" s="246"/>
      <c r="AW606" s="246"/>
      <c r="AX606" s="246"/>
      <c r="AY606" s="246"/>
      <c r="AZ606" s="246"/>
      <c r="BA606" s="246"/>
      <c r="BB606" s="246"/>
      <c r="BC606" s="246"/>
      <c r="BD606" s="246"/>
      <c r="BE606" s="246"/>
      <c r="BF606" s="246"/>
      <c r="BG606" s="246"/>
      <c r="BH606" s="246"/>
      <c r="BI606" s="246"/>
      <c r="BJ606" s="246"/>
    </row>
    <row r="607" spans="2:62" ht="15.75">
      <c r="B607" s="7"/>
      <c r="C607" s="334"/>
      <c r="D607" s="334"/>
      <c r="E607" s="334"/>
      <c r="F607" s="334"/>
      <c r="G607" s="334"/>
      <c r="H607" s="334"/>
      <c r="I607" s="334"/>
      <c r="J607" s="334"/>
      <c r="K607" s="334"/>
      <c r="L607" s="334"/>
      <c r="M607" s="334"/>
      <c r="N607" s="334"/>
      <c r="O607" s="334"/>
      <c r="P607" s="334"/>
      <c r="Q607" s="334"/>
      <c r="R607" s="334"/>
      <c r="S607" s="334"/>
      <c r="T607" s="334"/>
      <c r="U607" s="334"/>
      <c r="V607" s="334"/>
      <c r="W607" s="334"/>
      <c r="X607" s="334"/>
      <c r="Y607" s="246"/>
      <c r="Z607" s="246"/>
      <c r="AA607" s="246"/>
      <c r="AB607" s="246"/>
      <c r="AC607" s="246"/>
      <c r="AD607" s="246"/>
      <c r="AE607" s="246"/>
      <c r="AF607" s="246"/>
      <c r="AG607" s="246"/>
      <c r="AH607" s="246"/>
      <c r="AI607" s="246"/>
      <c r="AJ607" s="246"/>
      <c r="AK607" s="246"/>
      <c r="AL607" s="246"/>
      <c r="AM607" s="246"/>
      <c r="AN607" s="246"/>
      <c r="AO607" s="246"/>
      <c r="AP607" s="246"/>
      <c r="AQ607" s="246"/>
      <c r="AR607" s="246"/>
      <c r="AS607" s="246"/>
      <c r="AT607" s="246"/>
      <c r="AU607" s="246"/>
      <c r="AV607" s="246"/>
      <c r="AW607" s="246"/>
      <c r="AX607" s="246"/>
      <c r="AY607" s="246"/>
      <c r="AZ607" s="246"/>
      <c r="BA607" s="246"/>
      <c r="BB607" s="246"/>
      <c r="BC607" s="246"/>
      <c r="BD607" s="246"/>
      <c r="BE607" s="246"/>
      <c r="BF607" s="246"/>
      <c r="BG607" s="246"/>
      <c r="BH607" s="246"/>
      <c r="BI607" s="246"/>
      <c r="BJ607" s="246"/>
    </row>
    <row r="608" spans="2:62" ht="15.75">
      <c r="B608" s="7"/>
      <c r="C608" s="334"/>
      <c r="D608" s="334"/>
      <c r="E608" s="334"/>
      <c r="F608" s="334"/>
      <c r="G608" s="334"/>
      <c r="H608" s="334"/>
      <c r="I608" s="334"/>
      <c r="J608" s="334"/>
      <c r="K608" s="334"/>
      <c r="L608" s="334"/>
      <c r="M608" s="334"/>
      <c r="N608" s="334"/>
      <c r="O608" s="334"/>
      <c r="P608" s="334"/>
      <c r="Q608" s="334"/>
      <c r="R608" s="334"/>
      <c r="S608" s="334"/>
      <c r="T608" s="334"/>
      <c r="U608" s="334"/>
      <c r="V608" s="334"/>
      <c r="W608" s="334"/>
      <c r="X608" s="334"/>
      <c r="Y608" s="246"/>
      <c r="Z608" s="246"/>
      <c r="AA608" s="246"/>
      <c r="AB608" s="246"/>
      <c r="AC608" s="246"/>
      <c r="AD608" s="246"/>
      <c r="AE608" s="246"/>
      <c r="AF608" s="246"/>
      <c r="AG608" s="246"/>
      <c r="AH608" s="246"/>
      <c r="AI608" s="246"/>
      <c r="AJ608" s="246"/>
      <c r="AK608" s="246"/>
      <c r="AL608" s="246"/>
      <c r="AM608" s="246"/>
      <c r="AN608" s="246"/>
      <c r="AO608" s="246"/>
      <c r="AP608" s="246"/>
      <c r="AQ608" s="246"/>
      <c r="AR608" s="246"/>
      <c r="AS608" s="246"/>
      <c r="AT608" s="246"/>
      <c r="AU608" s="246"/>
      <c r="AV608" s="246"/>
      <c r="AW608" s="246"/>
      <c r="AX608" s="246"/>
      <c r="AY608" s="246"/>
      <c r="AZ608" s="246"/>
      <c r="BA608" s="246"/>
      <c r="BB608" s="246"/>
      <c r="BC608" s="246"/>
      <c r="BD608" s="246"/>
      <c r="BE608" s="246"/>
      <c r="BF608" s="246"/>
      <c r="BG608" s="246"/>
      <c r="BH608" s="246"/>
      <c r="BI608" s="246"/>
      <c r="BJ608" s="246"/>
    </row>
    <row r="609" spans="2:62" ht="15.75">
      <c r="B609" s="7"/>
      <c r="C609" s="334"/>
      <c r="D609" s="334"/>
      <c r="E609" s="334"/>
      <c r="F609" s="334"/>
      <c r="G609" s="334"/>
      <c r="H609" s="334"/>
      <c r="I609" s="334"/>
      <c r="J609" s="334"/>
      <c r="K609" s="334"/>
      <c r="L609" s="334"/>
      <c r="M609" s="334"/>
      <c r="N609" s="334"/>
      <c r="O609" s="334"/>
      <c r="P609" s="334"/>
      <c r="Q609" s="334"/>
      <c r="R609" s="334"/>
      <c r="S609" s="334"/>
      <c r="T609" s="334"/>
      <c r="U609" s="334"/>
      <c r="V609" s="334"/>
      <c r="W609" s="334"/>
      <c r="X609" s="334"/>
      <c r="Y609" s="246"/>
      <c r="Z609" s="246"/>
      <c r="AA609" s="246"/>
      <c r="AB609" s="246"/>
      <c r="AC609" s="246"/>
      <c r="AD609" s="246"/>
      <c r="AE609" s="246"/>
      <c r="AF609" s="246"/>
      <c r="AG609" s="246"/>
      <c r="AH609" s="246"/>
      <c r="AI609" s="246"/>
      <c r="AJ609" s="246"/>
      <c r="AK609" s="246"/>
      <c r="AL609" s="246"/>
      <c r="AM609" s="246"/>
      <c r="AN609" s="246"/>
      <c r="AO609" s="246"/>
      <c r="AP609" s="246"/>
      <c r="AQ609" s="246"/>
      <c r="AR609" s="246"/>
      <c r="AS609" s="246"/>
      <c r="AT609" s="246"/>
      <c r="AU609" s="246"/>
      <c r="AV609" s="246"/>
      <c r="AW609" s="246"/>
      <c r="AX609" s="246"/>
      <c r="AY609" s="246"/>
      <c r="AZ609" s="246"/>
      <c r="BA609" s="246"/>
      <c r="BB609" s="246"/>
      <c r="BC609" s="246"/>
      <c r="BD609" s="246"/>
      <c r="BE609" s="246"/>
      <c r="BF609" s="246"/>
      <c r="BG609" s="246"/>
      <c r="BH609" s="246"/>
      <c r="BI609" s="246"/>
      <c r="BJ609" s="246"/>
    </row>
    <row r="610" spans="2:62" ht="15.75">
      <c r="B610" s="7"/>
      <c r="C610" s="334"/>
      <c r="D610" s="334"/>
      <c r="E610" s="334"/>
      <c r="F610" s="334"/>
      <c r="G610" s="334"/>
      <c r="H610" s="334"/>
      <c r="I610" s="334"/>
      <c r="J610" s="334"/>
      <c r="K610" s="334"/>
      <c r="L610" s="334"/>
      <c r="M610" s="334"/>
      <c r="N610" s="334"/>
      <c r="O610" s="334"/>
      <c r="P610" s="334"/>
      <c r="Q610" s="334"/>
      <c r="R610" s="334"/>
      <c r="S610" s="334"/>
      <c r="T610" s="334"/>
      <c r="U610" s="334"/>
      <c r="V610" s="334"/>
      <c r="W610" s="334"/>
      <c r="X610" s="334"/>
      <c r="Y610" s="246"/>
      <c r="Z610" s="246"/>
      <c r="AA610" s="246"/>
      <c r="AB610" s="246"/>
      <c r="AC610" s="246"/>
      <c r="AD610" s="246"/>
      <c r="AE610" s="246"/>
      <c r="AF610" s="246"/>
      <c r="AG610" s="246"/>
      <c r="AH610" s="246"/>
      <c r="AI610" s="246"/>
      <c r="AJ610" s="246"/>
      <c r="AK610" s="246"/>
      <c r="AL610" s="246"/>
      <c r="AM610" s="246"/>
      <c r="AN610" s="246"/>
      <c r="AO610" s="246"/>
      <c r="AP610" s="246"/>
      <c r="AQ610" s="246"/>
      <c r="AR610" s="246"/>
      <c r="AS610" s="246"/>
      <c r="AT610" s="246"/>
      <c r="AU610" s="246"/>
      <c r="AV610" s="246"/>
      <c r="AW610" s="246"/>
      <c r="AX610" s="246"/>
      <c r="AY610" s="246"/>
      <c r="AZ610" s="246"/>
      <c r="BA610" s="246"/>
      <c r="BB610" s="246"/>
      <c r="BC610" s="246"/>
      <c r="BD610" s="246"/>
      <c r="BE610" s="246"/>
      <c r="BF610" s="246"/>
      <c r="BG610" s="246"/>
      <c r="BH610" s="246"/>
      <c r="BI610" s="246"/>
      <c r="BJ610" s="246"/>
    </row>
    <row r="611" spans="2:62" ht="15.75">
      <c r="B611" s="7"/>
      <c r="C611" s="334"/>
      <c r="D611" s="334"/>
      <c r="E611" s="334"/>
      <c r="F611" s="334"/>
      <c r="G611" s="334"/>
      <c r="H611" s="334"/>
      <c r="I611" s="334"/>
      <c r="J611" s="334"/>
      <c r="K611" s="334"/>
      <c r="L611" s="334"/>
      <c r="M611" s="334"/>
      <c r="N611" s="334"/>
      <c r="O611" s="334"/>
      <c r="P611" s="334"/>
      <c r="Q611" s="334"/>
      <c r="R611" s="334"/>
      <c r="S611" s="334"/>
      <c r="T611" s="334"/>
      <c r="U611" s="334"/>
      <c r="V611" s="334"/>
      <c r="W611" s="334"/>
      <c r="X611" s="334"/>
      <c r="Y611" s="246"/>
      <c r="Z611" s="246"/>
      <c r="AA611" s="246"/>
      <c r="AB611" s="246"/>
      <c r="AC611" s="246"/>
      <c r="AD611" s="246"/>
      <c r="AE611" s="246"/>
      <c r="AF611" s="246"/>
      <c r="AG611" s="246"/>
      <c r="AH611" s="246"/>
      <c r="AI611" s="246"/>
      <c r="AJ611" s="246"/>
      <c r="AK611" s="246"/>
      <c r="AL611" s="246"/>
      <c r="AM611" s="246"/>
      <c r="AN611" s="246"/>
      <c r="AO611" s="246"/>
      <c r="AP611" s="246"/>
      <c r="AQ611" s="246"/>
      <c r="AR611" s="246"/>
      <c r="AS611" s="246"/>
      <c r="AT611" s="246"/>
      <c r="AU611" s="246"/>
      <c r="AV611" s="246"/>
      <c r="AW611" s="246"/>
      <c r="AX611" s="246"/>
      <c r="AY611" s="246"/>
      <c r="AZ611" s="246"/>
      <c r="BA611" s="246"/>
      <c r="BB611" s="246"/>
      <c r="BC611" s="246"/>
      <c r="BD611" s="246"/>
      <c r="BE611" s="246"/>
      <c r="BF611" s="246"/>
      <c r="BG611" s="246"/>
      <c r="BH611" s="246"/>
      <c r="BI611" s="246"/>
      <c r="BJ611" s="246"/>
    </row>
    <row r="612" spans="2:62" ht="15.75">
      <c r="B612" s="7"/>
      <c r="C612" s="334"/>
      <c r="D612" s="334"/>
      <c r="E612" s="334"/>
      <c r="F612" s="334"/>
      <c r="G612" s="334"/>
      <c r="H612" s="334"/>
      <c r="I612" s="334"/>
      <c r="J612" s="334"/>
      <c r="K612" s="334"/>
      <c r="L612" s="334"/>
      <c r="M612" s="334"/>
      <c r="N612" s="334"/>
      <c r="O612" s="334"/>
      <c r="P612" s="334"/>
      <c r="Q612" s="334"/>
      <c r="R612" s="334"/>
      <c r="S612" s="334"/>
      <c r="T612" s="334"/>
      <c r="U612" s="334"/>
      <c r="V612" s="334"/>
      <c r="W612" s="334"/>
      <c r="X612" s="334"/>
      <c r="Y612" s="246"/>
      <c r="Z612" s="246"/>
      <c r="AA612" s="246"/>
      <c r="AB612" s="246"/>
      <c r="AC612" s="246"/>
      <c r="AD612" s="246"/>
      <c r="AE612" s="246"/>
      <c r="AF612" s="246"/>
      <c r="AG612" s="246"/>
      <c r="AH612" s="246"/>
      <c r="AI612" s="246"/>
      <c r="AJ612" s="246"/>
      <c r="AK612" s="246"/>
      <c r="AL612" s="246"/>
      <c r="AM612" s="246"/>
      <c r="AN612" s="246"/>
      <c r="AO612" s="246"/>
      <c r="AP612" s="246"/>
      <c r="AQ612" s="246"/>
      <c r="AR612" s="246"/>
      <c r="AS612" s="246"/>
      <c r="AT612" s="246"/>
      <c r="AU612" s="246"/>
      <c r="AV612" s="246"/>
      <c r="AW612" s="246"/>
      <c r="AX612" s="246"/>
      <c r="AY612" s="246"/>
      <c r="AZ612" s="246"/>
      <c r="BA612" s="246"/>
      <c r="BB612" s="246"/>
      <c r="BC612" s="246"/>
      <c r="BD612" s="246"/>
      <c r="BE612" s="246"/>
      <c r="BF612" s="246"/>
      <c r="BG612" s="246"/>
      <c r="BH612" s="246"/>
      <c r="BI612" s="246"/>
      <c r="BJ612" s="246"/>
    </row>
    <row r="613" spans="2:62" ht="15.75">
      <c r="B613" s="7"/>
      <c r="C613" s="334"/>
      <c r="D613" s="334"/>
      <c r="E613" s="334"/>
      <c r="F613" s="334"/>
      <c r="G613" s="334"/>
      <c r="H613" s="334"/>
      <c r="I613" s="334"/>
      <c r="J613" s="334"/>
      <c r="K613" s="334"/>
      <c r="L613" s="334"/>
      <c r="M613" s="334"/>
      <c r="N613" s="334"/>
      <c r="O613" s="334"/>
      <c r="P613" s="334"/>
      <c r="Q613" s="334"/>
      <c r="R613" s="334"/>
      <c r="S613" s="334"/>
      <c r="T613" s="334"/>
      <c r="U613" s="334"/>
      <c r="V613" s="334"/>
      <c r="W613" s="334"/>
      <c r="X613" s="334"/>
      <c r="Y613" s="246"/>
      <c r="Z613" s="246"/>
      <c r="AA613" s="246"/>
      <c r="AB613" s="246"/>
      <c r="AC613" s="246"/>
      <c r="AD613" s="246"/>
      <c r="AE613" s="246"/>
      <c r="AF613" s="246"/>
      <c r="AG613" s="246"/>
      <c r="AH613" s="246"/>
      <c r="AI613" s="246"/>
      <c r="AJ613" s="246"/>
      <c r="AK613" s="246"/>
      <c r="AL613" s="246"/>
      <c r="AM613" s="246"/>
      <c r="AN613" s="246"/>
      <c r="AO613" s="246"/>
      <c r="AP613" s="246"/>
      <c r="AQ613" s="246"/>
      <c r="AR613" s="246"/>
      <c r="AS613" s="246"/>
      <c r="AT613" s="246"/>
      <c r="AU613" s="246"/>
      <c r="AV613" s="246"/>
      <c r="AW613" s="246"/>
      <c r="AX613" s="246"/>
      <c r="AY613" s="246"/>
      <c r="AZ613" s="246"/>
      <c r="BA613" s="246"/>
      <c r="BB613" s="246"/>
      <c r="BC613" s="246"/>
      <c r="BD613" s="246"/>
      <c r="BE613" s="246"/>
      <c r="BF613" s="246"/>
      <c r="BG613" s="246"/>
      <c r="BH613" s="246"/>
      <c r="BI613" s="246"/>
      <c r="BJ613" s="246"/>
    </row>
    <row r="614" spans="2:62" ht="15.75">
      <c r="B614" s="7"/>
      <c r="C614" s="334"/>
      <c r="D614" s="334"/>
      <c r="E614" s="334"/>
      <c r="F614" s="334"/>
      <c r="G614" s="334"/>
      <c r="H614" s="334"/>
      <c r="I614" s="334"/>
      <c r="J614" s="334"/>
      <c r="K614" s="334"/>
      <c r="L614" s="334"/>
      <c r="M614" s="334"/>
      <c r="N614" s="334"/>
      <c r="O614" s="334"/>
      <c r="P614" s="334"/>
      <c r="Q614" s="334"/>
      <c r="R614" s="334"/>
      <c r="S614" s="334"/>
      <c r="T614" s="334"/>
      <c r="U614" s="334"/>
      <c r="V614" s="334"/>
      <c r="W614" s="334"/>
      <c r="X614" s="334"/>
      <c r="Y614" s="246"/>
      <c r="Z614" s="246"/>
      <c r="AA614" s="246"/>
      <c r="AB614" s="246"/>
      <c r="AC614" s="246"/>
      <c r="AD614" s="246"/>
      <c r="AE614" s="246"/>
      <c r="AF614" s="246"/>
      <c r="AG614" s="246"/>
      <c r="AH614" s="246"/>
      <c r="AI614" s="246"/>
      <c r="AJ614" s="246"/>
      <c r="AK614" s="246"/>
      <c r="AL614" s="246"/>
      <c r="AM614" s="246"/>
      <c r="AN614" s="246"/>
      <c r="AO614" s="246"/>
      <c r="AP614" s="246"/>
      <c r="AQ614" s="246"/>
      <c r="AR614" s="246"/>
      <c r="AS614" s="246"/>
      <c r="AT614" s="246"/>
      <c r="AU614" s="246"/>
      <c r="AV614" s="246"/>
      <c r="AW614" s="246"/>
      <c r="AX614" s="246"/>
      <c r="AY614" s="246"/>
      <c r="AZ614" s="246"/>
      <c r="BA614" s="246"/>
      <c r="BB614" s="246"/>
      <c r="BC614" s="246"/>
      <c r="BD614" s="246"/>
      <c r="BE614" s="246"/>
      <c r="BF614" s="246"/>
      <c r="BG614" s="246"/>
      <c r="BH614" s="246"/>
      <c r="BI614" s="246"/>
      <c r="BJ614" s="246"/>
    </row>
    <row r="615" spans="2:62" ht="15.75">
      <c r="B615" s="7"/>
      <c r="C615" s="334"/>
      <c r="D615" s="334"/>
      <c r="E615" s="334"/>
      <c r="F615" s="334"/>
      <c r="G615" s="334"/>
      <c r="H615" s="334"/>
      <c r="I615" s="334"/>
      <c r="J615" s="334"/>
      <c r="K615" s="334"/>
      <c r="L615" s="334"/>
      <c r="M615" s="334"/>
      <c r="N615" s="334"/>
      <c r="O615" s="334"/>
      <c r="P615" s="334"/>
      <c r="Q615" s="334"/>
      <c r="R615" s="334"/>
      <c r="S615" s="334"/>
      <c r="T615" s="334"/>
      <c r="U615" s="334"/>
      <c r="V615" s="334"/>
      <c r="W615" s="334"/>
      <c r="X615" s="334"/>
      <c r="Y615" s="246"/>
      <c r="Z615" s="246"/>
      <c r="AA615" s="246"/>
      <c r="AB615" s="246"/>
      <c r="AC615" s="246"/>
      <c r="AD615" s="246"/>
      <c r="AE615" s="246"/>
      <c r="AF615" s="246"/>
      <c r="AG615" s="246"/>
      <c r="AH615" s="246"/>
      <c r="AI615" s="246"/>
      <c r="AJ615" s="246"/>
      <c r="AK615" s="246"/>
      <c r="AL615" s="246"/>
      <c r="AM615" s="246"/>
      <c r="AN615" s="246"/>
      <c r="AO615" s="246"/>
      <c r="AP615" s="246"/>
      <c r="AQ615" s="246"/>
      <c r="AR615" s="246"/>
      <c r="AS615" s="246"/>
      <c r="AT615" s="246"/>
      <c r="AU615" s="246"/>
      <c r="AV615" s="246"/>
      <c r="AW615" s="246"/>
      <c r="AX615" s="246"/>
      <c r="AY615" s="246"/>
      <c r="AZ615" s="246"/>
      <c r="BA615" s="246"/>
      <c r="BB615" s="246"/>
      <c r="BC615" s="246"/>
      <c r="BD615" s="246"/>
      <c r="BE615" s="246"/>
      <c r="BF615" s="246"/>
      <c r="BG615" s="246"/>
      <c r="BH615" s="246"/>
      <c r="BI615" s="246"/>
      <c r="BJ615" s="246"/>
    </row>
    <row r="616" spans="2:62" ht="15.75">
      <c r="B616" s="7"/>
      <c r="C616" s="334"/>
      <c r="D616" s="334"/>
      <c r="E616" s="334"/>
      <c r="F616" s="334"/>
      <c r="G616" s="334"/>
      <c r="H616" s="334"/>
      <c r="I616" s="334"/>
      <c r="J616" s="334"/>
      <c r="K616" s="334"/>
      <c r="L616" s="334"/>
      <c r="M616" s="334"/>
      <c r="N616" s="334"/>
      <c r="O616" s="334"/>
      <c r="P616" s="334"/>
      <c r="Q616" s="334"/>
      <c r="R616" s="334"/>
      <c r="S616" s="334"/>
      <c r="T616" s="334"/>
      <c r="U616" s="334"/>
      <c r="V616" s="334"/>
      <c r="W616" s="334"/>
      <c r="X616" s="334"/>
      <c r="Y616" s="246"/>
      <c r="Z616" s="246"/>
      <c r="AA616" s="246"/>
      <c r="AB616" s="246"/>
      <c r="AC616" s="246"/>
      <c r="AD616" s="246"/>
      <c r="AE616" s="246"/>
      <c r="AF616" s="246"/>
      <c r="AG616" s="246"/>
      <c r="AH616" s="246"/>
      <c r="AI616" s="246"/>
      <c r="AJ616" s="246"/>
      <c r="AK616" s="246"/>
      <c r="AL616" s="246"/>
      <c r="AM616" s="246"/>
      <c r="AN616" s="246"/>
      <c r="AO616" s="246"/>
      <c r="AP616" s="246"/>
      <c r="AQ616" s="246"/>
      <c r="AR616" s="246"/>
      <c r="AS616" s="246"/>
      <c r="AT616" s="246"/>
      <c r="AU616" s="246"/>
      <c r="AV616" s="246"/>
      <c r="AW616" s="246"/>
      <c r="AX616" s="246"/>
      <c r="AY616" s="246"/>
      <c r="AZ616" s="246"/>
      <c r="BA616" s="246"/>
      <c r="BB616" s="246"/>
      <c r="BC616" s="246"/>
      <c r="BD616" s="246"/>
      <c r="BE616" s="246"/>
      <c r="BF616" s="246"/>
      <c r="BG616" s="246"/>
      <c r="BH616" s="246"/>
      <c r="BI616" s="246"/>
      <c r="BJ616" s="246"/>
    </row>
    <row r="617" spans="2:62" ht="15.75">
      <c r="B617" s="7"/>
      <c r="C617" s="334"/>
      <c r="D617" s="334"/>
      <c r="E617" s="334"/>
      <c r="F617" s="334"/>
      <c r="G617" s="334"/>
      <c r="H617" s="334"/>
      <c r="I617" s="334"/>
      <c r="J617" s="334"/>
      <c r="K617" s="334"/>
      <c r="L617" s="334"/>
      <c r="M617" s="334"/>
      <c r="N617" s="334"/>
      <c r="O617" s="334"/>
      <c r="P617" s="334"/>
      <c r="Q617" s="334"/>
      <c r="R617" s="334"/>
      <c r="S617" s="334"/>
      <c r="T617" s="334"/>
      <c r="U617" s="334"/>
      <c r="V617" s="334"/>
      <c r="W617" s="334"/>
      <c r="X617" s="334"/>
      <c r="Y617" s="246"/>
      <c r="Z617" s="246"/>
      <c r="AA617" s="246"/>
      <c r="AB617" s="246"/>
      <c r="AC617" s="246"/>
      <c r="AD617" s="246"/>
      <c r="AE617" s="246"/>
      <c r="AF617" s="246"/>
      <c r="AG617" s="246"/>
      <c r="AH617" s="246"/>
      <c r="AI617" s="246"/>
      <c r="AJ617" s="246"/>
      <c r="AK617" s="246"/>
      <c r="AL617" s="246"/>
      <c r="AM617" s="246"/>
      <c r="AN617" s="246"/>
      <c r="AO617" s="246"/>
      <c r="AP617" s="246"/>
      <c r="AQ617" s="246"/>
      <c r="AR617" s="246"/>
      <c r="AS617" s="246"/>
      <c r="AT617" s="246"/>
      <c r="AU617" s="246"/>
      <c r="AV617" s="246"/>
      <c r="AW617" s="246"/>
      <c r="AX617" s="246"/>
      <c r="AY617" s="246"/>
      <c r="AZ617" s="246"/>
      <c r="BA617" s="246"/>
      <c r="BB617" s="246"/>
      <c r="BC617" s="246"/>
      <c r="BD617" s="246"/>
      <c r="BE617" s="246"/>
      <c r="BF617" s="246"/>
      <c r="BG617" s="246"/>
      <c r="BH617" s="246"/>
      <c r="BI617" s="246"/>
      <c r="BJ617" s="246"/>
    </row>
    <row r="618" spans="2:62" ht="15.75">
      <c r="B618" s="7"/>
      <c r="C618" s="334"/>
      <c r="D618" s="334"/>
      <c r="E618" s="334"/>
      <c r="F618" s="334"/>
      <c r="G618" s="334"/>
      <c r="H618" s="334"/>
      <c r="I618" s="334"/>
      <c r="J618" s="334"/>
      <c r="K618" s="334"/>
      <c r="L618" s="334"/>
      <c r="M618" s="334"/>
      <c r="N618" s="334"/>
      <c r="O618" s="334"/>
      <c r="P618" s="334"/>
      <c r="Q618" s="334"/>
      <c r="R618" s="334"/>
      <c r="S618" s="334"/>
      <c r="T618" s="334"/>
      <c r="U618" s="334"/>
      <c r="V618" s="334"/>
      <c r="W618" s="334"/>
      <c r="X618" s="334"/>
      <c r="Y618" s="246"/>
      <c r="Z618" s="246"/>
      <c r="AA618" s="246"/>
      <c r="AB618" s="246"/>
      <c r="AC618" s="246"/>
      <c r="AD618" s="246"/>
      <c r="AE618" s="246"/>
      <c r="AF618" s="246"/>
      <c r="AG618" s="246"/>
      <c r="AH618" s="246"/>
      <c r="AI618" s="246"/>
      <c r="AJ618" s="246"/>
      <c r="AK618" s="246"/>
      <c r="AL618" s="246"/>
      <c r="AM618" s="246"/>
      <c r="AN618" s="246"/>
      <c r="AO618" s="246"/>
      <c r="AP618" s="246"/>
      <c r="AQ618" s="246"/>
      <c r="AR618" s="246"/>
      <c r="AS618" s="246"/>
      <c r="AT618" s="246"/>
      <c r="AU618" s="246"/>
      <c r="AV618" s="246"/>
      <c r="AW618" s="246"/>
      <c r="AX618" s="246"/>
      <c r="AY618" s="246"/>
      <c r="AZ618" s="246"/>
      <c r="BA618" s="246"/>
      <c r="BB618" s="246"/>
      <c r="BC618" s="246"/>
      <c r="BD618" s="246"/>
      <c r="BE618" s="246"/>
      <c r="BF618" s="246"/>
      <c r="BG618" s="246"/>
      <c r="BH618" s="246"/>
      <c r="BI618" s="246"/>
      <c r="BJ618" s="246"/>
    </row>
    <row r="619" spans="2:62" ht="15.75">
      <c r="B619" s="7"/>
      <c r="C619" s="334"/>
      <c r="D619" s="334"/>
      <c r="E619" s="334"/>
      <c r="F619" s="334"/>
      <c r="G619" s="334"/>
      <c r="H619" s="334"/>
      <c r="I619" s="334"/>
      <c r="J619" s="334"/>
      <c r="K619" s="334"/>
      <c r="L619" s="334"/>
      <c r="M619" s="334"/>
      <c r="N619" s="334"/>
      <c r="O619" s="334"/>
      <c r="P619" s="334"/>
      <c r="Q619" s="334"/>
      <c r="R619" s="334"/>
      <c r="S619" s="334"/>
      <c r="T619" s="334"/>
      <c r="U619" s="334"/>
      <c r="V619" s="334"/>
      <c r="W619" s="334"/>
      <c r="X619" s="334"/>
      <c r="Y619" s="246"/>
      <c r="Z619" s="246"/>
      <c r="AA619" s="246"/>
      <c r="AB619" s="246"/>
      <c r="AC619" s="246"/>
      <c r="AD619" s="246"/>
      <c r="AE619" s="246"/>
      <c r="AF619" s="246"/>
      <c r="AG619" s="246"/>
      <c r="AH619" s="246"/>
      <c r="AI619" s="246"/>
      <c r="AJ619" s="246"/>
      <c r="AK619" s="246"/>
      <c r="AL619" s="246"/>
      <c r="AM619" s="246"/>
      <c r="AN619" s="246"/>
      <c r="AO619" s="246"/>
      <c r="AP619" s="246"/>
      <c r="AQ619" s="246"/>
      <c r="AR619" s="246"/>
      <c r="AS619" s="246"/>
      <c r="AT619" s="246"/>
      <c r="AU619" s="246"/>
      <c r="AV619" s="246"/>
      <c r="AW619" s="246"/>
      <c r="AX619" s="246"/>
      <c r="AY619" s="246"/>
      <c r="AZ619" s="246"/>
      <c r="BA619" s="246"/>
      <c r="BB619" s="246"/>
      <c r="BC619" s="246"/>
      <c r="BD619" s="246"/>
      <c r="BE619" s="246"/>
      <c r="BF619" s="246"/>
      <c r="BG619" s="246"/>
      <c r="BH619" s="246"/>
      <c r="BI619" s="246"/>
      <c r="BJ619" s="246"/>
    </row>
    <row r="620" spans="2:62" ht="15.75">
      <c r="B620" s="7"/>
      <c r="C620" s="334"/>
      <c r="D620" s="334"/>
      <c r="E620" s="334"/>
      <c r="F620" s="334"/>
      <c r="G620" s="334"/>
      <c r="H620" s="334"/>
      <c r="I620" s="334"/>
      <c r="J620" s="334"/>
      <c r="K620" s="334"/>
      <c r="L620" s="334"/>
      <c r="M620" s="334"/>
      <c r="N620" s="334"/>
      <c r="O620" s="334"/>
      <c r="P620" s="334"/>
      <c r="Q620" s="334"/>
      <c r="R620" s="334"/>
      <c r="S620" s="334"/>
      <c r="T620" s="334"/>
      <c r="U620" s="334"/>
      <c r="V620" s="334"/>
      <c r="W620" s="334"/>
      <c r="X620" s="334"/>
      <c r="Y620" s="246"/>
      <c r="Z620" s="246"/>
      <c r="AA620" s="246"/>
      <c r="AB620" s="246"/>
      <c r="AC620" s="246"/>
      <c r="AD620" s="246"/>
      <c r="AE620" s="246"/>
      <c r="AF620" s="246"/>
      <c r="AG620" s="246"/>
      <c r="AH620" s="246"/>
      <c r="AI620" s="246"/>
      <c r="AJ620" s="246"/>
      <c r="AK620" s="246"/>
      <c r="AL620" s="246"/>
      <c r="AM620" s="246"/>
      <c r="AN620" s="246"/>
      <c r="AO620" s="246"/>
      <c r="AP620" s="246"/>
      <c r="AQ620" s="246"/>
      <c r="AR620" s="246"/>
      <c r="AS620" s="246"/>
      <c r="AT620" s="246"/>
      <c r="AU620" s="246"/>
      <c r="AV620" s="246"/>
      <c r="AW620" s="246"/>
      <c r="AX620" s="246"/>
      <c r="AY620" s="246"/>
      <c r="AZ620" s="246"/>
      <c r="BA620" s="246"/>
      <c r="BB620" s="246"/>
      <c r="BC620" s="246"/>
      <c r="BD620" s="246"/>
      <c r="BE620" s="246"/>
      <c r="BF620" s="246"/>
      <c r="BG620" s="246"/>
      <c r="BH620" s="246"/>
      <c r="BI620" s="246"/>
      <c r="BJ620" s="246"/>
    </row>
    <row r="621" spans="2:62" ht="15.75">
      <c r="B621" s="7"/>
      <c r="C621" s="334"/>
      <c r="D621" s="334"/>
      <c r="E621" s="334"/>
      <c r="F621" s="334"/>
      <c r="G621" s="334"/>
      <c r="H621" s="334"/>
      <c r="I621" s="334"/>
      <c r="J621" s="334"/>
      <c r="K621" s="334"/>
      <c r="L621" s="334"/>
      <c r="M621" s="334"/>
      <c r="N621" s="334"/>
      <c r="O621" s="334"/>
      <c r="P621" s="334"/>
      <c r="Q621" s="334"/>
      <c r="R621" s="334"/>
      <c r="S621" s="334"/>
      <c r="T621" s="334"/>
      <c r="U621" s="334"/>
      <c r="V621" s="334"/>
      <c r="W621" s="334"/>
      <c r="X621" s="334"/>
      <c r="Y621" s="246"/>
      <c r="Z621" s="246"/>
      <c r="AA621" s="246"/>
      <c r="AB621" s="246"/>
      <c r="AC621" s="246"/>
      <c r="AD621" s="246"/>
      <c r="AE621" s="246"/>
      <c r="AF621" s="246"/>
      <c r="AG621" s="246"/>
      <c r="AH621" s="246"/>
      <c r="AI621" s="246"/>
      <c r="AJ621" s="246"/>
      <c r="AK621" s="246"/>
      <c r="AL621" s="246"/>
      <c r="AM621" s="246"/>
      <c r="AN621" s="246"/>
      <c r="AO621" s="246"/>
      <c r="AP621" s="246"/>
      <c r="AQ621" s="246"/>
      <c r="AR621" s="246"/>
      <c r="AS621" s="246"/>
      <c r="AT621" s="246"/>
      <c r="AU621" s="246"/>
      <c r="AV621" s="246"/>
      <c r="AW621" s="246"/>
      <c r="AX621" s="246"/>
      <c r="AY621" s="246"/>
      <c r="AZ621" s="246"/>
      <c r="BA621" s="246"/>
      <c r="BB621" s="246"/>
      <c r="BC621" s="246"/>
      <c r="BD621" s="246"/>
      <c r="BE621" s="246"/>
      <c r="BF621" s="246"/>
      <c r="BG621" s="246"/>
      <c r="BH621" s="246"/>
      <c r="BI621" s="246"/>
      <c r="BJ621" s="246"/>
    </row>
    <row r="622" spans="2:62" ht="15.75">
      <c r="B622" s="7"/>
      <c r="C622" s="334"/>
      <c r="D622" s="334"/>
      <c r="E622" s="334"/>
      <c r="F622" s="334"/>
      <c r="G622" s="334"/>
      <c r="H622" s="334"/>
      <c r="I622" s="334"/>
      <c r="J622" s="334"/>
      <c r="K622" s="334"/>
      <c r="L622" s="334"/>
      <c r="M622" s="334"/>
      <c r="N622" s="334"/>
      <c r="O622" s="334"/>
      <c r="P622" s="334"/>
      <c r="Q622" s="334"/>
      <c r="R622" s="334"/>
      <c r="S622" s="334"/>
      <c r="T622" s="334"/>
      <c r="U622" s="334"/>
      <c r="V622" s="334"/>
      <c r="W622" s="334"/>
      <c r="X622" s="334"/>
      <c r="Y622" s="246"/>
      <c r="Z622" s="246"/>
      <c r="AA622" s="246"/>
      <c r="AB622" s="246"/>
      <c r="AC622" s="246"/>
      <c r="AD622" s="246"/>
      <c r="AE622" s="246"/>
      <c r="AF622" s="246"/>
      <c r="AG622" s="246"/>
      <c r="AH622" s="246"/>
      <c r="AI622" s="246"/>
      <c r="AJ622" s="246"/>
      <c r="AK622" s="246"/>
      <c r="AL622" s="246"/>
      <c r="AM622" s="246"/>
      <c r="AN622" s="246"/>
      <c r="AO622" s="246"/>
      <c r="AP622" s="246"/>
      <c r="AQ622" s="246"/>
      <c r="AR622" s="246"/>
      <c r="AS622" s="246"/>
      <c r="AT622" s="246"/>
      <c r="AU622" s="246"/>
      <c r="AV622" s="246"/>
      <c r="AW622" s="246"/>
      <c r="AX622" s="246"/>
      <c r="AY622" s="246"/>
      <c r="AZ622" s="246"/>
      <c r="BA622" s="246"/>
      <c r="BB622" s="246"/>
      <c r="BC622" s="246"/>
      <c r="BD622" s="246"/>
      <c r="BE622" s="246"/>
      <c r="BF622" s="246"/>
      <c r="BG622" s="246"/>
      <c r="BH622" s="246"/>
      <c r="BI622" s="246"/>
      <c r="BJ622" s="246"/>
    </row>
    <row r="623" spans="2:62" ht="15.75">
      <c r="B623" s="7"/>
      <c r="C623" s="334"/>
      <c r="D623" s="334"/>
      <c r="E623" s="334"/>
      <c r="F623" s="334"/>
      <c r="G623" s="334"/>
      <c r="H623" s="334"/>
      <c r="I623" s="334"/>
      <c r="J623" s="334"/>
      <c r="K623" s="334"/>
      <c r="L623" s="334"/>
      <c r="M623" s="334"/>
      <c r="N623" s="334"/>
      <c r="O623" s="334"/>
      <c r="P623" s="334"/>
      <c r="Q623" s="334"/>
      <c r="R623" s="334"/>
      <c r="S623" s="334"/>
      <c r="T623" s="334"/>
      <c r="U623" s="334"/>
      <c r="V623" s="334"/>
      <c r="W623" s="334"/>
      <c r="X623" s="334"/>
      <c r="Y623" s="246"/>
      <c r="Z623" s="246"/>
      <c r="AA623" s="246"/>
      <c r="AB623" s="246"/>
      <c r="AC623" s="246"/>
      <c r="AD623" s="246"/>
      <c r="AE623" s="246"/>
      <c r="AF623" s="246"/>
      <c r="AG623" s="246"/>
      <c r="AH623" s="246"/>
      <c r="AI623" s="246"/>
      <c r="AJ623" s="246"/>
      <c r="AK623" s="246"/>
      <c r="AL623" s="246"/>
      <c r="AM623" s="246"/>
      <c r="AN623" s="246"/>
      <c r="AO623" s="246"/>
      <c r="AP623" s="246"/>
      <c r="AQ623" s="246"/>
      <c r="AR623" s="246"/>
      <c r="AS623" s="246"/>
      <c r="AT623" s="246"/>
      <c r="AU623" s="246"/>
      <c r="AV623" s="246"/>
      <c r="AW623" s="246"/>
      <c r="AX623" s="246"/>
      <c r="AY623" s="246"/>
      <c r="AZ623" s="246"/>
      <c r="BA623" s="246"/>
      <c r="BB623" s="246"/>
      <c r="BC623" s="246"/>
      <c r="BD623" s="246"/>
      <c r="BE623" s="246"/>
      <c r="BF623" s="246"/>
      <c r="BG623" s="246"/>
      <c r="BH623" s="246"/>
      <c r="BI623" s="246"/>
      <c r="BJ623" s="246"/>
    </row>
    <row r="624" spans="2:62" ht="15.75">
      <c r="B624" s="7"/>
      <c r="C624" s="334"/>
      <c r="D624" s="334"/>
      <c r="E624" s="334"/>
      <c r="F624" s="334"/>
      <c r="G624" s="334"/>
      <c r="H624" s="334"/>
      <c r="I624" s="334"/>
      <c r="J624" s="334"/>
      <c r="K624" s="334"/>
      <c r="L624" s="334"/>
      <c r="M624" s="334"/>
      <c r="N624" s="334"/>
      <c r="O624" s="334"/>
      <c r="P624" s="334"/>
      <c r="Q624" s="334"/>
      <c r="R624" s="334"/>
      <c r="S624" s="334"/>
      <c r="T624" s="334"/>
      <c r="U624" s="334"/>
      <c r="V624" s="334"/>
      <c r="W624" s="334"/>
      <c r="X624" s="334"/>
      <c r="Y624" s="246"/>
      <c r="Z624" s="246"/>
      <c r="AA624" s="246"/>
      <c r="AB624" s="246"/>
      <c r="AC624" s="246"/>
      <c r="AD624" s="246"/>
      <c r="AE624" s="246"/>
      <c r="AF624" s="246"/>
      <c r="AG624" s="246"/>
      <c r="AH624" s="246"/>
      <c r="AI624" s="246"/>
      <c r="AJ624" s="246"/>
      <c r="AK624" s="246"/>
      <c r="AL624" s="246"/>
      <c r="AM624" s="246"/>
      <c r="AN624" s="246"/>
      <c r="AO624" s="246"/>
      <c r="AP624" s="246"/>
      <c r="AQ624" s="246"/>
      <c r="AR624" s="246"/>
      <c r="AS624" s="246"/>
      <c r="AT624" s="246"/>
      <c r="AU624" s="246"/>
      <c r="AV624" s="246"/>
      <c r="AW624" s="246"/>
      <c r="AX624" s="246"/>
      <c r="AY624" s="246"/>
      <c r="AZ624" s="246"/>
      <c r="BA624" s="246"/>
      <c r="BB624" s="246"/>
      <c r="BC624" s="246"/>
      <c r="BD624" s="246"/>
      <c r="BE624" s="246"/>
      <c r="BF624" s="246"/>
      <c r="BG624" s="246"/>
      <c r="BH624" s="246"/>
      <c r="BI624" s="246"/>
      <c r="BJ624" s="246"/>
    </row>
    <row r="625" spans="2:62" ht="15.75">
      <c r="B625" s="7"/>
      <c r="C625" s="334"/>
      <c r="D625" s="334"/>
      <c r="E625" s="334"/>
      <c r="F625" s="334"/>
      <c r="G625" s="334"/>
      <c r="H625" s="334"/>
      <c r="I625" s="334"/>
      <c r="J625" s="334"/>
      <c r="K625" s="334"/>
      <c r="L625" s="334"/>
      <c r="M625" s="334"/>
      <c r="N625" s="334"/>
      <c r="O625" s="334"/>
      <c r="P625" s="334"/>
      <c r="Q625" s="334"/>
      <c r="R625" s="334"/>
      <c r="S625" s="334"/>
      <c r="T625" s="334"/>
      <c r="U625" s="334"/>
      <c r="V625" s="334"/>
      <c r="W625" s="334"/>
      <c r="X625" s="334"/>
      <c r="Y625" s="246"/>
      <c r="Z625" s="246"/>
      <c r="AA625" s="246"/>
      <c r="AB625" s="246"/>
      <c r="AC625" s="246"/>
      <c r="AD625" s="246"/>
      <c r="AE625" s="246"/>
      <c r="AF625" s="246"/>
      <c r="AG625" s="246"/>
      <c r="AH625" s="246"/>
      <c r="AI625" s="246"/>
      <c r="AJ625" s="246"/>
      <c r="AK625" s="246"/>
      <c r="AL625" s="246"/>
      <c r="AM625" s="246"/>
      <c r="AN625" s="246"/>
      <c r="AO625" s="246"/>
      <c r="AP625" s="246"/>
      <c r="AQ625" s="246"/>
      <c r="AR625" s="246"/>
      <c r="AS625" s="246"/>
      <c r="AT625" s="246"/>
      <c r="AU625" s="246"/>
      <c r="AV625" s="246"/>
      <c r="AW625" s="246"/>
      <c r="AX625" s="246"/>
      <c r="AY625" s="246"/>
      <c r="AZ625" s="246"/>
      <c r="BA625" s="246"/>
      <c r="BB625" s="246"/>
      <c r="BC625" s="246"/>
      <c r="BD625" s="246"/>
      <c r="BE625" s="246"/>
      <c r="BF625" s="246"/>
      <c r="BG625" s="246"/>
      <c r="BH625" s="246"/>
      <c r="BI625" s="246"/>
      <c r="BJ625" s="246"/>
    </row>
    <row r="626" spans="2:62" ht="15.75">
      <c r="B626" s="7"/>
      <c r="C626" s="334"/>
      <c r="D626" s="334"/>
      <c r="E626" s="334"/>
      <c r="F626" s="334"/>
      <c r="G626" s="334"/>
      <c r="H626" s="334"/>
      <c r="I626" s="334"/>
      <c r="J626" s="334"/>
      <c r="K626" s="334"/>
      <c r="L626" s="334"/>
      <c r="M626" s="334"/>
      <c r="N626" s="334"/>
      <c r="O626" s="334"/>
      <c r="P626" s="334"/>
      <c r="Q626" s="334"/>
      <c r="R626" s="334"/>
      <c r="S626" s="334"/>
      <c r="T626" s="334"/>
      <c r="U626" s="334"/>
      <c r="V626" s="334"/>
      <c r="W626" s="334"/>
      <c r="X626" s="334"/>
      <c r="Y626" s="246"/>
      <c r="Z626" s="246"/>
      <c r="AA626" s="246"/>
      <c r="AB626" s="246"/>
      <c r="AC626" s="246"/>
      <c r="AD626" s="246"/>
      <c r="AE626" s="246"/>
      <c r="AF626" s="246"/>
      <c r="AG626" s="246"/>
      <c r="AH626" s="246"/>
      <c r="AI626" s="246"/>
      <c r="AJ626" s="246"/>
      <c r="AK626" s="246"/>
      <c r="AL626" s="246"/>
      <c r="AM626" s="246"/>
      <c r="AN626" s="246"/>
      <c r="AO626" s="246"/>
      <c r="AP626" s="246"/>
      <c r="AQ626" s="246"/>
      <c r="AR626" s="246"/>
      <c r="AS626" s="246"/>
      <c r="AT626" s="246"/>
      <c r="AU626" s="246"/>
      <c r="AV626" s="246"/>
      <c r="AW626" s="246"/>
      <c r="AX626" s="246"/>
      <c r="AY626" s="246"/>
      <c r="AZ626" s="246"/>
      <c r="BA626" s="246"/>
      <c r="BB626" s="246"/>
      <c r="BC626" s="246"/>
      <c r="BD626" s="246"/>
      <c r="BE626" s="246"/>
      <c r="BF626" s="246"/>
      <c r="BG626" s="246"/>
      <c r="BH626" s="246"/>
      <c r="BI626" s="246"/>
      <c r="BJ626" s="246"/>
    </row>
    <row r="627" spans="2:62" ht="15.75">
      <c r="B627" s="7"/>
      <c r="C627" s="334"/>
      <c r="D627" s="334"/>
      <c r="E627" s="334"/>
      <c r="F627" s="334"/>
      <c r="G627" s="334"/>
      <c r="H627" s="334"/>
      <c r="I627" s="334"/>
      <c r="J627" s="334"/>
      <c r="K627" s="334"/>
      <c r="L627" s="334"/>
      <c r="M627" s="334"/>
      <c r="N627" s="334"/>
      <c r="O627" s="334"/>
      <c r="P627" s="334"/>
      <c r="Q627" s="334"/>
      <c r="R627" s="334"/>
      <c r="S627" s="334"/>
      <c r="T627" s="334"/>
      <c r="U627" s="334"/>
      <c r="V627" s="334"/>
      <c r="W627" s="334"/>
      <c r="X627" s="334"/>
      <c r="Y627" s="246"/>
      <c r="Z627" s="246"/>
      <c r="AA627" s="246"/>
      <c r="AB627" s="246"/>
      <c r="AC627" s="246"/>
      <c r="AD627" s="246"/>
      <c r="AE627" s="246"/>
      <c r="AF627" s="246"/>
      <c r="AG627" s="246"/>
      <c r="AH627" s="246"/>
      <c r="AI627" s="246"/>
      <c r="AJ627" s="246"/>
      <c r="AK627" s="246"/>
      <c r="AL627" s="246"/>
      <c r="AM627" s="246"/>
      <c r="AN627" s="246"/>
      <c r="AO627" s="246"/>
      <c r="AP627" s="246"/>
      <c r="AQ627" s="246"/>
      <c r="AR627" s="246"/>
      <c r="AS627" s="246"/>
      <c r="AT627" s="246"/>
      <c r="AU627" s="246"/>
      <c r="AV627" s="246"/>
      <c r="AW627" s="246"/>
      <c r="AX627" s="246"/>
      <c r="AY627" s="246"/>
      <c r="AZ627" s="246"/>
      <c r="BA627" s="246"/>
      <c r="BB627" s="246"/>
      <c r="BC627" s="246"/>
      <c r="BD627" s="246"/>
      <c r="BE627" s="246"/>
      <c r="BF627" s="246"/>
      <c r="BG627" s="246"/>
      <c r="BH627" s="246"/>
      <c r="BI627" s="246"/>
      <c r="BJ627" s="246"/>
    </row>
    <row r="628" spans="2:62" ht="15.75">
      <c r="B628" s="7"/>
      <c r="C628" s="334"/>
      <c r="D628" s="334"/>
      <c r="E628" s="334"/>
      <c r="F628" s="334"/>
      <c r="G628" s="334"/>
      <c r="H628" s="334"/>
      <c r="I628" s="334"/>
      <c r="J628" s="334"/>
      <c r="K628" s="334"/>
      <c r="L628" s="334"/>
      <c r="M628" s="334"/>
      <c r="N628" s="334"/>
      <c r="O628" s="334"/>
      <c r="P628" s="334"/>
      <c r="Q628" s="334"/>
      <c r="R628" s="334"/>
      <c r="S628" s="334"/>
      <c r="T628" s="334"/>
      <c r="U628" s="334"/>
      <c r="V628" s="334"/>
      <c r="W628" s="334"/>
      <c r="X628" s="334"/>
      <c r="Y628" s="246"/>
      <c r="Z628" s="246"/>
      <c r="AA628" s="246"/>
      <c r="AB628" s="246"/>
      <c r="AC628" s="246"/>
      <c r="AD628" s="246"/>
      <c r="AE628" s="246"/>
      <c r="AF628" s="246"/>
      <c r="AG628" s="246"/>
      <c r="AH628" s="246"/>
      <c r="AI628" s="246"/>
      <c r="AJ628" s="246"/>
      <c r="AK628" s="246"/>
      <c r="AL628" s="246"/>
      <c r="AM628" s="246"/>
      <c r="AN628" s="246"/>
      <c r="AO628" s="246"/>
      <c r="AP628" s="246"/>
      <c r="AQ628" s="246"/>
      <c r="AR628" s="246"/>
      <c r="AS628" s="246"/>
      <c r="AT628" s="246"/>
      <c r="AU628" s="246"/>
      <c r="AV628" s="246"/>
      <c r="AW628" s="246"/>
      <c r="AX628" s="246"/>
      <c r="AY628" s="246"/>
      <c r="AZ628" s="246"/>
      <c r="BA628" s="246"/>
      <c r="BB628" s="246"/>
      <c r="BC628" s="246"/>
      <c r="BD628" s="246"/>
      <c r="BE628" s="246"/>
      <c r="BF628" s="246"/>
      <c r="BG628" s="246"/>
      <c r="BH628" s="246"/>
      <c r="BI628" s="246"/>
      <c r="BJ628" s="246"/>
    </row>
    <row r="629" spans="2:62" ht="15.75">
      <c r="B629" s="7"/>
      <c r="C629" s="334"/>
      <c r="D629" s="334"/>
      <c r="E629" s="334"/>
      <c r="F629" s="334"/>
      <c r="G629" s="334"/>
      <c r="H629" s="334"/>
      <c r="I629" s="334"/>
      <c r="J629" s="334"/>
      <c r="K629" s="334"/>
      <c r="L629" s="334"/>
      <c r="M629" s="334"/>
      <c r="N629" s="334"/>
      <c r="O629" s="334"/>
      <c r="P629" s="334"/>
      <c r="Q629" s="334"/>
      <c r="R629" s="334"/>
      <c r="S629" s="334"/>
      <c r="T629" s="334"/>
      <c r="U629" s="334"/>
      <c r="V629" s="334"/>
      <c r="W629" s="334"/>
      <c r="X629" s="334"/>
      <c r="Y629" s="246"/>
      <c r="Z629" s="246"/>
      <c r="AA629" s="246"/>
      <c r="AB629" s="246"/>
      <c r="AC629" s="246"/>
      <c r="AD629" s="246"/>
      <c r="AE629" s="246"/>
      <c r="AF629" s="246"/>
      <c r="AG629" s="246"/>
      <c r="AH629" s="246"/>
      <c r="AI629" s="246"/>
      <c r="AJ629" s="246"/>
      <c r="AK629" s="246"/>
      <c r="AL629" s="246"/>
      <c r="AM629" s="246"/>
      <c r="AN629" s="246"/>
      <c r="AO629" s="246"/>
      <c r="AP629" s="246"/>
      <c r="AQ629" s="246"/>
      <c r="AR629" s="246"/>
      <c r="AS629" s="246"/>
      <c r="AT629" s="246"/>
      <c r="AU629" s="246"/>
      <c r="AV629" s="246"/>
      <c r="AW629" s="246"/>
      <c r="AX629" s="246"/>
      <c r="AY629" s="246"/>
      <c r="AZ629" s="246"/>
      <c r="BA629" s="246"/>
      <c r="BB629" s="246"/>
      <c r="BC629" s="246"/>
      <c r="BD629" s="246"/>
      <c r="BE629" s="246"/>
      <c r="BF629" s="246"/>
      <c r="BG629" s="246"/>
      <c r="BH629" s="246"/>
      <c r="BI629" s="246"/>
      <c r="BJ629" s="246"/>
    </row>
    <row r="630" spans="2:62" ht="15.75">
      <c r="B630" s="7"/>
      <c r="C630" s="334"/>
      <c r="D630" s="334"/>
      <c r="E630" s="334"/>
      <c r="F630" s="334"/>
      <c r="G630" s="334"/>
      <c r="H630" s="334"/>
      <c r="I630" s="334"/>
      <c r="J630" s="334"/>
      <c r="K630" s="334"/>
      <c r="L630" s="334"/>
      <c r="M630" s="334"/>
      <c r="N630" s="334"/>
      <c r="O630" s="334"/>
      <c r="P630" s="334"/>
      <c r="Q630" s="334"/>
      <c r="R630" s="334"/>
      <c r="S630" s="334"/>
      <c r="T630" s="334"/>
      <c r="U630" s="334"/>
      <c r="V630" s="334"/>
      <c r="W630" s="334"/>
      <c r="X630" s="334"/>
      <c r="Y630" s="246"/>
      <c r="Z630" s="246"/>
      <c r="AA630" s="246"/>
      <c r="AB630" s="246"/>
      <c r="AC630" s="246"/>
      <c r="AD630" s="246"/>
      <c r="AE630" s="246"/>
      <c r="AF630" s="246"/>
      <c r="AG630" s="246"/>
      <c r="AH630" s="246"/>
      <c r="AI630" s="246"/>
      <c r="AJ630" s="246"/>
      <c r="AK630" s="246"/>
      <c r="AL630" s="246"/>
      <c r="AM630" s="246"/>
      <c r="AN630" s="246"/>
      <c r="AO630" s="246"/>
      <c r="AP630" s="246"/>
      <c r="AQ630" s="246"/>
      <c r="AR630" s="246"/>
      <c r="AS630" s="246"/>
      <c r="AT630" s="246"/>
      <c r="AU630" s="246"/>
      <c r="AV630" s="246"/>
      <c r="AW630" s="246"/>
      <c r="AX630" s="246"/>
      <c r="AY630" s="246"/>
      <c r="AZ630" s="246"/>
      <c r="BA630" s="246"/>
      <c r="BB630" s="246"/>
      <c r="BC630" s="246"/>
      <c r="BD630" s="246"/>
      <c r="BE630" s="246"/>
      <c r="BF630" s="246"/>
      <c r="BG630" s="246"/>
      <c r="BH630" s="246"/>
      <c r="BI630" s="246"/>
      <c r="BJ630" s="246"/>
    </row>
    <row r="631" spans="2:62" ht="15.75">
      <c r="B631" s="7"/>
      <c r="C631" s="334"/>
      <c r="D631" s="334"/>
      <c r="E631" s="334"/>
      <c r="F631" s="334"/>
      <c r="G631" s="334"/>
      <c r="H631" s="334"/>
      <c r="I631" s="334"/>
      <c r="J631" s="334"/>
      <c r="K631" s="334"/>
      <c r="L631" s="334"/>
      <c r="M631" s="334"/>
      <c r="N631" s="334"/>
      <c r="O631" s="334"/>
      <c r="P631" s="334"/>
      <c r="Q631" s="334"/>
      <c r="R631" s="334"/>
      <c r="S631" s="334"/>
      <c r="T631" s="334"/>
      <c r="U631" s="334"/>
      <c r="V631" s="334"/>
      <c r="W631" s="334"/>
      <c r="X631" s="334"/>
      <c r="Y631" s="246"/>
      <c r="Z631" s="246"/>
      <c r="AA631" s="246"/>
      <c r="AB631" s="246"/>
      <c r="AC631" s="246"/>
      <c r="AD631" s="246"/>
      <c r="AE631" s="246"/>
      <c r="AF631" s="246"/>
      <c r="AG631" s="246"/>
      <c r="AH631" s="246"/>
      <c r="AI631" s="246"/>
      <c r="AJ631" s="246"/>
      <c r="AK631" s="246"/>
      <c r="AL631" s="246"/>
      <c r="AM631" s="246"/>
      <c r="AN631" s="246"/>
      <c r="AO631" s="246"/>
      <c r="AP631" s="246"/>
      <c r="AQ631" s="246"/>
      <c r="AR631" s="246"/>
      <c r="AS631" s="246"/>
      <c r="AT631" s="246"/>
      <c r="AU631" s="246"/>
      <c r="AV631" s="246"/>
      <c r="AW631" s="246"/>
      <c r="AX631" s="246"/>
      <c r="AY631" s="246"/>
      <c r="AZ631" s="246"/>
      <c r="BA631" s="246"/>
      <c r="BB631" s="246"/>
      <c r="BC631" s="246"/>
      <c r="BD631" s="246"/>
      <c r="BE631" s="246"/>
      <c r="BF631" s="246"/>
      <c r="BG631" s="246"/>
      <c r="BH631" s="246"/>
      <c r="BI631" s="246"/>
      <c r="BJ631" s="246"/>
    </row>
    <row r="632" spans="2:62" ht="15.75">
      <c r="B632" s="7"/>
      <c r="C632" s="334"/>
      <c r="D632" s="334"/>
      <c r="E632" s="334"/>
      <c r="F632" s="334"/>
      <c r="G632" s="334"/>
      <c r="H632" s="334"/>
      <c r="I632" s="334"/>
      <c r="J632" s="334"/>
      <c r="K632" s="334"/>
      <c r="L632" s="334"/>
      <c r="M632" s="334"/>
      <c r="N632" s="334"/>
      <c r="O632" s="334"/>
      <c r="P632" s="334"/>
      <c r="Q632" s="334"/>
      <c r="R632" s="334"/>
      <c r="S632" s="334"/>
      <c r="T632" s="334"/>
      <c r="U632" s="334"/>
      <c r="V632" s="334"/>
      <c r="W632" s="334"/>
      <c r="X632" s="334"/>
      <c r="Y632" s="246"/>
      <c r="Z632" s="246"/>
      <c r="AA632" s="246"/>
      <c r="AB632" s="246"/>
      <c r="AC632" s="246"/>
      <c r="AD632" s="246"/>
      <c r="AE632" s="246"/>
      <c r="AF632" s="246"/>
      <c r="AG632" s="246"/>
      <c r="AH632" s="246"/>
      <c r="AI632" s="246"/>
      <c r="AJ632" s="246"/>
      <c r="AK632" s="246"/>
      <c r="AL632" s="246"/>
      <c r="AM632" s="246"/>
      <c r="AN632" s="246"/>
      <c r="AO632" s="246"/>
      <c r="AP632" s="246"/>
      <c r="AQ632" s="246"/>
      <c r="AR632" s="246"/>
      <c r="AS632" s="246"/>
      <c r="AT632" s="246"/>
      <c r="AU632" s="246"/>
      <c r="AV632" s="246"/>
      <c r="AW632" s="246"/>
      <c r="AX632" s="246"/>
      <c r="AY632" s="246"/>
      <c r="AZ632" s="246"/>
      <c r="BA632" s="246"/>
      <c r="BB632" s="246"/>
      <c r="BC632" s="246"/>
      <c r="BD632" s="246"/>
      <c r="BE632" s="246"/>
      <c r="BF632" s="246"/>
      <c r="BG632" s="246"/>
      <c r="BH632" s="246"/>
      <c r="BI632" s="246"/>
      <c r="BJ632" s="246"/>
    </row>
    <row r="633" spans="2:62" ht="15.75">
      <c r="B633" s="7"/>
      <c r="C633" s="334"/>
      <c r="D633" s="334"/>
      <c r="E633" s="334"/>
      <c r="F633" s="334"/>
      <c r="G633" s="334"/>
      <c r="H633" s="334"/>
      <c r="I633" s="334"/>
      <c r="J633" s="334"/>
      <c r="K633" s="334"/>
      <c r="L633" s="334"/>
      <c r="M633" s="334"/>
      <c r="N633" s="334"/>
      <c r="O633" s="334"/>
      <c r="P633" s="334"/>
      <c r="Q633" s="334"/>
      <c r="R633" s="334"/>
      <c r="S633" s="334"/>
      <c r="T633" s="334"/>
      <c r="U633" s="334"/>
      <c r="V633" s="334"/>
      <c r="W633" s="334"/>
      <c r="X633" s="334"/>
      <c r="Y633" s="246"/>
      <c r="Z633" s="246"/>
      <c r="AA633" s="246"/>
      <c r="AB633" s="246"/>
      <c r="AC633" s="246"/>
      <c r="AD633" s="246"/>
      <c r="AE633" s="246"/>
      <c r="AF633" s="246"/>
      <c r="AG633" s="246"/>
      <c r="AH633" s="246"/>
      <c r="AI633" s="246"/>
      <c r="AJ633" s="246"/>
      <c r="AK633" s="246"/>
      <c r="AL633" s="246"/>
      <c r="AM633" s="246"/>
      <c r="AN633" s="246"/>
      <c r="AO633" s="246"/>
      <c r="AP633" s="246"/>
      <c r="AQ633" s="246"/>
      <c r="AR633" s="246"/>
      <c r="AS633" s="246"/>
      <c r="AT633" s="246"/>
      <c r="AU633" s="246"/>
      <c r="AV633" s="246"/>
      <c r="AW633" s="246"/>
      <c r="AX633" s="246"/>
      <c r="AY633" s="246"/>
      <c r="AZ633" s="246"/>
      <c r="BA633" s="246"/>
      <c r="BB633" s="246"/>
      <c r="BC633" s="246"/>
      <c r="BD633" s="246"/>
      <c r="BE633" s="246"/>
      <c r="BF633" s="246"/>
      <c r="BG633" s="246"/>
      <c r="BH633" s="246"/>
      <c r="BI633" s="246"/>
      <c r="BJ633" s="246"/>
    </row>
    <row r="634" spans="2:62" ht="15.75">
      <c r="B634" s="7"/>
      <c r="C634" s="334"/>
      <c r="D634" s="334"/>
      <c r="E634" s="334"/>
      <c r="F634" s="334"/>
      <c r="G634" s="334"/>
      <c r="H634" s="334"/>
      <c r="I634" s="334"/>
      <c r="J634" s="334"/>
      <c r="K634" s="334"/>
      <c r="L634" s="334"/>
      <c r="M634" s="334"/>
      <c r="N634" s="334"/>
      <c r="O634" s="334"/>
      <c r="P634" s="334"/>
      <c r="Q634" s="334"/>
      <c r="R634" s="334"/>
      <c r="S634" s="334"/>
      <c r="T634" s="334"/>
      <c r="U634" s="334"/>
      <c r="V634" s="334"/>
      <c r="W634" s="334"/>
      <c r="X634" s="334"/>
      <c r="Y634" s="246"/>
      <c r="Z634" s="246"/>
      <c r="AA634" s="246"/>
      <c r="AB634" s="246"/>
      <c r="AC634" s="246"/>
      <c r="AD634" s="246"/>
      <c r="AE634" s="246"/>
      <c r="AF634" s="246"/>
      <c r="AG634" s="246"/>
      <c r="AH634" s="246"/>
      <c r="AI634" s="246"/>
      <c r="AJ634" s="246"/>
      <c r="AK634" s="246"/>
      <c r="AL634" s="246"/>
      <c r="AM634" s="246"/>
      <c r="AN634" s="246"/>
      <c r="AO634" s="246"/>
      <c r="AP634" s="246"/>
      <c r="AQ634" s="246"/>
      <c r="AR634" s="246"/>
      <c r="AS634" s="246"/>
      <c r="AT634" s="246"/>
      <c r="AU634" s="246"/>
      <c r="AV634" s="246"/>
      <c r="AW634" s="246"/>
      <c r="AX634" s="246"/>
      <c r="AY634" s="246"/>
      <c r="AZ634" s="246"/>
      <c r="BA634" s="246"/>
      <c r="BB634" s="246"/>
      <c r="BC634" s="246"/>
      <c r="BD634" s="246"/>
      <c r="BE634" s="246"/>
      <c r="BF634" s="246"/>
      <c r="BG634" s="246"/>
      <c r="BH634" s="246"/>
      <c r="BI634" s="246"/>
      <c r="BJ634" s="246"/>
    </row>
    <row r="635" spans="2:62" ht="15.75">
      <c r="B635" s="7"/>
      <c r="C635" s="334"/>
      <c r="D635" s="334"/>
      <c r="E635" s="334"/>
      <c r="F635" s="334"/>
      <c r="G635" s="334"/>
      <c r="H635" s="334"/>
      <c r="I635" s="334"/>
      <c r="J635" s="334"/>
      <c r="K635" s="334"/>
      <c r="L635" s="334"/>
      <c r="M635" s="334"/>
      <c r="N635" s="334"/>
      <c r="O635" s="334"/>
      <c r="P635" s="334"/>
      <c r="Q635" s="334"/>
      <c r="R635" s="334"/>
      <c r="S635" s="334"/>
      <c r="T635" s="334"/>
      <c r="U635" s="334"/>
      <c r="V635" s="334"/>
      <c r="W635" s="334"/>
      <c r="X635" s="334"/>
      <c r="Y635" s="246"/>
      <c r="Z635" s="246"/>
      <c r="AA635" s="246"/>
      <c r="AB635" s="246"/>
      <c r="AC635" s="246"/>
      <c r="AD635" s="246"/>
      <c r="AE635" s="246"/>
      <c r="AF635" s="246"/>
      <c r="AG635" s="246"/>
      <c r="AH635" s="246"/>
      <c r="AI635" s="246"/>
      <c r="AJ635" s="246"/>
      <c r="AK635" s="246"/>
      <c r="AL635" s="246"/>
      <c r="AM635" s="246"/>
      <c r="AN635" s="246"/>
      <c r="AO635" s="246"/>
      <c r="AP635" s="246"/>
      <c r="AQ635" s="246"/>
      <c r="AR635" s="246"/>
      <c r="AS635" s="246"/>
      <c r="AT635" s="246"/>
      <c r="AU635" s="246"/>
      <c r="AV635" s="246"/>
      <c r="AW635" s="246"/>
      <c r="AX635" s="246"/>
      <c r="AY635" s="246"/>
      <c r="AZ635" s="246"/>
      <c r="BA635" s="246"/>
      <c r="BB635" s="246"/>
      <c r="BC635" s="246"/>
      <c r="BD635" s="246"/>
      <c r="BE635" s="246"/>
      <c r="BF635" s="246"/>
      <c r="BG635" s="246"/>
      <c r="BH635" s="246"/>
      <c r="BI635" s="246"/>
      <c r="BJ635" s="246"/>
    </row>
    <row r="636" spans="2:62" ht="15.75">
      <c r="B636" s="7"/>
      <c r="C636" s="334"/>
      <c r="D636" s="334"/>
      <c r="E636" s="334"/>
      <c r="F636" s="334"/>
      <c r="G636" s="334"/>
      <c r="H636" s="334"/>
      <c r="I636" s="334"/>
      <c r="J636" s="334"/>
      <c r="K636" s="334"/>
      <c r="L636" s="334"/>
      <c r="M636" s="334"/>
      <c r="N636" s="334"/>
      <c r="O636" s="334"/>
      <c r="P636" s="334"/>
      <c r="Q636" s="334"/>
      <c r="R636" s="334"/>
      <c r="S636" s="334"/>
      <c r="T636" s="334"/>
      <c r="U636" s="334"/>
      <c r="V636" s="334"/>
      <c r="W636" s="334"/>
      <c r="X636" s="334"/>
      <c r="Y636" s="246"/>
      <c r="Z636" s="246"/>
      <c r="AA636" s="246"/>
      <c r="AB636" s="246"/>
      <c r="AC636" s="246"/>
      <c r="AD636" s="246"/>
      <c r="AE636" s="246"/>
      <c r="AF636" s="246"/>
      <c r="AG636" s="246"/>
      <c r="AH636" s="246"/>
      <c r="AI636" s="246"/>
      <c r="AJ636" s="246"/>
      <c r="AK636" s="246"/>
      <c r="AL636" s="246"/>
      <c r="AM636" s="246"/>
      <c r="AN636" s="246"/>
      <c r="AO636" s="246"/>
      <c r="AP636" s="246"/>
      <c r="AQ636" s="246"/>
      <c r="AR636" s="246"/>
      <c r="AS636" s="246"/>
      <c r="AT636" s="246"/>
      <c r="AU636" s="246"/>
      <c r="AV636" s="246"/>
      <c r="AW636" s="246"/>
      <c r="AX636" s="246"/>
      <c r="AY636" s="246"/>
      <c r="AZ636" s="246"/>
      <c r="BA636" s="246"/>
      <c r="BB636" s="246"/>
      <c r="BC636" s="246"/>
      <c r="BD636" s="246"/>
      <c r="BE636" s="246"/>
      <c r="BF636" s="246"/>
      <c r="BG636" s="246"/>
      <c r="BH636" s="246"/>
      <c r="BI636" s="246"/>
      <c r="BJ636" s="246"/>
    </row>
    <row r="637" spans="2:62" ht="15.75">
      <c r="B637" s="7"/>
      <c r="C637" s="334"/>
      <c r="D637" s="334"/>
      <c r="E637" s="334"/>
      <c r="F637" s="334"/>
      <c r="G637" s="334"/>
      <c r="H637" s="334"/>
      <c r="I637" s="334"/>
      <c r="J637" s="334"/>
      <c r="K637" s="334"/>
      <c r="L637" s="334"/>
      <c r="M637" s="334"/>
      <c r="N637" s="334"/>
      <c r="O637" s="334"/>
      <c r="P637" s="334"/>
      <c r="Q637" s="334"/>
      <c r="R637" s="334"/>
      <c r="S637" s="334"/>
      <c r="T637" s="334"/>
      <c r="U637" s="334"/>
      <c r="V637" s="334"/>
      <c r="W637" s="334"/>
      <c r="X637" s="334"/>
      <c r="Y637" s="246"/>
      <c r="Z637" s="246"/>
      <c r="AA637" s="246"/>
      <c r="AB637" s="246"/>
      <c r="AC637" s="246"/>
      <c r="AD637" s="246"/>
      <c r="AE637" s="246"/>
      <c r="AF637" s="246"/>
      <c r="AG637" s="246"/>
      <c r="AH637" s="246"/>
      <c r="AI637" s="246"/>
      <c r="AJ637" s="246"/>
      <c r="AK637" s="246"/>
      <c r="AL637" s="246"/>
      <c r="AM637" s="246"/>
      <c r="AN637" s="246"/>
      <c r="AO637" s="246"/>
      <c r="AP637" s="246"/>
      <c r="AQ637" s="246"/>
      <c r="AR637" s="246"/>
      <c r="AS637" s="246"/>
      <c r="AT637" s="246"/>
      <c r="AU637" s="246"/>
      <c r="AV637" s="246"/>
      <c r="AW637" s="246"/>
      <c r="AX637" s="246"/>
      <c r="AY637" s="246"/>
      <c r="AZ637" s="246"/>
      <c r="BA637" s="246"/>
      <c r="BB637" s="246"/>
      <c r="BC637" s="246"/>
      <c r="BD637" s="246"/>
      <c r="BE637" s="246"/>
      <c r="BF637" s="246"/>
      <c r="BG637" s="246"/>
      <c r="BH637" s="246"/>
      <c r="BI637" s="246"/>
      <c r="BJ637" s="246"/>
    </row>
    <row r="638" spans="2:62" ht="15.75">
      <c r="B638" s="7"/>
      <c r="C638" s="334"/>
      <c r="D638" s="334"/>
      <c r="E638" s="334"/>
      <c r="F638" s="334"/>
      <c r="G638" s="334"/>
      <c r="H638" s="334"/>
      <c r="I638" s="334"/>
      <c r="J638" s="334"/>
      <c r="K638" s="334"/>
      <c r="L638" s="334"/>
      <c r="M638" s="334"/>
      <c r="N638" s="334"/>
      <c r="O638" s="334"/>
      <c r="P638" s="334"/>
      <c r="Q638" s="334"/>
      <c r="R638" s="334"/>
      <c r="S638" s="334"/>
      <c r="T638" s="334"/>
      <c r="U638" s="334"/>
      <c r="V638" s="334"/>
      <c r="W638" s="334"/>
      <c r="X638" s="334"/>
      <c r="Y638" s="246"/>
      <c r="Z638" s="246"/>
      <c r="AA638" s="246"/>
      <c r="AB638" s="246"/>
      <c r="AC638" s="246"/>
      <c r="AD638" s="246"/>
      <c r="AE638" s="246"/>
      <c r="AF638" s="246"/>
      <c r="AG638" s="246"/>
      <c r="AH638" s="246"/>
      <c r="AI638" s="246"/>
      <c r="AJ638" s="246"/>
      <c r="AK638" s="246"/>
      <c r="AL638" s="246"/>
      <c r="AM638" s="246"/>
      <c r="AN638" s="246"/>
      <c r="AO638" s="246"/>
      <c r="AP638" s="246"/>
      <c r="AQ638" s="246"/>
      <c r="AR638" s="246"/>
      <c r="AS638" s="246"/>
      <c r="AT638" s="246"/>
      <c r="AU638" s="246"/>
      <c r="AV638" s="246"/>
      <c r="AW638" s="246"/>
      <c r="AX638" s="246"/>
      <c r="AY638" s="246"/>
      <c r="AZ638" s="246"/>
      <c r="BA638" s="246"/>
      <c r="BB638" s="246"/>
      <c r="BC638" s="246"/>
      <c r="BD638" s="246"/>
      <c r="BE638" s="246"/>
      <c r="BF638" s="246"/>
      <c r="BG638" s="246"/>
      <c r="BH638" s="246"/>
      <c r="BI638" s="246"/>
      <c r="BJ638" s="246"/>
    </row>
    <row r="639" spans="2:62" ht="15.75">
      <c r="B639" s="7"/>
      <c r="C639" s="334"/>
      <c r="D639" s="334"/>
      <c r="E639" s="334"/>
      <c r="F639" s="334"/>
      <c r="G639" s="334"/>
      <c r="H639" s="334"/>
      <c r="I639" s="334"/>
      <c r="J639" s="334"/>
      <c r="K639" s="334"/>
      <c r="L639" s="334"/>
      <c r="M639" s="334"/>
      <c r="N639" s="334"/>
      <c r="O639" s="334"/>
      <c r="P639" s="334"/>
      <c r="Q639" s="334"/>
      <c r="R639" s="334"/>
      <c r="S639" s="334"/>
      <c r="T639" s="334"/>
      <c r="U639" s="334"/>
      <c r="V639" s="334"/>
      <c r="W639" s="334"/>
      <c r="X639" s="334"/>
      <c r="Y639" s="246"/>
      <c r="Z639" s="246"/>
      <c r="AA639" s="246"/>
      <c r="AB639" s="246"/>
      <c r="AC639" s="246"/>
      <c r="AD639" s="246"/>
      <c r="AE639" s="246"/>
      <c r="AF639" s="246"/>
      <c r="AG639" s="246"/>
      <c r="AH639" s="246"/>
      <c r="AI639" s="246"/>
      <c r="AJ639" s="246"/>
      <c r="AK639" s="246"/>
      <c r="AL639" s="246"/>
      <c r="AM639" s="246"/>
      <c r="AN639" s="246"/>
      <c r="AO639" s="246"/>
      <c r="AP639" s="246"/>
      <c r="AQ639" s="246"/>
      <c r="AR639" s="246"/>
      <c r="AS639" s="246"/>
      <c r="AT639" s="246"/>
      <c r="AU639" s="246"/>
      <c r="AV639" s="246"/>
      <c r="AW639" s="246"/>
      <c r="AX639" s="246"/>
      <c r="AY639" s="246"/>
      <c r="AZ639" s="246"/>
      <c r="BA639" s="246"/>
      <c r="BB639" s="246"/>
      <c r="BC639" s="246"/>
      <c r="BD639" s="246"/>
      <c r="BE639" s="246"/>
      <c r="BF639" s="246"/>
      <c r="BG639" s="246"/>
      <c r="BH639" s="246"/>
      <c r="BI639" s="246"/>
      <c r="BJ639" s="246"/>
    </row>
    <row r="640" spans="2:62" ht="15.75">
      <c r="B640" s="7"/>
      <c r="C640" s="334"/>
      <c r="D640" s="334"/>
      <c r="E640" s="334"/>
      <c r="F640" s="334"/>
      <c r="G640" s="334"/>
      <c r="H640" s="334"/>
      <c r="I640" s="334"/>
      <c r="J640" s="334"/>
      <c r="K640" s="334"/>
      <c r="L640" s="334"/>
      <c r="M640" s="334"/>
      <c r="N640" s="334"/>
      <c r="O640" s="334"/>
      <c r="P640" s="334"/>
      <c r="Q640" s="334"/>
      <c r="R640" s="334"/>
      <c r="S640" s="334"/>
      <c r="T640" s="334"/>
      <c r="U640" s="334"/>
      <c r="V640" s="334"/>
      <c r="W640" s="334"/>
      <c r="X640" s="334"/>
      <c r="Y640" s="246"/>
      <c r="Z640" s="246"/>
      <c r="AA640" s="246"/>
      <c r="AB640" s="246"/>
      <c r="AC640" s="246"/>
      <c r="AD640" s="246"/>
      <c r="AE640" s="246"/>
      <c r="AF640" s="246"/>
      <c r="AG640" s="246"/>
      <c r="AH640" s="246"/>
      <c r="AI640" s="246"/>
      <c r="AJ640" s="246"/>
      <c r="AK640" s="246"/>
      <c r="AL640" s="246"/>
      <c r="AM640" s="246"/>
      <c r="AN640" s="246"/>
      <c r="AO640" s="246"/>
      <c r="AP640" s="246"/>
      <c r="AQ640" s="246"/>
      <c r="AR640" s="246"/>
      <c r="AS640" s="246"/>
      <c r="AT640" s="246"/>
      <c r="AU640" s="246"/>
      <c r="AV640" s="246"/>
      <c r="AW640" s="246"/>
      <c r="AX640" s="246"/>
      <c r="AY640" s="246"/>
      <c r="AZ640" s="246"/>
      <c r="BA640" s="246"/>
      <c r="BB640" s="246"/>
      <c r="BC640" s="246"/>
      <c r="BD640" s="246"/>
      <c r="BE640" s="246"/>
      <c r="BF640" s="246"/>
      <c r="BG640" s="246"/>
      <c r="BH640" s="246"/>
      <c r="BI640" s="246"/>
      <c r="BJ640" s="246"/>
    </row>
    <row r="641" spans="2:62" ht="15.75">
      <c r="B641" s="7"/>
      <c r="C641" s="334"/>
      <c r="D641" s="334"/>
      <c r="E641" s="334"/>
      <c r="F641" s="334"/>
      <c r="G641" s="334"/>
      <c r="H641" s="334"/>
      <c r="I641" s="334"/>
      <c r="J641" s="334"/>
      <c r="K641" s="334"/>
      <c r="L641" s="334"/>
      <c r="M641" s="334"/>
      <c r="N641" s="334"/>
      <c r="O641" s="334"/>
      <c r="P641" s="334"/>
      <c r="Q641" s="334"/>
      <c r="R641" s="334"/>
      <c r="S641" s="334"/>
      <c r="T641" s="334"/>
      <c r="U641" s="334"/>
      <c r="V641" s="334"/>
      <c r="W641" s="334"/>
      <c r="X641" s="334"/>
      <c r="Y641" s="246"/>
      <c r="Z641" s="246"/>
      <c r="AA641" s="246"/>
      <c r="AB641" s="246"/>
      <c r="AC641" s="246"/>
      <c r="AD641" s="246"/>
      <c r="AE641" s="246"/>
      <c r="AF641" s="246"/>
      <c r="AG641" s="246"/>
      <c r="AH641" s="246"/>
      <c r="AI641" s="246"/>
      <c r="AJ641" s="246"/>
      <c r="AK641" s="246"/>
      <c r="AL641" s="246"/>
      <c r="AM641" s="246"/>
      <c r="AN641" s="246"/>
      <c r="AO641" s="246"/>
      <c r="AP641" s="246"/>
      <c r="AQ641" s="246"/>
      <c r="AR641" s="246"/>
      <c r="AS641" s="246"/>
      <c r="AT641" s="246"/>
      <c r="AU641" s="246"/>
      <c r="AV641" s="246"/>
      <c r="AW641" s="246"/>
      <c r="AX641" s="246"/>
      <c r="AY641" s="246"/>
      <c r="AZ641" s="246"/>
      <c r="BA641" s="246"/>
      <c r="BB641" s="246"/>
      <c r="BC641" s="246"/>
      <c r="BD641" s="246"/>
      <c r="BE641" s="246"/>
      <c r="BF641" s="246"/>
      <c r="BG641" s="246"/>
      <c r="BH641" s="246"/>
      <c r="BI641" s="246"/>
      <c r="BJ641" s="246"/>
    </row>
    <row r="642" spans="2:62" ht="15.75">
      <c r="B642" s="7"/>
      <c r="C642" s="334"/>
      <c r="D642" s="334"/>
      <c r="E642" s="334"/>
      <c r="F642" s="334"/>
      <c r="G642" s="334"/>
      <c r="H642" s="334"/>
      <c r="I642" s="334"/>
      <c r="J642" s="334"/>
      <c r="K642" s="334"/>
      <c r="L642" s="334"/>
      <c r="M642" s="334"/>
      <c r="N642" s="334"/>
      <c r="O642" s="334"/>
      <c r="P642" s="334"/>
      <c r="Q642" s="334"/>
      <c r="R642" s="334"/>
      <c r="S642" s="334"/>
      <c r="T642" s="334"/>
      <c r="U642" s="334"/>
      <c r="V642" s="334"/>
      <c r="W642" s="334"/>
      <c r="X642" s="334"/>
      <c r="Y642" s="246"/>
      <c r="Z642" s="246"/>
      <c r="AA642" s="246"/>
      <c r="AB642" s="246"/>
      <c r="AC642" s="246"/>
      <c r="AD642" s="246"/>
      <c r="AE642" s="246"/>
      <c r="AF642" s="246"/>
      <c r="AG642" s="246"/>
      <c r="AH642" s="246"/>
      <c r="AI642" s="246"/>
      <c r="AJ642" s="246"/>
      <c r="AK642" s="246"/>
      <c r="AL642" s="246"/>
      <c r="AM642" s="246"/>
      <c r="AN642" s="246"/>
      <c r="AO642" s="246"/>
      <c r="AP642" s="246"/>
      <c r="AQ642" s="246"/>
      <c r="AR642" s="246"/>
      <c r="AS642" s="246"/>
      <c r="AT642" s="246"/>
      <c r="AU642" s="246"/>
      <c r="AV642" s="246"/>
      <c r="AW642" s="246"/>
      <c r="AX642" s="246"/>
      <c r="AY642" s="246"/>
      <c r="AZ642" s="246"/>
      <c r="BA642" s="246"/>
      <c r="BB642" s="246"/>
      <c r="BC642" s="246"/>
      <c r="BD642" s="246"/>
      <c r="BE642" s="246"/>
      <c r="BF642" s="246"/>
      <c r="BG642" s="246"/>
      <c r="BH642" s="246"/>
      <c r="BI642" s="246"/>
      <c r="BJ642" s="246"/>
    </row>
    <row r="643" spans="2:62" ht="15.75">
      <c r="B643" s="7"/>
      <c r="C643" s="334"/>
      <c r="D643" s="334"/>
      <c r="E643" s="334"/>
      <c r="F643" s="334"/>
      <c r="G643" s="334"/>
      <c r="H643" s="334"/>
      <c r="I643" s="334"/>
      <c r="J643" s="334"/>
      <c r="K643" s="334"/>
      <c r="L643" s="334"/>
      <c r="M643" s="334"/>
      <c r="N643" s="334"/>
      <c r="O643" s="334"/>
      <c r="P643" s="334"/>
      <c r="Q643" s="334"/>
      <c r="R643" s="334"/>
      <c r="S643" s="334"/>
      <c r="T643" s="334"/>
      <c r="U643" s="334"/>
      <c r="V643" s="334"/>
      <c r="W643" s="334"/>
      <c r="X643" s="334"/>
      <c r="Y643" s="246"/>
      <c r="Z643" s="246"/>
      <c r="AA643" s="246"/>
      <c r="AB643" s="246"/>
      <c r="AC643" s="246"/>
      <c r="AD643" s="246"/>
      <c r="AE643" s="246"/>
      <c r="AF643" s="246"/>
      <c r="AG643" s="246"/>
      <c r="AH643" s="246"/>
      <c r="AI643" s="246"/>
      <c r="AJ643" s="246"/>
      <c r="AK643" s="246"/>
      <c r="AL643" s="246"/>
      <c r="AM643" s="246"/>
      <c r="AN643" s="246"/>
      <c r="AO643" s="246"/>
      <c r="AP643" s="246"/>
      <c r="AQ643" s="246"/>
      <c r="AR643" s="246"/>
      <c r="AS643" s="246"/>
      <c r="AT643" s="246"/>
      <c r="AU643" s="246"/>
      <c r="AV643" s="246"/>
      <c r="AW643" s="246"/>
      <c r="AX643" s="246"/>
      <c r="AY643" s="246"/>
      <c r="AZ643" s="246"/>
      <c r="BA643" s="246"/>
      <c r="BB643" s="246"/>
      <c r="BC643" s="246"/>
      <c r="BD643" s="246"/>
      <c r="BE643" s="246"/>
      <c r="BF643" s="246"/>
      <c r="BG643" s="246"/>
      <c r="BH643" s="246"/>
      <c r="BI643" s="246"/>
      <c r="BJ643" s="246"/>
    </row>
    <row r="644" spans="2:62" ht="15.75">
      <c r="B644" s="7"/>
      <c r="C644" s="334"/>
      <c r="D644" s="334"/>
      <c r="E644" s="334"/>
      <c r="F644" s="334"/>
      <c r="G644" s="334"/>
      <c r="H644" s="334"/>
      <c r="I644" s="334"/>
      <c r="J644" s="334"/>
      <c r="K644" s="334"/>
      <c r="L644" s="334"/>
      <c r="M644" s="334"/>
      <c r="N644" s="334"/>
      <c r="O644" s="334"/>
      <c r="P644" s="334"/>
      <c r="Q644" s="334"/>
      <c r="R644" s="334"/>
      <c r="S644" s="334"/>
      <c r="T644" s="334"/>
      <c r="U644" s="334"/>
      <c r="V644" s="334"/>
      <c r="W644" s="334"/>
      <c r="X644" s="334"/>
      <c r="Y644" s="246"/>
      <c r="Z644" s="246"/>
      <c r="AA644" s="246"/>
      <c r="AB644" s="246"/>
      <c r="AC644" s="246"/>
      <c r="AD644" s="246"/>
      <c r="AE644" s="246"/>
      <c r="AF644" s="246"/>
      <c r="AG644" s="246"/>
      <c r="AH644" s="246"/>
      <c r="AI644" s="246"/>
      <c r="AJ644" s="246"/>
      <c r="AK644" s="246"/>
      <c r="AL644" s="246"/>
      <c r="AM644" s="246"/>
      <c r="AN644" s="246"/>
      <c r="AO644" s="246"/>
      <c r="AP644" s="246"/>
      <c r="AQ644" s="246"/>
      <c r="AR644" s="246"/>
      <c r="AS644" s="246"/>
      <c r="AT644" s="246"/>
      <c r="AU644" s="246"/>
      <c r="AV644" s="246"/>
      <c r="AW644" s="246"/>
      <c r="AX644" s="246"/>
      <c r="AY644" s="246"/>
      <c r="AZ644" s="246"/>
      <c r="BA644" s="246"/>
      <c r="BB644" s="246"/>
      <c r="BC644" s="246"/>
      <c r="BD644" s="246"/>
      <c r="BE644" s="246"/>
      <c r="BF644" s="246"/>
      <c r="BG644" s="246"/>
      <c r="BH644" s="246"/>
      <c r="BI644" s="246"/>
      <c r="BJ644" s="246"/>
    </row>
    <row r="645" spans="2:62" ht="15.75">
      <c r="B645" s="7"/>
      <c r="C645" s="334"/>
      <c r="D645" s="334"/>
      <c r="E645" s="334"/>
      <c r="F645" s="334"/>
      <c r="G645" s="334"/>
      <c r="H645" s="334"/>
      <c r="I645" s="334"/>
      <c r="J645" s="334"/>
      <c r="K645" s="334"/>
      <c r="L645" s="334"/>
      <c r="M645" s="334"/>
      <c r="N645" s="334"/>
      <c r="O645" s="334"/>
      <c r="P645" s="334"/>
      <c r="Q645" s="334"/>
      <c r="R645" s="334"/>
      <c r="S645" s="334"/>
      <c r="T645" s="334"/>
      <c r="U645" s="334"/>
      <c r="V645" s="334"/>
      <c r="W645" s="334"/>
      <c r="X645" s="334"/>
      <c r="Y645" s="246"/>
      <c r="Z645" s="246"/>
      <c r="AA645" s="246"/>
      <c r="AB645" s="246"/>
      <c r="AC645" s="246"/>
      <c r="AD645" s="246"/>
      <c r="AE645" s="246"/>
      <c r="AF645" s="246"/>
      <c r="AG645" s="246"/>
      <c r="AH645" s="246"/>
      <c r="AI645" s="246"/>
      <c r="AJ645" s="246"/>
      <c r="AK645" s="246"/>
      <c r="AL645" s="246"/>
      <c r="AM645" s="246"/>
      <c r="AN645" s="246"/>
      <c r="AO645" s="246"/>
      <c r="AP645" s="246"/>
      <c r="AQ645" s="246"/>
      <c r="AR645" s="246"/>
      <c r="AS645" s="246"/>
      <c r="AT645" s="246"/>
      <c r="AU645" s="246"/>
      <c r="AV645" s="246"/>
      <c r="AW645" s="246"/>
      <c r="AX645" s="246"/>
      <c r="AY645" s="246"/>
      <c r="AZ645" s="246"/>
      <c r="BA645" s="246"/>
      <c r="BB645" s="246"/>
      <c r="BC645" s="246"/>
      <c r="BD645" s="246"/>
      <c r="BE645" s="246"/>
      <c r="BF645" s="246"/>
      <c r="BG645" s="246"/>
      <c r="BH645" s="246"/>
      <c r="BI645" s="246"/>
      <c r="BJ645" s="246"/>
    </row>
    <row r="646" spans="2:62" ht="15.75">
      <c r="B646" s="7"/>
      <c r="C646" s="334"/>
      <c r="D646" s="334"/>
      <c r="E646" s="334"/>
      <c r="F646" s="334"/>
      <c r="G646" s="334"/>
      <c r="H646" s="334"/>
      <c r="I646" s="334"/>
      <c r="J646" s="334"/>
      <c r="K646" s="334"/>
      <c r="L646" s="334"/>
      <c r="M646" s="334"/>
      <c r="N646" s="334"/>
      <c r="O646" s="334"/>
      <c r="P646" s="334"/>
      <c r="Q646" s="334"/>
      <c r="R646" s="334"/>
      <c r="S646" s="334"/>
      <c r="T646" s="334"/>
      <c r="U646" s="334"/>
      <c r="V646" s="334"/>
      <c r="W646" s="334"/>
      <c r="X646" s="334"/>
      <c r="Y646" s="246"/>
      <c r="Z646" s="246"/>
      <c r="AA646" s="246"/>
      <c r="AB646" s="246"/>
      <c r="AC646" s="246"/>
      <c r="AD646" s="246"/>
      <c r="AE646" s="246"/>
      <c r="AF646" s="246"/>
      <c r="AG646" s="246"/>
      <c r="AH646" s="246"/>
      <c r="AI646" s="246"/>
      <c r="AJ646" s="246"/>
      <c r="AK646" s="246"/>
      <c r="AL646" s="246"/>
      <c r="AM646" s="246"/>
      <c r="AN646" s="246"/>
      <c r="AO646" s="246"/>
      <c r="AP646" s="246"/>
      <c r="AQ646" s="246"/>
      <c r="AR646" s="246"/>
      <c r="AS646" s="246"/>
      <c r="AT646" s="246"/>
      <c r="AU646" s="246"/>
      <c r="AV646" s="246"/>
      <c r="AW646" s="246"/>
      <c r="AX646" s="246"/>
      <c r="AY646" s="246"/>
      <c r="AZ646" s="246"/>
      <c r="BA646" s="246"/>
      <c r="BB646" s="246"/>
      <c r="BC646" s="246"/>
      <c r="BD646" s="246"/>
      <c r="BE646" s="246"/>
      <c r="BF646" s="246"/>
      <c r="BG646" s="246"/>
      <c r="BH646" s="246"/>
      <c r="BI646" s="246"/>
      <c r="BJ646" s="246"/>
    </row>
    <row r="647" spans="2:62" ht="15.75">
      <c r="B647" s="7"/>
      <c r="C647" s="334"/>
      <c r="D647" s="334"/>
      <c r="E647" s="334"/>
      <c r="F647" s="334"/>
      <c r="G647" s="334"/>
      <c r="H647" s="334"/>
      <c r="I647" s="334"/>
      <c r="J647" s="334"/>
      <c r="K647" s="334"/>
      <c r="L647" s="334"/>
      <c r="M647" s="334"/>
      <c r="N647" s="334"/>
      <c r="O647" s="334"/>
      <c r="P647" s="334"/>
      <c r="Q647" s="334"/>
      <c r="R647" s="334"/>
      <c r="S647" s="334"/>
      <c r="T647" s="334"/>
      <c r="U647" s="334"/>
      <c r="V647" s="334"/>
      <c r="W647" s="334"/>
      <c r="X647" s="334"/>
      <c r="Y647" s="246"/>
      <c r="Z647" s="246"/>
      <c r="AA647" s="246"/>
      <c r="AB647" s="246"/>
      <c r="AC647" s="246"/>
      <c r="AD647" s="246"/>
      <c r="AE647" s="246"/>
      <c r="AF647" s="246"/>
      <c r="AG647" s="246"/>
      <c r="AH647" s="246"/>
      <c r="AI647" s="246"/>
      <c r="AJ647" s="246"/>
      <c r="AK647" s="246"/>
      <c r="AL647" s="246"/>
      <c r="AM647" s="246"/>
      <c r="AN647" s="246"/>
      <c r="AO647" s="246"/>
      <c r="AP647" s="246"/>
      <c r="AQ647" s="246"/>
      <c r="AR647" s="246"/>
      <c r="AS647" s="246"/>
      <c r="AT647" s="246"/>
      <c r="AU647" s="246"/>
      <c r="AV647" s="246"/>
      <c r="AW647" s="246"/>
      <c r="AX647" s="246"/>
      <c r="AY647" s="246"/>
      <c r="AZ647" s="246"/>
      <c r="BA647" s="246"/>
      <c r="BB647" s="246"/>
      <c r="BC647" s="246"/>
      <c r="BD647" s="246"/>
      <c r="BE647" s="246"/>
      <c r="BF647" s="246"/>
      <c r="BG647" s="246"/>
      <c r="BH647" s="246"/>
      <c r="BI647" s="246"/>
      <c r="BJ647" s="246"/>
    </row>
    <row r="648" spans="2:62" ht="15.75">
      <c r="B648" s="7"/>
      <c r="C648" s="334"/>
      <c r="D648" s="334"/>
      <c r="E648" s="334"/>
      <c r="F648" s="334"/>
      <c r="G648" s="334"/>
      <c r="H648" s="334"/>
      <c r="I648" s="334"/>
      <c r="J648" s="334"/>
      <c r="K648" s="334"/>
      <c r="L648" s="334"/>
      <c r="M648" s="334"/>
      <c r="N648" s="334"/>
      <c r="O648" s="334"/>
      <c r="P648" s="334"/>
      <c r="Q648" s="334"/>
      <c r="R648" s="334"/>
      <c r="S648" s="334"/>
      <c r="T648" s="334"/>
      <c r="U648" s="334"/>
      <c r="V648" s="334"/>
      <c r="W648" s="334"/>
      <c r="X648" s="334"/>
      <c r="Y648" s="246"/>
      <c r="Z648" s="246"/>
      <c r="AA648" s="246"/>
      <c r="AB648" s="246"/>
      <c r="AC648" s="246"/>
      <c r="AD648" s="246"/>
      <c r="AE648" s="246"/>
      <c r="AF648" s="246"/>
      <c r="AG648" s="246"/>
      <c r="AH648" s="246"/>
      <c r="AI648" s="246"/>
      <c r="AJ648" s="246"/>
      <c r="AK648" s="246"/>
      <c r="AL648" s="246"/>
      <c r="AM648" s="246"/>
      <c r="AN648" s="246"/>
      <c r="AO648" s="246"/>
      <c r="AP648" s="246"/>
      <c r="AQ648" s="246"/>
      <c r="AR648" s="246"/>
      <c r="AS648" s="246"/>
      <c r="AT648" s="246"/>
      <c r="AU648" s="246"/>
      <c r="AV648" s="246"/>
      <c r="AW648" s="246"/>
      <c r="AX648" s="246"/>
      <c r="AY648" s="246"/>
      <c r="AZ648" s="246"/>
      <c r="BA648" s="246"/>
      <c r="BB648" s="246"/>
      <c r="BC648" s="246"/>
      <c r="BD648" s="246"/>
      <c r="BE648" s="246"/>
      <c r="BF648" s="246"/>
      <c r="BG648" s="246"/>
      <c r="BH648" s="246"/>
      <c r="BI648" s="246"/>
      <c r="BJ648" s="246"/>
    </row>
    <row r="649" spans="2:62" ht="15.75">
      <c r="B649" s="7"/>
      <c r="C649" s="334"/>
      <c r="D649" s="334"/>
      <c r="E649" s="334"/>
      <c r="F649" s="334"/>
      <c r="G649" s="334"/>
      <c r="H649" s="334"/>
      <c r="I649" s="334"/>
      <c r="J649" s="334"/>
      <c r="K649" s="334"/>
      <c r="L649" s="334"/>
      <c r="M649" s="334"/>
      <c r="N649" s="334"/>
      <c r="O649" s="334"/>
      <c r="P649" s="334"/>
      <c r="Q649" s="334"/>
      <c r="R649" s="334"/>
      <c r="S649" s="334"/>
      <c r="T649" s="334"/>
      <c r="U649" s="334"/>
      <c r="V649" s="334"/>
      <c r="W649" s="334"/>
      <c r="X649" s="334"/>
      <c r="Y649" s="246"/>
      <c r="Z649" s="246"/>
      <c r="AA649" s="246"/>
      <c r="AB649" s="246"/>
      <c r="AC649" s="246"/>
      <c r="AD649" s="246"/>
      <c r="AE649" s="246"/>
      <c r="AF649" s="246"/>
      <c r="AG649" s="246"/>
      <c r="AH649" s="246"/>
      <c r="AI649" s="246"/>
      <c r="AJ649" s="246"/>
      <c r="AK649" s="246"/>
      <c r="AL649" s="246"/>
      <c r="AM649" s="246"/>
      <c r="AN649" s="246"/>
      <c r="AO649" s="246"/>
      <c r="AP649" s="246"/>
      <c r="AQ649" s="246"/>
      <c r="AR649" s="246"/>
      <c r="AS649" s="246"/>
      <c r="AT649" s="246"/>
      <c r="AU649" s="246"/>
      <c r="AV649" s="246"/>
      <c r="AW649" s="246"/>
      <c r="AX649" s="246"/>
      <c r="AY649" s="246"/>
      <c r="AZ649" s="246"/>
      <c r="BA649" s="246"/>
      <c r="BB649" s="246"/>
      <c r="BC649" s="246"/>
      <c r="BD649" s="246"/>
      <c r="BE649" s="246"/>
      <c r="BF649" s="246"/>
      <c r="BG649" s="246"/>
      <c r="BH649" s="246"/>
      <c r="BI649" s="246"/>
      <c r="BJ649" s="246"/>
    </row>
    <row r="650" spans="2:62" ht="30">
      <c r="B650" s="7"/>
      <c r="C650" s="412"/>
      <c r="D650" s="334"/>
      <c r="E650" s="334"/>
      <c r="F650" s="334"/>
      <c r="G650" s="334"/>
      <c r="H650" s="334"/>
      <c r="I650" s="334"/>
      <c r="J650" s="334"/>
      <c r="K650" s="334"/>
      <c r="L650" s="334"/>
      <c r="M650" s="334"/>
      <c r="N650" s="334"/>
      <c r="O650" s="413"/>
      <c r="P650" s="334"/>
      <c r="Q650" s="334"/>
      <c r="R650" s="334"/>
      <c r="S650" s="334"/>
      <c r="T650" s="334"/>
      <c r="U650" s="334"/>
      <c r="V650" s="334"/>
      <c r="W650" s="334"/>
      <c r="X650" s="334"/>
      <c r="Y650" s="246"/>
      <c r="Z650" s="246"/>
      <c r="AA650" s="246"/>
      <c r="AB650" s="246"/>
      <c r="AC650" s="246"/>
      <c r="AD650" s="246"/>
      <c r="AE650" s="246"/>
      <c r="AF650" s="246"/>
      <c r="AG650" s="246"/>
      <c r="AH650" s="246"/>
      <c r="AI650" s="246"/>
      <c r="AJ650" s="246"/>
      <c r="AK650" s="246"/>
      <c r="AL650" s="246"/>
      <c r="AM650" s="246"/>
      <c r="AN650" s="246"/>
      <c r="AO650" s="246"/>
      <c r="AP650" s="246"/>
      <c r="AQ650" s="246"/>
      <c r="AR650" s="246"/>
      <c r="AS650" s="246"/>
      <c r="AT650" s="246"/>
      <c r="AU650" s="246"/>
      <c r="AV650" s="246"/>
      <c r="AW650" s="246"/>
      <c r="AX650" s="246"/>
      <c r="AY650" s="246"/>
      <c r="AZ650" s="246"/>
      <c r="BA650" s="246"/>
      <c r="BB650" s="246"/>
      <c r="BC650" s="246"/>
      <c r="BD650" s="246"/>
      <c r="BE650" s="246"/>
      <c r="BF650" s="246"/>
      <c r="BG650" s="246"/>
      <c r="BH650" s="246"/>
      <c r="BI650" s="246"/>
      <c r="BJ650" s="246"/>
    </row>
    <row r="651" spans="2:62" ht="18.75">
      <c r="B651" s="7"/>
      <c r="C651" s="402"/>
      <c r="D651" s="406"/>
      <c r="E651" s="406"/>
      <c r="F651" s="406"/>
      <c r="G651" s="406"/>
      <c r="H651" s="406"/>
      <c r="I651" s="406"/>
      <c r="J651" s="406"/>
      <c r="K651" s="406"/>
      <c r="L651" s="406"/>
      <c r="M651" s="406"/>
      <c r="N651" s="406"/>
      <c r="O651" s="406"/>
      <c r="P651" s="406"/>
      <c r="Q651" s="414"/>
      <c r="R651" s="406"/>
      <c r="S651" s="406"/>
      <c r="T651" s="334"/>
      <c r="U651" s="334"/>
      <c r="V651" s="334"/>
      <c r="W651" s="334"/>
      <c r="X651" s="334"/>
      <c r="Y651" s="246"/>
      <c r="Z651" s="246"/>
      <c r="AA651" s="246"/>
      <c r="AB651" s="246"/>
      <c r="AC651" s="246"/>
      <c r="AD651" s="246"/>
      <c r="AE651" s="246"/>
      <c r="AF651" s="246"/>
      <c r="AG651" s="246"/>
      <c r="AH651" s="246"/>
      <c r="AI651" s="246"/>
      <c r="AJ651" s="246"/>
      <c r="AK651" s="246"/>
      <c r="AL651" s="246"/>
      <c r="AM651" s="246"/>
      <c r="AN651" s="246"/>
      <c r="AO651" s="246"/>
      <c r="AP651" s="246"/>
      <c r="AQ651" s="246"/>
      <c r="AR651" s="246"/>
      <c r="AS651" s="246"/>
      <c r="AT651" s="246"/>
      <c r="AU651" s="246"/>
      <c r="AV651" s="246"/>
      <c r="AW651" s="246"/>
      <c r="AX651" s="246"/>
      <c r="AY651" s="246"/>
      <c r="AZ651" s="246"/>
      <c r="BA651" s="246"/>
      <c r="BB651" s="246"/>
      <c r="BC651" s="246"/>
      <c r="BD651" s="246"/>
      <c r="BE651" s="246"/>
      <c r="BF651" s="246"/>
      <c r="BG651" s="246"/>
      <c r="BH651" s="246"/>
      <c r="BI651" s="246"/>
      <c r="BJ651" s="246"/>
    </row>
    <row r="652" spans="2:62" ht="15.75">
      <c r="B652" s="7"/>
      <c r="C652" s="334"/>
      <c r="D652" s="403"/>
      <c r="E652" s="403"/>
      <c r="F652" s="415"/>
      <c r="G652" s="403"/>
      <c r="H652" s="403"/>
      <c r="I652" s="415"/>
      <c r="J652" s="407"/>
      <c r="K652" s="407"/>
      <c r="L652" s="416"/>
      <c r="M652" s="407"/>
      <c r="N652" s="407"/>
      <c r="O652" s="407"/>
      <c r="P652" s="407"/>
      <c r="Q652" s="404"/>
      <c r="R652" s="403"/>
      <c r="S652" s="415"/>
      <c r="T652" s="334"/>
      <c r="U652" s="334"/>
      <c r="V652" s="334"/>
      <c r="W652" s="334"/>
      <c r="X652" s="334"/>
      <c r="Y652" s="246"/>
      <c r="Z652" s="246"/>
      <c r="AA652" s="246"/>
      <c r="AB652" s="246"/>
      <c r="AC652" s="246"/>
      <c r="AD652" s="246"/>
      <c r="AE652" s="246"/>
      <c r="AF652" s="246"/>
      <c r="AG652" s="246"/>
      <c r="AH652" s="246"/>
      <c r="AI652" s="246"/>
      <c r="AJ652" s="246"/>
      <c r="AK652" s="246"/>
      <c r="AL652" s="246"/>
      <c r="AM652" s="246"/>
      <c r="AN652" s="246"/>
      <c r="AO652" s="246"/>
      <c r="AP652" s="246"/>
      <c r="AQ652" s="246"/>
      <c r="AR652" s="246"/>
      <c r="AS652" s="246"/>
      <c r="AT652" s="246"/>
      <c r="AU652" s="246"/>
      <c r="AV652" s="246"/>
      <c r="AW652" s="246"/>
      <c r="AX652" s="246"/>
      <c r="AY652" s="246"/>
      <c r="AZ652" s="246"/>
      <c r="BA652" s="246"/>
      <c r="BB652" s="246"/>
      <c r="BC652" s="246"/>
      <c r="BD652" s="246"/>
      <c r="BE652" s="246"/>
      <c r="BF652" s="246"/>
      <c r="BG652" s="246"/>
      <c r="BH652" s="246"/>
      <c r="BI652" s="246"/>
      <c r="BJ652" s="246"/>
    </row>
    <row r="653" spans="2:62" ht="15.75">
      <c r="B653" s="7"/>
      <c r="C653" s="417"/>
      <c r="D653" s="334"/>
      <c r="E653" s="334"/>
      <c r="F653" s="406"/>
      <c r="G653" s="334"/>
      <c r="H653" s="334"/>
      <c r="I653" s="406"/>
      <c r="J653" s="406"/>
      <c r="K653" s="406"/>
      <c r="L653" s="334"/>
      <c r="M653" s="406"/>
      <c r="N653" s="406"/>
      <c r="O653" s="334"/>
      <c r="P653" s="406"/>
      <c r="Q653" s="406"/>
      <c r="R653" s="334"/>
      <c r="S653" s="406"/>
      <c r="T653" s="334"/>
      <c r="U653" s="334"/>
      <c r="V653" s="334"/>
      <c r="W653" s="334"/>
      <c r="X653" s="334"/>
      <c r="Y653" s="246"/>
      <c r="Z653" s="246"/>
      <c r="AA653" s="246"/>
      <c r="AB653" s="246"/>
      <c r="AC653" s="246"/>
      <c r="AD653" s="246"/>
      <c r="AE653" s="246"/>
      <c r="AF653" s="246"/>
      <c r="AG653" s="246"/>
      <c r="AH653" s="246"/>
      <c r="AI653" s="246"/>
      <c r="AJ653" s="246"/>
      <c r="AK653" s="246"/>
      <c r="AL653" s="246"/>
      <c r="AM653" s="246"/>
      <c r="AN653" s="246"/>
      <c r="AO653" s="246"/>
      <c r="AP653" s="246"/>
      <c r="AQ653" s="246"/>
      <c r="AR653" s="246"/>
      <c r="AS653" s="246"/>
      <c r="AT653" s="246"/>
      <c r="AU653" s="246"/>
      <c r="AV653" s="246"/>
      <c r="AW653" s="246"/>
      <c r="AX653" s="246"/>
      <c r="AY653" s="246"/>
      <c r="AZ653" s="246"/>
      <c r="BA653" s="246"/>
      <c r="BB653" s="246"/>
      <c r="BC653" s="246"/>
      <c r="BD653" s="246"/>
      <c r="BE653" s="246"/>
      <c r="BF653" s="246"/>
      <c r="BG653" s="246"/>
      <c r="BH653" s="246"/>
      <c r="BI653" s="246"/>
      <c r="BJ653" s="246"/>
    </row>
    <row r="654" spans="2:62" ht="15.75">
      <c r="B654" s="7"/>
      <c r="C654" s="334"/>
      <c r="D654" s="334"/>
      <c r="E654" s="334"/>
      <c r="F654" s="399"/>
      <c r="G654" s="334"/>
      <c r="H654" s="334"/>
      <c r="I654" s="399"/>
      <c r="J654" s="399"/>
      <c r="K654" s="399"/>
      <c r="L654" s="399"/>
      <c r="M654" s="399"/>
      <c r="N654" s="399"/>
      <c r="O654" s="399"/>
      <c r="P654" s="399"/>
      <c r="Q654" s="399"/>
      <c r="R654" s="399"/>
      <c r="S654" s="399"/>
      <c r="T654" s="334"/>
      <c r="U654" s="334"/>
      <c r="V654" s="334"/>
      <c r="W654" s="334"/>
      <c r="X654" s="334"/>
      <c r="Y654" s="246"/>
      <c r="Z654" s="246"/>
      <c r="AA654" s="246"/>
      <c r="AB654" s="246"/>
      <c r="AC654" s="246"/>
      <c r="AD654" s="246"/>
      <c r="AE654" s="246"/>
      <c r="AF654" s="246"/>
      <c r="AG654" s="246"/>
      <c r="AH654" s="246"/>
      <c r="AI654" s="246"/>
      <c r="AJ654" s="246"/>
      <c r="AK654" s="246"/>
      <c r="AL654" s="246"/>
      <c r="AM654" s="246"/>
      <c r="AN654" s="246"/>
      <c r="AO654" s="246"/>
      <c r="AP654" s="246"/>
      <c r="AQ654" s="246"/>
      <c r="AR654" s="246"/>
      <c r="AS654" s="246"/>
      <c r="AT654" s="246"/>
      <c r="AU654" s="246"/>
      <c r="AV654" s="246"/>
      <c r="AW654" s="246"/>
      <c r="AX654" s="246"/>
      <c r="AY654" s="246"/>
      <c r="AZ654" s="246"/>
      <c r="BA654" s="246"/>
      <c r="BB654" s="246"/>
      <c r="BC654" s="246"/>
      <c r="BD654" s="246"/>
      <c r="BE654" s="246"/>
      <c r="BF654" s="246"/>
      <c r="BG654" s="246"/>
      <c r="BH654" s="246"/>
      <c r="BI654" s="246"/>
      <c r="BJ654" s="246"/>
    </row>
    <row r="655" spans="2:62" ht="15.75">
      <c r="B655" s="7"/>
      <c r="C655" s="398"/>
      <c r="D655" s="398"/>
      <c r="E655" s="398"/>
      <c r="F655" s="401"/>
      <c r="G655" s="398"/>
      <c r="H655" s="398"/>
      <c r="I655" s="401"/>
      <c r="J655" s="401"/>
      <c r="K655" s="401"/>
      <c r="L655" s="401"/>
      <c r="M655" s="401"/>
      <c r="N655" s="401"/>
      <c r="O655" s="401"/>
      <c r="P655" s="401"/>
      <c r="Q655" s="401"/>
      <c r="R655" s="401"/>
      <c r="S655" s="401"/>
      <c r="T655" s="334"/>
      <c r="U655" s="334"/>
      <c r="V655" s="334"/>
      <c r="W655" s="334"/>
      <c r="X655" s="334"/>
      <c r="Y655" s="246"/>
      <c r="Z655" s="246"/>
      <c r="AA655" s="246"/>
      <c r="AB655" s="246"/>
      <c r="AC655" s="246"/>
      <c r="AD655" s="246"/>
      <c r="AE655" s="246"/>
      <c r="AF655" s="246"/>
      <c r="AG655" s="246"/>
      <c r="AH655" s="246"/>
      <c r="AI655" s="246"/>
      <c r="AJ655" s="246"/>
      <c r="AK655" s="246"/>
      <c r="AL655" s="246"/>
      <c r="AM655" s="246"/>
      <c r="AN655" s="246"/>
      <c r="AO655" s="246"/>
      <c r="AP655" s="246"/>
      <c r="AQ655" s="246"/>
      <c r="AR655" s="246"/>
      <c r="AS655" s="246"/>
      <c r="AT655" s="246"/>
      <c r="AU655" s="246"/>
      <c r="AV655" s="246"/>
      <c r="AW655" s="246"/>
      <c r="AX655" s="246"/>
      <c r="AY655" s="246"/>
      <c r="AZ655" s="246"/>
      <c r="BA655" s="246"/>
      <c r="BB655" s="246"/>
      <c r="BC655" s="246"/>
      <c r="BD655" s="246"/>
      <c r="BE655" s="246"/>
      <c r="BF655" s="246"/>
      <c r="BG655" s="246"/>
      <c r="BH655" s="246"/>
      <c r="BI655" s="246"/>
      <c r="BJ655" s="246"/>
    </row>
    <row r="656" spans="2:62" ht="15.75">
      <c r="B656" s="7"/>
      <c r="C656" s="334"/>
      <c r="D656" s="334"/>
      <c r="E656" s="334"/>
      <c r="F656" s="334"/>
      <c r="G656" s="334"/>
      <c r="H656" s="334"/>
      <c r="I656" s="334"/>
      <c r="J656" s="399"/>
      <c r="K656" s="399"/>
      <c r="L656" s="399"/>
      <c r="M656" s="399"/>
      <c r="N656" s="399"/>
      <c r="O656" s="399"/>
      <c r="P656" s="399"/>
      <c r="Q656" s="399"/>
      <c r="R656" s="399"/>
      <c r="S656" s="399"/>
      <c r="T656" s="334"/>
      <c r="U656" s="334"/>
      <c r="V656" s="334"/>
      <c r="W656" s="334"/>
      <c r="X656" s="334"/>
      <c r="Y656" s="246"/>
      <c r="Z656" s="246"/>
      <c r="AA656" s="246"/>
      <c r="AB656" s="246"/>
      <c r="AC656" s="246"/>
      <c r="AD656" s="246"/>
      <c r="AE656" s="246"/>
      <c r="AF656" s="246"/>
      <c r="AG656" s="246"/>
      <c r="AH656" s="246"/>
      <c r="AI656" s="246"/>
      <c r="AJ656" s="246"/>
      <c r="AK656" s="246"/>
      <c r="AL656" s="246"/>
      <c r="AM656" s="246"/>
      <c r="AN656" s="246"/>
      <c r="AO656" s="246"/>
      <c r="AP656" s="246"/>
      <c r="AQ656" s="246"/>
      <c r="AR656" s="246"/>
      <c r="AS656" s="246"/>
      <c r="AT656" s="246"/>
      <c r="AU656" s="246"/>
      <c r="AV656" s="246"/>
      <c r="AW656" s="246"/>
      <c r="AX656" s="246"/>
      <c r="AY656" s="246"/>
      <c r="AZ656" s="246"/>
      <c r="BA656" s="246"/>
      <c r="BB656" s="246"/>
      <c r="BC656" s="246"/>
      <c r="BD656" s="246"/>
      <c r="BE656" s="246"/>
      <c r="BF656" s="246"/>
      <c r="BG656" s="246"/>
      <c r="BH656" s="246"/>
      <c r="BI656" s="246"/>
      <c r="BJ656" s="246"/>
    </row>
    <row r="657" spans="2:62" ht="15.75">
      <c r="B657" s="7"/>
      <c r="C657" s="334"/>
      <c r="D657" s="334"/>
      <c r="E657" s="334"/>
      <c r="F657" s="334"/>
      <c r="G657" s="334"/>
      <c r="H657" s="334"/>
      <c r="I657" s="334"/>
      <c r="J657" s="334"/>
      <c r="K657" s="399"/>
      <c r="L657" s="399"/>
      <c r="M657" s="334"/>
      <c r="N657" s="399"/>
      <c r="O657" s="399"/>
      <c r="P657" s="334"/>
      <c r="Q657" s="399"/>
      <c r="R657" s="399"/>
      <c r="S657" s="334"/>
      <c r="T657" s="334"/>
      <c r="U657" s="334"/>
      <c r="V657" s="334"/>
      <c r="W657" s="334"/>
      <c r="X657" s="334"/>
      <c r="Y657" s="246"/>
      <c r="Z657" s="246"/>
      <c r="AA657" s="246"/>
      <c r="AB657" s="246"/>
      <c r="AC657" s="246"/>
      <c r="AD657" s="246"/>
      <c r="AE657" s="246"/>
      <c r="AF657" s="246"/>
      <c r="AG657" s="246"/>
      <c r="AH657" s="246"/>
      <c r="AI657" s="246"/>
      <c r="AJ657" s="246"/>
      <c r="AK657" s="246"/>
      <c r="AL657" s="246"/>
      <c r="AM657" s="246"/>
      <c r="AN657" s="246"/>
      <c r="AO657" s="246"/>
      <c r="AP657" s="246"/>
      <c r="AQ657" s="246"/>
      <c r="AR657" s="246"/>
      <c r="AS657" s="246"/>
      <c r="AT657" s="246"/>
      <c r="AU657" s="246"/>
      <c r="AV657" s="246"/>
      <c r="AW657" s="246"/>
      <c r="AX657" s="246"/>
      <c r="AY657" s="246"/>
      <c r="AZ657" s="246"/>
      <c r="BA657" s="246"/>
      <c r="BB657" s="246"/>
      <c r="BC657" s="246"/>
      <c r="BD657" s="246"/>
      <c r="BE657" s="246"/>
      <c r="BF657" s="246"/>
      <c r="BG657" s="246"/>
      <c r="BH657" s="246"/>
      <c r="BI657" s="246"/>
      <c r="BJ657" s="246"/>
    </row>
    <row r="658" spans="2:62" ht="15.75">
      <c r="B658" s="7"/>
      <c r="C658" s="334"/>
      <c r="D658" s="334"/>
      <c r="E658" s="334"/>
      <c r="F658" s="334"/>
      <c r="G658" s="334"/>
      <c r="H658" s="334"/>
      <c r="I658" s="334"/>
      <c r="J658" s="334"/>
      <c r="K658" s="399"/>
      <c r="L658" s="399"/>
      <c r="M658" s="334"/>
      <c r="N658" s="399"/>
      <c r="O658" s="399"/>
      <c r="P658" s="334"/>
      <c r="Q658" s="399"/>
      <c r="R658" s="399"/>
      <c r="S658" s="334"/>
      <c r="T658" s="334"/>
      <c r="U658" s="334"/>
      <c r="V658" s="334"/>
      <c r="W658" s="334"/>
      <c r="X658" s="334"/>
      <c r="Y658" s="246"/>
      <c r="Z658" s="246"/>
      <c r="AA658" s="246"/>
      <c r="AB658" s="246"/>
      <c r="AC658" s="246"/>
      <c r="AD658" s="246"/>
      <c r="AE658" s="246"/>
      <c r="AF658" s="246"/>
      <c r="AG658" s="246"/>
      <c r="AH658" s="246"/>
      <c r="AI658" s="246"/>
      <c r="AJ658" s="246"/>
      <c r="AK658" s="246"/>
      <c r="AL658" s="246"/>
      <c r="AM658" s="246"/>
      <c r="AN658" s="246"/>
      <c r="AO658" s="246"/>
      <c r="AP658" s="246"/>
      <c r="AQ658" s="246"/>
      <c r="AR658" s="246"/>
      <c r="AS658" s="246"/>
      <c r="AT658" s="246"/>
      <c r="AU658" s="246"/>
      <c r="AV658" s="246"/>
      <c r="AW658" s="246"/>
      <c r="AX658" s="246"/>
      <c r="AY658" s="246"/>
      <c r="AZ658" s="246"/>
      <c r="BA658" s="246"/>
      <c r="BB658" s="246"/>
      <c r="BC658" s="246"/>
      <c r="BD658" s="246"/>
      <c r="BE658" s="246"/>
      <c r="BF658" s="246"/>
      <c r="BG658" s="246"/>
      <c r="BH658" s="246"/>
      <c r="BI658" s="246"/>
      <c r="BJ658" s="246"/>
    </row>
    <row r="659" spans="2:62" ht="15.75">
      <c r="B659" s="7"/>
      <c r="C659" s="334"/>
      <c r="D659" s="334"/>
      <c r="E659" s="334"/>
      <c r="F659" s="334"/>
      <c r="G659" s="334"/>
      <c r="H659" s="334"/>
      <c r="I659" s="334"/>
      <c r="J659" s="334"/>
      <c r="K659" s="399"/>
      <c r="L659" s="399"/>
      <c r="M659" s="334"/>
      <c r="N659" s="399"/>
      <c r="O659" s="399"/>
      <c r="P659" s="334"/>
      <c r="Q659" s="399"/>
      <c r="R659" s="399"/>
      <c r="S659" s="334"/>
      <c r="T659" s="334"/>
      <c r="U659" s="334"/>
      <c r="V659" s="334"/>
      <c r="W659" s="334"/>
      <c r="X659" s="334"/>
      <c r="Y659" s="246"/>
      <c r="Z659" s="246"/>
      <c r="AA659" s="246"/>
      <c r="AB659" s="246"/>
      <c r="AC659" s="246"/>
      <c r="AD659" s="246"/>
      <c r="AE659" s="246"/>
      <c r="AF659" s="246"/>
      <c r="AG659" s="246"/>
      <c r="AH659" s="246"/>
      <c r="AI659" s="246"/>
      <c r="AJ659" s="246"/>
      <c r="AK659" s="246"/>
      <c r="AL659" s="246"/>
      <c r="AM659" s="246"/>
      <c r="AN659" s="246"/>
      <c r="AO659" s="246"/>
      <c r="AP659" s="246"/>
      <c r="AQ659" s="246"/>
      <c r="AR659" s="246"/>
      <c r="AS659" s="246"/>
      <c r="AT659" s="246"/>
      <c r="AU659" s="246"/>
      <c r="AV659" s="246"/>
      <c r="AW659" s="246"/>
      <c r="AX659" s="246"/>
      <c r="AY659" s="246"/>
      <c r="AZ659" s="246"/>
      <c r="BA659" s="246"/>
      <c r="BB659" s="246"/>
      <c r="BC659" s="246"/>
      <c r="BD659" s="246"/>
      <c r="BE659" s="246"/>
      <c r="BF659" s="246"/>
      <c r="BG659" s="246"/>
      <c r="BH659" s="246"/>
      <c r="BI659" s="246"/>
      <c r="BJ659" s="246"/>
    </row>
    <row r="660" spans="2:62" ht="15.75">
      <c r="B660" s="7"/>
      <c r="C660" s="334"/>
      <c r="D660" s="334"/>
      <c r="E660" s="334"/>
      <c r="F660" s="334"/>
      <c r="G660" s="334"/>
      <c r="H660" s="334"/>
      <c r="I660" s="334"/>
      <c r="J660" s="334"/>
      <c r="K660" s="399"/>
      <c r="L660" s="399"/>
      <c r="M660" s="334"/>
      <c r="N660" s="399"/>
      <c r="O660" s="399"/>
      <c r="P660" s="334"/>
      <c r="Q660" s="399"/>
      <c r="R660" s="399"/>
      <c r="S660" s="334"/>
      <c r="T660" s="334"/>
      <c r="U660" s="334"/>
      <c r="V660" s="334"/>
      <c r="W660" s="334"/>
      <c r="X660" s="334"/>
      <c r="Y660" s="246"/>
      <c r="Z660" s="246"/>
      <c r="AA660" s="246"/>
      <c r="AB660" s="246"/>
      <c r="AC660" s="246"/>
      <c r="AD660" s="246"/>
      <c r="AE660" s="246"/>
      <c r="AF660" s="246"/>
      <c r="AG660" s="246"/>
      <c r="AH660" s="246"/>
      <c r="AI660" s="246"/>
      <c r="AJ660" s="246"/>
      <c r="AK660" s="246"/>
      <c r="AL660" s="246"/>
      <c r="AM660" s="246"/>
      <c r="AN660" s="246"/>
      <c r="AO660" s="246"/>
      <c r="AP660" s="246"/>
      <c r="AQ660" s="246"/>
      <c r="AR660" s="246"/>
      <c r="AS660" s="246"/>
      <c r="AT660" s="246"/>
      <c r="AU660" s="246"/>
      <c r="AV660" s="246"/>
      <c r="AW660" s="246"/>
      <c r="AX660" s="246"/>
      <c r="AY660" s="246"/>
      <c r="AZ660" s="246"/>
      <c r="BA660" s="246"/>
      <c r="BB660" s="246"/>
      <c r="BC660" s="246"/>
      <c r="BD660" s="246"/>
      <c r="BE660" s="246"/>
      <c r="BF660" s="246"/>
      <c r="BG660" s="246"/>
      <c r="BH660" s="246"/>
      <c r="BI660" s="246"/>
      <c r="BJ660" s="246"/>
    </row>
    <row r="661" spans="2:62" ht="15.75">
      <c r="B661" s="7"/>
      <c r="C661" s="334"/>
      <c r="D661" s="334"/>
      <c r="E661" s="334"/>
      <c r="F661" s="334"/>
      <c r="G661" s="334"/>
      <c r="H661" s="334"/>
      <c r="I661" s="334"/>
      <c r="J661" s="334"/>
      <c r="K661" s="399"/>
      <c r="L661" s="399"/>
      <c r="M661" s="334"/>
      <c r="N661" s="399"/>
      <c r="O661" s="399"/>
      <c r="P661" s="334"/>
      <c r="Q661" s="399"/>
      <c r="R661" s="399"/>
      <c r="S661" s="334"/>
      <c r="T661" s="334"/>
      <c r="U661" s="334"/>
      <c r="V661" s="334"/>
      <c r="W661" s="334"/>
      <c r="X661" s="334"/>
      <c r="Y661" s="246"/>
      <c r="Z661" s="246"/>
      <c r="AA661" s="246"/>
      <c r="AB661" s="246"/>
      <c r="AC661" s="246"/>
      <c r="AD661" s="246"/>
      <c r="AE661" s="246"/>
      <c r="AF661" s="246"/>
      <c r="AG661" s="246"/>
      <c r="AH661" s="246"/>
      <c r="AI661" s="246"/>
      <c r="AJ661" s="246"/>
      <c r="AK661" s="246"/>
      <c r="AL661" s="246"/>
      <c r="AM661" s="246"/>
      <c r="AN661" s="246"/>
      <c r="AO661" s="246"/>
      <c r="AP661" s="246"/>
      <c r="AQ661" s="246"/>
      <c r="AR661" s="246"/>
      <c r="AS661" s="246"/>
      <c r="AT661" s="246"/>
      <c r="AU661" s="246"/>
      <c r="AV661" s="246"/>
      <c r="AW661" s="246"/>
      <c r="AX661" s="246"/>
      <c r="AY661" s="246"/>
      <c r="AZ661" s="246"/>
      <c r="BA661" s="246"/>
      <c r="BB661" s="246"/>
      <c r="BC661" s="246"/>
      <c r="BD661" s="246"/>
      <c r="BE661" s="246"/>
      <c r="BF661" s="246"/>
      <c r="BG661" s="246"/>
      <c r="BH661" s="246"/>
      <c r="BI661" s="246"/>
      <c r="BJ661" s="246"/>
    </row>
    <row r="662" spans="2:62" ht="15.75">
      <c r="B662" s="7"/>
      <c r="C662" s="334"/>
      <c r="D662" s="334"/>
      <c r="E662" s="334"/>
      <c r="F662" s="334"/>
      <c r="G662" s="334"/>
      <c r="H662" s="334"/>
      <c r="I662" s="334"/>
      <c r="J662" s="334"/>
      <c r="K662" s="399"/>
      <c r="L662" s="401"/>
      <c r="M662" s="334"/>
      <c r="N662" s="399"/>
      <c r="O662" s="399"/>
      <c r="P662" s="334"/>
      <c r="Q662" s="399"/>
      <c r="R662" s="401"/>
      <c r="S662" s="334"/>
      <c r="T662" s="334"/>
      <c r="U662" s="334"/>
      <c r="V662" s="334"/>
      <c r="W662" s="334"/>
      <c r="X662" s="334"/>
      <c r="Y662" s="246"/>
      <c r="Z662" s="246"/>
      <c r="AA662" s="246"/>
      <c r="AB662" s="246"/>
      <c r="AC662" s="246"/>
      <c r="AD662" s="246"/>
      <c r="AE662" s="246"/>
      <c r="AF662" s="246"/>
      <c r="AG662" s="246"/>
      <c r="AH662" s="246"/>
      <c r="AI662" s="246"/>
      <c r="AJ662" s="246"/>
      <c r="AK662" s="246"/>
      <c r="AL662" s="246"/>
      <c r="AM662" s="246"/>
      <c r="AN662" s="246"/>
      <c r="AO662" s="246"/>
      <c r="AP662" s="246"/>
      <c r="AQ662" s="246"/>
      <c r="AR662" s="246"/>
      <c r="AS662" s="246"/>
      <c r="AT662" s="246"/>
      <c r="AU662" s="246"/>
      <c r="AV662" s="246"/>
      <c r="AW662" s="246"/>
      <c r="AX662" s="246"/>
      <c r="AY662" s="246"/>
      <c r="AZ662" s="246"/>
      <c r="BA662" s="246"/>
      <c r="BB662" s="246"/>
      <c r="BC662" s="246"/>
      <c r="BD662" s="246"/>
      <c r="BE662" s="246"/>
      <c r="BF662" s="246"/>
      <c r="BG662" s="246"/>
      <c r="BH662" s="246"/>
      <c r="BI662" s="246"/>
      <c r="BJ662" s="246"/>
    </row>
    <row r="663" spans="2:62" ht="15.75">
      <c r="B663" s="7"/>
      <c r="C663" s="334"/>
      <c r="D663" s="334"/>
      <c r="E663" s="334"/>
      <c r="F663" s="334"/>
      <c r="G663" s="334"/>
      <c r="H663" s="334"/>
      <c r="I663" s="334"/>
      <c r="J663" s="334"/>
      <c r="K663" s="399"/>
      <c r="L663" s="399"/>
      <c r="M663" s="334"/>
      <c r="N663" s="399"/>
      <c r="O663" s="399"/>
      <c r="P663" s="334"/>
      <c r="Q663" s="399"/>
      <c r="R663" s="399"/>
      <c r="S663" s="334"/>
      <c r="T663" s="334"/>
      <c r="U663" s="334"/>
      <c r="V663" s="334"/>
      <c r="W663" s="334"/>
      <c r="X663" s="334"/>
      <c r="Y663" s="246"/>
      <c r="Z663" s="246"/>
      <c r="AA663" s="246"/>
      <c r="AB663" s="246"/>
      <c r="AC663" s="246"/>
      <c r="AD663" s="246"/>
      <c r="AE663" s="246"/>
      <c r="AF663" s="246"/>
      <c r="AG663" s="246"/>
      <c r="AH663" s="246"/>
      <c r="AI663" s="246"/>
      <c r="AJ663" s="246"/>
      <c r="AK663" s="246"/>
      <c r="AL663" s="246"/>
      <c r="AM663" s="246"/>
      <c r="AN663" s="246"/>
      <c r="AO663" s="246"/>
      <c r="AP663" s="246"/>
      <c r="AQ663" s="246"/>
      <c r="AR663" s="246"/>
      <c r="AS663" s="246"/>
      <c r="AT663" s="246"/>
      <c r="AU663" s="246"/>
      <c r="AV663" s="246"/>
      <c r="AW663" s="246"/>
      <c r="AX663" s="246"/>
      <c r="AY663" s="246"/>
      <c r="AZ663" s="246"/>
      <c r="BA663" s="246"/>
      <c r="BB663" s="246"/>
      <c r="BC663" s="246"/>
      <c r="BD663" s="246"/>
      <c r="BE663" s="246"/>
      <c r="BF663" s="246"/>
      <c r="BG663" s="246"/>
      <c r="BH663" s="246"/>
      <c r="BI663" s="246"/>
      <c r="BJ663" s="246"/>
    </row>
    <row r="664" spans="2:62" ht="15.75">
      <c r="B664" s="7"/>
      <c r="C664" s="334"/>
      <c r="D664" s="334"/>
      <c r="E664" s="334"/>
      <c r="F664" s="334"/>
      <c r="G664" s="334"/>
      <c r="H664" s="334"/>
      <c r="I664" s="334"/>
      <c r="J664" s="334"/>
      <c r="K664" s="334"/>
      <c r="L664" s="334"/>
      <c r="M664" s="334"/>
      <c r="N664" s="401"/>
      <c r="O664" s="401"/>
      <c r="P664" s="334"/>
      <c r="Q664" s="401"/>
      <c r="R664" s="334"/>
      <c r="S664" s="334"/>
      <c r="T664" s="334"/>
      <c r="U664" s="334"/>
      <c r="V664" s="334"/>
      <c r="W664" s="334"/>
      <c r="X664" s="334"/>
      <c r="Y664" s="246"/>
      <c r="Z664" s="246"/>
      <c r="AA664" s="246"/>
      <c r="AB664" s="246"/>
      <c r="AC664" s="246"/>
      <c r="AD664" s="246"/>
      <c r="AE664" s="246"/>
      <c r="AF664" s="246"/>
      <c r="AG664" s="246"/>
      <c r="AH664" s="246"/>
      <c r="AI664" s="246"/>
      <c r="AJ664" s="246"/>
      <c r="AK664" s="246"/>
      <c r="AL664" s="246"/>
      <c r="AM664" s="246"/>
      <c r="AN664" s="246"/>
      <c r="AO664" s="246"/>
      <c r="AP664" s="246"/>
      <c r="AQ664" s="246"/>
      <c r="AR664" s="246"/>
      <c r="AS664" s="246"/>
      <c r="AT664" s="246"/>
      <c r="AU664" s="246"/>
      <c r="AV664" s="246"/>
      <c r="AW664" s="246"/>
      <c r="AX664" s="246"/>
      <c r="AY664" s="246"/>
      <c r="AZ664" s="246"/>
      <c r="BA664" s="246"/>
      <c r="BB664" s="246"/>
      <c r="BC664" s="246"/>
      <c r="BD664" s="246"/>
      <c r="BE664" s="246"/>
      <c r="BF664" s="246"/>
      <c r="BG664" s="246"/>
      <c r="BH664" s="246"/>
      <c r="BI664" s="246"/>
      <c r="BJ664" s="246"/>
    </row>
    <row r="665" spans="2:62" ht="15.75">
      <c r="B665" s="7"/>
      <c r="C665" s="334"/>
      <c r="D665" s="334"/>
      <c r="E665" s="334"/>
      <c r="F665" s="334"/>
      <c r="G665" s="334"/>
      <c r="H665" s="334"/>
      <c r="I665" s="334"/>
      <c r="J665" s="334"/>
      <c r="K665" s="401"/>
      <c r="L665" s="401"/>
      <c r="M665" s="334"/>
      <c r="N665" s="399"/>
      <c r="O665" s="399"/>
      <c r="P665" s="334"/>
      <c r="Q665" s="399"/>
      <c r="R665" s="401"/>
      <c r="S665" s="334"/>
      <c r="T665" s="334"/>
      <c r="U665" s="334"/>
      <c r="V665" s="334"/>
      <c r="W665" s="334"/>
      <c r="X665" s="334"/>
      <c r="Y665" s="246"/>
      <c r="Z665" s="246"/>
      <c r="AA665" s="246"/>
      <c r="AB665" s="246"/>
      <c r="AC665" s="246"/>
      <c r="AD665" s="246"/>
      <c r="AE665" s="246"/>
      <c r="AF665" s="246"/>
      <c r="AG665" s="246"/>
      <c r="AH665" s="246"/>
      <c r="AI665" s="246"/>
      <c r="AJ665" s="246"/>
      <c r="AK665" s="246"/>
      <c r="AL665" s="246"/>
      <c r="AM665" s="246"/>
      <c r="AN665" s="246"/>
      <c r="AO665" s="246"/>
      <c r="AP665" s="246"/>
      <c r="AQ665" s="246"/>
      <c r="AR665" s="246"/>
      <c r="AS665" s="246"/>
      <c r="AT665" s="246"/>
      <c r="AU665" s="246"/>
      <c r="AV665" s="246"/>
      <c r="AW665" s="246"/>
      <c r="AX665" s="246"/>
      <c r="AY665" s="246"/>
      <c r="AZ665" s="246"/>
      <c r="BA665" s="246"/>
      <c r="BB665" s="246"/>
      <c r="BC665" s="246"/>
      <c r="BD665" s="246"/>
      <c r="BE665" s="246"/>
      <c r="BF665" s="246"/>
      <c r="BG665" s="246"/>
      <c r="BH665" s="246"/>
      <c r="BI665" s="246"/>
      <c r="BJ665" s="246"/>
    </row>
    <row r="666" spans="2:62" ht="15.75">
      <c r="B666" s="7"/>
      <c r="C666" s="334"/>
      <c r="D666" s="334"/>
      <c r="E666" s="334"/>
      <c r="F666" s="334"/>
      <c r="G666" s="334"/>
      <c r="H666" s="334"/>
      <c r="I666" s="334"/>
      <c r="J666" s="334"/>
      <c r="K666" s="399"/>
      <c r="L666" s="399"/>
      <c r="M666" s="334"/>
      <c r="N666" s="399"/>
      <c r="O666" s="399"/>
      <c r="P666" s="334"/>
      <c r="Q666" s="399"/>
      <c r="R666" s="399"/>
      <c r="S666" s="334"/>
      <c r="T666" s="334"/>
      <c r="U666" s="334"/>
      <c r="V666" s="334"/>
      <c r="W666" s="334"/>
      <c r="X666" s="334"/>
      <c r="Y666" s="246"/>
      <c r="Z666" s="246"/>
      <c r="AA666" s="246"/>
      <c r="AB666" s="246"/>
      <c r="AC666" s="246"/>
      <c r="AD666" s="246"/>
      <c r="AE666" s="246"/>
      <c r="AF666" s="246"/>
      <c r="AG666" s="246"/>
      <c r="AH666" s="246"/>
      <c r="AI666" s="246"/>
      <c r="AJ666" s="246"/>
      <c r="AK666" s="246"/>
      <c r="AL666" s="246"/>
      <c r="AM666" s="246"/>
      <c r="AN666" s="246"/>
      <c r="AO666" s="246"/>
      <c r="AP666" s="246"/>
      <c r="AQ666" s="246"/>
      <c r="AR666" s="246"/>
      <c r="AS666" s="246"/>
      <c r="AT666" s="246"/>
      <c r="AU666" s="246"/>
      <c r="AV666" s="246"/>
      <c r="AW666" s="246"/>
      <c r="AX666" s="246"/>
      <c r="AY666" s="246"/>
      <c r="AZ666" s="246"/>
      <c r="BA666" s="246"/>
      <c r="BB666" s="246"/>
      <c r="BC666" s="246"/>
      <c r="BD666" s="246"/>
      <c r="BE666" s="246"/>
      <c r="BF666" s="246"/>
      <c r="BG666" s="246"/>
      <c r="BH666" s="246"/>
      <c r="BI666" s="246"/>
      <c r="BJ666" s="246"/>
    </row>
    <row r="667" spans="2:62" ht="15.75">
      <c r="B667" s="7"/>
      <c r="C667" s="334"/>
      <c r="D667" s="334"/>
      <c r="E667" s="334"/>
      <c r="F667" s="334"/>
      <c r="G667" s="334"/>
      <c r="H667" s="334"/>
      <c r="I667" s="334"/>
      <c r="J667" s="334"/>
      <c r="K667" s="399"/>
      <c r="L667" s="399"/>
      <c r="M667" s="334"/>
      <c r="N667" s="399"/>
      <c r="O667" s="399"/>
      <c r="P667" s="334"/>
      <c r="Q667" s="399"/>
      <c r="R667" s="399"/>
      <c r="S667" s="334"/>
      <c r="T667" s="334"/>
      <c r="U667" s="334"/>
      <c r="V667" s="334"/>
      <c r="W667" s="334"/>
      <c r="X667" s="334"/>
      <c r="Y667" s="246"/>
      <c r="Z667" s="246"/>
      <c r="AA667" s="246"/>
      <c r="AB667" s="246"/>
      <c r="AC667" s="246"/>
      <c r="AD667" s="246"/>
      <c r="AE667" s="246"/>
      <c r="AF667" s="246"/>
      <c r="AG667" s="246"/>
      <c r="AH667" s="246"/>
      <c r="AI667" s="246"/>
      <c r="AJ667" s="246"/>
      <c r="AK667" s="246"/>
      <c r="AL667" s="246"/>
      <c r="AM667" s="246"/>
      <c r="AN667" s="246"/>
      <c r="AO667" s="246"/>
      <c r="AP667" s="246"/>
      <c r="AQ667" s="246"/>
      <c r="AR667" s="246"/>
      <c r="AS667" s="246"/>
      <c r="AT667" s="246"/>
      <c r="AU667" s="246"/>
      <c r="AV667" s="246"/>
      <c r="AW667" s="246"/>
      <c r="AX667" s="246"/>
      <c r="AY667" s="246"/>
      <c r="AZ667" s="246"/>
      <c r="BA667" s="246"/>
      <c r="BB667" s="246"/>
      <c r="BC667" s="246"/>
      <c r="BD667" s="246"/>
      <c r="BE667" s="246"/>
      <c r="BF667" s="246"/>
      <c r="BG667" s="246"/>
      <c r="BH667" s="246"/>
      <c r="BI667" s="246"/>
      <c r="BJ667" s="246"/>
    </row>
    <row r="668" spans="2:62" ht="15.75">
      <c r="B668" s="7"/>
      <c r="C668" s="334"/>
      <c r="D668" s="334"/>
      <c r="E668" s="334"/>
      <c r="F668" s="334"/>
      <c r="G668" s="334"/>
      <c r="H668" s="334"/>
      <c r="I668" s="334"/>
      <c r="J668" s="334"/>
      <c r="K668" s="399"/>
      <c r="L668" s="399"/>
      <c r="M668" s="334"/>
      <c r="N668" s="399"/>
      <c r="O668" s="399"/>
      <c r="P668" s="334"/>
      <c r="Q668" s="399"/>
      <c r="R668" s="399"/>
      <c r="S668" s="334"/>
      <c r="T668" s="334"/>
      <c r="U668" s="334"/>
      <c r="V668" s="334"/>
      <c r="W668" s="334"/>
      <c r="X668" s="334"/>
      <c r="Y668" s="246"/>
      <c r="Z668" s="246"/>
      <c r="AA668" s="246"/>
      <c r="AB668" s="246"/>
      <c r="AC668" s="246"/>
      <c r="AD668" s="246"/>
      <c r="AE668" s="246"/>
      <c r="AF668" s="246"/>
      <c r="AG668" s="246"/>
      <c r="AH668" s="246"/>
      <c r="AI668" s="246"/>
      <c r="AJ668" s="246"/>
      <c r="AK668" s="246"/>
      <c r="AL668" s="246"/>
      <c r="AM668" s="246"/>
      <c r="AN668" s="246"/>
      <c r="AO668" s="246"/>
      <c r="AP668" s="246"/>
      <c r="AQ668" s="246"/>
      <c r="AR668" s="246"/>
      <c r="AS668" s="246"/>
      <c r="AT668" s="246"/>
      <c r="AU668" s="246"/>
      <c r="AV668" s="246"/>
      <c r="AW668" s="246"/>
      <c r="AX668" s="246"/>
      <c r="AY668" s="246"/>
      <c r="AZ668" s="246"/>
      <c r="BA668" s="246"/>
      <c r="BB668" s="246"/>
      <c r="BC668" s="246"/>
      <c r="BD668" s="246"/>
      <c r="BE668" s="246"/>
      <c r="BF668" s="246"/>
      <c r="BG668" s="246"/>
      <c r="BH668" s="246"/>
      <c r="BI668" s="246"/>
      <c r="BJ668" s="246"/>
    </row>
    <row r="669" spans="2:62" ht="15.75">
      <c r="B669" s="7"/>
      <c r="C669" s="334"/>
      <c r="D669" s="334"/>
      <c r="E669" s="334"/>
      <c r="F669" s="334"/>
      <c r="G669" s="334"/>
      <c r="H669" s="334"/>
      <c r="I669" s="334"/>
      <c r="J669" s="334"/>
      <c r="K669" s="399"/>
      <c r="L669" s="399"/>
      <c r="M669" s="334"/>
      <c r="N669" s="399"/>
      <c r="O669" s="399"/>
      <c r="P669" s="334"/>
      <c r="Q669" s="399"/>
      <c r="R669" s="399"/>
      <c r="S669" s="334"/>
      <c r="T669" s="334"/>
      <c r="U669" s="334"/>
      <c r="V669" s="334"/>
      <c r="W669" s="334"/>
      <c r="X669" s="334"/>
      <c r="Y669" s="246"/>
      <c r="Z669" s="246"/>
      <c r="AA669" s="246"/>
      <c r="AB669" s="246"/>
      <c r="AC669" s="246"/>
      <c r="AD669" s="246"/>
      <c r="AE669" s="246"/>
      <c r="AF669" s="246"/>
      <c r="AG669" s="246"/>
      <c r="AH669" s="246"/>
      <c r="AI669" s="246"/>
      <c r="AJ669" s="246"/>
      <c r="AK669" s="246"/>
      <c r="AL669" s="246"/>
      <c r="AM669" s="246"/>
      <c r="AN669" s="246"/>
      <c r="AO669" s="246"/>
      <c r="AP669" s="246"/>
      <c r="AQ669" s="246"/>
      <c r="AR669" s="246"/>
      <c r="AS669" s="246"/>
      <c r="AT669" s="246"/>
      <c r="AU669" s="246"/>
      <c r="AV669" s="246"/>
      <c r="AW669" s="246"/>
      <c r="AX669" s="246"/>
      <c r="AY669" s="246"/>
      <c r="AZ669" s="246"/>
      <c r="BA669" s="246"/>
      <c r="BB669" s="246"/>
      <c r="BC669" s="246"/>
      <c r="BD669" s="246"/>
      <c r="BE669" s="246"/>
      <c r="BF669" s="246"/>
      <c r="BG669" s="246"/>
      <c r="BH669" s="246"/>
      <c r="BI669" s="246"/>
      <c r="BJ669" s="246"/>
    </row>
    <row r="670" spans="2:62" ht="15.75">
      <c r="B670" s="7"/>
      <c r="C670" s="334"/>
      <c r="D670" s="334"/>
      <c r="E670" s="334"/>
      <c r="F670" s="334"/>
      <c r="G670" s="334"/>
      <c r="H670" s="334"/>
      <c r="I670" s="334"/>
      <c r="J670" s="334"/>
      <c r="K670" s="399"/>
      <c r="L670" s="399"/>
      <c r="M670" s="334"/>
      <c r="N670" s="399"/>
      <c r="O670" s="399"/>
      <c r="P670" s="334"/>
      <c r="Q670" s="399"/>
      <c r="R670" s="399"/>
      <c r="S670" s="334"/>
      <c r="T670" s="334"/>
      <c r="U670" s="334"/>
      <c r="V670" s="334"/>
      <c r="W670" s="334"/>
      <c r="X670" s="334"/>
      <c r="Y670" s="246"/>
      <c r="Z670" s="246"/>
      <c r="AA670" s="246"/>
      <c r="AB670" s="246"/>
      <c r="AC670" s="246"/>
      <c r="AD670" s="246"/>
      <c r="AE670" s="246"/>
      <c r="AF670" s="246"/>
      <c r="AG670" s="246"/>
      <c r="AH670" s="246"/>
      <c r="AI670" s="246"/>
      <c r="AJ670" s="246"/>
      <c r="AK670" s="246"/>
      <c r="AL670" s="246"/>
      <c r="AM670" s="246"/>
      <c r="AN670" s="246"/>
      <c r="AO670" s="246"/>
      <c r="AP670" s="246"/>
      <c r="AQ670" s="246"/>
      <c r="AR670" s="246"/>
      <c r="AS670" s="246"/>
      <c r="AT670" s="246"/>
      <c r="AU670" s="246"/>
      <c r="AV670" s="246"/>
      <c r="AW670" s="246"/>
      <c r="AX670" s="246"/>
      <c r="AY670" s="246"/>
      <c r="AZ670" s="246"/>
      <c r="BA670" s="246"/>
      <c r="BB670" s="246"/>
      <c r="BC670" s="246"/>
      <c r="BD670" s="246"/>
      <c r="BE670" s="246"/>
      <c r="BF670" s="246"/>
      <c r="BG670" s="246"/>
      <c r="BH670" s="246"/>
      <c r="BI670" s="246"/>
      <c r="BJ670" s="246"/>
    </row>
    <row r="671" spans="2:62" ht="15.75">
      <c r="B671" s="7"/>
      <c r="C671" s="334"/>
      <c r="D671" s="334"/>
      <c r="E671" s="334"/>
      <c r="F671" s="334"/>
      <c r="G671" s="334"/>
      <c r="H671" s="334"/>
      <c r="I671" s="334"/>
      <c r="J671" s="334"/>
      <c r="K671" s="399"/>
      <c r="L671" s="399"/>
      <c r="M671" s="334"/>
      <c r="N671" s="399"/>
      <c r="O671" s="399"/>
      <c r="P671" s="334"/>
      <c r="Q671" s="399"/>
      <c r="R671" s="399"/>
      <c r="S671" s="334"/>
      <c r="T671" s="334"/>
      <c r="U671" s="334"/>
      <c r="V671" s="334"/>
      <c r="W671" s="334"/>
      <c r="X671" s="334"/>
      <c r="Y671" s="246"/>
      <c r="Z671" s="246"/>
      <c r="AA671" s="246"/>
      <c r="AB671" s="246"/>
      <c r="AC671" s="246"/>
      <c r="AD671" s="246"/>
      <c r="AE671" s="246"/>
      <c r="AF671" s="246"/>
      <c r="AG671" s="246"/>
      <c r="AH671" s="246"/>
      <c r="AI671" s="246"/>
      <c r="AJ671" s="246"/>
      <c r="AK671" s="246"/>
      <c r="AL671" s="246"/>
      <c r="AM671" s="246"/>
      <c r="AN671" s="246"/>
      <c r="AO671" s="246"/>
      <c r="AP671" s="246"/>
      <c r="AQ671" s="246"/>
      <c r="AR671" s="246"/>
      <c r="AS671" s="246"/>
      <c r="AT671" s="246"/>
      <c r="AU671" s="246"/>
      <c r="AV671" s="246"/>
      <c r="AW671" s="246"/>
      <c r="AX671" s="246"/>
      <c r="AY671" s="246"/>
      <c r="AZ671" s="246"/>
      <c r="BA671" s="246"/>
      <c r="BB671" s="246"/>
      <c r="BC671" s="246"/>
      <c r="BD671" s="246"/>
      <c r="BE671" s="246"/>
      <c r="BF671" s="246"/>
      <c r="BG671" s="246"/>
      <c r="BH671" s="246"/>
      <c r="BI671" s="246"/>
      <c r="BJ671" s="246"/>
    </row>
    <row r="672" spans="2:62" ht="15.75">
      <c r="B672" s="7"/>
      <c r="C672" s="334"/>
      <c r="D672" s="334"/>
      <c r="E672" s="334"/>
      <c r="F672" s="334"/>
      <c r="G672" s="334"/>
      <c r="H672" s="334"/>
      <c r="I672" s="334"/>
      <c r="J672" s="334"/>
      <c r="K672" s="399"/>
      <c r="L672" s="399"/>
      <c r="M672" s="334"/>
      <c r="N672" s="399"/>
      <c r="O672" s="399"/>
      <c r="P672" s="334"/>
      <c r="Q672" s="399"/>
      <c r="R672" s="399"/>
      <c r="S672" s="334"/>
      <c r="T672" s="334"/>
      <c r="U672" s="334"/>
      <c r="V672" s="334"/>
      <c r="W672" s="334"/>
      <c r="X672" s="334"/>
      <c r="Y672" s="246"/>
      <c r="Z672" s="246"/>
      <c r="AA672" s="246"/>
      <c r="AB672" s="246"/>
      <c r="AC672" s="246"/>
      <c r="AD672" s="246"/>
      <c r="AE672" s="246"/>
      <c r="AF672" s="246"/>
      <c r="AG672" s="246"/>
      <c r="AH672" s="246"/>
      <c r="AI672" s="246"/>
      <c r="AJ672" s="246"/>
      <c r="AK672" s="246"/>
      <c r="AL672" s="246"/>
      <c r="AM672" s="246"/>
      <c r="AN672" s="246"/>
      <c r="AO672" s="246"/>
      <c r="AP672" s="246"/>
      <c r="AQ672" s="246"/>
      <c r="AR672" s="246"/>
      <c r="AS672" s="246"/>
      <c r="AT672" s="246"/>
      <c r="AU672" s="246"/>
      <c r="AV672" s="246"/>
      <c r="AW672" s="246"/>
      <c r="AX672" s="246"/>
      <c r="AY672" s="246"/>
      <c r="AZ672" s="246"/>
      <c r="BA672" s="246"/>
      <c r="BB672" s="246"/>
      <c r="BC672" s="246"/>
      <c r="BD672" s="246"/>
      <c r="BE672" s="246"/>
      <c r="BF672" s="246"/>
      <c r="BG672" s="246"/>
      <c r="BH672" s="246"/>
      <c r="BI672" s="246"/>
      <c r="BJ672" s="246"/>
    </row>
    <row r="673" spans="2:62" ht="15.75">
      <c r="B673" s="7"/>
      <c r="C673" s="334"/>
      <c r="D673" s="334"/>
      <c r="E673" s="334"/>
      <c r="F673" s="334"/>
      <c r="G673" s="334"/>
      <c r="H673" s="334"/>
      <c r="I673" s="334"/>
      <c r="J673" s="334"/>
      <c r="K673" s="399"/>
      <c r="L673" s="399"/>
      <c r="M673" s="334"/>
      <c r="N673" s="399"/>
      <c r="O673" s="399"/>
      <c r="P673" s="334"/>
      <c r="Q673" s="399"/>
      <c r="R673" s="399"/>
      <c r="S673" s="334"/>
      <c r="T673" s="334"/>
      <c r="U673" s="334"/>
      <c r="V673" s="334"/>
      <c r="W673" s="334"/>
      <c r="X673" s="334"/>
      <c r="Y673" s="246"/>
      <c r="Z673" s="246"/>
      <c r="AA673" s="246"/>
      <c r="AB673" s="246"/>
      <c r="AC673" s="246"/>
      <c r="AD673" s="246"/>
      <c r="AE673" s="246"/>
      <c r="AF673" s="246"/>
      <c r="AG673" s="246"/>
      <c r="AH673" s="246"/>
      <c r="AI673" s="246"/>
      <c r="AJ673" s="246"/>
      <c r="AK673" s="246"/>
      <c r="AL673" s="246"/>
      <c r="AM673" s="246"/>
      <c r="AN673" s="246"/>
      <c r="AO673" s="246"/>
      <c r="AP673" s="246"/>
      <c r="AQ673" s="246"/>
      <c r="AR673" s="246"/>
      <c r="AS673" s="246"/>
      <c r="AT673" s="246"/>
      <c r="AU673" s="246"/>
      <c r="AV673" s="246"/>
      <c r="AW673" s="246"/>
      <c r="AX673" s="246"/>
      <c r="AY673" s="246"/>
      <c r="AZ673" s="246"/>
      <c r="BA673" s="246"/>
      <c r="BB673" s="246"/>
      <c r="BC673" s="246"/>
      <c r="BD673" s="246"/>
      <c r="BE673" s="246"/>
      <c r="BF673" s="246"/>
      <c r="BG673" s="246"/>
      <c r="BH673" s="246"/>
      <c r="BI673" s="246"/>
      <c r="BJ673" s="246"/>
    </row>
    <row r="674" spans="2:62" ht="15.75">
      <c r="B674" s="7"/>
      <c r="C674" s="334"/>
      <c r="D674" s="334"/>
      <c r="E674" s="334"/>
      <c r="F674" s="334"/>
      <c r="G674" s="334"/>
      <c r="H674" s="334"/>
      <c r="I674" s="334"/>
      <c r="J674" s="334"/>
      <c r="K674" s="399"/>
      <c r="L674" s="399"/>
      <c r="M674" s="334"/>
      <c r="N674" s="401"/>
      <c r="O674" s="401"/>
      <c r="P674" s="334"/>
      <c r="Q674" s="401"/>
      <c r="R674" s="399"/>
      <c r="S674" s="334"/>
      <c r="T674" s="334"/>
      <c r="U674" s="334"/>
      <c r="V674" s="334"/>
      <c r="W674" s="334"/>
      <c r="X674" s="334"/>
      <c r="Y674" s="246"/>
      <c r="Z674" s="246"/>
      <c r="AA674" s="246"/>
      <c r="AB674" s="246"/>
      <c r="AC674" s="246"/>
      <c r="AD674" s="246"/>
      <c r="AE674" s="246"/>
      <c r="AF674" s="246"/>
      <c r="AG674" s="246"/>
      <c r="AH674" s="246"/>
      <c r="AI674" s="246"/>
      <c r="AJ674" s="246"/>
      <c r="AK674" s="246"/>
      <c r="AL674" s="246"/>
      <c r="AM674" s="246"/>
      <c r="AN674" s="246"/>
      <c r="AO674" s="246"/>
      <c r="AP674" s="246"/>
      <c r="AQ674" s="246"/>
      <c r="AR674" s="246"/>
      <c r="AS674" s="246"/>
      <c r="AT674" s="246"/>
      <c r="AU674" s="246"/>
      <c r="AV674" s="246"/>
      <c r="AW674" s="246"/>
      <c r="AX674" s="246"/>
      <c r="AY674" s="246"/>
      <c r="AZ674" s="246"/>
      <c r="BA674" s="246"/>
      <c r="BB674" s="246"/>
      <c r="BC674" s="246"/>
      <c r="BD674" s="246"/>
      <c r="BE674" s="246"/>
      <c r="BF674" s="246"/>
      <c r="BG674" s="246"/>
      <c r="BH674" s="246"/>
      <c r="BI674" s="246"/>
      <c r="BJ674" s="246"/>
    </row>
    <row r="675" spans="2:62" ht="15.75">
      <c r="B675" s="7"/>
      <c r="C675" s="334"/>
      <c r="D675" s="334"/>
      <c r="E675" s="334"/>
      <c r="F675" s="334"/>
      <c r="G675" s="334"/>
      <c r="H675" s="334"/>
      <c r="I675" s="334"/>
      <c r="J675" s="334"/>
      <c r="K675" s="401"/>
      <c r="L675" s="401"/>
      <c r="M675" s="334"/>
      <c r="N675" s="399"/>
      <c r="O675" s="399"/>
      <c r="P675" s="334"/>
      <c r="Q675" s="399"/>
      <c r="R675" s="401"/>
      <c r="S675" s="334"/>
      <c r="T675" s="334"/>
      <c r="U675" s="334"/>
      <c r="V675" s="334"/>
      <c r="W675" s="334"/>
      <c r="X675" s="334"/>
      <c r="Y675" s="246"/>
      <c r="Z675" s="246"/>
      <c r="AA675" s="246"/>
      <c r="AB675" s="246"/>
      <c r="AC675" s="246"/>
      <c r="AD675" s="246"/>
      <c r="AE675" s="246"/>
      <c r="AF675" s="246"/>
      <c r="AG675" s="246"/>
      <c r="AH675" s="246"/>
      <c r="AI675" s="246"/>
      <c r="AJ675" s="246"/>
      <c r="AK675" s="246"/>
      <c r="AL675" s="246"/>
      <c r="AM675" s="246"/>
      <c r="AN675" s="246"/>
      <c r="AO675" s="246"/>
      <c r="AP675" s="246"/>
      <c r="AQ675" s="246"/>
      <c r="AR675" s="246"/>
      <c r="AS675" s="246"/>
      <c r="AT675" s="246"/>
      <c r="AU675" s="246"/>
      <c r="AV675" s="246"/>
      <c r="AW675" s="246"/>
      <c r="AX675" s="246"/>
      <c r="AY675" s="246"/>
      <c r="AZ675" s="246"/>
      <c r="BA675" s="246"/>
      <c r="BB675" s="246"/>
      <c r="BC675" s="246"/>
      <c r="BD675" s="246"/>
      <c r="BE675" s="246"/>
      <c r="BF675" s="246"/>
      <c r="BG675" s="246"/>
      <c r="BH675" s="246"/>
      <c r="BI675" s="246"/>
      <c r="BJ675" s="246"/>
    </row>
    <row r="676" spans="2:62" ht="15.75">
      <c r="B676" s="7"/>
      <c r="C676" s="334"/>
      <c r="D676" s="334"/>
      <c r="E676" s="334"/>
      <c r="F676" s="334"/>
      <c r="G676" s="334"/>
      <c r="H676" s="334"/>
      <c r="I676" s="334"/>
      <c r="J676" s="334"/>
      <c r="K676" s="399"/>
      <c r="L676" s="399"/>
      <c r="M676" s="334"/>
      <c r="N676" s="399"/>
      <c r="O676" s="399"/>
      <c r="P676" s="334"/>
      <c r="Q676" s="399"/>
      <c r="R676" s="399"/>
      <c r="S676" s="334"/>
      <c r="T676" s="334"/>
      <c r="U676" s="334"/>
      <c r="V676" s="334"/>
      <c r="W676" s="334"/>
      <c r="X676" s="334"/>
      <c r="Y676" s="246"/>
      <c r="Z676" s="246"/>
      <c r="AA676" s="246"/>
      <c r="AB676" s="246"/>
      <c r="AC676" s="246"/>
      <c r="AD676" s="246"/>
      <c r="AE676" s="246"/>
      <c r="AF676" s="246"/>
      <c r="AG676" s="246"/>
      <c r="AH676" s="246"/>
      <c r="AI676" s="246"/>
      <c r="AJ676" s="246"/>
      <c r="AK676" s="246"/>
      <c r="AL676" s="246"/>
      <c r="AM676" s="246"/>
      <c r="AN676" s="246"/>
      <c r="AO676" s="246"/>
      <c r="AP676" s="246"/>
      <c r="AQ676" s="246"/>
      <c r="AR676" s="246"/>
      <c r="AS676" s="246"/>
      <c r="AT676" s="246"/>
      <c r="AU676" s="246"/>
      <c r="AV676" s="246"/>
      <c r="AW676" s="246"/>
      <c r="AX676" s="246"/>
      <c r="AY676" s="246"/>
      <c r="AZ676" s="246"/>
      <c r="BA676" s="246"/>
      <c r="BB676" s="246"/>
      <c r="BC676" s="246"/>
      <c r="BD676" s="246"/>
      <c r="BE676" s="246"/>
      <c r="BF676" s="246"/>
      <c r="BG676" s="246"/>
      <c r="BH676" s="246"/>
      <c r="BI676" s="246"/>
      <c r="BJ676" s="246"/>
    </row>
    <row r="677" spans="2:62" ht="15.75">
      <c r="B677" s="7"/>
      <c r="C677" s="334"/>
      <c r="D677" s="334"/>
      <c r="E677" s="334"/>
      <c r="F677" s="334"/>
      <c r="G677" s="334"/>
      <c r="H677" s="334"/>
      <c r="I677" s="334"/>
      <c r="J677" s="334"/>
      <c r="K677" s="399"/>
      <c r="L677" s="399"/>
      <c r="M677" s="334"/>
      <c r="N677" s="399"/>
      <c r="O677" s="399"/>
      <c r="P677" s="334"/>
      <c r="Q677" s="399"/>
      <c r="R677" s="399"/>
      <c r="S677" s="334"/>
      <c r="T677" s="334"/>
      <c r="U677" s="334"/>
      <c r="V677" s="334"/>
      <c r="W677" s="334"/>
      <c r="X677" s="334"/>
      <c r="Y677" s="246"/>
      <c r="Z677" s="246"/>
      <c r="AA677" s="246"/>
      <c r="AB677" s="246"/>
      <c r="AC677" s="246"/>
      <c r="AD677" s="246"/>
      <c r="AE677" s="246"/>
      <c r="AF677" s="246"/>
      <c r="AG677" s="246"/>
      <c r="AH677" s="246"/>
      <c r="AI677" s="246"/>
      <c r="AJ677" s="246"/>
      <c r="AK677" s="246"/>
      <c r="AL677" s="246"/>
      <c r="AM677" s="246"/>
      <c r="AN677" s="246"/>
      <c r="AO677" s="246"/>
      <c r="AP677" s="246"/>
      <c r="AQ677" s="246"/>
      <c r="AR677" s="246"/>
      <c r="AS677" s="246"/>
      <c r="AT677" s="246"/>
      <c r="AU677" s="246"/>
      <c r="AV677" s="246"/>
      <c r="AW677" s="246"/>
      <c r="AX677" s="246"/>
      <c r="AY677" s="246"/>
      <c r="AZ677" s="246"/>
      <c r="BA677" s="246"/>
      <c r="BB677" s="246"/>
      <c r="BC677" s="246"/>
      <c r="BD677" s="246"/>
      <c r="BE677" s="246"/>
      <c r="BF677" s="246"/>
      <c r="BG677" s="246"/>
      <c r="BH677" s="246"/>
      <c r="BI677" s="246"/>
      <c r="BJ677" s="246"/>
    </row>
    <row r="678" spans="2:62" ht="15.75">
      <c r="B678" s="7"/>
      <c r="C678" s="334"/>
      <c r="D678" s="334"/>
      <c r="E678" s="334"/>
      <c r="F678" s="334"/>
      <c r="G678" s="334"/>
      <c r="H678" s="334"/>
      <c r="I678" s="334"/>
      <c r="J678" s="334"/>
      <c r="K678" s="399"/>
      <c r="L678" s="399"/>
      <c r="M678" s="334"/>
      <c r="N678" s="399"/>
      <c r="O678" s="399"/>
      <c r="P678" s="334"/>
      <c r="Q678" s="399"/>
      <c r="R678" s="399"/>
      <c r="S678" s="334"/>
      <c r="T678" s="334"/>
      <c r="U678" s="334"/>
      <c r="V678" s="334"/>
      <c r="W678" s="334"/>
      <c r="X678" s="334"/>
      <c r="Y678" s="246"/>
      <c r="Z678" s="246"/>
      <c r="AA678" s="246"/>
      <c r="AB678" s="246"/>
      <c r="AC678" s="246"/>
      <c r="AD678" s="246"/>
      <c r="AE678" s="246"/>
      <c r="AF678" s="246"/>
      <c r="AG678" s="246"/>
      <c r="AH678" s="246"/>
      <c r="AI678" s="246"/>
      <c r="AJ678" s="246"/>
      <c r="AK678" s="246"/>
      <c r="AL678" s="246"/>
      <c r="AM678" s="246"/>
      <c r="AN678" s="246"/>
      <c r="AO678" s="246"/>
      <c r="AP678" s="246"/>
      <c r="AQ678" s="246"/>
      <c r="AR678" s="246"/>
      <c r="AS678" s="246"/>
      <c r="AT678" s="246"/>
      <c r="AU678" s="246"/>
      <c r="AV678" s="246"/>
      <c r="AW678" s="246"/>
      <c r="AX678" s="246"/>
      <c r="AY678" s="246"/>
      <c r="AZ678" s="246"/>
      <c r="BA678" s="246"/>
      <c r="BB678" s="246"/>
      <c r="BC678" s="246"/>
      <c r="BD678" s="246"/>
      <c r="BE678" s="246"/>
      <c r="BF678" s="246"/>
      <c r="BG678" s="246"/>
      <c r="BH678" s="246"/>
      <c r="BI678" s="246"/>
      <c r="BJ678" s="246"/>
    </row>
    <row r="679" spans="2:62" ht="15.75">
      <c r="B679" s="7"/>
      <c r="C679" s="334"/>
      <c r="D679" s="334"/>
      <c r="E679" s="334"/>
      <c r="F679" s="334"/>
      <c r="G679" s="334"/>
      <c r="H679" s="334"/>
      <c r="I679" s="334"/>
      <c r="J679" s="334"/>
      <c r="K679" s="399"/>
      <c r="L679" s="399"/>
      <c r="M679" s="334"/>
      <c r="N679" s="399"/>
      <c r="O679" s="399"/>
      <c r="P679" s="334"/>
      <c r="Q679" s="399"/>
      <c r="R679" s="399"/>
      <c r="S679" s="334"/>
      <c r="T679" s="334"/>
      <c r="U679" s="334"/>
      <c r="V679" s="334"/>
      <c r="W679" s="334"/>
      <c r="X679" s="334"/>
      <c r="Y679" s="246"/>
      <c r="Z679" s="246"/>
      <c r="AA679" s="246"/>
      <c r="AB679" s="246"/>
      <c r="AC679" s="246"/>
      <c r="AD679" s="246"/>
      <c r="AE679" s="246"/>
      <c r="AF679" s="246"/>
      <c r="AG679" s="246"/>
      <c r="AH679" s="246"/>
      <c r="AI679" s="246"/>
      <c r="AJ679" s="246"/>
      <c r="AK679" s="246"/>
      <c r="AL679" s="246"/>
      <c r="AM679" s="246"/>
      <c r="AN679" s="246"/>
      <c r="AO679" s="246"/>
      <c r="AP679" s="246"/>
      <c r="AQ679" s="246"/>
      <c r="AR679" s="246"/>
      <c r="AS679" s="246"/>
      <c r="AT679" s="246"/>
      <c r="AU679" s="246"/>
      <c r="AV679" s="246"/>
      <c r="AW679" s="246"/>
      <c r="AX679" s="246"/>
      <c r="AY679" s="246"/>
      <c r="AZ679" s="246"/>
      <c r="BA679" s="246"/>
      <c r="BB679" s="246"/>
      <c r="BC679" s="246"/>
      <c r="BD679" s="246"/>
      <c r="BE679" s="246"/>
      <c r="BF679" s="246"/>
      <c r="BG679" s="246"/>
      <c r="BH679" s="246"/>
      <c r="BI679" s="246"/>
      <c r="BJ679" s="246"/>
    </row>
    <row r="680" spans="2:62" ht="15.75">
      <c r="B680" s="7"/>
      <c r="C680" s="334"/>
      <c r="D680" s="334"/>
      <c r="E680" s="334"/>
      <c r="F680" s="334"/>
      <c r="G680" s="334"/>
      <c r="H680" s="334"/>
      <c r="I680" s="334"/>
      <c r="J680" s="334"/>
      <c r="K680" s="399"/>
      <c r="L680" s="399"/>
      <c r="M680" s="334"/>
      <c r="N680" s="399"/>
      <c r="O680" s="399"/>
      <c r="P680" s="334"/>
      <c r="Q680" s="399"/>
      <c r="R680" s="399"/>
      <c r="S680" s="334"/>
      <c r="T680" s="334"/>
      <c r="U680" s="334"/>
      <c r="V680" s="334"/>
      <c r="W680" s="334"/>
      <c r="X680" s="334"/>
      <c r="Y680" s="246"/>
      <c r="Z680" s="246"/>
      <c r="AA680" s="246"/>
      <c r="AB680" s="246"/>
      <c r="AC680" s="246"/>
      <c r="AD680" s="246"/>
      <c r="AE680" s="246"/>
      <c r="AF680" s="246"/>
      <c r="AG680" s="246"/>
      <c r="AH680" s="246"/>
      <c r="AI680" s="246"/>
      <c r="AJ680" s="246"/>
      <c r="AK680" s="246"/>
      <c r="AL680" s="246"/>
      <c r="AM680" s="246"/>
      <c r="AN680" s="246"/>
      <c r="AO680" s="246"/>
      <c r="AP680" s="246"/>
      <c r="AQ680" s="246"/>
      <c r="AR680" s="246"/>
      <c r="AS680" s="246"/>
      <c r="AT680" s="246"/>
      <c r="AU680" s="246"/>
      <c r="AV680" s="246"/>
      <c r="AW680" s="246"/>
      <c r="AX680" s="246"/>
      <c r="AY680" s="246"/>
      <c r="AZ680" s="246"/>
      <c r="BA680" s="246"/>
      <c r="BB680" s="246"/>
      <c r="BC680" s="246"/>
      <c r="BD680" s="246"/>
      <c r="BE680" s="246"/>
      <c r="BF680" s="246"/>
      <c r="BG680" s="246"/>
      <c r="BH680" s="246"/>
      <c r="BI680" s="246"/>
      <c r="BJ680" s="246"/>
    </row>
    <row r="681" spans="2:62" ht="15.75">
      <c r="B681" s="7"/>
      <c r="C681" s="334"/>
      <c r="D681" s="334"/>
      <c r="E681" s="334"/>
      <c r="F681" s="334"/>
      <c r="G681" s="334"/>
      <c r="H681" s="334"/>
      <c r="I681" s="334"/>
      <c r="J681" s="334"/>
      <c r="K681" s="399"/>
      <c r="L681" s="399"/>
      <c r="M681" s="334"/>
      <c r="N681" s="399"/>
      <c r="O681" s="399"/>
      <c r="P681" s="334"/>
      <c r="Q681" s="399"/>
      <c r="R681" s="399"/>
      <c r="S681" s="334"/>
      <c r="T681" s="334"/>
      <c r="U681" s="334"/>
      <c r="V681" s="334"/>
      <c r="W681" s="334"/>
      <c r="X681" s="334"/>
      <c r="Y681" s="246"/>
      <c r="Z681" s="246"/>
      <c r="AA681" s="246"/>
      <c r="AB681" s="246"/>
      <c r="AC681" s="246"/>
      <c r="AD681" s="246"/>
      <c r="AE681" s="246"/>
      <c r="AF681" s="246"/>
      <c r="AG681" s="246"/>
      <c r="AH681" s="246"/>
      <c r="AI681" s="246"/>
      <c r="AJ681" s="246"/>
      <c r="AK681" s="246"/>
      <c r="AL681" s="246"/>
      <c r="AM681" s="246"/>
      <c r="AN681" s="246"/>
      <c r="AO681" s="246"/>
      <c r="AP681" s="246"/>
      <c r="AQ681" s="246"/>
      <c r="AR681" s="246"/>
      <c r="AS681" s="246"/>
      <c r="AT681" s="246"/>
      <c r="AU681" s="246"/>
      <c r="AV681" s="246"/>
      <c r="AW681" s="246"/>
      <c r="AX681" s="246"/>
      <c r="AY681" s="246"/>
      <c r="AZ681" s="246"/>
      <c r="BA681" s="246"/>
      <c r="BB681" s="246"/>
      <c r="BC681" s="246"/>
      <c r="BD681" s="246"/>
      <c r="BE681" s="246"/>
      <c r="BF681" s="246"/>
      <c r="BG681" s="246"/>
      <c r="BH681" s="246"/>
      <c r="BI681" s="246"/>
      <c r="BJ681" s="246"/>
    </row>
    <row r="682" spans="2:62" ht="15.75">
      <c r="B682" s="7"/>
      <c r="C682" s="334"/>
      <c r="D682" s="334"/>
      <c r="E682" s="334"/>
      <c r="F682" s="334"/>
      <c r="G682" s="334"/>
      <c r="H682" s="334"/>
      <c r="I682" s="334"/>
      <c r="J682" s="334"/>
      <c r="K682" s="399"/>
      <c r="L682" s="399"/>
      <c r="M682" s="334"/>
      <c r="N682" s="399"/>
      <c r="O682" s="399"/>
      <c r="P682" s="334"/>
      <c r="Q682" s="399"/>
      <c r="R682" s="399"/>
      <c r="S682" s="334"/>
      <c r="T682" s="334"/>
      <c r="U682" s="334"/>
      <c r="V682" s="334"/>
      <c r="W682" s="334"/>
      <c r="X682" s="334"/>
      <c r="Y682" s="246"/>
      <c r="Z682" s="246"/>
      <c r="AA682" s="246"/>
      <c r="AB682" s="246"/>
      <c r="AC682" s="246"/>
      <c r="AD682" s="246"/>
      <c r="AE682" s="246"/>
      <c r="AF682" s="246"/>
      <c r="AG682" s="246"/>
      <c r="AH682" s="246"/>
      <c r="AI682" s="246"/>
      <c r="AJ682" s="246"/>
      <c r="AK682" s="246"/>
      <c r="AL682" s="246"/>
      <c r="AM682" s="246"/>
      <c r="AN682" s="246"/>
      <c r="AO682" s="246"/>
      <c r="AP682" s="246"/>
      <c r="AQ682" s="246"/>
      <c r="AR682" s="246"/>
      <c r="AS682" s="246"/>
      <c r="AT682" s="246"/>
      <c r="AU682" s="246"/>
      <c r="AV682" s="246"/>
      <c r="AW682" s="246"/>
      <c r="AX682" s="246"/>
      <c r="AY682" s="246"/>
      <c r="AZ682" s="246"/>
      <c r="BA682" s="246"/>
      <c r="BB682" s="246"/>
      <c r="BC682" s="246"/>
      <c r="BD682" s="246"/>
      <c r="BE682" s="246"/>
      <c r="BF682" s="246"/>
      <c r="BG682" s="246"/>
      <c r="BH682" s="246"/>
      <c r="BI682" s="246"/>
      <c r="BJ682" s="246"/>
    </row>
    <row r="683" spans="2:62" ht="15.75">
      <c r="B683" s="7"/>
      <c r="C683" s="334"/>
      <c r="D683" s="334"/>
      <c r="E683" s="334"/>
      <c r="F683" s="334"/>
      <c r="G683" s="334"/>
      <c r="H683" s="334"/>
      <c r="I683" s="334"/>
      <c r="J683" s="334"/>
      <c r="K683" s="399"/>
      <c r="L683" s="399"/>
      <c r="M683" s="334"/>
      <c r="N683" s="399"/>
      <c r="O683" s="399"/>
      <c r="P683" s="334"/>
      <c r="Q683" s="399"/>
      <c r="R683" s="399"/>
      <c r="S683" s="334"/>
      <c r="T683" s="334"/>
      <c r="U683" s="334"/>
      <c r="V683" s="334"/>
      <c r="W683" s="334"/>
      <c r="X683" s="334"/>
      <c r="Y683" s="246"/>
      <c r="Z683" s="246"/>
      <c r="AA683" s="246"/>
      <c r="AB683" s="246"/>
      <c r="AC683" s="246"/>
      <c r="AD683" s="246"/>
      <c r="AE683" s="246"/>
      <c r="AF683" s="246"/>
      <c r="AG683" s="246"/>
      <c r="AH683" s="246"/>
      <c r="AI683" s="246"/>
      <c r="AJ683" s="246"/>
      <c r="AK683" s="246"/>
      <c r="AL683" s="246"/>
      <c r="AM683" s="246"/>
      <c r="AN683" s="246"/>
      <c r="AO683" s="246"/>
      <c r="AP683" s="246"/>
      <c r="AQ683" s="246"/>
      <c r="AR683" s="246"/>
      <c r="AS683" s="246"/>
      <c r="AT683" s="246"/>
      <c r="AU683" s="246"/>
      <c r="AV683" s="246"/>
      <c r="AW683" s="246"/>
      <c r="AX683" s="246"/>
      <c r="AY683" s="246"/>
      <c r="AZ683" s="246"/>
      <c r="BA683" s="246"/>
      <c r="BB683" s="246"/>
      <c r="BC683" s="246"/>
      <c r="BD683" s="246"/>
      <c r="BE683" s="246"/>
      <c r="BF683" s="246"/>
      <c r="BG683" s="246"/>
      <c r="BH683" s="246"/>
      <c r="BI683" s="246"/>
      <c r="BJ683" s="246"/>
    </row>
    <row r="684" spans="2:62" ht="15.75">
      <c r="B684" s="7"/>
      <c r="C684" s="334"/>
      <c r="D684" s="334"/>
      <c r="E684" s="334"/>
      <c r="F684" s="334"/>
      <c r="G684" s="334"/>
      <c r="H684" s="334"/>
      <c r="I684" s="334"/>
      <c r="J684" s="334"/>
      <c r="K684" s="399"/>
      <c r="L684" s="399"/>
      <c r="M684" s="334"/>
      <c r="N684" s="399"/>
      <c r="O684" s="399"/>
      <c r="P684" s="334"/>
      <c r="Q684" s="399"/>
      <c r="R684" s="399"/>
      <c r="S684" s="334"/>
      <c r="T684" s="334"/>
      <c r="U684" s="334"/>
      <c r="V684" s="334"/>
      <c r="W684" s="334"/>
      <c r="X684" s="334"/>
      <c r="Y684" s="246"/>
      <c r="Z684" s="246"/>
      <c r="AA684" s="246"/>
      <c r="AB684" s="246"/>
      <c r="AC684" s="246"/>
      <c r="AD684" s="246"/>
      <c r="AE684" s="246"/>
      <c r="AF684" s="246"/>
      <c r="AG684" s="246"/>
      <c r="AH684" s="246"/>
      <c r="AI684" s="246"/>
      <c r="AJ684" s="246"/>
      <c r="AK684" s="246"/>
      <c r="AL684" s="246"/>
      <c r="AM684" s="246"/>
      <c r="AN684" s="246"/>
      <c r="AO684" s="246"/>
      <c r="AP684" s="246"/>
      <c r="AQ684" s="246"/>
      <c r="AR684" s="246"/>
      <c r="AS684" s="246"/>
      <c r="AT684" s="246"/>
      <c r="AU684" s="246"/>
      <c r="AV684" s="246"/>
      <c r="AW684" s="246"/>
      <c r="AX684" s="246"/>
      <c r="AY684" s="246"/>
      <c r="AZ684" s="246"/>
      <c r="BA684" s="246"/>
      <c r="BB684" s="246"/>
      <c r="BC684" s="246"/>
      <c r="BD684" s="246"/>
      <c r="BE684" s="246"/>
      <c r="BF684" s="246"/>
      <c r="BG684" s="246"/>
      <c r="BH684" s="246"/>
      <c r="BI684" s="246"/>
      <c r="BJ684" s="246"/>
    </row>
    <row r="685" spans="2:62" ht="15.75">
      <c r="B685" s="7"/>
      <c r="C685" s="334"/>
      <c r="D685" s="334"/>
      <c r="E685" s="334"/>
      <c r="F685" s="334"/>
      <c r="G685" s="334"/>
      <c r="H685" s="334"/>
      <c r="I685" s="334"/>
      <c r="J685" s="334"/>
      <c r="K685" s="399"/>
      <c r="L685" s="399"/>
      <c r="M685" s="334"/>
      <c r="N685" s="399"/>
      <c r="O685" s="399"/>
      <c r="P685" s="334"/>
      <c r="Q685" s="399"/>
      <c r="R685" s="399"/>
      <c r="S685" s="334"/>
      <c r="T685" s="334"/>
      <c r="U685" s="334"/>
      <c r="V685" s="334"/>
      <c r="W685" s="334"/>
      <c r="X685" s="334"/>
      <c r="Y685" s="246"/>
      <c r="Z685" s="246"/>
      <c r="AA685" s="246"/>
      <c r="AB685" s="246"/>
      <c r="AC685" s="246"/>
      <c r="AD685" s="246"/>
      <c r="AE685" s="246"/>
      <c r="AF685" s="246"/>
      <c r="AG685" s="246"/>
      <c r="AH685" s="246"/>
      <c r="AI685" s="246"/>
      <c r="AJ685" s="246"/>
      <c r="AK685" s="246"/>
      <c r="AL685" s="246"/>
      <c r="AM685" s="246"/>
      <c r="AN685" s="246"/>
      <c r="AO685" s="246"/>
      <c r="AP685" s="246"/>
      <c r="AQ685" s="246"/>
      <c r="AR685" s="246"/>
      <c r="AS685" s="246"/>
      <c r="AT685" s="246"/>
      <c r="AU685" s="246"/>
      <c r="AV685" s="246"/>
      <c r="AW685" s="246"/>
      <c r="AX685" s="246"/>
      <c r="AY685" s="246"/>
      <c r="AZ685" s="246"/>
      <c r="BA685" s="246"/>
      <c r="BB685" s="246"/>
      <c r="BC685" s="246"/>
      <c r="BD685" s="246"/>
      <c r="BE685" s="246"/>
      <c r="BF685" s="246"/>
      <c r="BG685" s="246"/>
      <c r="BH685" s="246"/>
      <c r="BI685" s="246"/>
      <c r="BJ685" s="246"/>
    </row>
    <row r="686" spans="2:62" ht="15.75">
      <c r="B686" s="7"/>
      <c r="C686" s="334"/>
      <c r="D686" s="334"/>
      <c r="E686" s="334"/>
      <c r="F686" s="334"/>
      <c r="G686" s="334"/>
      <c r="H686" s="334"/>
      <c r="I686" s="334"/>
      <c r="J686" s="334"/>
      <c r="K686" s="399"/>
      <c r="L686" s="399"/>
      <c r="M686" s="334"/>
      <c r="N686" s="399"/>
      <c r="O686" s="399"/>
      <c r="P686" s="334"/>
      <c r="Q686" s="399"/>
      <c r="R686" s="399"/>
      <c r="S686" s="334"/>
      <c r="T686" s="334"/>
      <c r="U686" s="334"/>
      <c r="V686" s="334"/>
      <c r="W686" s="334"/>
      <c r="X686" s="334"/>
      <c r="Y686" s="246"/>
      <c r="Z686" s="246"/>
      <c r="AA686" s="246"/>
      <c r="AB686" s="246"/>
      <c r="AC686" s="246"/>
      <c r="AD686" s="246"/>
      <c r="AE686" s="246"/>
      <c r="AF686" s="246"/>
      <c r="AG686" s="246"/>
      <c r="AH686" s="246"/>
      <c r="AI686" s="246"/>
      <c r="AJ686" s="246"/>
      <c r="AK686" s="246"/>
      <c r="AL686" s="246"/>
      <c r="AM686" s="246"/>
      <c r="AN686" s="246"/>
      <c r="AO686" s="246"/>
      <c r="AP686" s="246"/>
      <c r="AQ686" s="246"/>
      <c r="AR686" s="246"/>
      <c r="AS686" s="246"/>
      <c r="AT686" s="246"/>
      <c r="AU686" s="246"/>
      <c r="AV686" s="246"/>
      <c r="AW686" s="246"/>
      <c r="AX686" s="246"/>
      <c r="AY686" s="246"/>
      <c r="AZ686" s="246"/>
      <c r="BA686" s="246"/>
      <c r="BB686" s="246"/>
      <c r="BC686" s="246"/>
      <c r="BD686" s="246"/>
      <c r="BE686" s="246"/>
      <c r="BF686" s="246"/>
      <c r="BG686" s="246"/>
      <c r="BH686" s="246"/>
      <c r="BI686" s="246"/>
      <c r="BJ686" s="246"/>
    </row>
    <row r="687" spans="2:62" ht="15.75">
      <c r="B687" s="7"/>
      <c r="C687" s="334"/>
      <c r="D687" s="334"/>
      <c r="E687" s="334"/>
      <c r="F687" s="334"/>
      <c r="G687" s="334"/>
      <c r="H687" s="334"/>
      <c r="I687" s="334"/>
      <c r="J687" s="334"/>
      <c r="K687" s="399"/>
      <c r="L687" s="399"/>
      <c r="M687" s="334"/>
      <c r="N687" s="399"/>
      <c r="O687" s="399"/>
      <c r="P687" s="334"/>
      <c r="Q687" s="399"/>
      <c r="R687" s="399"/>
      <c r="S687" s="334"/>
      <c r="T687" s="334"/>
      <c r="U687" s="334"/>
      <c r="V687" s="334"/>
      <c r="W687" s="334"/>
      <c r="X687" s="334"/>
      <c r="Y687" s="246"/>
      <c r="Z687" s="246"/>
      <c r="AA687" s="246"/>
      <c r="AB687" s="246"/>
      <c r="AC687" s="246"/>
      <c r="AD687" s="246"/>
      <c r="AE687" s="246"/>
      <c r="AF687" s="246"/>
      <c r="AG687" s="246"/>
      <c r="AH687" s="246"/>
      <c r="AI687" s="246"/>
      <c r="AJ687" s="246"/>
      <c r="AK687" s="246"/>
      <c r="AL687" s="246"/>
      <c r="AM687" s="246"/>
      <c r="AN687" s="246"/>
      <c r="AO687" s="246"/>
      <c r="AP687" s="246"/>
      <c r="AQ687" s="246"/>
      <c r="AR687" s="246"/>
      <c r="AS687" s="246"/>
      <c r="AT687" s="246"/>
      <c r="AU687" s="246"/>
      <c r="AV687" s="246"/>
      <c r="AW687" s="246"/>
      <c r="AX687" s="246"/>
      <c r="AY687" s="246"/>
      <c r="AZ687" s="246"/>
      <c r="BA687" s="246"/>
      <c r="BB687" s="246"/>
      <c r="BC687" s="246"/>
      <c r="BD687" s="246"/>
      <c r="BE687" s="246"/>
      <c r="BF687" s="246"/>
      <c r="BG687" s="246"/>
      <c r="BH687" s="246"/>
      <c r="BI687" s="246"/>
      <c r="BJ687" s="246"/>
    </row>
    <row r="688" spans="2:62" ht="15.75">
      <c r="B688" s="7"/>
      <c r="C688" s="334"/>
      <c r="D688" s="334"/>
      <c r="E688" s="334"/>
      <c r="F688" s="334"/>
      <c r="G688" s="334"/>
      <c r="H688" s="334"/>
      <c r="I688" s="334"/>
      <c r="J688" s="334"/>
      <c r="K688" s="399"/>
      <c r="L688" s="399"/>
      <c r="M688" s="334"/>
      <c r="N688" s="399"/>
      <c r="O688" s="399"/>
      <c r="P688" s="334"/>
      <c r="Q688" s="399"/>
      <c r="R688" s="399"/>
      <c r="S688" s="334"/>
      <c r="T688" s="334"/>
      <c r="U688" s="334"/>
      <c r="V688" s="334"/>
      <c r="W688" s="334"/>
      <c r="X688" s="334"/>
      <c r="Y688" s="246"/>
      <c r="Z688" s="246"/>
      <c r="AA688" s="246"/>
      <c r="AB688" s="246"/>
      <c r="AC688" s="246"/>
      <c r="AD688" s="246"/>
      <c r="AE688" s="246"/>
      <c r="AF688" s="246"/>
      <c r="AG688" s="246"/>
      <c r="AH688" s="246"/>
      <c r="AI688" s="246"/>
      <c r="AJ688" s="246"/>
      <c r="AK688" s="246"/>
      <c r="AL688" s="246"/>
      <c r="AM688" s="246"/>
      <c r="AN688" s="246"/>
      <c r="AO688" s="246"/>
      <c r="AP688" s="246"/>
      <c r="AQ688" s="246"/>
      <c r="AR688" s="246"/>
      <c r="AS688" s="246"/>
      <c r="AT688" s="246"/>
      <c r="AU688" s="246"/>
      <c r="AV688" s="246"/>
      <c r="AW688" s="246"/>
      <c r="AX688" s="246"/>
      <c r="AY688" s="246"/>
      <c r="AZ688" s="246"/>
      <c r="BA688" s="246"/>
      <c r="BB688" s="246"/>
      <c r="BC688" s="246"/>
      <c r="BD688" s="246"/>
      <c r="BE688" s="246"/>
      <c r="BF688" s="246"/>
      <c r="BG688" s="246"/>
      <c r="BH688" s="246"/>
      <c r="BI688" s="246"/>
      <c r="BJ688" s="246"/>
    </row>
    <row r="689" spans="2:62" ht="15.75">
      <c r="B689" s="7"/>
      <c r="C689" s="334"/>
      <c r="D689" s="334"/>
      <c r="E689" s="334"/>
      <c r="F689" s="334"/>
      <c r="G689" s="334"/>
      <c r="H689" s="334"/>
      <c r="I689" s="334"/>
      <c r="J689" s="334"/>
      <c r="K689" s="399"/>
      <c r="L689" s="399"/>
      <c r="M689" s="334"/>
      <c r="N689" s="334"/>
      <c r="O689" s="334"/>
      <c r="P689" s="334"/>
      <c r="Q689" s="334"/>
      <c r="R689" s="399"/>
      <c r="S689" s="334"/>
      <c r="T689" s="334"/>
      <c r="U689" s="334"/>
      <c r="V689" s="334"/>
      <c r="W689" s="334"/>
      <c r="X689" s="334"/>
      <c r="Y689" s="246"/>
      <c r="Z689" s="246"/>
      <c r="AA689" s="246"/>
      <c r="AB689" s="246"/>
      <c r="AC689" s="246"/>
      <c r="AD689" s="246"/>
      <c r="AE689" s="246"/>
      <c r="AF689" s="246"/>
      <c r="AG689" s="246"/>
      <c r="AH689" s="246"/>
      <c r="AI689" s="246"/>
      <c r="AJ689" s="246"/>
      <c r="AK689" s="246"/>
      <c r="AL689" s="246"/>
      <c r="AM689" s="246"/>
      <c r="AN689" s="246"/>
      <c r="AO689" s="246"/>
      <c r="AP689" s="246"/>
      <c r="AQ689" s="246"/>
      <c r="AR689" s="246"/>
      <c r="AS689" s="246"/>
      <c r="AT689" s="246"/>
      <c r="AU689" s="246"/>
      <c r="AV689" s="246"/>
      <c r="AW689" s="246"/>
      <c r="AX689" s="246"/>
      <c r="AY689" s="246"/>
      <c r="AZ689" s="246"/>
      <c r="BA689" s="246"/>
      <c r="BB689" s="246"/>
      <c r="BC689" s="246"/>
      <c r="BD689" s="246"/>
      <c r="BE689" s="246"/>
      <c r="BF689" s="246"/>
      <c r="BG689" s="246"/>
      <c r="BH689" s="246"/>
      <c r="BI689" s="246"/>
      <c r="BJ689" s="246"/>
    </row>
    <row r="690" spans="2:62" ht="15.75">
      <c r="B690" s="7"/>
      <c r="C690" s="334"/>
      <c r="D690" s="334"/>
      <c r="E690" s="334"/>
      <c r="F690" s="334"/>
      <c r="G690" s="334"/>
      <c r="H690" s="334"/>
      <c r="I690" s="334"/>
      <c r="J690" s="334"/>
      <c r="K690" s="399"/>
      <c r="L690" s="399"/>
      <c r="M690" s="334"/>
      <c r="N690" s="401"/>
      <c r="O690" s="401"/>
      <c r="P690" s="334"/>
      <c r="Q690" s="401"/>
      <c r="R690" s="399"/>
      <c r="S690" s="334"/>
      <c r="T690" s="334"/>
      <c r="U690" s="334"/>
      <c r="V690" s="334"/>
      <c r="W690" s="334"/>
      <c r="X690" s="334"/>
      <c r="Y690" s="246"/>
      <c r="Z690" s="246"/>
      <c r="AA690" s="246"/>
      <c r="AB690" s="246"/>
      <c r="AC690" s="246"/>
      <c r="AD690" s="246"/>
      <c r="AE690" s="246"/>
      <c r="AF690" s="246"/>
      <c r="AG690" s="246"/>
      <c r="AH690" s="246"/>
      <c r="AI690" s="246"/>
      <c r="AJ690" s="246"/>
      <c r="AK690" s="246"/>
      <c r="AL690" s="246"/>
      <c r="AM690" s="246"/>
      <c r="AN690" s="246"/>
      <c r="AO690" s="246"/>
      <c r="AP690" s="246"/>
      <c r="AQ690" s="246"/>
      <c r="AR690" s="246"/>
      <c r="AS690" s="246"/>
      <c r="AT690" s="246"/>
      <c r="AU690" s="246"/>
      <c r="AV690" s="246"/>
      <c r="AW690" s="246"/>
      <c r="AX690" s="246"/>
      <c r="AY690" s="246"/>
      <c r="AZ690" s="246"/>
      <c r="BA690" s="246"/>
      <c r="BB690" s="246"/>
      <c r="BC690" s="246"/>
      <c r="BD690" s="246"/>
      <c r="BE690" s="246"/>
      <c r="BF690" s="246"/>
      <c r="BG690" s="246"/>
      <c r="BH690" s="246"/>
      <c r="BI690" s="246"/>
      <c r="BJ690" s="246"/>
    </row>
    <row r="691" spans="2:62" ht="15.75">
      <c r="B691" s="7"/>
      <c r="C691" s="334"/>
      <c r="D691" s="334"/>
      <c r="E691" s="334"/>
      <c r="F691" s="334"/>
      <c r="G691" s="334"/>
      <c r="H691" s="334"/>
      <c r="I691" s="334"/>
      <c r="J691" s="334"/>
      <c r="K691" s="334"/>
      <c r="L691" s="334"/>
      <c r="M691" s="334"/>
      <c r="N691" s="399"/>
      <c r="O691" s="399"/>
      <c r="P691" s="334"/>
      <c r="Q691" s="399"/>
      <c r="R691" s="334"/>
      <c r="S691" s="334"/>
      <c r="T691" s="334"/>
      <c r="U691" s="334"/>
      <c r="V691" s="334"/>
      <c r="W691" s="334"/>
      <c r="X691" s="334"/>
      <c r="Y691" s="246"/>
      <c r="Z691" s="246"/>
      <c r="AA691" s="246"/>
      <c r="AB691" s="246"/>
      <c r="AC691" s="246"/>
      <c r="AD691" s="246"/>
      <c r="AE691" s="246"/>
      <c r="AF691" s="246"/>
      <c r="AG691" s="246"/>
      <c r="AH691" s="246"/>
      <c r="AI691" s="246"/>
      <c r="AJ691" s="246"/>
      <c r="AK691" s="246"/>
      <c r="AL691" s="246"/>
      <c r="AM691" s="246"/>
      <c r="AN691" s="246"/>
      <c r="AO691" s="246"/>
      <c r="AP691" s="246"/>
      <c r="AQ691" s="246"/>
      <c r="AR691" s="246"/>
      <c r="AS691" s="246"/>
      <c r="AT691" s="246"/>
      <c r="AU691" s="246"/>
      <c r="AV691" s="246"/>
      <c r="AW691" s="246"/>
      <c r="AX691" s="246"/>
      <c r="AY691" s="246"/>
      <c r="AZ691" s="246"/>
      <c r="BA691" s="246"/>
      <c r="BB691" s="246"/>
      <c r="BC691" s="246"/>
      <c r="BD691" s="246"/>
      <c r="BE691" s="246"/>
      <c r="BF691" s="246"/>
      <c r="BG691" s="246"/>
      <c r="BH691" s="246"/>
      <c r="BI691" s="246"/>
      <c r="BJ691" s="246"/>
    </row>
    <row r="692" spans="2:62" ht="15.75">
      <c r="B692" s="7"/>
      <c r="C692" s="334"/>
      <c r="D692" s="334"/>
      <c r="E692" s="334"/>
      <c r="F692" s="334"/>
      <c r="G692" s="334"/>
      <c r="H692" s="334"/>
      <c r="I692" s="334"/>
      <c r="J692" s="334"/>
      <c r="K692" s="401"/>
      <c r="L692" s="401"/>
      <c r="M692" s="334"/>
      <c r="N692" s="399"/>
      <c r="O692" s="399"/>
      <c r="P692" s="334"/>
      <c r="Q692" s="399"/>
      <c r="R692" s="401"/>
      <c r="S692" s="334"/>
      <c r="T692" s="334"/>
      <c r="U692" s="334"/>
      <c r="V692" s="334"/>
      <c r="W692" s="334"/>
      <c r="X692" s="334"/>
      <c r="Y692" s="246"/>
      <c r="Z692" s="246"/>
      <c r="AA692" s="246"/>
      <c r="AB692" s="246"/>
      <c r="AC692" s="246"/>
      <c r="AD692" s="246"/>
      <c r="AE692" s="246"/>
      <c r="AF692" s="246"/>
      <c r="AG692" s="246"/>
      <c r="AH692" s="246"/>
      <c r="AI692" s="246"/>
      <c r="AJ692" s="246"/>
      <c r="AK692" s="246"/>
      <c r="AL692" s="246"/>
      <c r="AM692" s="246"/>
      <c r="AN692" s="246"/>
      <c r="AO692" s="246"/>
      <c r="AP692" s="246"/>
      <c r="AQ692" s="246"/>
      <c r="AR692" s="246"/>
      <c r="AS692" s="246"/>
      <c r="AT692" s="246"/>
      <c r="AU692" s="246"/>
      <c r="AV692" s="246"/>
      <c r="AW692" s="246"/>
      <c r="AX692" s="246"/>
      <c r="AY692" s="246"/>
      <c r="AZ692" s="246"/>
      <c r="BA692" s="246"/>
      <c r="BB692" s="246"/>
      <c r="BC692" s="246"/>
      <c r="BD692" s="246"/>
      <c r="BE692" s="246"/>
      <c r="BF692" s="246"/>
      <c r="BG692" s="246"/>
      <c r="BH692" s="246"/>
      <c r="BI692" s="246"/>
      <c r="BJ692" s="246"/>
    </row>
    <row r="693" spans="2:62" ht="15.75">
      <c r="B693" s="7"/>
      <c r="C693" s="334"/>
      <c r="D693" s="334"/>
      <c r="E693" s="334"/>
      <c r="F693" s="334"/>
      <c r="G693" s="334"/>
      <c r="H693" s="334"/>
      <c r="I693" s="334"/>
      <c r="J693" s="334"/>
      <c r="K693" s="399"/>
      <c r="L693" s="399"/>
      <c r="M693" s="334"/>
      <c r="N693" s="399"/>
      <c r="O693" s="399"/>
      <c r="P693" s="334"/>
      <c r="Q693" s="399"/>
      <c r="R693" s="399"/>
      <c r="S693" s="334"/>
      <c r="T693" s="334"/>
      <c r="U693" s="334"/>
      <c r="V693" s="334"/>
      <c r="W693" s="334"/>
      <c r="X693" s="334"/>
      <c r="Y693" s="246"/>
      <c r="Z693" s="246"/>
      <c r="AA693" s="246"/>
      <c r="AB693" s="246"/>
      <c r="AC693" s="246"/>
      <c r="AD693" s="246"/>
      <c r="AE693" s="246"/>
      <c r="AF693" s="246"/>
      <c r="AG693" s="246"/>
      <c r="AH693" s="246"/>
      <c r="AI693" s="246"/>
      <c r="AJ693" s="246"/>
      <c r="AK693" s="246"/>
      <c r="AL693" s="246"/>
      <c r="AM693" s="246"/>
      <c r="AN693" s="246"/>
      <c r="AO693" s="246"/>
      <c r="AP693" s="246"/>
      <c r="AQ693" s="246"/>
      <c r="AR693" s="246"/>
      <c r="AS693" s="246"/>
      <c r="AT693" s="246"/>
      <c r="AU693" s="246"/>
      <c r="AV693" s="246"/>
      <c r="AW693" s="246"/>
      <c r="AX693" s="246"/>
      <c r="AY693" s="246"/>
      <c r="AZ693" s="246"/>
      <c r="BA693" s="246"/>
      <c r="BB693" s="246"/>
      <c r="BC693" s="246"/>
      <c r="BD693" s="246"/>
      <c r="BE693" s="246"/>
      <c r="BF693" s="246"/>
      <c r="BG693" s="246"/>
      <c r="BH693" s="246"/>
      <c r="BI693" s="246"/>
      <c r="BJ693" s="246"/>
    </row>
    <row r="694" spans="2:62" ht="15.75">
      <c r="B694" s="7"/>
      <c r="C694" s="334"/>
      <c r="D694" s="334"/>
      <c r="E694" s="334"/>
      <c r="F694" s="334"/>
      <c r="G694" s="334"/>
      <c r="H694" s="334"/>
      <c r="I694" s="334"/>
      <c r="J694" s="334"/>
      <c r="K694" s="399"/>
      <c r="L694" s="399"/>
      <c r="M694" s="334"/>
      <c r="N694" s="399"/>
      <c r="O694" s="399"/>
      <c r="P694" s="334"/>
      <c r="Q694" s="399"/>
      <c r="R694" s="399"/>
      <c r="S694" s="334"/>
      <c r="T694" s="334"/>
      <c r="U694" s="334"/>
      <c r="V694" s="334"/>
      <c r="W694" s="334"/>
      <c r="X694" s="334"/>
      <c r="Y694" s="246"/>
      <c r="Z694" s="246"/>
      <c r="AA694" s="246"/>
      <c r="AB694" s="246"/>
      <c r="AC694" s="246"/>
      <c r="AD694" s="246"/>
      <c r="AE694" s="246"/>
      <c r="AF694" s="246"/>
      <c r="AG694" s="246"/>
      <c r="AH694" s="246"/>
      <c r="AI694" s="246"/>
      <c r="AJ694" s="246"/>
      <c r="AK694" s="246"/>
      <c r="AL694" s="246"/>
      <c r="AM694" s="246"/>
      <c r="AN694" s="246"/>
      <c r="AO694" s="246"/>
      <c r="AP694" s="246"/>
      <c r="AQ694" s="246"/>
      <c r="AR694" s="246"/>
      <c r="AS694" s="246"/>
      <c r="AT694" s="246"/>
      <c r="AU694" s="246"/>
      <c r="AV694" s="246"/>
      <c r="AW694" s="246"/>
      <c r="AX694" s="246"/>
      <c r="AY694" s="246"/>
      <c r="AZ694" s="246"/>
      <c r="BA694" s="246"/>
      <c r="BB694" s="246"/>
      <c r="BC694" s="246"/>
      <c r="BD694" s="246"/>
      <c r="BE694" s="246"/>
      <c r="BF694" s="246"/>
      <c r="BG694" s="246"/>
      <c r="BH694" s="246"/>
      <c r="BI694" s="246"/>
      <c r="BJ694" s="246"/>
    </row>
    <row r="695" spans="2:62" ht="15.75">
      <c r="B695" s="7"/>
      <c r="C695" s="334"/>
      <c r="D695" s="334"/>
      <c r="E695" s="334"/>
      <c r="F695" s="334"/>
      <c r="G695" s="334"/>
      <c r="H695" s="334"/>
      <c r="I695" s="334"/>
      <c r="J695" s="334"/>
      <c r="K695" s="399"/>
      <c r="L695" s="399"/>
      <c r="M695" s="334"/>
      <c r="N695" s="399"/>
      <c r="O695" s="399"/>
      <c r="P695" s="334"/>
      <c r="Q695" s="399"/>
      <c r="R695" s="399"/>
      <c r="S695" s="334"/>
      <c r="T695" s="334"/>
      <c r="U695" s="334"/>
      <c r="V695" s="334"/>
      <c r="W695" s="334"/>
      <c r="X695" s="334"/>
      <c r="Y695" s="246"/>
      <c r="Z695" s="246"/>
      <c r="AA695" s="246"/>
      <c r="AB695" s="246"/>
      <c r="AC695" s="246"/>
      <c r="AD695" s="246"/>
      <c r="AE695" s="246"/>
      <c r="AF695" s="246"/>
      <c r="AG695" s="246"/>
      <c r="AH695" s="246"/>
      <c r="AI695" s="246"/>
      <c r="AJ695" s="246"/>
      <c r="AK695" s="246"/>
      <c r="AL695" s="246"/>
      <c r="AM695" s="246"/>
      <c r="AN695" s="246"/>
      <c r="AO695" s="246"/>
      <c r="AP695" s="246"/>
      <c r="AQ695" s="246"/>
      <c r="AR695" s="246"/>
      <c r="AS695" s="246"/>
      <c r="AT695" s="246"/>
      <c r="AU695" s="246"/>
      <c r="AV695" s="246"/>
      <c r="AW695" s="246"/>
      <c r="AX695" s="246"/>
      <c r="AY695" s="246"/>
      <c r="AZ695" s="246"/>
      <c r="BA695" s="246"/>
      <c r="BB695" s="246"/>
      <c r="BC695" s="246"/>
      <c r="BD695" s="246"/>
      <c r="BE695" s="246"/>
      <c r="BF695" s="246"/>
      <c r="BG695" s="246"/>
      <c r="BH695" s="246"/>
      <c r="BI695" s="246"/>
      <c r="BJ695" s="246"/>
    </row>
    <row r="696" spans="2:62" ht="15.75">
      <c r="B696" s="7"/>
      <c r="C696" s="334"/>
      <c r="D696" s="334"/>
      <c r="E696" s="334"/>
      <c r="F696" s="334"/>
      <c r="G696" s="334"/>
      <c r="H696" s="334"/>
      <c r="I696" s="334"/>
      <c r="J696" s="334"/>
      <c r="K696" s="399"/>
      <c r="L696" s="399"/>
      <c r="M696" s="334"/>
      <c r="N696" s="399"/>
      <c r="O696" s="399"/>
      <c r="P696" s="334"/>
      <c r="Q696" s="399"/>
      <c r="R696" s="399"/>
      <c r="S696" s="334"/>
      <c r="T696" s="334"/>
      <c r="U696" s="334"/>
      <c r="V696" s="334"/>
      <c r="W696" s="334"/>
      <c r="X696" s="334"/>
      <c r="Y696" s="246"/>
      <c r="Z696" s="246"/>
      <c r="AA696" s="246"/>
      <c r="AB696" s="246"/>
      <c r="AC696" s="246"/>
      <c r="AD696" s="246"/>
      <c r="AE696" s="246"/>
      <c r="AF696" s="246"/>
      <c r="AG696" s="246"/>
      <c r="AH696" s="246"/>
      <c r="AI696" s="246"/>
      <c r="AJ696" s="246"/>
      <c r="AK696" s="246"/>
      <c r="AL696" s="246"/>
      <c r="AM696" s="246"/>
      <c r="AN696" s="246"/>
      <c r="AO696" s="246"/>
      <c r="AP696" s="246"/>
      <c r="AQ696" s="246"/>
      <c r="AR696" s="246"/>
      <c r="AS696" s="246"/>
      <c r="AT696" s="246"/>
      <c r="AU696" s="246"/>
      <c r="AV696" s="246"/>
      <c r="AW696" s="246"/>
      <c r="AX696" s="246"/>
      <c r="AY696" s="246"/>
      <c r="AZ696" s="246"/>
      <c r="BA696" s="246"/>
      <c r="BB696" s="246"/>
      <c r="BC696" s="246"/>
      <c r="BD696" s="246"/>
      <c r="BE696" s="246"/>
      <c r="BF696" s="246"/>
      <c r="BG696" s="246"/>
      <c r="BH696" s="246"/>
      <c r="BI696" s="246"/>
      <c r="BJ696" s="246"/>
    </row>
    <row r="697" spans="2:62" ht="15.75">
      <c r="B697" s="7"/>
      <c r="C697" s="334"/>
      <c r="D697" s="334"/>
      <c r="E697" s="334"/>
      <c r="F697" s="334"/>
      <c r="G697" s="334"/>
      <c r="H697" s="334"/>
      <c r="I697" s="334"/>
      <c r="J697" s="334"/>
      <c r="K697" s="399"/>
      <c r="L697" s="399"/>
      <c r="M697" s="334"/>
      <c r="N697" s="399"/>
      <c r="O697" s="399"/>
      <c r="P697" s="334"/>
      <c r="Q697" s="399"/>
      <c r="R697" s="399"/>
      <c r="S697" s="334"/>
      <c r="T697" s="334"/>
      <c r="U697" s="334"/>
      <c r="V697" s="334"/>
      <c r="W697" s="334"/>
      <c r="X697" s="334"/>
      <c r="Y697" s="246"/>
      <c r="Z697" s="246"/>
      <c r="AA697" s="246"/>
      <c r="AB697" s="246"/>
      <c r="AC697" s="246"/>
      <c r="AD697" s="246"/>
      <c r="AE697" s="246"/>
      <c r="AF697" s="246"/>
      <c r="AG697" s="246"/>
      <c r="AH697" s="246"/>
      <c r="AI697" s="246"/>
      <c r="AJ697" s="246"/>
      <c r="AK697" s="246"/>
      <c r="AL697" s="246"/>
      <c r="AM697" s="246"/>
      <c r="AN697" s="246"/>
      <c r="AO697" s="246"/>
      <c r="AP697" s="246"/>
      <c r="AQ697" s="246"/>
      <c r="AR697" s="246"/>
      <c r="AS697" s="246"/>
      <c r="AT697" s="246"/>
      <c r="AU697" s="246"/>
      <c r="AV697" s="246"/>
      <c r="AW697" s="246"/>
      <c r="AX697" s="246"/>
      <c r="AY697" s="246"/>
      <c r="AZ697" s="246"/>
      <c r="BA697" s="246"/>
      <c r="BB697" s="246"/>
      <c r="BC697" s="246"/>
      <c r="BD697" s="246"/>
      <c r="BE697" s="246"/>
      <c r="BF697" s="246"/>
      <c r="BG697" s="246"/>
      <c r="BH697" s="246"/>
      <c r="BI697" s="246"/>
      <c r="BJ697" s="246"/>
    </row>
    <row r="698" spans="2:62" ht="15.75">
      <c r="B698" s="7"/>
      <c r="C698" s="334"/>
      <c r="D698" s="334"/>
      <c r="E698" s="334"/>
      <c r="F698" s="334"/>
      <c r="G698" s="334"/>
      <c r="H698" s="334"/>
      <c r="I698" s="334"/>
      <c r="J698" s="334"/>
      <c r="K698" s="399"/>
      <c r="L698" s="399"/>
      <c r="M698" s="334"/>
      <c r="N698" s="399"/>
      <c r="O698" s="399"/>
      <c r="P698" s="334"/>
      <c r="Q698" s="399"/>
      <c r="R698" s="399"/>
      <c r="S698" s="334"/>
      <c r="T698" s="334"/>
      <c r="U698" s="334"/>
      <c r="V698" s="334"/>
      <c r="W698" s="334"/>
      <c r="X698" s="334"/>
      <c r="Y698" s="246"/>
      <c r="Z698" s="246"/>
      <c r="AA698" s="246"/>
      <c r="AB698" s="246"/>
      <c r="AC698" s="246"/>
      <c r="AD698" s="246"/>
      <c r="AE698" s="246"/>
      <c r="AF698" s="246"/>
      <c r="AG698" s="246"/>
      <c r="AH698" s="246"/>
      <c r="AI698" s="246"/>
      <c r="AJ698" s="246"/>
      <c r="AK698" s="246"/>
      <c r="AL698" s="246"/>
      <c r="AM698" s="246"/>
      <c r="AN698" s="246"/>
      <c r="AO698" s="246"/>
      <c r="AP698" s="246"/>
      <c r="AQ698" s="246"/>
      <c r="AR698" s="246"/>
      <c r="AS698" s="246"/>
      <c r="AT698" s="246"/>
      <c r="AU698" s="246"/>
      <c r="AV698" s="246"/>
      <c r="AW698" s="246"/>
      <c r="AX698" s="246"/>
      <c r="AY698" s="246"/>
      <c r="AZ698" s="246"/>
      <c r="BA698" s="246"/>
      <c r="BB698" s="246"/>
      <c r="BC698" s="246"/>
      <c r="BD698" s="246"/>
      <c r="BE698" s="246"/>
      <c r="BF698" s="246"/>
      <c r="BG698" s="246"/>
      <c r="BH698" s="246"/>
      <c r="BI698" s="246"/>
      <c r="BJ698" s="246"/>
    </row>
    <row r="699" spans="2:62" ht="15.75">
      <c r="B699" s="7"/>
      <c r="C699" s="334"/>
      <c r="D699" s="334"/>
      <c r="E699" s="334"/>
      <c r="F699" s="334"/>
      <c r="G699" s="334"/>
      <c r="H699" s="334"/>
      <c r="I699" s="334"/>
      <c r="J699" s="334"/>
      <c r="K699" s="399"/>
      <c r="L699" s="401"/>
      <c r="M699" s="334"/>
      <c r="N699" s="399"/>
      <c r="O699" s="399"/>
      <c r="P699" s="334"/>
      <c r="Q699" s="399"/>
      <c r="R699" s="401"/>
      <c r="S699" s="334"/>
      <c r="T699" s="334"/>
      <c r="U699" s="334"/>
      <c r="V699" s="334"/>
      <c r="W699" s="334"/>
      <c r="X699" s="334"/>
      <c r="Y699" s="246"/>
      <c r="Z699" s="246"/>
      <c r="AA699" s="246"/>
      <c r="AB699" s="246"/>
      <c r="AC699" s="246"/>
      <c r="AD699" s="246"/>
      <c r="AE699" s="246"/>
      <c r="AF699" s="246"/>
      <c r="AG699" s="246"/>
      <c r="AH699" s="246"/>
      <c r="AI699" s="246"/>
      <c r="AJ699" s="246"/>
      <c r="AK699" s="246"/>
      <c r="AL699" s="246"/>
      <c r="AM699" s="246"/>
      <c r="AN699" s="246"/>
      <c r="AO699" s="246"/>
      <c r="AP699" s="246"/>
      <c r="AQ699" s="246"/>
      <c r="AR699" s="246"/>
      <c r="AS699" s="246"/>
      <c r="AT699" s="246"/>
      <c r="AU699" s="246"/>
      <c r="AV699" s="246"/>
      <c r="AW699" s="246"/>
      <c r="AX699" s="246"/>
      <c r="AY699" s="246"/>
      <c r="AZ699" s="246"/>
      <c r="BA699" s="246"/>
      <c r="BB699" s="246"/>
      <c r="BC699" s="246"/>
      <c r="BD699" s="246"/>
      <c r="BE699" s="246"/>
      <c r="BF699" s="246"/>
      <c r="BG699" s="246"/>
      <c r="BH699" s="246"/>
      <c r="BI699" s="246"/>
      <c r="BJ699" s="246"/>
    </row>
    <row r="700" spans="2:62" ht="15.75">
      <c r="B700" s="7"/>
      <c r="C700" s="334"/>
      <c r="D700" s="334"/>
      <c r="E700" s="334"/>
      <c r="F700" s="334"/>
      <c r="G700" s="334"/>
      <c r="H700" s="334"/>
      <c r="I700" s="334"/>
      <c r="J700" s="334"/>
      <c r="K700" s="399"/>
      <c r="L700" s="399"/>
      <c r="M700" s="334"/>
      <c r="N700" s="399"/>
      <c r="O700" s="399"/>
      <c r="P700" s="334"/>
      <c r="Q700" s="399"/>
      <c r="R700" s="399"/>
      <c r="S700" s="334"/>
      <c r="T700" s="334"/>
      <c r="U700" s="334"/>
      <c r="V700" s="334"/>
      <c r="W700" s="334"/>
      <c r="X700" s="334"/>
      <c r="Y700" s="246"/>
      <c r="Z700" s="246"/>
      <c r="AA700" s="246"/>
      <c r="AB700" s="246"/>
      <c r="AC700" s="246"/>
      <c r="AD700" s="246"/>
      <c r="AE700" s="246"/>
      <c r="AF700" s="246"/>
      <c r="AG700" s="246"/>
      <c r="AH700" s="246"/>
      <c r="AI700" s="246"/>
      <c r="AJ700" s="246"/>
      <c r="AK700" s="246"/>
      <c r="AL700" s="246"/>
      <c r="AM700" s="246"/>
      <c r="AN700" s="246"/>
      <c r="AO700" s="246"/>
      <c r="AP700" s="246"/>
      <c r="AQ700" s="246"/>
      <c r="AR700" s="246"/>
      <c r="AS700" s="246"/>
      <c r="AT700" s="246"/>
      <c r="AU700" s="246"/>
      <c r="AV700" s="246"/>
      <c r="AW700" s="246"/>
      <c r="AX700" s="246"/>
      <c r="AY700" s="246"/>
      <c r="AZ700" s="246"/>
      <c r="BA700" s="246"/>
      <c r="BB700" s="246"/>
      <c r="BC700" s="246"/>
      <c r="BD700" s="246"/>
      <c r="BE700" s="246"/>
      <c r="BF700" s="246"/>
      <c r="BG700" s="246"/>
      <c r="BH700" s="246"/>
      <c r="BI700" s="246"/>
      <c r="BJ700" s="246"/>
    </row>
    <row r="701" spans="2:62" ht="15.75">
      <c r="B701" s="7"/>
      <c r="C701" s="334"/>
      <c r="D701" s="334"/>
      <c r="E701" s="334"/>
      <c r="F701" s="334"/>
      <c r="G701" s="334"/>
      <c r="H701" s="334"/>
      <c r="I701" s="334"/>
      <c r="J701" s="334"/>
      <c r="K701" s="399"/>
      <c r="L701" s="399"/>
      <c r="M701" s="334"/>
      <c r="N701" s="399"/>
      <c r="O701" s="399"/>
      <c r="P701" s="334"/>
      <c r="Q701" s="399"/>
      <c r="R701" s="399"/>
      <c r="S701" s="334"/>
      <c r="T701" s="334"/>
      <c r="U701" s="334"/>
      <c r="V701" s="334"/>
      <c r="W701" s="334"/>
      <c r="X701" s="334"/>
      <c r="Y701" s="246"/>
      <c r="Z701" s="246"/>
      <c r="AA701" s="246"/>
      <c r="AB701" s="246"/>
      <c r="AC701" s="246"/>
      <c r="AD701" s="246"/>
      <c r="AE701" s="246"/>
      <c r="AF701" s="246"/>
      <c r="AG701" s="246"/>
      <c r="AH701" s="246"/>
      <c r="AI701" s="246"/>
      <c r="AJ701" s="246"/>
      <c r="AK701" s="246"/>
      <c r="AL701" s="246"/>
      <c r="AM701" s="246"/>
      <c r="AN701" s="246"/>
      <c r="AO701" s="246"/>
      <c r="AP701" s="246"/>
      <c r="AQ701" s="246"/>
      <c r="AR701" s="246"/>
      <c r="AS701" s="246"/>
      <c r="AT701" s="246"/>
      <c r="AU701" s="246"/>
      <c r="AV701" s="246"/>
      <c r="AW701" s="246"/>
      <c r="AX701" s="246"/>
      <c r="AY701" s="246"/>
      <c r="AZ701" s="246"/>
      <c r="BA701" s="246"/>
      <c r="BB701" s="246"/>
      <c r="BC701" s="246"/>
      <c r="BD701" s="246"/>
      <c r="BE701" s="246"/>
      <c r="BF701" s="246"/>
      <c r="BG701" s="246"/>
      <c r="BH701" s="246"/>
      <c r="BI701" s="246"/>
      <c r="BJ701" s="246"/>
    </row>
    <row r="702" spans="2:62" ht="15.75">
      <c r="B702" s="7"/>
      <c r="C702" s="334"/>
      <c r="D702" s="334"/>
      <c r="E702" s="334"/>
      <c r="F702" s="334"/>
      <c r="G702" s="334"/>
      <c r="H702" s="334"/>
      <c r="I702" s="334"/>
      <c r="J702" s="334"/>
      <c r="K702" s="399"/>
      <c r="L702" s="399"/>
      <c r="M702" s="334"/>
      <c r="N702" s="401"/>
      <c r="O702" s="401"/>
      <c r="P702" s="334"/>
      <c r="Q702" s="401"/>
      <c r="R702" s="399"/>
      <c r="S702" s="334"/>
      <c r="T702" s="334"/>
      <c r="U702" s="334"/>
      <c r="V702" s="334"/>
      <c r="W702" s="334"/>
      <c r="X702" s="334"/>
      <c r="Y702" s="246"/>
      <c r="Z702" s="246"/>
      <c r="AA702" s="246"/>
      <c r="AB702" s="246"/>
      <c r="AC702" s="246"/>
      <c r="AD702" s="246"/>
      <c r="AE702" s="246"/>
      <c r="AF702" s="246"/>
      <c r="AG702" s="246"/>
      <c r="AH702" s="246"/>
      <c r="AI702" s="246"/>
      <c r="AJ702" s="246"/>
      <c r="AK702" s="246"/>
      <c r="AL702" s="246"/>
      <c r="AM702" s="246"/>
      <c r="AN702" s="246"/>
      <c r="AO702" s="246"/>
      <c r="AP702" s="246"/>
      <c r="AQ702" s="246"/>
      <c r="AR702" s="246"/>
      <c r="AS702" s="246"/>
      <c r="AT702" s="246"/>
      <c r="AU702" s="246"/>
      <c r="AV702" s="246"/>
      <c r="AW702" s="246"/>
      <c r="AX702" s="246"/>
      <c r="AY702" s="246"/>
      <c r="AZ702" s="246"/>
      <c r="BA702" s="246"/>
      <c r="BB702" s="246"/>
      <c r="BC702" s="246"/>
      <c r="BD702" s="246"/>
      <c r="BE702" s="246"/>
      <c r="BF702" s="246"/>
      <c r="BG702" s="246"/>
      <c r="BH702" s="246"/>
      <c r="BI702" s="246"/>
      <c r="BJ702" s="246"/>
    </row>
  </sheetData>
  <mergeCells count="42">
    <mergeCell ref="R91:S91"/>
    <mergeCell ref="D170:F170"/>
    <mergeCell ref="D91:F91"/>
    <mergeCell ref="G91:I91"/>
    <mergeCell ref="J91:L91"/>
    <mergeCell ref="M91:N91"/>
    <mergeCell ref="O91:Q91"/>
    <mergeCell ref="G170:I170"/>
    <mergeCell ref="J170:L170"/>
    <mergeCell ref="M170:N170"/>
    <mergeCell ref="O170:Q170"/>
    <mergeCell ref="R3:S3"/>
    <mergeCell ref="D3:F3"/>
    <mergeCell ref="G3:I3"/>
    <mergeCell ref="J3:L3"/>
    <mergeCell ref="M3:N3"/>
    <mergeCell ref="O3:Q3"/>
    <mergeCell ref="R293:S293"/>
    <mergeCell ref="R238:S238"/>
    <mergeCell ref="R170:S170"/>
    <mergeCell ref="D238:F238"/>
    <mergeCell ref="G238:I238"/>
    <mergeCell ref="J238:L238"/>
    <mergeCell ref="M238:N238"/>
    <mergeCell ref="O238:Q238"/>
    <mergeCell ref="D293:F293"/>
    <mergeCell ref="G293:I293"/>
    <mergeCell ref="J293:L293"/>
    <mergeCell ref="M293:N293"/>
    <mergeCell ref="O293:Q293"/>
    <mergeCell ref="AM404:AO404"/>
    <mergeCell ref="D358:F358"/>
    <mergeCell ref="G358:I358"/>
    <mergeCell ref="J358:L358"/>
    <mergeCell ref="M358:N358"/>
    <mergeCell ref="O358:Q358"/>
    <mergeCell ref="R358:S358"/>
    <mergeCell ref="X404:Z404"/>
    <mergeCell ref="AA404:AC404"/>
    <mergeCell ref="AD404:AF404"/>
    <mergeCell ref="AG404:AI404"/>
    <mergeCell ref="AJ404:AL404"/>
  </mergeCells>
  <conditionalFormatting sqref="D31:D32">
    <cfRule type="expression" dxfId="112" priority="6" stopIfTrue="1">
      <formula>"esterreur(reference)"</formula>
    </cfRule>
  </conditionalFormatting>
  <conditionalFormatting sqref="D112:D113">
    <cfRule type="expression" dxfId="111" priority="1" stopIfTrue="1">
      <formula>"esterreur(reference)"</formula>
    </cfRule>
  </conditionalFormatting>
  <conditionalFormatting sqref="F5">
    <cfRule type="expression" dxfId="110" priority="67" stopIfTrue="1">
      <formula>"esterreur(reference)"</formula>
    </cfRule>
  </conditionalFormatting>
  <conditionalFormatting sqref="F184">
    <cfRule type="expression" dxfId="109" priority="77" stopIfTrue="1">
      <formula>"esterreur(reference)"</formula>
    </cfRule>
  </conditionalFormatting>
  <conditionalFormatting sqref="G31:G32">
    <cfRule type="expression" dxfId="108" priority="5" stopIfTrue="1">
      <formula>"esterreur(reference)"</formula>
    </cfRule>
  </conditionalFormatting>
  <conditionalFormatting sqref="G112:G113">
    <cfRule type="expression" dxfId="107" priority="2" stopIfTrue="1">
      <formula>"esterreur(reference)"</formula>
    </cfRule>
  </conditionalFormatting>
  <conditionalFormatting sqref="H136:H152">
    <cfRule type="expression" dxfId="106" priority="31" stopIfTrue="1">
      <formula>"esterreur(reference)"</formula>
    </cfRule>
  </conditionalFormatting>
  <conditionalFormatting sqref="H360">
    <cfRule type="expression" dxfId="105" priority="110" stopIfTrue="1">
      <formula>"esterreur(reference)"</formula>
    </cfRule>
  </conditionalFormatting>
  <conditionalFormatting sqref="H197:L197">
    <cfRule type="expression" dxfId="104" priority="112" stopIfTrue="1">
      <formula>"esterreur(reference)"</formula>
    </cfRule>
  </conditionalFormatting>
  <conditionalFormatting sqref="H396:L399">
    <cfRule type="expression" dxfId="103" priority="108" stopIfTrue="1">
      <formula>"esterreur(reference)"</formula>
    </cfRule>
  </conditionalFormatting>
  <conditionalFormatting sqref="I377:L377 H378:H395">
    <cfRule type="expression" dxfId="102" priority="109" stopIfTrue="1">
      <formula>"esterreur(reference)"</formula>
    </cfRule>
  </conditionalFormatting>
  <conditionalFormatting sqref="J3 I13:J14 I16:J16 I17 I18:J18 J19 I20:J20 J21:J23 I24:J24 H25:L30 J31:K48 H31:H72 J49:L54 J72:L72 F83:F85 H83:L85 H86:K88 L86:L90 H90:I90 K90 J90:J91 H97:L98 I101:L101 H101:H104 I105:L111 H106:H134 I122:L122 H135:L135 J136:K148 H153:L153 H156:H157 J156:K157 H164:L164 H165 J165:K165 H166:K167 L166:L169 H169:I169 K169 J169:J196 H171:I171 H173:I174 H176:I177 H179:I180 H182:I183 L183 H185:I187 H189:I190 H192:I196 H198:H229 J198:K229 H232:L232 H233 J233:K233 H234:K235 L234:L237 H237:I237 K237 J237:J240 H239:I240 H243:L243 H252:L253 H254:K284 H285:L285 H288:L288 H289 J289:K289 H290:K290 L290:L292 H292:I292 K292 J292:J293 H294:L294 H304:L306 H309:L311 H313:L317 H318:H348 J318:K348 H349:L349 H352:L352 H353:H355 J353:K355 H361:L364 H365:H376 H400 J400:K400">
    <cfRule type="expression" dxfId="101" priority="102" stopIfTrue="1">
      <formula>"esterreur(reference)"</formula>
    </cfRule>
  </conditionalFormatting>
  <conditionalFormatting sqref="J55:K71">
    <cfRule type="expression" dxfId="100" priority="113" stopIfTrue="1">
      <formula>"esterreur(reference)"</formula>
    </cfRule>
  </conditionalFormatting>
  <conditionalFormatting sqref="J102:L104">
    <cfRule type="expression" dxfId="99" priority="98" stopIfTrue="1">
      <formula>"esterreur(reference)"</formula>
    </cfRule>
  </conditionalFormatting>
  <conditionalFormatting sqref="J149:L152">
    <cfRule type="expression" dxfId="98" priority="30" stopIfTrue="1">
      <formula>"esterreur(reference)"</formula>
    </cfRule>
  </conditionalFormatting>
  <conditionalFormatting sqref="J295:L303">
    <cfRule type="expression" dxfId="97" priority="94" stopIfTrue="1">
      <formula>"esterreur(reference)"</formula>
    </cfRule>
  </conditionalFormatting>
  <conditionalFormatting sqref="J307:L308">
    <cfRule type="expression" dxfId="96" priority="84" stopIfTrue="1">
      <formula>"esterreur(reference)"</formula>
    </cfRule>
  </conditionalFormatting>
  <conditionalFormatting sqref="J360:L360">
    <cfRule type="expression" dxfId="95" priority="76" stopIfTrue="1">
      <formula>"esterreur(reference)"</formula>
    </cfRule>
  </conditionalFormatting>
  <conditionalFormatting sqref="J365:L376">
    <cfRule type="expression" dxfId="94" priority="81" stopIfTrue="1">
      <formula>"esterreur(reference)"</formula>
    </cfRule>
  </conditionalFormatting>
  <conditionalFormatting sqref="J378:L394">
    <cfRule type="expression" dxfId="93" priority="80" stopIfTrue="1">
      <formula>"esterreur(reference)"</formula>
    </cfRule>
  </conditionalFormatting>
  <conditionalFormatting sqref="J312:M312">
    <cfRule type="expression" dxfId="92" priority="82" stopIfTrue="1">
      <formula>"esterreur(reference)"</formula>
    </cfRule>
  </conditionalFormatting>
  <conditionalFormatting sqref="J112:Q121">
    <cfRule type="expression" dxfId="91" priority="3" stopIfTrue="1">
      <formula>"esterreur(reference)"</formula>
    </cfRule>
  </conditionalFormatting>
  <conditionalFormatting sqref="J123:Q134">
    <cfRule type="expression" dxfId="90" priority="57" stopIfTrue="1">
      <formula>"esterreur(reference)"</formula>
    </cfRule>
  </conditionalFormatting>
  <conditionalFormatting sqref="K5">
    <cfRule type="expression" dxfId="89" priority="91" stopIfTrue="1">
      <formula>"esterreur(reference)"</formula>
    </cfRule>
  </conditionalFormatting>
  <conditionalFormatting sqref="K175">
    <cfRule type="expression" dxfId="88" priority="88" stopIfTrue="1">
      <formula>"esterreur(reference)"</formula>
    </cfRule>
  </conditionalFormatting>
  <conditionalFormatting sqref="K183:K184">
    <cfRule type="expression" dxfId="87" priority="90" stopIfTrue="1">
      <formula>"esterreur(reference)"</formula>
    </cfRule>
  </conditionalFormatting>
  <conditionalFormatting sqref="K287">
    <cfRule type="expression" dxfId="86" priority="74" stopIfTrue="1">
      <formula>"esterreur(reference)"</formula>
    </cfRule>
  </conditionalFormatting>
  <conditionalFormatting sqref="K395">
    <cfRule type="expression" dxfId="85" priority="111" stopIfTrue="1">
      <formula>"esterreur(reference)"</formula>
    </cfRule>
  </conditionalFormatting>
  <conditionalFormatting sqref="K93:L96">
    <cfRule type="expression" dxfId="84" priority="79" stopIfTrue="1">
      <formula>"esterreur(reference)"</formula>
    </cfRule>
  </conditionalFormatting>
  <conditionalFormatting sqref="K99:L100">
    <cfRule type="expression" dxfId="83" priority="99" stopIfTrue="1">
      <formula>"esterreur(reference)"</formula>
    </cfRule>
  </conditionalFormatting>
  <conditionalFormatting sqref="K171:L173">
    <cfRule type="expression" dxfId="82" priority="89" stopIfTrue="1">
      <formula>"esterreur(reference)"</formula>
    </cfRule>
  </conditionalFormatting>
  <conditionalFormatting sqref="K176:L182">
    <cfRule type="expression" dxfId="81" priority="87" stopIfTrue="1">
      <formula>"esterreur(reference)"</formula>
    </cfRule>
  </conditionalFormatting>
  <conditionalFormatting sqref="K185:L196">
    <cfRule type="expression" dxfId="80" priority="83" stopIfTrue="1">
      <formula>"esterreur(reference)"</formula>
    </cfRule>
  </conditionalFormatting>
  <conditionalFormatting sqref="K239:L241">
    <cfRule type="expression" dxfId="79" priority="78" stopIfTrue="1">
      <formula>"esterreur(reference)"</formula>
    </cfRule>
  </conditionalFormatting>
  <conditionalFormatting sqref="K244:L244">
    <cfRule type="expression" dxfId="78" priority="86" stopIfTrue="1">
      <formula>"esterreur(reference)"</formula>
    </cfRule>
  </conditionalFormatting>
  <conditionalFormatting sqref="K247:L247">
    <cfRule type="expression" dxfId="77" priority="85" stopIfTrue="1">
      <formula>"esterreur(reference)"</formula>
    </cfRule>
  </conditionalFormatting>
  <conditionalFormatting sqref="L16:L24">
    <cfRule type="expression" dxfId="76" priority="101" stopIfTrue="1">
      <formula>"esterreur(reference)"</formula>
    </cfRule>
  </conditionalFormatting>
  <conditionalFormatting sqref="L42:L48">
    <cfRule type="expression" dxfId="75" priority="100" stopIfTrue="1">
      <formula>"esterreur(reference)"</formula>
    </cfRule>
  </conditionalFormatting>
  <conditionalFormatting sqref="L55:L66">
    <cfRule type="expression" dxfId="74" priority="68" stopIfTrue="1">
      <formula>"esterreur(reference)"</formula>
    </cfRule>
  </conditionalFormatting>
  <conditionalFormatting sqref="L68:L71">
    <cfRule type="expression" dxfId="73" priority="32" stopIfTrue="1">
      <formula>"esterreur(reference)"</formula>
    </cfRule>
  </conditionalFormatting>
  <conditionalFormatting sqref="L75:L82">
    <cfRule type="expression" dxfId="72" priority="69" stopIfTrue="1">
      <formula>"esterreur(reference)"</formula>
    </cfRule>
  </conditionalFormatting>
  <conditionalFormatting sqref="L136:L147">
    <cfRule type="expression" dxfId="71" priority="73" stopIfTrue="1">
      <formula>"esterreur(reference)"</formula>
    </cfRule>
  </conditionalFormatting>
  <conditionalFormatting sqref="L174:L175">
    <cfRule type="expression" dxfId="70" priority="97" stopIfTrue="1">
      <formula>"esterreur(reference)"</formula>
    </cfRule>
  </conditionalFormatting>
  <conditionalFormatting sqref="L198:L209">
    <cfRule type="expression" dxfId="69" priority="96" stopIfTrue="1">
      <formula>"esterreur(reference)"</formula>
    </cfRule>
  </conditionalFormatting>
  <conditionalFormatting sqref="L211:L228">
    <cfRule type="expression" dxfId="68" priority="72" stopIfTrue="1">
      <formula>"esterreur(reference)"</formula>
    </cfRule>
  </conditionalFormatting>
  <conditionalFormatting sqref="L254:L265">
    <cfRule type="expression" dxfId="67" priority="95" stopIfTrue="1">
      <formula>"esterreur(reference)"</formula>
    </cfRule>
  </conditionalFormatting>
  <conditionalFormatting sqref="L267:L284">
    <cfRule type="expression" dxfId="66" priority="71" stopIfTrue="1">
      <formula>"esterreur(reference)"</formula>
    </cfRule>
  </conditionalFormatting>
  <conditionalFormatting sqref="L318:L329">
    <cfRule type="expression" dxfId="65" priority="93" stopIfTrue="1">
      <formula>"esterreur(reference)"</formula>
    </cfRule>
  </conditionalFormatting>
  <conditionalFormatting sqref="L331">
    <cfRule type="expression" dxfId="64" priority="70" stopIfTrue="1">
      <formula>"esterreur(reference)"</formula>
    </cfRule>
  </conditionalFormatting>
  <conditionalFormatting sqref="L334:L343 L345:L348">
    <cfRule type="expression" dxfId="63" priority="92" stopIfTrue="1">
      <formula>"esterreur(reference)"</formula>
    </cfRule>
  </conditionalFormatting>
  <conditionalFormatting sqref="L356:L357 H357:I357 K357 J357:J358 H359:L359">
    <cfRule type="expression" dxfId="62" priority="107" stopIfTrue="1">
      <formula>"esterreur(reference)"</formula>
    </cfRule>
  </conditionalFormatting>
  <conditionalFormatting sqref="L5:Q14">
    <cfRule type="expression" dxfId="61" priority="62" stopIfTrue="1">
      <formula>"esterreur(reference)"</formula>
    </cfRule>
  </conditionalFormatting>
  <conditionalFormatting sqref="L156:Q162">
    <cfRule type="expression" dxfId="60" priority="28" stopIfTrue="1">
      <formula>"esterreur(reference)"</formula>
    </cfRule>
  </conditionalFormatting>
  <conditionalFormatting sqref="M95:M97">
    <cfRule type="expression" dxfId="59" priority="103" stopIfTrue="1">
      <formula>"esterreur(reference)"</formula>
    </cfRule>
  </conditionalFormatting>
  <conditionalFormatting sqref="O13:O14 O16 O18:O24 O83:Q85">
    <cfRule type="expression" dxfId="58" priority="66" stopIfTrue="1">
      <formula>"esterreur(reference)"</formula>
    </cfRule>
  </conditionalFormatting>
  <conditionalFormatting sqref="O172:O196 Q183 O198:P229 O232:Q232 O233:P233">
    <cfRule type="expression" dxfId="57" priority="55" stopIfTrue="1">
      <formula>"esterreur(reference)"</formula>
    </cfRule>
  </conditionalFormatting>
  <conditionalFormatting sqref="O318:P348 O349:Q349 O352:Q352 O353:P353">
    <cfRule type="expression" dxfId="56" priority="39" stopIfTrue="1">
      <formula>"esterreur(reference)"</formula>
    </cfRule>
  </conditionalFormatting>
  <conditionalFormatting sqref="O25:Q72">
    <cfRule type="expression" dxfId="55" priority="4" stopIfTrue="1">
      <formula>"esterreur(reference)"</formula>
    </cfRule>
  </conditionalFormatting>
  <conditionalFormatting sqref="O97:Q98 O122:Q122 O156:P157 O164:Q164 O165:P165">
    <cfRule type="expression" dxfId="54" priority="61" stopIfTrue="1">
      <formula>"esterreur(reference)"</formula>
    </cfRule>
  </conditionalFormatting>
  <conditionalFormatting sqref="O101:Q111">
    <cfRule type="expression" dxfId="53" priority="59" stopIfTrue="1">
      <formula>"esterreur(reference)"</formula>
    </cfRule>
  </conditionalFormatting>
  <conditionalFormatting sqref="O135:Q153">
    <cfRule type="expression" dxfId="52" priority="29" stopIfTrue="1">
      <formula>"esterreur(reference)"</formula>
    </cfRule>
  </conditionalFormatting>
  <conditionalFormatting sqref="O197:Q197">
    <cfRule type="expression" dxfId="51" priority="56" stopIfTrue="1">
      <formula>"esterreur(reference)"</formula>
    </cfRule>
  </conditionalFormatting>
  <conditionalFormatting sqref="O243:Q243 O252:Q253 O254:P284 O285:Q285 O288:Q288 O289:P289">
    <cfRule type="expression" dxfId="50" priority="46" stopIfTrue="1">
      <formula>"esterreur(reference)"</formula>
    </cfRule>
  </conditionalFormatting>
  <conditionalFormatting sqref="O295:Q317">
    <cfRule type="expression" dxfId="49" priority="37" stopIfTrue="1">
      <formula>"esterreur(reference)"</formula>
    </cfRule>
  </conditionalFormatting>
  <conditionalFormatting sqref="O359:Q394">
    <cfRule type="expression" dxfId="48" priority="33" stopIfTrue="1">
      <formula>"esterreur(reference)"</formula>
    </cfRule>
  </conditionalFormatting>
  <conditionalFormatting sqref="O396:Q399">
    <cfRule type="expression" dxfId="47" priority="34" stopIfTrue="1">
      <formula>"esterreur(reference)"</formula>
    </cfRule>
  </conditionalFormatting>
  <conditionalFormatting sqref="P5">
    <cfRule type="expression" dxfId="46" priority="63" stopIfTrue="1">
      <formula>"esterreur(reference)"</formula>
    </cfRule>
  </conditionalFormatting>
  <conditionalFormatting sqref="P175">
    <cfRule type="expression" dxfId="45" priority="50" stopIfTrue="1">
      <formula>"esterreur(reference)"</formula>
    </cfRule>
  </conditionalFormatting>
  <conditionalFormatting sqref="P183:P184">
    <cfRule type="expression" dxfId="44" priority="52" stopIfTrue="1">
      <formula>"esterreur(reference)"</formula>
    </cfRule>
  </conditionalFormatting>
  <conditionalFormatting sqref="P287">
    <cfRule type="expression" dxfId="43" priority="41" stopIfTrue="1">
      <formula>"esterreur(reference)"</formula>
    </cfRule>
  </conditionalFormatting>
  <conditionalFormatting sqref="P395">
    <cfRule type="expression" dxfId="42" priority="35" stopIfTrue="1">
      <formula>"esterreur(reference)"</formula>
    </cfRule>
  </conditionalFormatting>
  <conditionalFormatting sqref="P93:Q96">
    <cfRule type="expression" dxfId="41" priority="58" stopIfTrue="1">
      <formula>"esterreur(reference)"</formula>
    </cfRule>
  </conditionalFormatting>
  <conditionalFormatting sqref="P99:Q100">
    <cfRule type="expression" dxfId="40" priority="60" stopIfTrue="1">
      <formula>"esterreur(reference)"</formula>
    </cfRule>
  </conditionalFormatting>
  <conditionalFormatting sqref="P172:Q173">
    <cfRule type="expression" dxfId="39" priority="51" stopIfTrue="1">
      <formula>"esterreur(reference)"</formula>
    </cfRule>
  </conditionalFormatting>
  <conditionalFormatting sqref="P176:Q182">
    <cfRule type="expression" dxfId="38" priority="49" stopIfTrue="1">
      <formula>"esterreur(reference)"</formula>
    </cfRule>
  </conditionalFormatting>
  <conditionalFormatting sqref="P185:Q196">
    <cfRule type="expression" dxfId="37" priority="48" stopIfTrue="1">
      <formula>"esterreur(reference)"</formula>
    </cfRule>
  </conditionalFormatting>
  <conditionalFormatting sqref="P241:Q241">
    <cfRule type="expression" dxfId="36" priority="42" stopIfTrue="1">
      <formula>"esterreur(reference)"</formula>
    </cfRule>
  </conditionalFormatting>
  <conditionalFormatting sqref="P244:Q244">
    <cfRule type="expression" dxfId="35" priority="44" stopIfTrue="1">
      <formula>"esterreur(reference)"</formula>
    </cfRule>
  </conditionalFormatting>
  <conditionalFormatting sqref="P247:Q247">
    <cfRule type="expression" dxfId="34" priority="43" stopIfTrue="1">
      <formula>"esterreur(reference)"</formula>
    </cfRule>
  </conditionalFormatting>
  <conditionalFormatting sqref="Q16:Q24">
    <cfRule type="expression" dxfId="33" priority="65" stopIfTrue="1">
      <formula>"esterreur(reference)"</formula>
    </cfRule>
  </conditionalFormatting>
  <conditionalFormatting sqref="Q75:Q82">
    <cfRule type="expression" dxfId="32" priority="64" stopIfTrue="1">
      <formula>"esterreur(reference)"</formula>
    </cfRule>
  </conditionalFormatting>
  <conditionalFormatting sqref="Q174:Q175">
    <cfRule type="expression" dxfId="31" priority="54" stopIfTrue="1">
      <formula>"esterreur(reference)"</formula>
    </cfRule>
  </conditionalFormatting>
  <conditionalFormatting sqref="Q198:Q209">
    <cfRule type="expression" dxfId="30" priority="53" stopIfTrue="1">
      <formula>"esterreur(reference)"</formula>
    </cfRule>
  </conditionalFormatting>
  <conditionalFormatting sqref="Q211:Q228">
    <cfRule type="expression" dxfId="29" priority="47" stopIfTrue="1">
      <formula>"esterreur(reference)"</formula>
    </cfRule>
  </conditionalFormatting>
  <conditionalFormatting sqref="Q254:Q265">
    <cfRule type="expression" dxfId="28" priority="45" stopIfTrue="1">
      <formula>"esterreur(reference)"</formula>
    </cfRule>
  </conditionalFormatting>
  <conditionalFormatting sqref="Q267:Q284">
    <cfRule type="expression" dxfId="27" priority="40" stopIfTrue="1">
      <formula>"esterreur(reference)"</formula>
    </cfRule>
  </conditionalFormatting>
  <conditionalFormatting sqref="Q318:Q329">
    <cfRule type="expression" dxfId="26" priority="38" stopIfTrue="1">
      <formula>"esterreur(reference)"</formula>
    </cfRule>
  </conditionalFormatting>
  <conditionalFormatting sqref="Q331:Q348">
    <cfRule type="expression" dxfId="25" priority="36" stopIfTrue="1">
      <formula>"esterreur(reference)"</formula>
    </cfRule>
  </conditionalFormatting>
  <conditionalFormatting sqref="R312">
    <cfRule type="expression" dxfId="24" priority="104" stopIfTrue="1">
      <formula>"esterreur(reference)"</formula>
    </cfRule>
  </conditionalFormatting>
  <conditionalFormatting sqref="S186">
    <cfRule type="expression" dxfId="23" priority="75" stopIfTrue="1">
      <formula>"esterreur(reference)"</formula>
    </cfRule>
  </conditionalFormatting>
  <conditionalFormatting sqref="Z425:Z427">
    <cfRule type="cellIs" dxfId="22" priority="24" operator="greaterThan">
      <formula>0</formula>
    </cfRule>
  </conditionalFormatting>
  <conditionalFormatting sqref="Z432">
    <cfRule type="cellIs" dxfId="21" priority="21" operator="greaterThan">
      <formula>0</formula>
    </cfRule>
  </conditionalFormatting>
  <conditionalFormatting sqref="Z449:Z451">
    <cfRule type="cellIs" dxfId="20" priority="17" operator="greaterThan">
      <formula>0</formula>
    </cfRule>
  </conditionalFormatting>
  <conditionalFormatting sqref="Z463:Z465">
    <cfRule type="cellIs" dxfId="19" priority="13" operator="greaterThan">
      <formula>0</formula>
    </cfRule>
  </conditionalFormatting>
  <conditionalFormatting sqref="Z478:Z479">
    <cfRule type="cellIs" dxfId="18" priority="10" operator="greaterThan">
      <formula>0</formula>
    </cfRule>
  </conditionalFormatting>
  <conditionalFormatting sqref="Z495:Z497">
    <cfRule type="cellIs" dxfId="17" priority="7" operator="greaterThan">
      <formula>0</formula>
    </cfRule>
  </conditionalFormatting>
  <conditionalFormatting sqref="AC425:AC427">
    <cfRule type="cellIs" dxfId="16" priority="25" operator="greaterThan">
      <formula>0</formula>
    </cfRule>
  </conditionalFormatting>
  <conditionalFormatting sqref="AC432">
    <cfRule type="cellIs" dxfId="15" priority="22" operator="greaterThan">
      <formula>0</formula>
    </cfRule>
  </conditionalFormatting>
  <conditionalFormatting sqref="AC449:AC451">
    <cfRule type="cellIs" dxfId="14" priority="18" operator="greaterThan">
      <formula>0</formula>
    </cfRule>
  </conditionalFormatting>
  <conditionalFormatting sqref="AC463:AC465">
    <cfRule type="cellIs" dxfId="13" priority="14" operator="greaterThan">
      <formula>0</formula>
    </cfRule>
  </conditionalFormatting>
  <conditionalFormatting sqref="AC478:AC479">
    <cfRule type="cellIs" dxfId="12" priority="11" operator="greaterThan">
      <formula>0</formula>
    </cfRule>
  </conditionalFormatting>
  <conditionalFormatting sqref="AC495:AC497">
    <cfRule type="cellIs" dxfId="11" priority="8" operator="greaterThan">
      <formula>0</formula>
    </cfRule>
  </conditionalFormatting>
  <conditionalFormatting sqref="AG409:AI418">
    <cfRule type="cellIs" dxfId="10" priority="27" operator="greaterThan">
      <formula>0</formula>
    </cfRule>
  </conditionalFormatting>
  <conditionalFormatting sqref="AH449:AH452">
    <cfRule type="cellIs" dxfId="9" priority="19" operator="greaterThan">
      <formula>0</formula>
    </cfRule>
  </conditionalFormatting>
  <conditionalFormatting sqref="AH461:AH466">
    <cfRule type="cellIs" dxfId="8" priority="15" operator="greaterThan">
      <formula>0</formula>
    </cfRule>
  </conditionalFormatting>
  <conditionalFormatting sqref="AH420:AI448">
    <cfRule type="cellIs" dxfId="7" priority="23" operator="greaterThan">
      <formula>0</formula>
    </cfRule>
  </conditionalFormatting>
  <conditionalFormatting sqref="AH453:AI460 AH467:AI468">
    <cfRule type="cellIs" dxfId="6" priority="105" operator="greaterThan">
      <formula>0</formula>
    </cfRule>
  </conditionalFormatting>
  <conditionalFormatting sqref="AH469:AI477 AH480:AI480">
    <cfRule type="cellIs" dxfId="5" priority="106" operator="lessThan">
      <formula>0</formula>
    </cfRule>
  </conditionalFormatting>
  <conditionalFormatting sqref="AH478:AI479">
    <cfRule type="cellIs" dxfId="4" priority="12" operator="greaterThan">
      <formula>0</formula>
    </cfRule>
  </conditionalFormatting>
  <conditionalFormatting sqref="AH491:AI497">
    <cfRule type="cellIs" dxfId="3" priority="9" operator="greaterThan">
      <formula>0</formula>
    </cfRule>
  </conditionalFormatting>
  <conditionalFormatting sqref="AI449:AI451">
    <cfRule type="cellIs" dxfId="2" priority="20" operator="greaterThan">
      <formula>0</formula>
    </cfRule>
  </conditionalFormatting>
  <conditionalFormatting sqref="AI463:AI465">
    <cfRule type="cellIs" dxfId="1" priority="16" operator="greaterThan">
      <formula>0</formula>
    </cfRule>
  </conditionalFormatting>
  <conditionalFormatting sqref="AO409:AO418">
    <cfRule type="cellIs" dxfId="0" priority="26" operator="greaterThan">
      <formula>0</formula>
    </cfRule>
  </conditionalFormatting>
  <printOptions horizontalCentered="1"/>
  <pageMargins left="0.25" right="0.25" top="0.75" bottom="0.75" header="0.3" footer="0.3"/>
  <pageSetup scale="41" fitToHeight="0" orientation="landscape" r:id="rId1"/>
  <rowBreaks count="6" manualBreakCount="6">
    <brk id="86" min="2" max="19" man="1"/>
    <brk id="166" max="16383" man="1"/>
    <brk id="234" max="16383" man="1"/>
    <brk id="290" min="2" max="19" man="1"/>
    <brk id="354" max="16383" man="1"/>
    <brk id="499" max="16383" man="1"/>
  </rowBreaks>
  <colBreaks count="2" manualBreakCount="2">
    <brk id="2" max="1048575" man="1"/>
    <brk id="21" max="696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Feuil28"/>
  <dimension ref="A1"/>
  <sheetViews>
    <sheetView workbookViewId="0">
      <selection sqref="A1:XFD1048576"/>
    </sheetView>
  </sheetViews>
  <sheetFormatPr baseColWidth="10"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7</vt:i4>
      </vt:variant>
      <vt:variant>
        <vt:lpstr>Plages nommées</vt:lpstr>
      </vt:variant>
      <vt:variant>
        <vt:i4>2</vt:i4>
      </vt:variant>
    </vt:vector>
  </HeadingPairs>
  <TitlesOfParts>
    <vt:vector size="9" baseType="lpstr">
      <vt:lpstr>Paramètre</vt:lpstr>
      <vt:lpstr>Conso</vt:lpstr>
      <vt:lpstr>START</vt:lpstr>
      <vt:lpstr>Mois 1</vt:lpstr>
      <vt:lpstr>Mois 2</vt:lpstr>
      <vt:lpstr>Mois 3</vt:lpstr>
      <vt:lpstr>END</vt:lpstr>
      <vt:lpstr>Conso!Zone_d_impression</vt:lpstr>
      <vt:lpstr>'Mois 3'!Zone_d_impression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2024-10-09T15:23:59Z</cp:lastPrinted>
  <dcterms:created xsi:type="dcterms:W3CDTF">2021-02-12T03:12:48Z</dcterms:created>
  <dcterms:modified xsi:type="dcterms:W3CDTF">2024-10-09T15:24:01Z</dcterms:modified>
</cp:coreProperties>
</file>