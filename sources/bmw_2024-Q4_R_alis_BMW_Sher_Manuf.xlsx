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4- Dossier de fin d'année\2024 Dossier de fin d'année BMW Sh\"/>
    </mc:Choice>
  </mc:AlternateContent>
  <xr:revisionPtr revIDLastSave="0" documentId="13_ncr:1_{99A7D25F-871A-41A4-AEBB-FCC500727F25}" xr6:coauthVersionLast="47" xr6:coauthVersionMax="47" xr10:uidLastSave="{00000000-0000-0000-0000-000000000000}"/>
  <bookViews>
    <workbookView xWindow="28680" yWindow="-120" windowWidth="29040" windowHeight="15720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Conso!$C$1:$S$353,Conso!$V$402:$AO$498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99" i="6" l="1"/>
  <c r="A498" i="6"/>
  <c r="AO497" i="6"/>
  <c r="A497" i="6"/>
  <c r="A496" i="6"/>
  <c r="AO496" i="6" s="1"/>
  <c r="A495" i="6"/>
  <c r="AO495" i="6" s="1"/>
  <c r="AO494" i="6"/>
  <c r="AN494" i="6"/>
  <c r="A494" i="6"/>
  <c r="AI494" i="6" s="1"/>
  <c r="AI493" i="6"/>
  <c r="A493" i="6"/>
  <c r="AO493" i="6" s="1"/>
  <c r="AO492" i="6"/>
  <c r="A492" i="6"/>
  <c r="A491" i="6"/>
  <c r="A490" i="6"/>
  <c r="A489" i="6"/>
  <c r="A488" i="6"/>
  <c r="A487" i="6"/>
  <c r="A486" i="6"/>
  <c r="A484" i="6"/>
  <c r="A483" i="6"/>
  <c r="AO482" i="6"/>
  <c r="AN482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R468" i="6"/>
  <c r="AR483" i="6" s="1"/>
  <c r="A468" i="6"/>
  <c r="AO467" i="6"/>
  <c r="AN467" i="6"/>
  <c r="AH467" i="6"/>
  <c r="A467" i="6"/>
  <c r="A466" i="6"/>
  <c r="A465" i="6"/>
  <c r="A464" i="6"/>
  <c r="A463" i="6"/>
  <c r="A462" i="6"/>
  <c r="A461" i="6"/>
  <c r="AO460" i="6"/>
  <c r="AN460" i="6"/>
  <c r="A460" i="6"/>
  <c r="AH459" i="6"/>
  <c r="A459" i="6"/>
  <c r="A458" i="6"/>
  <c r="AQ457" i="6"/>
  <c r="A457" i="6"/>
  <c r="A456" i="6"/>
  <c r="A455" i="6"/>
  <c r="AN455" i="6" s="1"/>
  <c r="AI454" i="6"/>
  <c r="AH454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Q439" i="6"/>
  <c r="A439" i="6"/>
  <c r="AQ438" i="6"/>
  <c r="A438" i="6"/>
  <c r="AQ437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N420" i="6"/>
  <c r="AO420" i="6" s="1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S394" i="6"/>
  <c r="A394" i="6"/>
  <c r="A393" i="6"/>
  <c r="S392" i="6"/>
  <c r="A392" i="6"/>
  <c r="A391" i="6"/>
  <c r="S390" i="6"/>
  <c r="A390" i="6"/>
  <c r="A389" i="6"/>
  <c r="S388" i="6"/>
  <c r="A388" i="6"/>
  <c r="A387" i="6"/>
  <c r="A386" i="6"/>
  <c r="A385" i="6"/>
  <c r="S384" i="6"/>
  <c r="A384" i="6"/>
  <c r="A383" i="6"/>
  <c r="S382" i="6"/>
  <c r="A382" i="6"/>
  <c r="A381" i="6"/>
  <c r="S380" i="6"/>
  <c r="A380" i="6"/>
  <c r="A379" i="6"/>
  <c r="A378" i="6"/>
  <c r="A377" i="6"/>
  <c r="A376" i="6"/>
  <c r="S375" i="6"/>
  <c r="A375" i="6"/>
  <c r="S374" i="6"/>
  <c r="A374" i="6"/>
  <c r="S373" i="6"/>
  <c r="A373" i="6"/>
  <c r="A372" i="6"/>
  <c r="A371" i="6"/>
  <c r="S370" i="6"/>
  <c r="A370" i="6"/>
  <c r="A369" i="6"/>
  <c r="A368" i="6"/>
  <c r="A367" i="6"/>
  <c r="A366" i="6"/>
  <c r="F377" i="6"/>
  <c r="A365" i="6"/>
  <c r="A364" i="6"/>
  <c r="A363" i="6"/>
  <c r="L362" i="6"/>
  <c r="K362" i="6"/>
  <c r="D362" i="6"/>
  <c r="E362" i="6" s="1"/>
  <c r="A362" i="6"/>
  <c r="A361" i="6"/>
  <c r="K360" i="6"/>
  <c r="J362" i="6"/>
  <c r="F362" i="6"/>
  <c r="A360" i="6"/>
  <c r="A359" i="6"/>
  <c r="A348" i="6"/>
  <c r="A347" i="6"/>
  <c r="S346" i="6"/>
  <c r="A346" i="6"/>
  <c r="S345" i="6"/>
  <c r="A345" i="6"/>
  <c r="A344" i="6"/>
  <c r="N343" i="6"/>
  <c r="S343" i="6"/>
  <c r="A343" i="6"/>
  <c r="S342" i="6"/>
  <c r="N342" i="6"/>
  <c r="A342" i="6"/>
  <c r="A341" i="6"/>
  <c r="S340" i="6"/>
  <c r="N340" i="6"/>
  <c r="A340" i="6"/>
  <c r="S339" i="6"/>
  <c r="A339" i="6"/>
  <c r="A338" i="6"/>
  <c r="S337" i="6"/>
  <c r="A337" i="6"/>
  <c r="N336" i="6"/>
  <c r="A336" i="6"/>
  <c r="A335" i="6"/>
  <c r="A334" i="6"/>
  <c r="A333" i="6"/>
  <c r="S332" i="6"/>
  <c r="N332" i="6"/>
  <c r="A332" i="6"/>
  <c r="A331" i="6"/>
  <c r="A330" i="6"/>
  <c r="S329" i="6"/>
  <c r="N329" i="6"/>
  <c r="A329" i="6"/>
  <c r="A328" i="6"/>
  <c r="S327" i="6"/>
  <c r="N327" i="6"/>
  <c r="A327" i="6"/>
  <c r="A326" i="6"/>
  <c r="S325" i="6"/>
  <c r="A325" i="6"/>
  <c r="N325" i="6" s="1"/>
  <c r="N324" i="6"/>
  <c r="A324" i="6"/>
  <c r="A323" i="6"/>
  <c r="S323" i="6" s="1"/>
  <c r="N322" i="6"/>
  <c r="A322" i="6"/>
  <c r="A321" i="6"/>
  <c r="S320" i="6"/>
  <c r="N320" i="6"/>
  <c r="A320" i="6"/>
  <c r="A319" i="6"/>
  <c r="A318" i="6"/>
  <c r="A317" i="6"/>
  <c r="A316" i="6"/>
  <c r="A315" i="6"/>
  <c r="A314" i="6"/>
  <c r="A313" i="6"/>
  <c r="K312" i="6"/>
  <c r="A312" i="6"/>
  <c r="A311" i="6"/>
  <c r="A310" i="6"/>
  <c r="A309" i="6"/>
  <c r="E308" i="6"/>
  <c r="A308" i="6"/>
  <c r="R307" i="6"/>
  <c r="N307" i="6"/>
  <c r="K307" i="6"/>
  <c r="M307" i="6"/>
  <c r="A307" i="6"/>
  <c r="A306" i="6"/>
  <c r="A305" i="6"/>
  <c r="J304" i="6"/>
  <c r="A304" i="6"/>
  <c r="R303" i="6"/>
  <c r="K303" i="6"/>
  <c r="N303" i="6"/>
  <c r="A303" i="6"/>
  <c r="E303" i="6" s="1"/>
  <c r="S302" i="6"/>
  <c r="R302" i="6"/>
  <c r="N302" i="6"/>
  <c r="K302" i="6"/>
  <c r="E302" i="6"/>
  <c r="A302" i="6"/>
  <c r="K301" i="6"/>
  <c r="A301" i="6"/>
  <c r="E300" i="6"/>
  <c r="A300" i="6"/>
  <c r="R299" i="6"/>
  <c r="P299" i="6"/>
  <c r="E299" i="6"/>
  <c r="M299" i="6"/>
  <c r="A299" i="6"/>
  <c r="A298" i="6"/>
  <c r="M297" i="6"/>
  <c r="E297" i="6"/>
  <c r="A297" i="6"/>
  <c r="R296" i="6"/>
  <c r="P296" i="6"/>
  <c r="S296" i="6"/>
  <c r="K296" i="6"/>
  <c r="M296" i="6"/>
  <c r="A296" i="6"/>
  <c r="K295" i="6"/>
  <c r="A295" i="6"/>
  <c r="A294" i="6"/>
  <c r="A284" i="6"/>
  <c r="S284" i="6" s="1"/>
  <c r="A283" i="6"/>
  <c r="A282" i="6"/>
  <c r="N281" i="6"/>
  <c r="A281" i="6"/>
  <c r="A280" i="6"/>
  <c r="A279" i="6"/>
  <c r="A278" i="6"/>
  <c r="N277" i="6"/>
  <c r="A277" i="6"/>
  <c r="S276" i="6"/>
  <c r="N276" i="6"/>
  <c r="A276" i="6"/>
  <c r="S275" i="6"/>
  <c r="N275" i="6"/>
  <c r="A275" i="6"/>
  <c r="S274" i="6"/>
  <c r="N274" i="6"/>
  <c r="A274" i="6"/>
  <c r="S273" i="6"/>
  <c r="N273" i="6"/>
  <c r="A273" i="6"/>
  <c r="A272" i="6"/>
  <c r="S271" i="6"/>
  <c r="A271" i="6"/>
  <c r="A270" i="6"/>
  <c r="S269" i="6"/>
  <c r="A269" i="6"/>
  <c r="A268" i="6"/>
  <c r="N267" i="6"/>
  <c r="A267" i="6"/>
  <c r="L266" i="6"/>
  <c r="A266" i="6"/>
  <c r="A265" i="6"/>
  <c r="S265" i="6" s="1"/>
  <c r="A264" i="6"/>
  <c r="A263" i="6"/>
  <c r="S262" i="6"/>
  <c r="N262" i="6"/>
  <c r="A262" i="6"/>
  <c r="A261" i="6"/>
  <c r="N260" i="6"/>
  <c r="A260" i="6"/>
  <c r="S259" i="6"/>
  <c r="N259" i="6"/>
  <c r="A259" i="6"/>
  <c r="N258" i="6"/>
  <c r="S258" i="6"/>
  <c r="A258" i="6"/>
  <c r="A257" i="6"/>
  <c r="S256" i="6"/>
  <c r="A256" i="6"/>
  <c r="N256" i="6" s="1"/>
  <c r="S255" i="6"/>
  <c r="A255" i="6"/>
  <c r="N255" i="6" s="1"/>
  <c r="A254" i="6"/>
  <c r="A253" i="6"/>
  <c r="A252" i="6"/>
  <c r="A251" i="6"/>
  <c r="A250" i="6"/>
  <c r="A249" i="6"/>
  <c r="S248" i="6"/>
  <c r="Q248" i="6"/>
  <c r="L248" i="6"/>
  <c r="F248" i="6"/>
  <c r="A248" i="6"/>
  <c r="R247" i="6"/>
  <c r="S247" i="6"/>
  <c r="M247" i="6"/>
  <c r="A247" i="6"/>
  <c r="A246" i="6"/>
  <c r="A245" i="6"/>
  <c r="A244" i="6"/>
  <c r="A243" i="6"/>
  <c r="A242" i="6"/>
  <c r="A241" i="6"/>
  <c r="A240" i="6"/>
  <c r="A239" i="6"/>
  <c r="N232" i="6"/>
  <c r="S228" i="6"/>
  <c r="A228" i="6"/>
  <c r="S227" i="6"/>
  <c r="N227" i="6"/>
  <c r="A227" i="6"/>
  <c r="N226" i="6"/>
  <c r="A226" i="6"/>
  <c r="S225" i="6"/>
  <c r="A225" i="6"/>
  <c r="N225" i="6" s="1"/>
  <c r="S224" i="6"/>
  <c r="N224" i="6"/>
  <c r="A224" i="6"/>
  <c r="A223" i="6"/>
  <c r="S223" i="6" s="1"/>
  <c r="N222" i="6"/>
  <c r="A222" i="6"/>
  <c r="A221" i="6"/>
  <c r="N220" i="6"/>
  <c r="S220" i="6"/>
  <c r="A220" i="6"/>
  <c r="A219" i="6"/>
  <c r="S218" i="6"/>
  <c r="A218" i="6"/>
  <c r="N218" i="6" s="1"/>
  <c r="S217" i="6"/>
  <c r="N217" i="6"/>
  <c r="A217" i="6"/>
  <c r="S216" i="6"/>
  <c r="A216" i="6"/>
  <c r="A215" i="6"/>
  <c r="A214" i="6"/>
  <c r="N213" i="6"/>
  <c r="S213" i="6"/>
  <c r="A213" i="6"/>
  <c r="A212" i="6"/>
  <c r="A211" i="6"/>
  <c r="A210" i="6"/>
  <c r="S209" i="6"/>
  <c r="N209" i="6"/>
  <c r="A209" i="6"/>
  <c r="S208" i="6"/>
  <c r="A208" i="6"/>
  <c r="N208" i="6" s="1"/>
  <c r="A207" i="6"/>
  <c r="S206" i="6"/>
  <c r="N206" i="6"/>
  <c r="A206" i="6"/>
  <c r="A205" i="6"/>
  <c r="A204" i="6"/>
  <c r="A203" i="6"/>
  <c r="A202" i="6"/>
  <c r="S201" i="6"/>
  <c r="A201" i="6"/>
  <c r="N201" i="6" s="1"/>
  <c r="S200" i="6"/>
  <c r="N200" i="6"/>
  <c r="A200" i="6"/>
  <c r="N199" i="6"/>
  <c r="A199" i="6"/>
  <c r="S198" i="6"/>
  <c r="A198" i="6"/>
  <c r="A197" i="6"/>
  <c r="A196" i="6"/>
  <c r="A195" i="6"/>
  <c r="A194" i="6"/>
  <c r="A193" i="6"/>
  <c r="L192" i="6"/>
  <c r="A192" i="6"/>
  <c r="A191" i="6"/>
  <c r="A190" i="6"/>
  <c r="A189" i="6"/>
  <c r="R188" i="6"/>
  <c r="L189" i="6"/>
  <c r="A188" i="6"/>
  <c r="A187" i="6"/>
  <c r="A186" i="6"/>
  <c r="A185" i="6"/>
  <c r="A184" i="6"/>
  <c r="A183" i="6"/>
  <c r="M182" i="6"/>
  <c r="A182" i="6"/>
  <c r="R181" i="6"/>
  <c r="A181" i="6"/>
  <c r="A180" i="6"/>
  <c r="R179" i="6"/>
  <c r="A179" i="6"/>
  <c r="L179" i="6"/>
  <c r="A178" i="6"/>
  <c r="A177" i="6"/>
  <c r="A176" i="6"/>
  <c r="J185" i="6"/>
  <c r="A175" i="6"/>
  <c r="A174" i="6"/>
  <c r="A173" i="6"/>
  <c r="A172" i="6"/>
  <c r="A171" i="6"/>
  <c r="S162" i="6"/>
  <c r="A162" i="6"/>
  <c r="A161" i="6"/>
  <c r="S160" i="6"/>
  <c r="A160" i="6"/>
  <c r="V159" i="6"/>
  <c r="A159" i="6"/>
  <c r="A158" i="6"/>
  <c r="A157" i="6"/>
  <c r="A156" i="6"/>
  <c r="A155" i="6"/>
  <c r="A154" i="6"/>
  <c r="A153" i="6"/>
  <c r="A152" i="6"/>
  <c r="A151" i="6"/>
  <c r="A150" i="6"/>
  <c r="S149" i="6"/>
  <c r="A149" i="6"/>
  <c r="A148" i="6"/>
  <c r="S147" i="6"/>
  <c r="N147" i="6"/>
  <c r="A147" i="6"/>
  <c r="N146" i="6"/>
  <c r="A146" i="6"/>
  <c r="A145" i="6"/>
  <c r="S145" i="6" s="1"/>
  <c r="S144" i="6"/>
  <c r="A144" i="6"/>
  <c r="A143" i="6"/>
  <c r="N142" i="6"/>
  <c r="S142" i="6"/>
  <c r="A142" i="6"/>
  <c r="N141" i="6"/>
  <c r="A141" i="6"/>
  <c r="A140" i="6"/>
  <c r="S140" i="6" s="1"/>
  <c r="A139" i="6"/>
  <c r="S138" i="6"/>
  <c r="A138" i="6"/>
  <c r="N137" i="6"/>
  <c r="S137" i="6"/>
  <c r="A137" i="6"/>
  <c r="N136" i="6"/>
  <c r="A136" i="6"/>
  <c r="A135" i="6"/>
  <c r="S134" i="6"/>
  <c r="A134" i="6"/>
  <c r="S133" i="6"/>
  <c r="A133" i="6"/>
  <c r="A132" i="6"/>
  <c r="A131" i="6"/>
  <c r="A130" i="6"/>
  <c r="S130" i="6" s="1"/>
  <c r="S129" i="6"/>
  <c r="A129" i="6"/>
  <c r="N128" i="6"/>
  <c r="A128" i="6"/>
  <c r="N127" i="6"/>
  <c r="A127" i="6"/>
  <c r="N126" i="6"/>
  <c r="A126" i="6"/>
  <c r="S125" i="6"/>
  <c r="A125" i="6"/>
  <c r="N125" i="6" s="1"/>
  <c r="S124" i="6"/>
  <c r="N124" i="6"/>
  <c r="A124" i="6"/>
  <c r="S123" i="6"/>
  <c r="A123" i="6"/>
  <c r="A122" i="6"/>
  <c r="A121" i="6"/>
  <c r="N120" i="6"/>
  <c r="A120" i="6"/>
  <c r="N119" i="6"/>
  <c r="A119" i="6"/>
  <c r="A118" i="6"/>
  <c r="S117" i="6"/>
  <c r="A117" i="6"/>
  <c r="A116" i="6"/>
  <c r="S115" i="6"/>
  <c r="N115" i="6"/>
  <c r="A115" i="6"/>
  <c r="A114" i="6"/>
  <c r="A113" i="6"/>
  <c r="A112" i="6"/>
  <c r="A111" i="6"/>
  <c r="A110" i="6"/>
  <c r="A109" i="6"/>
  <c r="A108" i="6"/>
  <c r="A107" i="6"/>
  <c r="A106" i="6"/>
  <c r="A105" i="6"/>
  <c r="S104" i="6"/>
  <c r="E104" i="6"/>
  <c r="A104" i="6"/>
  <c r="E103" i="6"/>
  <c r="A103" i="6"/>
  <c r="A102" i="6"/>
  <c r="F105" i="6" s="1"/>
  <c r="A101" i="6"/>
  <c r="K100" i="6"/>
  <c r="A100" i="6"/>
  <c r="A99" i="6"/>
  <c r="A98" i="6"/>
  <c r="A97" i="6"/>
  <c r="A96" i="6"/>
  <c r="A95" i="6"/>
  <c r="S94" i="6"/>
  <c r="P94" i="6"/>
  <c r="E94" i="6"/>
  <c r="A94" i="6"/>
  <c r="A93" i="6"/>
  <c r="S89" i="6"/>
  <c r="B85" i="6"/>
  <c r="A85" i="6"/>
  <c r="B84" i="6"/>
  <c r="A84" i="6"/>
  <c r="B83" i="6"/>
  <c r="A83" i="6"/>
  <c r="B82" i="6"/>
  <c r="B81" i="6"/>
  <c r="A81" i="6"/>
  <c r="S80" i="6"/>
  <c r="N80" i="6"/>
  <c r="B80" i="6"/>
  <c r="A80" i="6"/>
  <c r="S79" i="6"/>
  <c r="B79" i="6"/>
  <c r="A79" i="6"/>
  <c r="N79" i="6" s="1"/>
  <c r="N78" i="6"/>
  <c r="B78" i="6"/>
  <c r="A78" i="6"/>
  <c r="N77" i="6"/>
  <c r="B77" i="6"/>
  <c r="A77" i="6"/>
  <c r="S77" i="6" s="1"/>
  <c r="B76" i="6"/>
  <c r="A76" i="6"/>
  <c r="B75" i="6"/>
  <c r="A75" i="6"/>
  <c r="B74" i="6"/>
  <c r="A74" i="6"/>
  <c r="B73" i="6"/>
  <c r="A73" i="6"/>
  <c r="B72" i="6"/>
  <c r="A72" i="6" s="1"/>
  <c r="B71" i="6"/>
  <c r="A71" i="6"/>
  <c r="B70" i="6"/>
  <c r="A70" i="6"/>
  <c r="S69" i="6"/>
  <c r="N69" i="6"/>
  <c r="B69" i="6"/>
  <c r="A69" i="6"/>
  <c r="B68" i="6"/>
  <c r="A68" i="6"/>
  <c r="B67" i="6"/>
  <c r="A67" i="6"/>
  <c r="B66" i="6"/>
  <c r="A66" i="6"/>
  <c r="B65" i="6"/>
  <c r="S64" i="6"/>
  <c r="B64" i="6"/>
  <c r="A64" i="6"/>
  <c r="N63" i="6"/>
  <c r="B63" i="6"/>
  <c r="A63" i="6"/>
  <c r="S63" i="6" s="1"/>
  <c r="B62" i="6"/>
  <c r="A62" i="6" s="1"/>
  <c r="B61" i="6"/>
  <c r="A61" i="6"/>
  <c r="B60" i="6"/>
  <c r="A60" i="6"/>
  <c r="S59" i="6"/>
  <c r="B59" i="6"/>
  <c r="A59" i="6"/>
  <c r="S58" i="6"/>
  <c r="B58" i="6"/>
  <c r="A58" i="6"/>
  <c r="B57" i="6"/>
  <c r="A57" i="6"/>
  <c r="B56" i="6"/>
  <c r="N55" i="6"/>
  <c r="B55" i="6"/>
  <c r="A55" i="6" s="1"/>
  <c r="B54" i="6"/>
  <c r="A54" i="6"/>
  <c r="S53" i="6"/>
  <c r="B53" i="6"/>
  <c r="A53" i="6" s="1"/>
  <c r="S52" i="6"/>
  <c r="B52" i="6"/>
  <c r="A52" i="6"/>
  <c r="B51" i="6"/>
  <c r="B50" i="6"/>
  <c r="B49" i="6"/>
  <c r="B48" i="6"/>
  <c r="A48" i="6"/>
  <c r="N47" i="6"/>
  <c r="B47" i="6"/>
  <c r="A47" i="6" s="1"/>
  <c r="B46" i="6"/>
  <c r="A46" i="6"/>
  <c r="B45" i="6"/>
  <c r="A45" i="6"/>
  <c r="B44" i="6"/>
  <c r="A44" i="6" s="1"/>
  <c r="B43" i="6"/>
  <c r="A43" i="6"/>
  <c r="B42" i="6"/>
  <c r="A42" i="6"/>
  <c r="B41" i="6"/>
  <c r="A41" i="6"/>
  <c r="K40" i="6"/>
  <c r="B40" i="6"/>
  <c r="A40" i="6"/>
  <c r="S39" i="6"/>
  <c r="N39" i="6"/>
  <c r="K39" i="6"/>
  <c r="B39" i="6"/>
  <c r="A39" i="6" s="1"/>
  <c r="B38" i="6"/>
  <c r="A38" i="6"/>
  <c r="B37" i="6"/>
  <c r="B36" i="6"/>
  <c r="A36" i="6"/>
  <c r="S35" i="6"/>
  <c r="N35" i="6"/>
  <c r="B35" i="6"/>
  <c r="A35" i="6"/>
  <c r="B34" i="6"/>
  <c r="A34" i="6" s="1"/>
  <c r="B33" i="6"/>
  <c r="A33" i="6"/>
  <c r="B32" i="6"/>
  <c r="A32" i="6"/>
  <c r="B31" i="6"/>
  <c r="A31" i="6" s="1"/>
  <c r="B30" i="6"/>
  <c r="A30" i="6" s="1"/>
  <c r="B29" i="6"/>
  <c r="A29" i="6"/>
  <c r="B28" i="6"/>
  <c r="A28" i="6" s="1"/>
  <c r="B27" i="6"/>
  <c r="A27" i="6"/>
  <c r="B26" i="6"/>
  <c r="A26" i="6"/>
  <c r="B25" i="6"/>
  <c r="A25" i="6"/>
  <c r="B24" i="6"/>
  <c r="A24" i="6" s="1"/>
  <c r="B23" i="6"/>
  <c r="A23" i="6"/>
  <c r="B22" i="6"/>
  <c r="A22" i="6"/>
  <c r="E21" i="6"/>
  <c r="B21" i="6"/>
  <c r="A21" i="6"/>
  <c r="B20" i="6"/>
  <c r="A20" i="6"/>
  <c r="R19" i="6"/>
  <c r="S19" i="6"/>
  <c r="E19" i="6"/>
  <c r="B19" i="6"/>
  <c r="A19" i="6"/>
  <c r="B18" i="6"/>
  <c r="A18" i="6" s="1"/>
  <c r="B17" i="6"/>
  <c r="B16" i="6"/>
  <c r="A16" i="6" s="1"/>
  <c r="K15" i="6"/>
  <c r="E15" i="6"/>
  <c r="B15" i="6"/>
  <c r="A15" i="6"/>
  <c r="B14" i="6"/>
  <c r="A14" i="6"/>
  <c r="B13" i="6"/>
  <c r="A13" i="6"/>
  <c r="B12" i="6"/>
  <c r="B11" i="6"/>
  <c r="B10" i="6"/>
  <c r="A10" i="6"/>
  <c r="P10" i="6" s="1"/>
  <c r="B9" i="6"/>
  <c r="A9" i="6"/>
  <c r="B8" i="6"/>
  <c r="A8" i="6"/>
  <c r="S7" i="6"/>
  <c r="P7" i="6"/>
  <c r="N7" i="6"/>
  <c r="E7" i="6"/>
  <c r="B7" i="6"/>
  <c r="A7" i="6"/>
  <c r="B6" i="6"/>
  <c r="B5" i="6"/>
  <c r="D53" i="6" s="1"/>
  <c r="C89" i="6"/>
  <c r="N9" i="6" l="1"/>
  <c r="S9" i="6"/>
  <c r="N34" i="6"/>
  <c r="S21" i="6"/>
  <c r="N62" i="6"/>
  <c r="S62" i="6"/>
  <c r="S23" i="6"/>
  <c r="S8" i="6"/>
  <c r="N38" i="6"/>
  <c r="N46" i="6"/>
  <c r="S46" i="6"/>
  <c r="A49" i="6"/>
  <c r="N53" i="6"/>
  <c r="A65" i="6"/>
  <c r="S76" i="6"/>
  <c r="N76" i="6"/>
  <c r="N81" i="6"/>
  <c r="R94" i="6"/>
  <c r="J97" i="6"/>
  <c r="M94" i="6"/>
  <c r="K94" i="6"/>
  <c r="N102" i="6"/>
  <c r="N104" i="6"/>
  <c r="N121" i="6"/>
  <c r="N100" i="6"/>
  <c r="N118" i="6"/>
  <c r="S150" i="6"/>
  <c r="N150" i="6"/>
  <c r="S161" i="6"/>
  <c r="N161" i="6"/>
  <c r="F179" i="6"/>
  <c r="N179" i="6" s="1"/>
  <c r="R10" i="6"/>
  <c r="S32" i="6"/>
  <c r="M7" i="6"/>
  <c r="A12" i="6"/>
  <c r="A56" i="6"/>
  <c r="A5" i="6"/>
  <c r="K7" i="6"/>
  <c r="N36" i="6"/>
  <c r="S70" i="6"/>
  <c r="S81" i="6"/>
  <c r="S96" i="6"/>
  <c r="K186" i="6"/>
  <c r="E8" i="6"/>
  <c r="S22" i="6"/>
  <c r="E22" i="6"/>
  <c r="N58" i="6"/>
  <c r="N68" i="6"/>
  <c r="S71" i="6"/>
  <c r="S113" i="6"/>
  <c r="N113" i="6"/>
  <c r="P9" i="6"/>
  <c r="E9" i="6"/>
  <c r="K10" i="6"/>
  <c r="S103" i="6"/>
  <c r="N103" i="6"/>
  <c r="L105" i="6"/>
  <c r="S148" i="6"/>
  <c r="N148" i="6"/>
  <c r="M15" i="6"/>
  <c r="N23" i="6"/>
  <c r="E23" i="6"/>
  <c r="R95" i="6"/>
  <c r="O97" i="6"/>
  <c r="P119" i="6" s="1"/>
  <c r="N33" i="6"/>
  <c r="S33" i="6"/>
  <c r="S36" i="6"/>
  <c r="S38" i="6"/>
  <c r="S40" i="6"/>
  <c r="A50" i="6"/>
  <c r="N52" i="6"/>
  <c r="S61" i="6"/>
  <c r="S66" i="6"/>
  <c r="N71" i="6"/>
  <c r="O113" i="6"/>
  <c r="N116" i="6"/>
  <c r="S34" i="6"/>
  <c r="N8" i="6"/>
  <c r="E10" i="6"/>
  <c r="A11" i="6"/>
  <c r="N15" i="6"/>
  <c r="N19" i="6"/>
  <c r="K38" i="6"/>
  <c r="R15" i="6"/>
  <c r="P8" i="6"/>
  <c r="AF463" i="6"/>
  <c r="AF465" i="6"/>
  <c r="A37" i="6"/>
  <c r="S47" i="6"/>
  <c r="V82" i="6"/>
  <c r="F163" i="6"/>
  <c r="Q192" i="6"/>
  <c r="F192" i="6"/>
  <c r="N205" i="6"/>
  <c r="S205" i="6"/>
  <c r="S60" i="6"/>
  <c r="Z439" i="6"/>
  <c r="S143" i="6"/>
  <c r="N143" i="6"/>
  <c r="S55" i="6"/>
  <c r="N96" i="6"/>
  <c r="N42" i="6"/>
  <c r="S42" i="6"/>
  <c r="AL424" i="6"/>
  <c r="N45" i="6"/>
  <c r="N43" i="6"/>
  <c r="N75" i="6"/>
  <c r="S75" i="6"/>
  <c r="L83" i="6"/>
  <c r="M172" i="6"/>
  <c r="N48" i="6"/>
  <c r="S48" i="6"/>
  <c r="N22" i="6"/>
  <c r="N32" i="6"/>
  <c r="A6" i="6"/>
  <c r="R7" i="6"/>
  <c r="A17" i="6"/>
  <c r="N57" i="6"/>
  <c r="S57" i="6"/>
  <c r="N59" i="6"/>
  <c r="S67" i="6"/>
  <c r="N67" i="6"/>
  <c r="P183" i="6"/>
  <c r="F24" i="6"/>
  <c r="S43" i="6"/>
  <c r="A51" i="6"/>
  <c r="D113" i="6"/>
  <c r="S112" i="6"/>
  <c r="L122" i="6"/>
  <c r="N112" i="6"/>
  <c r="N117" i="6"/>
  <c r="S120" i="6"/>
  <c r="S78" i="6"/>
  <c r="A82" i="6"/>
  <c r="S119" i="6"/>
  <c r="S128" i="6"/>
  <c r="N131" i="6"/>
  <c r="S131" i="6"/>
  <c r="S146" i="6"/>
  <c r="S157" i="6"/>
  <c r="S159" i="6"/>
  <c r="M178" i="6"/>
  <c r="R178" i="6"/>
  <c r="K95" i="6"/>
  <c r="Q105" i="6"/>
  <c r="N123" i="6"/>
  <c r="S126" i="6"/>
  <c r="N133" i="6"/>
  <c r="N140" i="6"/>
  <c r="N144" i="6"/>
  <c r="N157" i="6"/>
  <c r="M175" i="6"/>
  <c r="S202" i="6"/>
  <c r="N202" i="6"/>
  <c r="S214" i="6"/>
  <c r="S221" i="6"/>
  <c r="S68" i="6"/>
  <c r="N70" i="6"/>
  <c r="S114" i="6"/>
  <c r="L176" i="6"/>
  <c r="L97" i="6"/>
  <c r="J112" i="6" s="1"/>
  <c r="AF438" i="6"/>
  <c r="V485" i="6"/>
  <c r="A485" i="6" s="1"/>
  <c r="Z442" i="6"/>
  <c r="Z443" i="6"/>
  <c r="V402" i="6"/>
  <c r="Z431" i="6"/>
  <c r="AL448" i="6"/>
  <c r="C291" i="6"/>
  <c r="C356" i="6" s="1"/>
  <c r="AL472" i="6"/>
  <c r="AO472" i="6" s="1"/>
  <c r="C236" i="6"/>
  <c r="C168" i="6"/>
  <c r="AL440" i="6" s="1"/>
  <c r="AO440" i="6" s="1"/>
  <c r="AF409" i="6"/>
  <c r="S15" i="6"/>
  <c r="N64" i="6"/>
  <c r="M96" i="6"/>
  <c r="F122" i="6"/>
  <c r="L135" i="6"/>
  <c r="N129" i="6"/>
  <c r="AO402" i="6"/>
  <c r="AO485" i="6"/>
  <c r="S356" i="6"/>
  <c r="S291" i="6"/>
  <c r="S236" i="6"/>
  <c r="N61" i="6"/>
  <c r="N94" i="6"/>
  <c r="M95" i="6"/>
  <c r="K96" i="6"/>
  <c r="N114" i="6"/>
  <c r="N134" i="6"/>
  <c r="N138" i="6"/>
  <c r="S168" i="6"/>
  <c r="R175" i="6"/>
  <c r="S199" i="6"/>
  <c r="N214" i="6"/>
  <c r="Q135" i="6"/>
  <c r="S136" i="6"/>
  <c r="N151" i="6"/>
  <c r="L153" i="6"/>
  <c r="K185" i="6"/>
  <c r="N207" i="6"/>
  <c r="S207" i="6"/>
  <c r="Q266" i="6"/>
  <c r="S158" i="6"/>
  <c r="L173" i="6"/>
  <c r="N178" i="6"/>
  <c r="S178" i="6"/>
  <c r="S203" i="6"/>
  <c r="N203" i="6"/>
  <c r="F250" i="6"/>
  <c r="F245" i="6"/>
  <c r="S321" i="6"/>
  <c r="S127" i="6"/>
  <c r="S132" i="6"/>
  <c r="N145" i="6"/>
  <c r="N149" i="6"/>
  <c r="S156" i="6"/>
  <c r="N158" i="6"/>
  <c r="N160" i="6"/>
  <c r="N162" i="6"/>
  <c r="S344" i="6"/>
  <c r="N344" i="6"/>
  <c r="L24" i="6"/>
  <c r="J32" i="6" s="1"/>
  <c r="N21" i="6"/>
  <c r="N66" i="6"/>
  <c r="P95" i="6"/>
  <c r="E102" i="6"/>
  <c r="N132" i="6"/>
  <c r="S151" i="6"/>
  <c r="N156" i="6"/>
  <c r="M181" i="6"/>
  <c r="Q210" i="6"/>
  <c r="N204" i="6"/>
  <c r="N223" i="6"/>
  <c r="N130" i="6"/>
  <c r="L163" i="6"/>
  <c r="K174" i="6"/>
  <c r="L250" i="6"/>
  <c r="L245" i="6"/>
  <c r="K266" i="6"/>
  <c r="N244" i="6"/>
  <c r="N245" i="6" s="1"/>
  <c r="F304" i="6"/>
  <c r="F309" i="6" s="1"/>
  <c r="F314" i="6" s="1"/>
  <c r="N298" i="6"/>
  <c r="K298" i="6"/>
  <c r="S298" i="6"/>
  <c r="N139" i="6"/>
  <c r="S139" i="6"/>
  <c r="S141" i="6"/>
  <c r="N152" i="6"/>
  <c r="Q163" i="6"/>
  <c r="L185" i="6"/>
  <c r="S172" i="6"/>
  <c r="L210" i="6"/>
  <c r="N198" i="6"/>
  <c r="N216" i="6"/>
  <c r="L287" i="6"/>
  <c r="S100" i="6"/>
  <c r="S152" i="6"/>
  <c r="N159" i="6"/>
  <c r="Q176" i="6"/>
  <c r="F176" i="6"/>
  <c r="Q179" i="6"/>
  <c r="N181" i="6"/>
  <c r="S278" i="6"/>
  <c r="N278" i="6"/>
  <c r="S184" i="6"/>
  <c r="N184" i="6"/>
  <c r="S226" i="6"/>
  <c r="S212" i="6"/>
  <c r="N212" i="6"/>
  <c r="N215" i="6"/>
  <c r="S257" i="6"/>
  <c r="N257" i="6"/>
  <c r="P300" i="6"/>
  <c r="R300" i="6"/>
  <c r="J309" i="6"/>
  <c r="K304" i="6"/>
  <c r="S387" i="6"/>
  <c r="N221" i="6"/>
  <c r="S254" i="6"/>
  <c r="S264" i="6"/>
  <c r="S268" i="6"/>
  <c r="K308" i="6"/>
  <c r="M308" i="6"/>
  <c r="S219" i="6"/>
  <c r="N219" i="6"/>
  <c r="F266" i="6"/>
  <c r="P297" i="6"/>
  <c r="R297" i="6"/>
  <c r="S261" i="6"/>
  <c r="S272" i="6"/>
  <c r="R295" i="6"/>
  <c r="R308" i="6"/>
  <c r="P308" i="6"/>
  <c r="R360" i="6"/>
  <c r="O362" i="6"/>
  <c r="Q377" i="6"/>
  <c r="L229" i="6"/>
  <c r="L285" i="6"/>
  <c r="Q189" i="6"/>
  <c r="S215" i="6"/>
  <c r="S222" i="6"/>
  <c r="F242" i="6"/>
  <c r="M244" i="6"/>
  <c r="N272" i="6"/>
  <c r="M295" i="6"/>
  <c r="K297" i="6"/>
  <c r="S308" i="6"/>
  <c r="N308" i="6"/>
  <c r="S335" i="6"/>
  <c r="S297" i="6"/>
  <c r="N297" i="6"/>
  <c r="M312" i="6"/>
  <c r="E312" i="6"/>
  <c r="M241" i="6"/>
  <c r="S263" i="6"/>
  <c r="N265" i="6"/>
  <c r="N270" i="6"/>
  <c r="N284" i="6"/>
  <c r="N295" i="6"/>
  <c r="L304" i="6"/>
  <c r="N296" i="6"/>
  <c r="L330" i="6"/>
  <c r="S319" i="6"/>
  <c r="N319" i="6"/>
  <c r="L377" i="6"/>
  <c r="S366" i="6"/>
  <c r="AN459" i="6"/>
  <c r="AO459" i="6" s="1"/>
  <c r="N228" i="6"/>
  <c r="L242" i="6"/>
  <c r="R244" i="6"/>
  <c r="N248" i="6"/>
  <c r="N254" i="6"/>
  <c r="N263" i="6"/>
  <c r="L182" i="6"/>
  <c r="M188" i="6"/>
  <c r="N241" i="6"/>
  <c r="N242" i="6" s="1"/>
  <c r="S270" i="6"/>
  <c r="N279" i="6"/>
  <c r="S281" i="6"/>
  <c r="P295" i="6"/>
  <c r="N301" i="6"/>
  <c r="S303" i="6"/>
  <c r="P307" i="6"/>
  <c r="N312" i="6"/>
  <c r="AN496" i="6"/>
  <c r="R241" i="6"/>
  <c r="P250" i="6"/>
  <c r="S279" i="6"/>
  <c r="P312" i="6"/>
  <c r="Q349" i="6"/>
  <c r="N333" i="6"/>
  <c r="S333" i="6"/>
  <c r="S282" i="6"/>
  <c r="L349" i="6"/>
  <c r="S244" i="6"/>
  <c r="N264" i="6"/>
  <c r="N282" i="6"/>
  <c r="K285" i="6"/>
  <c r="P303" i="6"/>
  <c r="S312" i="6"/>
  <c r="R312" i="6" s="1"/>
  <c r="N323" i="6"/>
  <c r="N326" i="6"/>
  <c r="N269" i="6"/>
  <c r="N271" i="6"/>
  <c r="S277" i="6"/>
  <c r="K300" i="6"/>
  <c r="P302" i="6"/>
  <c r="S326" i="6"/>
  <c r="S328" i="6"/>
  <c r="N328" i="6"/>
  <c r="N334" i="6"/>
  <c r="S341" i="6"/>
  <c r="N341" i="6"/>
  <c r="S393" i="6"/>
  <c r="Q242" i="6"/>
  <c r="E250" i="6"/>
  <c r="S280" i="6"/>
  <c r="N280" i="6"/>
  <c r="S283" i="6"/>
  <c r="K299" i="6"/>
  <c r="S299" i="6"/>
  <c r="S300" i="6"/>
  <c r="N300" i="6"/>
  <c r="S301" i="6"/>
  <c r="E307" i="6"/>
  <c r="E377" i="6"/>
  <c r="S368" i="6"/>
  <c r="S386" i="6"/>
  <c r="N247" i="6"/>
  <c r="K250" i="6"/>
  <c r="L251" i="6" s="1"/>
  <c r="S260" i="6"/>
  <c r="S267" i="6"/>
  <c r="N283" i="6"/>
  <c r="E295" i="6"/>
  <c r="E296" i="6"/>
  <c r="N299" i="6"/>
  <c r="M300" i="6"/>
  <c r="N321" i="6"/>
  <c r="S322" i="6"/>
  <c r="S324" i="6"/>
  <c r="S334" i="6"/>
  <c r="S360" i="6"/>
  <c r="AI459" i="6"/>
  <c r="AI496" i="6"/>
  <c r="L395" i="6"/>
  <c r="K395" i="6" s="1"/>
  <c r="S381" i="6"/>
  <c r="AH420" i="6"/>
  <c r="AI420" i="6" s="1"/>
  <c r="AH457" i="6"/>
  <c r="AI457" i="6" s="1"/>
  <c r="AN469" i="6"/>
  <c r="AH493" i="6"/>
  <c r="S307" i="6"/>
  <c r="N335" i="6"/>
  <c r="N337" i="6"/>
  <c r="N339" i="6"/>
  <c r="N347" i="6"/>
  <c r="S371" i="6"/>
  <c r="AN493" i="6"/>
  <c r="AN497" i="6"/>
  <c r="S347" i="6"/>
  <c r="S376" i="6"/>
  <c r="S378" i="6"/>
  <c r="AI460" i="6"/>
  <c r="N345" i="6"/>
  <c r="S369" i="6"/>
  <c r="F395" i="6"/>
  <c r="Q395" i="6"/>
  <c r="P395" i="6" s="1"/>
  <c r="S391" i="6"/>
  <c r="AH477" i="6"/>
  <c r="AI477" i="6" s="1"/>
  <c r="AI491" i="6"/>
  <c r="S379" i="6"/>
  <c r="S385" i="6"/>
  <c r="AH460" i="6"/>
  <c r="AN491" i="6"/>
  <c r="AO491" i="6" s="1"/>
  <c r="AH494" i="6"/>
  <c r="S367" i="6"/>
  <c r="AN453" i="6"/>
  <c r="AO455" i="6"/>
  <c r="AN477" i="6"/>
  <c r="AO477" i="6" s="1"/>
  <c r="AH491" i="6"/>
  <c r="S338" i="6"/>
  <c r="S348" i="6"/>
  <c r="E360" i="6"/>
  <c r="S372" i="6"/>
  <c r="AO456" i="6"/>
  <c r="AI456" i="6"/>
  <c r="S336" i="6"/>
  <c r="N338" i="6"/>
  <c r="N348" i="6"/>
  <c r="S365" i="6"/>
  <c r="S389" i="6"/>
  <c r="AN458" i="6"/>
  <c r="AO458" i="6" s="1"/>
  <c r="AH461" i="6"/>
  <c r="AN495" i="6"/>
  <c r="N346" i="6"/>
  <c r="S383" i="6"/>
  <c r="AN461" i="6"/>
  <c r="AO461" i="6" s="1"/>
  <c r="AN492" i="6"/>
  <c r="AH496" i="6"/>
  <c r="AH469" i="6"/>
  <c r="AI469" i="6" s="1"/>
  <c r="AH458" i="6"/>
  <c r="AI492" i="6"/>
  <c r="E395" i="6" l="1"/>
  <c r="F397" i="6"/>
  <c r="E266" i="6"/>
  <c r="N266" i="6"/>
  <c r="K17" i="6"/>
  <c r="F189" i="6"/>
  <c r="N188" i="6"/>
  <c r="P377" i="6"/>
  <c r="Q397" i="6"/>
  <c r="P397" i="6" s="1"/>
  <c r="F173" i="6"/>
  <c r="F185" i="6"/>
  <c r="Z476" i="6"/>
  <c r="Z474" i="6"/>
  <c r="Z436" i="6"/>
  <c r="AF416" i="6"/>
  <c r="AL444" i="6"/>
  <c r="AF436" i="6"/>
  <c r="AL443" i="6"/>
  <c r="AL412" i="6"/>
  <c r="AL439" i="6"/>
  <c r="N175" i="6"/>
  <c r="F229" i="6"/>
  <c r="N211" i="6"/>
  <c r="N51" i="6"/>
  <c r="S51" i="6"/>
  <c r="S44" i="6"/>
  <c r="N44" i="6"/>
  <c r="N105" i="6"/>
  <c r="N106" i="6" s="1"/>
  <c r="S105" i="6"/>
  <c r="AH409" i="6"/>
  <c r="P174" i="6"/>
  <c r="P185" i="6"/>
  <c r="P194" i="6" s="1"/>
  <c r="M298" i="6"/>
  <c r="E298" i="6"/>
  <c r="R362" i="6"/>
  <c r="P362" i="6"/>
  <c r="AF479" i="6"/>
  <c r="Z421" i="6"/>
  <c r="Z424" i="6"/>
  <c r="AF417" i="6"/>
  <c r="Z441" i="6"/>
  <c r="F153" i="6"/>
  <c r="F155" i="6" s="1"/>
  <c r="F210" i="6"/>
  <c r="Z429" i="6"/>
  <c r="AL429" i="6"/>
  <c r="P115" i="6"/>
  <c r="R9" i="6"/>
  <c r="M9" i="6"/>
  <c r="K9" i="6"/>
  <c r="K117" i="6"/>
  <c r="K118" i="6"/>
  <c r="K115" i="6"/>
  <c r="K102" i="6"/>
  <c r="R102" i="6" s="1"/>
  <c r="K119" i="6"/>
  <c r="K116" i="6"/>
  <c r="K103" i="6"/>
  <c r="R103" i="6" s="1"/>
  <c r="K120" i="6"/>
  <c r="J105" i="6"/>
  <c r="K97" i="6"/>
  <c r="K114" i="6"/>
  <c r="K112" i="6"/>
  <c r="M97" i="6"/>
  <c r="M98" i="6" s="1"/>
  <c r="K121" i="6"/>
  <c r="K104" i="6"/>
  <c r="R104" i="6" s="1"/>
  <c r="K113" i="6"/>
  <c r="J108" i="6"/>
  <c r="P298" i="6"/>
  <c r="R298" i="6"/>
  <c r="Z430" i="6"/>
  <c r="AL430" i="6"/>
  <c r="P116" i="6"/>
  <c r="S116" i="6"/>
  <c r="Q54" i="6"/>
  <c r="AF476" i="6"/>
  <c r="N172" i="6"/>
  <c r="AF434" i="6"/>
  <c r="AF451" i="6"/>
  <c r="Z446" i="6"/>
  <c r="N318" i="6"/>
  <c r="F330" i="6"/>
  <c r="S185" i="6"/>
  <c r="N185" i="6"/>
  <c r="N186" i="6" s="1"/>
  <c r="L186" i="6"/>
  <c r="L194" i="6"/>
  <c r="AF424" i="6"/>
  <c r="AL438" i="6"/>
  <c r="Z471" i="6"/>
  <c r="AL447" i="6"/>
  <c r="AL446" i="6"/>
  <c r="AF435" i="6"/>
  <c r="AL442" i="6"/>
  <c r="Q153" i="6"/>
  <c r="Q41" i="6"/>
  <c r="L41" i="6"/>
  <c r="S31" i="6"/>
  <c r="N31" i="6"/>
  <c r="Q185" i="6"/>
  <c r="M100" i="6"/>
  <c r="E100" i="6"/>
  <c r="R8" i="6"/>
  <c r="M8" i="6"/>
  <c r="K8" i="6"/>
  <c r="R97" i="6"/>
  <c r="R98" i="6" s="1"/>
  <c r="P100" i="6"/>
  <c r="R100" i="6"/>
  <c r="P177" i="6"/>
  <c r="F251" i="6"/>
  <c r="AF440" i="6"/>
  <c r="AL422" i="6"/>
  <c r="AF450" i="6"/>
  <c r="Z434" i="6"/>
  <c r="AO457" i="6"/>
  <c r="AN457" i="6"/>
  <c r="P360" i="6"/>
  <c r="Q362" i="6"/>
  <c r="Q330" i="6"/>
  <c r="S330" i="6" s="1"/>
  <c r="S318" i="6"/>
  <c r="S295" i="6"/>
  <c r="S377" i="6"/>
  <c r="K377" i="6"/>
  <c r="L397" i="6"/>
  <c r="Q285" i="6"/>
  <c r="Q287" i="6" s="1"/>
  <c r="S287" i="6" s="1"/>
  <c r="S175" i="6"/>
  <c r="K194" i="6"/>
  <c r="AF406" i="6" s="1"/>
  <c r="AL434" i="6"/>
  <c r="AL431" i="6"/>
  <c r="AF473" i="6"/>
  <c r="AF443" i="6"/>
  <c r="AF441" i="6"/>
  <c r="Z409" i="6"/>
  <c r="AL470" i="6"/>
  <c r="AF472" i="6"/>
  <c r="Z438" i="6"/>
  <c r="Z444" i="6"/>
  <c r="Q173" i="6"/>
  <c r="O108" i="6"/>
  <c r="P114" i="6"/>
  <c r="O105" i="6"/>
  <c r="P105" i="6" s="1"/>
  <c r="P112" i="6"/>
  <c r="P113" i="6"/>
  <c r="P117" i="6"/>
  <c r="AH455" i="6"/>
  <c r="AI455" i="6" s="1"/>
  <c r="S395" i="6"/>
  <c r="AF430" i="6"/>
  <c r="AN454" i="6"/>
  <c r="AO454" i="6" s="1"/>
  <c r="AN456" i="6"/>
  <c r="AO469" i="6"/>
  <c r="F349" i="6"/>
  <c r="E349" i="6" s="1"/>
  <c r="N261" i="6"/>
  <c r="N163" i="6"/>
  <c r="N24" i="6"/>
  <c r="N25" i="6" s="1"/>
  <c r="S163" i="6"/>
  <c r="S153" i="6"/>
  <c r="AF447" i="6"/>
  <c r="Z413" i="6"/>
  <c r="AF427" i="6"/>
  <c r="AF448" i="6"/>
  <c r="AF446" i="6"/>
  <c r="Z414" i="6"/>
  <c r="AL475" i="6"/>
  <c r="AO475" i="6" s="1"/>
  <c r="Z472" i="6"/>
  <c r="AF475" i="6"/>
  <c r="AF439" i="6"/>
  <c r="S241" i="6"/>
  <c r="S242" i="6" s="1"/>
  <c r="E17" i="6"/>
  <c r="S17" i="6"/>
  <c r="P17" i="6"/>
  <c r="N17" i="6"/>
  <c r="L54" i="6"/>
  <c r="K12" i="6"/>
  <c r="Q24" i="6"/>
  <c r="S24" i="6" s="1"/>
  <c r="K229" i="6"/>
  <c r="S229" i="6"/>
  <c r="N229" i="6"/>
  <c r="Q229" i="6"/>
  <c r="Q231" i="6" s="1"/>
  <c r="S211" i="6"/>
  <c r="L289" i="6"/>
  <c r="N250" i="6"/>
  <c r="N251" i="6" s="1"/>
  <c r="P121" i="6"/>
  <c r="S121" i="6"/>
  <c r="AL414" i="6"/>
  <c r="AF432" i="6"/>
  <c r="AL473" i="6"/>
  <c r="AO473" i="6" s="1"/>
  <c r="AF478" i="6"/>
  <c r="AL410" i="6"/>
  <c r="AF442" i="6"/>
  <c r="Z447" i="6"/>
  <c r="F135" i="6"/>
  <c r="S11" i="6"/>
  <c r="K11" i="6"/>
  <c r="W159" i="6"/>
  <c r="N210" i="6"/>
  <c r="L231" i="6"/>
  <c r="K210" i="6"/>
  <c r="S210" i="6"/>
  <c r="L351" i="6"/>
  <c r="N330" i="6"/>
  <c r="O304" i="6"/>
  <c r="S135" i="6"/>
  <c r="N135" i="6"/>
  <c r="Z422" i="6"/>
  <c r="Z411" i="6"/>
  <c r="AL437" i="6"/>
  <c r="AF464" i="6"/>
  <c r="AF466" i="6" s="1"/>
  <c r="AL474" i="6"/>
  <c r="AF431" i="6"/>
  <c r="AF410" i="6"/>
  <c r="AF419" i="6" s="1"/>
  <c r="Z475" i="6"/>
  <c r="AL409" i="6"/>
  <c r="AN409" i="6" s="1"/>
  <c r="AF415" i="6"/>
  <c r="AF445" i="6"/>
  <c r="AF471" i="6"/>
  <c r="P118" i="6"/>
  <c r="N122" i="6"/>
  <c r="L155" i="6"/>
  <c r="J13" i="6"/>
  <c r="AE409" i="6" s="1"/>
  <c r="M6" i="6"/>
  <c r="K6" i="6"/>
  <c r="N10" i="6"/>
  <c r="S10" i="6"/>
  <c r="P11" i="6"/>
  <c r="E11" i="6"/>
  <c r="J113" i="6"/>
  <c r="P15" i="6"/>
  <c r="S56" i="6"/>
  <c r="Q182" i="6"/>
  <c r="S181" i="6"/>
  <c r="P301" i="6"/>
  <c r="R301" i="6"/>
  <c r="J314" i="6"/>
  <c r="S266" i="6"/>
  <c r="S204" i="6"/>
  <c r="AF429" i="6"/>
  <c r="Z470" i="6"/>
  <c r="AF470" i="6"/>
  <c r="AF412" i="6"/>
  <c r="AL436" i="6"/>
  <c r="Z412" i="6"/>
  <c r="AL476" i="6"/>
  <c r="AO476" i="6" s="1"/>
  <c r="AF414" i="6"/>
  <c r="Z448" i="6"/>
  <c r="AF474" i="6"/>
  <c r="S106" i="6"/>
  <c r="R96" i="6"/>
  <c r="P96" i="6"/>
  <c r="E12" i="6"/>
  <c r="P12" i="6"/>
  <c r="Q122" i="6"/>
  <c r="AL445" i="6"/>
  <c r="Z445" i="6"/>
  <c r="N60" i="6"/>
  <c r="M301" i="6"/>
  <c r="E301" i="6"/>
  <c r="F285" i="6"/>
  <c r="E285" i="6" s="1"/>
  <c r="N268" i="6"/>
  <c r="N285" i="6" s="1"/>
  <c r="K287" i="6"/>
  <c r="N12" i="6"/>
  <c r="S12" i="6"/>
  <c r="S118" i="6"/>
  <c r="N65" i="6"/>
  <c r="AI458" i="6"/>
  <c r="AH492" i="6"/>
  <c r="AF411" i="6"/>
  <c r="AF422" i="6"/>
  <c r="AF421" i="6"/>
  <c r="AL421" i="6"/>
  <c r="AF480" i="6"/>
  <c r="L108" i="6"/>
  <c r="D32" i="6"/>
  <c r="AO453" i="6"/>
  <c r="N331" i="6"/>
  <c r="N349" i="6" s="1"/>
  <c r="F182" i="6"/>
  <c r="Q97" i="6"/>
  <c r="O185" i="6"/>
  <c r="R172" i="6"/>
  <c r="Z437" i="6"/>
  <c r="AL411" i="6"/>
  <c r="Z410" i="6"/>
  <c r="AL423" i="6"/>
  <c r="AF426" i="6"/>
  <c r="Z440" i="6"/>
  <c r="AI440" i="6" s="1"/>
  <c r="Z423" i="6"/>
  <c r="AL413" i="6"/>
  <c r="S82" i="6"/>
  <c r="S83" i="6" s="1"/>
  <c r="S95" i="6"/>
  <c r="S97" i="6" s="1"/>
  <c r="S45" i="6"/>
  <c r="L13" i="6"/>
  <c r="L27" i="6" s="1"/>
  <c r="N40" i="6"/>
  <c r="M10" i="6"/>
  <c r="AN438" i="6"/>
  <c r="AH438" i="6"/>
  <c r="M250" i="6"/>
  <c r="AH453" i="6"/>
  <c r="AI453" i="6" s="1"/>
  <c r="P285" i="6"/>
  <c r="S245" i="6"/>
  <c r="Q250" i="6"/>
  <c r="Q245" i="6"/>
  <c r="P287" i="6"/>
  <c r="P266" i="6"/>
  <c r="Q304" i="6"/>
  <c r="D185" i="6"/>
  <c r="Z473" i="6"/>
  <c r="AF444" i="6"/>
  <c r="F97" i="6"/>
  <c r="N97" i="6" s="1"/>
  <c r="N98" i="6" s="1"/>
  <c r="N95" i="6"/>
  <c r="E95" i="6"/>
  <c r="E96" i="6"/>
  <c r="D97" i="6"/>
  <c r="AH456" i="6"/>
  <c r="AI461" i="6"/>
  <c r="D304" i="6"/>
  <c r="S331" i="6"/>
  <c r="S349" i="6" s="1"/>
  <c r="S304" i="6"/>
  <c r="L309" i="6"/>
  <c r="N304" i="6"/>
  <c r="N305" i="6" s="1"/>
  <c r="S285" i="6"/>
  <c r="P120" i="6"/>
  <c r="E185" i="6"/>
  <c r="E194" i="6" s="1"/>
  <c r="E174" i="6"/>
  <c r="S188" i="6"/>
  <c r="AF449" i="6"/>
  <c r="AF437" i="6"/>
  <c r="AF425" i="6"/>
  <c r="AF423" i="6"/>
  <c r="AF428" i="6"/>
  <c r="AL471" i="6"/>
  <c r="AL441" i="6"/>
  <c r="AF413" i="6"/>
  <c r="AF418" i="6"/>
  <c r="L72" i="6"/>
  <c r="K72" i="6" s="1"/>
  <c r="E116" i="6"/>
  <c r="P180" i="6"/>
  <c r="S102" i="6"/>
  <c r="S231" i="6" l="1"/>
  <c r="K231" i="6"/>
  <c r="AH413" i="6"/>
  <c r="AN413" i="6"/>
  <c r="AE413" i="6"/>
  <c r="S65" i="6"/>
  <c r="S72" i="6" s="1"/>
  <c r="D13" i="6"/>
  <c r="E6" i="6"/>
  <c r="AN470" i="6"/>
  <c r="AO470" i="6" s="1"/>
  <c r="AH470" i="6"/>
  <c r="AF481" i="6"/>
  <c r="AN445" i="6"/>
  <c r="AO445" i="6" s="1"/>
  <c r="AH445" i="6"/>
  <c r="L402" i="6"/>
  <c r="S289" i="6"/>
  <c r="R12" i="6"/>
  <c r="AI438" i="6"/>
  <c r="F351" i="6"/>
  <c r="E330" i="6"/>
  <c r="AE417" i="6"/>
  <c r="F194" i="6"/>
  <c r="F186" i="6"/>
  <c r="L165" i="6"/>
  <c r="AE415" i="6"/>
  <c r="K135" i="6"/>
  <c r="AI447" i="6"/>
  <c r="AI414" i="6"/>
  <c r="Y414" i="6"/>
  <c r="AN472" i="6"/>
  <c r="AH472" i="6"/>
  <c r="AI472" i="6" s="1"/>
  <c r="S397" i="6"/>
  <c r="K397" i="6"/>
  <c r="L399" i="6"/>
  <c r="AO442" i="6"/>
  <c r="E229" i="6"/>
  <c r="F287" i="6"/>
  <c r="AH412" i="6"/>
  <c r="AN412" i="6"/>
  <c r="AE412" i="6"/>
  <c r="F13" i="6"/>
  <c r="N6" i="6"/>
  <c r="AH429" i="6"/>
  <c r="AN429" i="6"/>
  <c r="AO429" i="6" s="1"/>
  <c r="AO409" i="6"/>
  <c r="AK409" i="6"/>
  <c r="O309" i="6"/>
  <c r="P304" i="6"/>
  <c r="R304" i="6"/>
  <c r="AN442" i="6"/>
  <c r="AH442" i="6"/>
  <c r="AI442" i="6" s="1"/>
  <c r="M12" i="6"/>
  <c r="AN446" i="6"/>
  <c r="AH446" i="6"/>
  <c r="AN440" i="6"/>
  <c r="AH440" i="6"/>
  <c r="AH435" i="6"/>
  <c r="AN466" i="6"/>
  <c r="Q289" i="6"/>
  <c r="Q251" i="6"/>
  <c r="R250" i="6" s="1"/>
  <c r="AL415" i="6"/>
  <c r="AN415" i="6" s="1"/>
  <c r="AI445" i="6"/>
  <c r="O13" i="6"/>
  <c r="AK410" i="6" s="1"/>
  <c r="P6" i="6"/>
  <c r="AH444" i="6"/>
  <c r="AN444" i="6"/>
  <c r="AO444" i="6" s="1"/>
  <c r="R185" i="6"/>
  <c r="S186" i="6" s="1"/>
  <c r="P186" i="6"/>
  <c r="P122" i="6"/>
  <c r="Q155" i="6"/>
  <c r="F72" i="6"/>
  <c r="Z435" i="6"/>
  <c r="M13" i="6"/>
  <c r="K54" i="6"/>
  <c r="AH448" i="6"/>
  <c r="AN448" i="6"/>
  <c r="AO448" i="6" s="1"/>
  <c r="Y409" i="6"/>
  <c r="AM409" i="6" s="1"/>
  <c r="AI409" i="6"/>
  <c r="AO446" i="6"/>
  <c r="AI446" i="6"/>
  <c r="K105" i="6"/>
  <c r="E397" i="6"/>
  <c r="F399" i="6"/>
  <c r="AE418" i="6"/>
  <c r="L85" i="6"/>
  <c r="AN410" i="6"/>
  <c r="AO410" i="6" s="1"/>
  <c r="AH410" i="6"/>
  <c r="AI410" i="6" s="1"/>
  <c r="AE410" i="6"/>
  <c r="AN441" i="6"/>
  <c r="AH441" i="6"/>
  <c r="AI441" i="6" s="1"/>
  <c r="Q186" i="6"/>
  <c r="Q194" i="6"/>
  <c r="S194" i="6" s="1"/>
  <c r="S195" i="6" s="1"/>
  <c r="AO412" i="6"/>
  <c r="AI444" i="6"/>
  <c r="N309" i="6"/>
  <c r="N310" i="6" s="1"/>
  <c r="L314" i="6"/>
  <c r="F108" i="6"/>
  <c r="E135" i="6" s="1"/>
  <c r="D112" i="6"/>
  <c r="S98" i="6"/>
  <c r="Q108" i="6"/>
  <c r="S108" i="6" s="1"/>
  <c r="O112" i="6"/>
  <c r="Q72" i="6"/>
  <c r="Q74" i="6" s="1"/>
  <c r="AL435" i="6"/>
  <c r="AL452" i="6" s="1"/>
  <c r="N82" i="6"/>
  <c r="N83" i="6" s="1"/>
  <c r="Z480" i="6"/>
  <c r="AH480" i="6" s="1"/>
  <c r="AI480" i="6" s="1"/>
  <c r="AH431" i="6"/>
  <c r="AI431" i="6" s="1"/>
  <c r="AN431" i="6"/>
  <c r="AO431" i="6" s="1"/>
  <c r="N56" i="6"/>
  <c r="N72" i="6" s="1"/>
  <c r="Y413" i="6"/>
  <c r="AI413" i="6"/>
  <c r="AN443" i="6"/>
  <c r="AO443" i="6" s="1"/>
  <c r="AH443" i="6"/>
  <c r="AI443" i="6" s="1"/>
  <c r="AF452" i="6"/>
  <c r="AN434" i="6"/>
  <c r="AO434" i="6" s="1"/>
  <c r="AH434" i="6"/>
  <c r="AI429" i="6"/>
  <c r="AH471" i="6"/>
  <c r="AI471" i="6" s="1"/>
  <c r="AN471" i="6"/>
  <c r="AO471" i="6" s="1"/>
  <c r="S250" i="6"/>
  <c r="Q13" i="6"/>
  <c r="S6" i="6"/>
  <c r="S13" i="6" s="1"/>
  <c r="AH474" i="6"/>
  <c r="AI474" i="6" s="1"/>
  <c r="AN474" i="6"/>
  <c r="AO474" i="6" s="1"/>
  <c r="R6" i="6"/>
  <c r="Q309" i="6"/>
  <c r="S305" i="6"/>
  <c r="AI448" i="6"/>
  <c r="K155" i="6"/>
  <c r="N155" i="6"/>
  <c r="N351" i="6"/>
  <c r="R11" i="6"/>
  <c r="S25" i="6"/>
  <c r="O32" i="6"/>
  <c r="AN447" i="6"/>
  <c r="AO447" i="6" s="1"/>
  <c r="AH447" i="6"/>
  <c r="P97" i="6"/>
  <c r="AN473" i="6"/>
  <c r="AH473" i="6"/>
  <c r="AI473" i="6" s="1"/>
  <c r="Q351" i="6"/>
  <c r="S351" i="6" s="1"/>
  <c r="AO438" i="6"/>
  <c r="F231" i="6"/>
  <c r="E231" i="6" s="1"/>
  <c r="S50" i="6"/>
  <c r="AN436" i="6"/>
  <c r="AO436" i="6" s="1"/>
  <c r="AH436" i="6"/>
  <c r="Z415" i="6"/>
  <c r="Z419" i="6" s="1"/>
  <c r="AN480" i="6"/>
  <c r="AO480" i="6" s="1"/>
  <c r="AH421" i="6"/>
  <c r="AI421" i="6" s="1"/>
  <c r="AN421" i="6"/>
  <c r="AO421" i="6" s="1"/>
  <c r="AF433" i="6"/>
  <c r="J27" i="6"/>
  <c r="K22" i="6"/>
  <c r="R22" i="6" s="1"/>
  <c r="K13" i="6"/>
  <c r="K23" i="6"/>
  <c r="R23" i="6" s="1"/>
  <c r="K21" i="6"/>
  <c r="R21" i="6" s="1"/>
  <c r="J24" i="6"/>
  <c r="AN437" i="6"/>
  <c r="AH437" i="6"/>
  <c r="AI437" i="6" s="1"/>
  <c r="AE414" i="6"/>
  <c r="AH414" i="6"/>
  <c r="AN414" i="6"/>
  <c r="AO414" i="6" s="1"/>
  <c r="Q83" i="6"/>
  <c r="S122" i="6"/>
  <c r="AK414" i="6"/>
  <c r="K153" i="6"/>
  <c r="S363" i="6"/>
  <c r="Q399" i="6"/>
  <c r="S362" i="6"/>
  <c r="J31" i="6"/>
  <c r="AH424" i="6"/>
  <c r="AI424" i="6" s="1"/>
  <c r="AN424" i="6"/>
  <c r="AO424" i="6" s="1"/>
  <c r="AN476" i="6"/>
  <c r="AH476" i="6"/>
  <c r="AI476" i="6" s="1"/>
  <c r="K108" i="6"/>
  <c r="R108" i="6"/>
  <c r="R109" i="6" s="1"/>
  <c r="N37" i="6"/>
  <c r="N50" i="6"/>
  <c r="M17" i="6"/>
  <c r="AN475" i="6"/>
  <c r="AH475" i="6"/>
  <c r="AI475" i="6" s="1"/>
  <c r="N49" i="6"/>
  <c r="N54" i="6" s="1"/>
  <c r="Z428" i="6"/>
  <c r="AO441" i="6"/>
  <c r="D309" i="6"/>
  <c r="E304" i="6"/>
  <c r="M304" i="6"/>
  <c r="AO413" i="6"/>
  <c r="F54" i="6"/>
  <c r="F83" i="6"/>
  <c r="AL417" i="6"/>
  <c r="AN417" i="6" s="1"/>
  <c r="AL479" i="6"/>
  <c r="AO479" i="6" s="1"/>
  <c r="AL451" i="6"/>
  <c r="AO451" i="6" s="1"/>
  <c r="AL449" i="6"/>
  <c r="AO449" i="6" s="1"/>
  <c r="AL465" i="6"/>
  <c r="AL426" i="6"/>
  <c r="AO426" i="6" s="1"/>
  <c r="AL464" i="6"/>
  <c r="AL450" i="6"/>
  <c r="AO450" i="6" s="1"/>
  <c r="AL418" i="6"/>
  <c r="AL416" i="6"/>
  <c r="AL463" i="6"/>
  <c r="AL478" i="6"/>
  <c r="AO478" i="6" s="1"/>
  <c r="AL425" i="6"/>
  <c r="AO425" i="6" s="1"/>
  <c r="AL432" i="6"/>
  <c r="AL427" i="6"/>
  <c r="AO427" i="6" s="1"/>
  <c r="K122" i="6"/>
  <c r="AO437" i="6"/>
  <c r="M11" i="6"/>
  <c r="F41" i="6"/>
  <c r="N153" i="6"/>
  <c r="K41" i="6"/>
  <c r="L74" i="6"/>
  <c r="S41" i="6"/>
  <c r="N194" i="6"/>
  <c r="N195" i="6" s="1"/>
  <c r="L195" i="6"/>
  <c r="L233" i="6"/>
  <c r="AE416" i="6"/>
  <c r="AN416" i="6"/>
  <c r="R17" i="6"/>
  <c r="Y410" i="6"/>
  <c r="Z416" i="6"/>
  <c r="AH416" i="6" s="1"/>
  <c r="Z478" i="6"/>
  <c r="AH478" i="6" s="1"/>
  <c r="AI478" i="6" s="1"/>
  <c r="Z451" i="6"/>
  <c r="AI451" i="6" s="1"/>
  <c r="Z497" i="6"/>
  <c r="Z417" i="6"/>
  <c r="Z450" i="6"/>
  <c r="AI450" i="6" s="1"/>
  <c r="Z418" i="6"/>
  <c r="Z464" i="6"/>
  <c r="AI464" i="6" s="1"/>
  <c r="Z426" i="6"/>
  <c r="AI426" i="6" s="1"/>
  <c r="Z432" i="6"/>
  <c r="AI432" i="6" s="1"/>
  <c r="Z449" i="6"/>
  <c r="AI449" i="6" s="1"/>
  <c r="Z425" i="6"/>
  <c r="AI425" i="6" s="1"/>
  <c r="Z427" i="6"/>
  <c r="AI427" i="6" s="1"/>
  <c r="Z465" i="6"/>
  <c r="Z463" i="6"/>
  <c r="Z479" i="6"/>
  <c r="AH479" i="6" s="1"/>
  <c r="AI479" i="6" s="1"/>
  <c r="Z495" i="6"/>
  <c r="AI470" i="6"/>
  <c r="AH423" i="6"/>
  <c r="AI423" i="6" s="1"/>
  <c r="AN423" i="6"/>
  <c r="AO423" i="6" s="1"/>
  <c r="AN422" i="6"/>
  <c r="AO422" i="6" s="1"/>
  <c r="AH422" i="6"/>
  <c r="AI422" i="6" s="1"/>
  <c r="AN411" i="6"/>
  <c r="AO411" i="6" s="1"/>
  <c r="AH411" i="6"/>
  <c r="AE411" i="6"/>
  <c r="D105" i="6"/>
  <c r="E105" i="6" s="1"/>
  <c r="E114" i="6"/>
  <c r="E97" i="6"/>
  <c r="D108" i="6"/>
  <c r="E108" i="6" s="1"/>
  <c r="E119" i="6"/>
  <c r="E115" i="6"/>
  <c r="E113" i="6"/>
  <c r="E120" i="6"/>
  <c r="E118" i="6"/>
  <c r="E121" i="6"/>
  <c r="E112" i="6"/>
  <c r="E117" i="6"/>
  <c r="AH426" i="6"/>
  <c r="AI412" i="6"/>
  <c r="Y412" i="6"/>
  <c r="K309" i="6"/>
  <c r="AI411" i="6"/>
  <c r="Y411" i="6"/>
  <c r="N11" i="6"/>
  <c r="AN439" i="6"/>
  <c r="AO439" i="6" s="1"/>
  <c r="AH439" i="6"/>
  <c r="AI439" i="6" s="1"/>
  <c r="AH430" i="6"/>
  <c r="AI430" i="6" s="1"/>
  <c r="AN430" i="6"/>
  <c r="AO430" i="6" s="1"/>
  <c r="M185" i="6"/>
  <c r="AL428" i="6"/>
  <c r="S49" i="6"/>
  <c r="S54" i="6" s="1"/>
  <c r="S37" i="6"/>
  <c r="AI436" i="6"/>
  <c r="AN426" i="6" l="1"/>
  <c r="P108" i="6"/>
  <c r="AN451" i="6"/>
  <c r="P155" i="6"/>
  <c r="AH419" i="6"/>
  <c r="AI419" i="6" s="1"/>
  <c r="AO418" i="6"/>
  <c r="AK418" i="6"/>
  <c r="M24" i="6"/>
  <c r="K24" i="6"/>
  <c r="K35" i="6"/>
  <c r="K32" i="6"/>
  <c r="K36" i="6"/>
  <c r="K33" i="6"/>
  <c r="K34" i="6"/>
  <c r="K31" i="6"/>
  <c r="K37" i="6"/>
  <c r="O27" i="6"/>
  <c r="P13" i="6"/>
  <c r="O24" i="6"/>
  <c r="P309" i="6"/>
  <c r="O314" i="6"/>
  <c r="R309" i="6"/>
  <c r="Z481" i="6"/>
  <c r="Y418" i="6"/>
  <c r="AG418" i="6" s="1"/>
  <c r="AI418" i="6"/>
  <c r="AH464" i="6"/>
  <c r="E153" i="6"/>
  <c r="AH451" i="6"/>
  <c r="AN479" i="6"/>
  <c r="AL419" i="6"/>
  <c r="E287" i="6"/>
  <c r="N287" i="6"/>
  <c r="F289" i="6"/>
  <c r="F195" i="6"/>
  <c r="F233" i="6"/>
  <c r="N233" i="6" s="1"/>
  <c r="AK411" i="6"/>
  <c r="E41" i="6"/>
  <c r="F74" i="6"/>
  <c r="Y417" i="6"/>
  <c r="AI417" i="6"/>
  <c r="N314" i="6"/>
  <c r="N315" i="6" s="1"/>
  <c r="L353" i="6"/>
  <c r="K349" i="6"/>
  <c r="K330" i="6"/>
  <c r="Q233" i="6"/>
  <c r="S233" i="6" s="1"/>
  <c r="Q195" i="6"/>
  <c r="R194" i="6" s="1"/>
  <c r="P210" i="6"/>
  <c r="M105" i="6"/>
  <c r="AI435" i="6"/>
  <c r="AH417" i="6"/>
  <c r="AI497" i="6"/>
  <c r="AH497" i="6"/>
  <c r="AK413" i="6"/>
  <c r="E210" i="6"/>
  <c r="AH432" i="6"/>
  <c r="Q314" i="6"/>
  <c r="S314" i="6" s="1"/>
  <c r="AG417" i="6"/>
  <c r="AM417" i="6"/>
  <c r="AG413" i="6"/>
  <c r="AM413" i="6"/>
  <c r="M194" i="6"/>
  <c r="K27" i="6"/>
  <c r="W82" i="6"/>
  <c r="R13" i="6"/>
  <c r="R14" i="6" s="1"/>
  <c r="S309" i="6"/>
  <c r="S310" i="6" s="1"/>
  <c r="AF407" i="6"/>
  <c r="S251" i="6"/>
  <c r="AG409" i="6"/>
  <c r="AI428" i="6"/>
  <c r="F165" i="6"/>
  <c r="N165" i="6" s="1"/>
  <c r="E122" i="6"/>
  <c r="AH418" i="6"/>
  <c r="N13" i="6"/>
  <c r="N14" i="6" s="1"/>
  <c r="AH415" i="6"/>
  <c r="E351" i="6"/>
  <c r="F353" i="6"/>
  <c r="AD481" i="6"/>
  <c r="AS481" i="6"/>
  <c r="AI434" i="6"/>
  <c r="D314" i="6"/>
  <c r="E309" i="6"/>
  <c r="M309" i="6"/>
  <c r="AG414" i="6"/>
  <c r="AM414" i="6"/>
  <c r="K351" i="6"/>
  <c r="AN427" i="6"/>
  <c r="AN418" i="6"/>
  <c r="Z433" i="6"/>
  <c r="P229" i="6"/>
  <c r="F27" i="6"/>
  <c r="E72" i="6" s="1"/>
  <c r="D31" i="6"/>
  <c r="S399" i="6"/>
  <c r="P153" i="6"/>
  <c r="Z452" i="6"/>
  <c r="E155" i="6"/>
  <c r="AO415" i="6"/>
  <c r="AK415" i="6"/>
  <c r="N41" i="6"/>
  <c r="AO417" i="6"/>
  <c r="AK417" i="6"/>
  <c r="AH425" i="6"/>
  <c r="AN449" i="6"/>
  <c r="P351" i="6"/>
  <c r="AD452" i="6"/>
  <c r="AH427" i="6"/>
  <c r="AM418" i="6"/>
  <c r="AH450" i="6"/>
  <c r="AI463" i="6"/>
  <c r="AH463" i="6"/>
  <c r="Z466" i="6"/>
  <c r="AM411" i="6"/>
  <c r="AG411" i="6"/>
  <c r="S74" i="6"/>
  <c r="K74" i="6"/>
  <c r="N74" i="6"/>
  <c r="AN425" i="6"/>
  <c r="AH449" i="6"/>
  <c r="AH452" i="6" s="1"/>
  <c r="AI452" i="6" s="1"/>
  <c r="S14" i="6"/>
  <c r="Q27" i="6"/>
  <c r="P74" i="6" s="1"/>
  <c r="O31" i="6"/>
  <c r="N108" i="6"/>
  <c r="N109" i="6" s="1"/>
  <c r="AN450" i="6"/>
  <c r="N231" i="6"/>
  <c r="AI495" i="6"/>
  <c r="AH495" i="6"/>
  <c r="Y416" i="6"/>
  <c r="AG416" i="6" s="1"/>
  <c r="AI416" i="6"/>
  <c r="AL466" i="6"/>
  <c r="AO466" i="6" s="1"/>
  <c r="K314" i="6"/>
  <c r="AH428" i="6"/>
  <c r="M108" i="6"/>
  <c r="M109" i="6" s="1"/>
  <c r="AL433" i="6"/>
  <c r="Q165" i="6"/>
  <c r="S165" i="6" s="1"/>
  <c r="S109" i="6"/>
  <c r="P135" i="6"/>
  <c r="AK412" i="6"/>
  <c r="AN478" i="6"/>
  <c r="AM412" i="6"/>
  <c r="AG412" i="6"/>
  <c r="E13" i="6"/>
  <c r="D27" i="6"/>
  <c r="E27" i="6" s="1"/>
  <c r="M14" i="6"/>
  <c r="D24" i="6"/>
  <c r="AF468" i="6"/>
  <c r="AI465" i="6"/>
  <c r="AH465" i="6"/>
  <c r="AO416" i="6"/>
  <c r="AK416" i="6"/>
  <c r="AN428" i="6"/>
  <c r="AO428" i="6" s="1"/>
  <c r="AI415" i="6"/>
  <c r="Y415" i="6"/>
  <c r="AM415" i="6" s="1"/>
  <c r="S155" i="6"/>
  <c r="AL481" i="6"/>
  <c r="AM410" i="6"/>
  <c r="AG410" i="6"/>
  <c r="AN435" i="6"/>
  <c r="AN452" i="6" s="1"/>
  <c r="AO452" i="6" s="1"/>
  <c r="P231" i="6"/>
  <c r="AO435" i="6" l="1"/>
  <c r="P72" i="6"/>
  <c r="AG415" i="6"/>
  <c r="F402" i="6"/>
  <c r="N289" i="6"/>
  <c r="R314" i="6"/>
  <c r="P314" i="6"/>
  <c r="AL406" i="6"/>
  <c r="M27" i="6"/>
  <c r="M28" i="6" s="1"/>
  <c r="P24" i="6"/>
  <c r="P40" i="6"/>
  <c r="P33" i="6"/>
  <c r="P39" i="6"/>
  <c r="P32" i="6"/>
  <c r="P35" i="6"/>
  <c r="P38" i="6"/>
  <c r="P34" i="6"/>
  <c r="P36" i="6"/>
  <c r="P31" i="6"/>
  <c r="P37" i="6"/>
  <c r="E54" i="6"/>
  <c r="X481" i="6"/>
  <c r="AF483" i="6"/>
  <c r="AS407" i="6"/>
  <c r="AD419" i="6"/>
  <c r="AD466" i="6"/>
  <c r="AM416" i="6"/>
  <c r="N353" i="6"/>
  <c r="L401" i="6"/>
  <c r="AL468" i="6"/>
  <c r="AN468" i="6" s="1"/>
  <c r="AN419" i="6"/>
  <c r="AO419" i="6" s="1"/>
  <c r="AN481" i="6"/>
  <c r="AO481" i="6" s="1"/>
  <c r="F401" i="6"/>
  <c r="P27" i="6"/>
  <c r="Z407" i="6"/>
  <c r="F85" i="6"/>
  <c r="N27" i="6"/>
  <c r="AD468" i="6"/>
  <c r="AP468" i="6"/>
  <c r="AS468" i="6" s="1"/>
  <c r="E24" i="6"/>
  <c r="E35" i="6"/>
  <c r="E38" i="6"/>
  <c r="E39" i="6"/>
  <c r="E36" i="6"/>
  <c r="E31" i="6"/>
  <c r="E33" i="6"/>
  <c r="E34" i="6"/>
  <c r="E32" i="6"/>
  <c r="E40" i="6"/>
  <c r="E37" i="6"/>
  <c r="AL407" i="6"/>
  <c r="Q85" i="6"/>
  <c r="P41" i="6"/>
  <c r="S27" i="6"/>
  <c r="S85" i="6" s="1"/>
  <c r="P54" i="6"/>
  <c r="AH433" i="6"/>
  <c r="AI433" i="6" s="1"/>
  <c r="Q353" i="6"/>
  <c r="S353" i="6" s="1"/>
  <c r="S315" i="6"/>
  <c r="P349" i="6"/>
  <c r="P330" i="6"/>
  <c r="AH466" i="6"/>
  <c r="AI466" i="6" s="1"/>
  <c r="E314" i="6"/>
  <c r="M314" i="6"/>
  <c r="Z406" i="6"/>
  <c r="Y448" i="6" s="1"/>
  <c r="AD433" i="6"/>
  <c r="AH481" i="6"/>
  <c r="AI481" i="6" s="1"/>
  <c r="AN433" i="6"/>
  <c r="AO433" i="6" s="1"/>
  <c r="R27" i="6"/>
  <c r="R28" i="6" s="1"/>
  <c r="E74" i="6"/>
  <c r="Z468" i="6"/>
  <c r="X468" i="6" s="1"/>
  <c r="AJ452" i="6" l="1"/>
  <c r="AJ433" i="6"/>
  <c r="AJ466" i="6"/>
  <c r="AJ419" i="6"/>
  <c r="AJ468" i="6"/>
  <c r="AJ407" i="6"/>
  <c r="AL483" i="6"/>
  <c r="AK483" i="6" s="1"/>
  <c r="AH468" i="6"/>
  <c r="AI468" i="6" s="1"/>
  <c r="Z483" i="6"/>
  <c r="X419" i="6"/>
  <c r="X466" i="6"/>
  <c r="AH483" i="6"/>
  <c r="AI483" i="6" s="1"/>
  <c r="AF489" i="6"/>
  <c r="AE483" i="6"/>
  <c r="N28" i="6"/>
  <c r="N85" i="6"/>
  <c r="X433" i="6"/>
  <c r="AH407" i="6"/>
  <c r="AI407" i="6" s="1"/>
  <c r="X452" i="6"/>
  <c r="AO468" i="6"/>
  <c r="S28" i="6"/>
  <c r="AN407" i="6"/>
  <c r="AO407" i="6" s="1"/>
  <c r="AL489" i="6" l="1"/>
  <c r="AN489" i="6" s="1"/>
  <c r="AF498" i="6"/>
  <c r="AF488" i="6"/>
  <c r="AE489" i="6"/>
  <c r="AN483" i="6"/>
  <c r="AO483" i="6" s="1"/>
  <c r="Z489" i="6"/>
  <c r="Y483" i="6"/>
  <c r="Y489" i="6" l="1"/>
  <c r="Z498" i="6"/>
  <c r="Y498" i="6" s="1"/>
  <c r="Z488" i="6"/>
  <c r="Y488" i="6" s="1"/>
  <c r="AH488" i="6"/>
  <c r="AI488" i="6" s="1"/>
  <c r="AE488" i="6"/>
  <c r="AN488" i="6"/>
  <c r="AH489" i="6"/>
  <c r="AI489" i="6" s="1"/>
  <c r="AF511" i="6"/>
  <c r="AH498" i="6"/>
  <c r="AI498" i="6" s="1"/>
  <c r="AF507" i="6"/>
  <c r="AE498" i="6"/>
  <c r="AF502" i="6"/>
  <c r="AF504" i="6"/>
  <c r="AL488" i="6"/>
  <c r="AL498" i="6"/>
  <c r="AO489" i="6"/>
  <c r="AK489" i="6"/>
  <c r="AG511" i="6" l="1"/>
  <c r="AJ507" i="6"/>
  <c r="AO488" i="6"/>
  <c r="AK488" i="6"/>
  <c r="AK498" i="6"/>
  <c r="AN498" i="6"/>
  <c r="AO498" i="6" s="1"/>
  <c r="A499" i="5" l="1"/>
  <c r="A498" i="5"/>
  <c r="AO497" i="5"/>
  <c r="AN497" i="5"/>
  <c r="A497" i="5"/>
  <c r="A496" i="5"/>
  <c r="AO496" i="5" s="1"/>
  <c r="AO495" i="5"/>
  <c r="A495" i="5"/>
  <c r="AN495" i="5" s="1"/>
  <c r="AO494" i="5"/>
  <c r="AH494" i="5"/>
  <c r="AN494" i="5"/>
  <c r="AI494" i="5"/>
  <c r="A494" i="5"/>
  <c r="AI493" i="5"/>
  <c r="A493" i="5"/>
  <c r="AO493" i="5" s="1"/>
  <c r="AO492" i="5"/>
  <c r="A492" i="5"/>
  <c r="AN492" i="5" s="1"/>
  <c r="AH491" i="5"/>
  <c r="AI491" i="5"/>
  <c r="A491" i="5"/>
  <c r="A490" i="5"/>
  <c r="A489" i="5"/>
  <c r="A488" i="5"/>
  <c r="A487" i="5"/>
  <c r="A486" i="5"/>
  <c r="A484" i="5"/>
  <c r="A483" i="5"/>
  <c r="AO482" i="5"/>
  <c r="AN482" i="5"/>
  <c r="A482" i="5"/>
  <c r="A481" i="5"/>
  <c r="A480" i="5"/>
  <c r="A479" i="5"/>
  <c r="A478" i="5"/>
  <c r="AH477" i="5"/>
  <c r="AI477" i="5" s="1"/>
  <c r="A477" i="5"/>
  <c r="A476" i="5"/>
  <c r="A475" i="5"/>
  <c r="A474" i="5"/>
  <c r="A473" i="5"/>
  <c r="A472" i="5"/>
  <c r="A471" i="5"/>
  <c r="A470" i="5"/>
  <c r="A469" i="5"/>
  <c r="AR468" i="5"/>
  <c r="AR483" i="5" s="1"/>
  <c r="A468" i="5"/>
  <c r="AO467" i="5"/>
  <c r="AN467" i="5"/>
  <c r="AH467" i="5"/>
  <c r="A467" i="5"/>
  <c r="A466" i="5"/>
  <c r="A465" i="5"/>
  <c r="A464" i="5"/>
  <c r="A463" i="5"/>
  <c r="A462" i="5"/>
  <c r="A461" i="5"/>
  <c r="AQ460" i="5"/>
  <c r="A460" i="5"/>
  <c r="A459" i="5"/>
  <c r="AQ458" i="5"/>
  <c r="A458" i="5"/>
  <c r="AQ457" i="5"/>
  <c r="AH457" i="5"/>
  <c r="A457" i="5"/>
  <c r="AO456" i="5"/>
  <c r="AI456" i="5"/>
  <c r="A456" i="5"/>
  <c r="A455" i="5"/>
  <c r="AH454" i="5"/>
  <c r="A454" i="5"/>
  <c r="A453" i="5"/>
  <c r="A452" i="5"/>
  <c r="A451" i="5"/>
  <c r="A450" i="5"/>
  <c r="A449" i="5"/>
  <c r="A448" i="5"/>
  <c r="A447" i="5"/>
  <c r="A446" i="5"/>
  <c r="A445" i="5"/>
  <c r="A444" i="5"/>
  <c r="AQ443" i="5"/>
  <c r="A443" i="5"/>
  <c r="A442" i="5"/>
  <c r="A441" i="5"/>
  <c r="AQ439" i="5"/>
  <c r="A439" i="5"/>
  <c r="A438" i="5"/>
  <c r="A437" i="5"/>
  <c r="A436" i="5"/>
  <c r="A435" i="5"/>
  <c r="AQ434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S394" i="5"/>
  <c r="A394" i="5"/>
  <c r="A393" i="5"/>
  <c r="A392" i="5"/>
  <c r="A391" i="5"/>
  <c r="S390" i="5"/>
  <c r="A390" i="5"/>
  <c r="A389" i="5"/>
  <c r="A388" i="5"/>
  <c r="A387" i="5"/>
  <c r="A386" i="5"/>
  <c r="A385" i="5"/>
  <c r="A384" i="5"/>
  <c r="A383" i="5"/>
  <c r="A382" i="5"/>
  <c r="S382" i="5" s="1"/>
  <c r="S381" i="5"/>
  <c r="A381" i="5"/>
  <c r="A380" i="5"/>
  <c r="S380" i="5" s="1"/>
  <c r="A379" i="5"/>
  <c r="S378" i="5"/>
  <c r="A378" i="5"/>
  <c r="A377" i="5"/>
  <c r="S376" i="5"/>
  <c r="A376" i="5"/>
  <c r="A375" i="5"/>
  <c r="S374" i="5"/>
  <c r="A374" i="5"/>
  <c r="A373" i="5"/>
  <c r="A372" i="5"/>
  <c r="A371" i="5"/>
  <c r="A370" i="5"/>
  <c r="A369" i="5"/>
  <c r="S369" i="5" s="1"/>
  <c r="S368" i="5"/>
  <c r="A368" i="5"/>
  <c r="A367" i="5"/>
  <c r="S367" i="5" s="1"/>
  <c r="A366" i="5"/>
  <c r="S365" i="5"/>
  <c r="A365" i="5"/>
  <c r="A364" i="5"/>
  <c r="A363" i="5"/>
  <c r="L362" i="5"/>
  <c r="K362" i="5"/>
  <c r="J362" i="5"/>
  <c r="D362" i="5"/>
  <c r="E362" i="5" s="1"/>
  <c r="A362" i="5"/>
  <c r="A361" i="5"/>
  <c r="K360" i="5"/>
  <c r="F362" i="5"/>
  <c r="A360" i="5"/>
  <c r="A359" i="5"/>
  <c r="N348" i="5"/>
  <c r="A348" i="5"/>
  <c r="S348" i="5" s="1"/>
  <c r="A347" i="5"/>
  <c r="S347" i="5" s="1"/>
  <c r="A346" i="5"/>
  <c r="A345" i="5"/>
  <c r="N344" i="5"/>
  <c r="S344" i="5"/>
  <c r="A344" i="5"/>
  <c r="S343" i="5"/>
  <c r="A343" i="5"/>
  <c r="S342" i="5"/>
  <c r="N342" i="5"/>
  <c r="A342" i="5"/>
  <c r="A341" i="5"/>
  <c r="A340" i="5"/>
  <c r="S339" i="5"/>
  <c r="N339" i="5"/>
  <c r="A339" i="5"/>
  <c r="A338" i="5"/>
  <c r="N337" i="5"/>
  <c r="S337" i="5"/>
  <c r="A337" i="5"/>
  <c r="A336" i="5"/>
  <c r="A335" i="5"/>
  <c r="S334" i="5"/>
  <c r="N334" i="5"/>
  <c r="A334" i="5"/>
  <c r="A333" i="5"/>
  <c r="S332" i="5"/>
  <c r="A332" i="5"/>
  <c r="N331" i="5"/>
  <c r="A331" i="5"/>
  <c r="A330" i="5"/>
  <c r="N329" i="5"/>
  <c r="A329" i="5"/>
  <c r="A328" i="5"/>
  <c r="N327" i="5"/>
  <c r="A327" i="5"/>
  <c r="S326" i="5"/>
  <c r="A326" i="5"/>
  <c r="N325" i="5"/>
  <c r="A325" i="5"/>
  <c r="S325" i="5" s="1"/>
  <c r="A324" i="5"/>
  <c r="S324" i="5" s="1"/>
  <c r="A323" i="5"/>
  <c r="N322" i="5"/>
  <c r="A322" i="5"/>
  <c r="N321" i="5"/>
  <c r="A321" i="5"/>
  <c r="N320" i="5"/>
  <c r="A320" i="5"/>
  <c r="A319" i="5"/>
  <c r="S318" i="5"/>
  <c r="A318" i="5"/>
  <c r="A317" i="5"/>
  <c r="A316" i="5"/>
  <c r="A315" i="5"/>
  <c r="A314" i="5"/>
  <c r="A313" i="5"/>
  <c r="K312" i="5"/>
  <c r="A312" i="5"/>
  <c r="A311" i="5"/>
  <c r="A310" i="5"/>
  <c r="A309" i="5"/>
  <c r="A308" i="5"/>
  <c r="N307" i="5"/>
  <c r="A307" i="5"/>
  <c r="A306" i="5"/>
  <c r="A305" i="5"/>
  <c r="A304" i="5"/>
  <c r="P303" i="5"/>
  <c r="R303" i="5"/>
  <c r="N303" i="5"/>
  <c r="K303" i="5"/>
  <c r="E303" i="5"/>
  <c r="A303" i="5"/>
  <c r="R302" i="5"/>
  <c r="N302" i="5"/>
  <c r="K302" i="5"/>
  <c r="A302" i="5"/>
  <c r="P302" i="5" s="1"/>
  <c r="K301" i="5"/>
  <c r="A301" i="5"/>
  <c r="A300" i="5"/>
  <c r="A299" i="5"/>
  <c r="S299" i="5" s="1"/>
  <c r="P298" i="5"/>
  <c r="S298" i="5"/>
  <c r="K298" i="5"/>
  <c r="M298" i="5"/>
  <c r="E298" i="5"/>
  <c r="A298" i="5"/>
  <c r="S297" i="5"/>
  <c r="A297" i="5"/>
  <c r="N296" i="5"/>
  <c r="S296" i="5"/>
  <c r="E296" i="5"/>
  <c r="A296" i="5"/>
  <c r="L304" i="5"/>
  <c r="J304" i="5"/>
  <c r="A295" i="5"/>
  <c r="A294" i="5"/>
  <c r="A284" i="5"/>
  <c r="S283" i="5"/>
  <c r="A283" i="5"/>
  <c r="S282" i="5"/>
  <c r="A282" i="5"/>
  <c r="S281" i="5"/>
  <c r="A281" i="5"/>
  <c r="N280" i="5"/>
  <c r="S280" i="5"/>
  <c r="A280" i="5"/>
  <c r="S279" i="5"/>
  <c r="N279" i="5"/>
  <c r="A279" i="5"/>
  <c r="S278" i="5"/>
  <c r="N278" i="5"/>
  <c r="A278" i="5"/>
  <c r="A277" i="5"/>
  <c r="S276" i="5"/>
  <c r="N276" i="5"/>
  <c r="A276" i="5"/>
  <c r="A275" i="5"/>
  <c r="A274" i="5"/>
  <c r="S274" i="5" s="1"/>
  <c r="N273" i="5"/>
  <c r="A273" i="5"/>
  <c r="A272" i="5"/>
  <c r="N271" i="5"/>
  <c r="A271" i="5"/>
  <c r="A270" i="5"/>
  <c r="S269" i="5"/>
  <c r="N269" i="5"/>
  <c r="A269" i="5"/>
  <c r="A268" i="5"/>
  <c r="A267" i="5"/>
  <c r="S267" i="5" s="1"/>
  <c r="K266" i="5"/>
  <c r="A266" i="5"/>
  <c r="S265" i="5"/>
  <c r="A265" i="5"/>
  <c r="S264" i="5"/>
  <c r="A264" i="5"/>
  <c r="N263" i="5"/>
  <c r="S263" i="5"/>
  <c r="A263" i="5"/>
  <c r="A262" i="5"/>
  <c r="N261" i="5"/>
  <c r="A261" i="5"/>
  <c r="A260" i="5"/>
  <c r="S259" i="5"/>
  <c r="N259" i="5"/>
  <c r="A259" i="5"/>
  <c r="A258" i="5"/>
  <c r="S257" i="5"/>
  <c r="N257" i="5"/>
  <c r="A257" i="5"/>
  <c r="N256" i="5"/>
  <c r="S256" i="5"/>
  <c r="A256" i="5"/>
  <c r="A255" i="5"/>
  <c r="S254" i="5"/>
  <c r="A254" i="5"/>
  <c r="A253" i="5"/>
  <c r="A252" i="5"/>
  <c r="A251" i="5"/>
  <c r="E250" i="5"/>
  <c r="A250" i="5"/>
  <c r="A249" i="5"/>
  <c r="S248" i="5"/>
  <c r="Q248" i="5"/>
  <c r="F248" i="5"/>
  <c r="A248" i="5"/>
  <c r="R247" i="5"/>
  <c r="M247" i="5"/>
  <c r="N248" i="5"/>
  <c r="A247" i="5"/>
  <c r="A246" i="5"/>
  <c r="A245" i="5"/>
  <c r="S244" i="5"/>
  <c r="P266" i="5"/>
  <c r="L245" i="5"/>
  <c r="N244" i="5"/>
  <c r="N245" i="5" s="1"/>
  <c r="A244" i="5"/>
  <c r="A243" i="5"/>
  <c r="A242" i="5"/>
  <c r="N241" i="5"/>
  <c r="N242" i="5" s="1"/>
  <c r="M241" i="5"/>
  <c r="F242" i="5"/>
  <c r="A241" i="5"/>
  <c r="A240" i="5"/>
  <c r="A239" i="5"/>
  <c r="N232" i="5"/>
  <c r="A228" i="5"/>
  <c r="S227" i="5"/>
  <c r="A227" i="5"/>
  <c r="S226" i="5"/>
  <c r="A226" i="5"/>
  <c r="N226" i="5" s="1"/>
  <c r="A225" i="5"/>
  <c r="S224" i="5"/>
  <c r="N224" i="5"/>
  <c r="A224" i="5"/>
  <c r="A223" i="5"/>
  <c r="S222" i="5"/>
  <c r="N222" i="5"/>
  <c r="A222" i="5"/>
  <c r="A221" i="5"/>
  <c r="S220" i="5"/>
  <c r="N220" i="5"/>
  <c r="A220" i="5"/>
  <c r="N219" i="5"/>
  <c r="S219" i="5"/>
  <c r="A219" i="5"/>
  <c r="A218" i="5"/>
  <c r="S217" i="5"/>
  <c r="N217" i="5"/>
  <c r="A217" i="5"/>
  <c r="A216" i="5"/>
  <c r="S215" i="5"/>
  <c r="N215" i="5"/>
  <c r="A215" i="5"/>
  <c r="A214" i="5"/>
  <c r="S213" i="5"/>
  <c r="A213" i="5"/>
  <c r="N213" i="5" s="1"/>
  <c r="N212" i="5"/>
  <c r="A212" i="5"/>
  <c r="A211" i="5"/>
  <c r="A210" i="5"/>
  <c r="N209" i="5"/>
  <c r="A209" i="5"/>
  <c r="A208" i="5"/>
  <c r="A207" i="5"/>
  <c r="A206" i="5"/>
  <c r="S205" i="5"/>
  <c r="N205" i="5"/>
  <c r="A205" i="5"/>
  <c r="A204" i="5"/>
  <c r="S203" i="5"/>
  <c r="N203" i="5"/>
  <c r="A203" i="5"/>
  <c r="N202" i="5"/>
  <c r="A202" i="5"/>
  <c r="S201" i="5"/>
  <c r="A201" i="5"/>
  <c r="S200" i="5"/>
  <c r="N200" i="5"/>
  <c r="A200" i="5"/>
  <c r="A199" i="5"/>
  <c r="S198" i="5"/>
  <c r="N198" i="5"/>
  <c r="L210" i="5"/>
  <c r="A198" i="5"/>
  <c r="A197" i="5"/>
  <c r="A196" i="5"/>
  <c r="A195" i="5"/>
  <c r="A194" i="5"/>
  <c r="A193" i="5"/>
  <c r="L192" i="5"/>
  <c r="A192" i="5"/>
  <c r="Q192" i="5"/>
  <c r="F192" i="5"/>
  <c r="A191" i="5"/>
  <c r="A190" i="5"/>
  <c r="A189" i="5"/>
  <c r="R188" i="5"/>
  <c r="Q189" i="5"/>
  <c r="N188" i="5"/>
  <c r="A188" i="5"/>
  <c r="A187" i="5"/>
  <c r="A186" i="5"/>
  <c r="A185" i="5"/>
  <c r="A184" i="5"/>
  <c r="A183" i="5"/>
  <c r="M182" i="5"/>
  <c r="A182" i="5"/>
  <c r="P183" i="5"/>
  <c r="R181" i="5"/>
  <c r="M181" i="5"/>
  <c r="A181" i="5"/>
  <c r="A180" i="5"/>
  <c r="R179" i="5"/>
  <c r="A179" i="5"/>
  <c r="M178" i="5"/>
  <c r="F179" i="5"/>
  <c r="A178" i="5"/>
  <c r="P177" i="5"/>
  <c r="A177" i="5"/>
  <c r="A176" i="5"/>
  <c r="R175" i="5"/>
  <c r="M175" i="5"/>
  <c r="F176" i="5"/>
  <c r="A175" i="5"/>
  <c r="A174" i="5"/>
  <c r="L173" i="5"/>
  <c r="A173" i="5"/>
  <c r="N172" i="5"/>
  <c r="A172" i="5"/>
  <c r="A171" i="5"/>
  <c r="A162" i="5"/>
  <c r="N161" i="5"/>
  <c r="A161" i="5"/>
  <c r="S160" i="5"/>
  <c r="N160" i="5"/>
  <c r="A160" i="5"/>
  <c r="A159" i="5"/>
  <c r="S158" i="5"/>
  <c r="A158" i="5"/>
  <c r="A157" i="5"/>
  <c r="N157" i="5" s="1"/>
  <c r="S156" i="5"/>
  <c r="A156" i="5"/>
  <c r="N156" i="5" s="1"/>
  <c r="A155" i="5"/>
  <c r="A154" i="5"/>
  <c r="A153" i="5"/>
  <c r="A152" i="5"/>
  <c r="S152" i="5" s="1"/>
  <c r="A151" i="5"/>
  <c r="A150" i="5"/>
  <c r="S149" i="5"/>
  <c r="N149" i="5"/>
  <c r="A149" i="5"/>
  <c r="A148" i="5"/>
  <c r="N148" i="5" s="1"/>
  <c r="S147" i="5"/>
  <c r="A147" i="5"/>
  <c r="N147" i="5" s="1"/>
  <c r="S146" i="5"/>
  <c r="A146" i="5"/>
  <c r="A145" i="5"/>
  <c r="S144" i="5"/>
  <c r="N144" i="5"/>
  <c r="A144" i="5"/>
  <c r="A143" i="5"/>
  <c r="A142" i="5"/>
  <c r="N141" i="5"/>
  <c r="A141" i="5"/>
  <c r="S140" i="5"/>
  <c r="N140" i="5"/>
  <c r="A140" i="5"/>
  <c r="S139" i="5"/>
  <c r="A139" i="5"/>
  <c r="N139" i="5" s="1"/>
  <c r="A138" i="5"/>
  <c r="S137" i="5"/>
  <c r="N137" i="5"/>
  <c r="A137" i="5"/>
  <c r="A136" i="5"/>
  <c r="A135" i="5"/>
  <c r="S134" i="5"/>
  <c r="A134" i="5"/>
  <c r="A133" i="5"/>
  <c r="N132" i="5"/>
  <c r="S132" i="5"/>
  <c r="A132" i="5"/>
  <c r="A131" i="5"/>
  <c r="N130" i="5"/>
  <c r="A130" i="5"/>
  <c r="S129" i="5"/>
  <c r="A129" i="5"/>
  <c r="A128" i="5"/>
  <c r="N128" i="5" s="1"/>
  <c r="S127" i="5"/>
  <c r="A127" i="5"/>
  <c r="A126" i="5"/>
  <c r="A125" i="5"/>
  <c r="S125" i="5" s="1"/>
  <c r="A124" i="5"/>
  <c r="A123" i="5"/>
  <c r="A122" i="5"/>
  <c r="A121" i="5"/>
  <c r="S120" i="5"/>
  <c r="A120" i="5"/>
  <c r="S119" i="5"/>
  <c r="N119" i="5"/>
  <c r="A119" i="5"/>
  <c r="A118" i="5"/>
  <c r="S117" i="5"/>
  <c r="N117" i="5"/>
  <c r="A117" i="5"/>
  <c r="A116" i="5"/>
  <c r="S115" i="5"/>
  <c r="A115" i="5"/>
  <c r="N114" i="5"/>
  <c r="A114" i="5"/>
  <c r="A113" i="5"/>
  <c r="A112" i="5"/>
  <c r="A111" i="5"/>
  <c r="A110" i="5"/>
  <c r="A109" i="5"/>
  <c r="A108" i="5"/>
  <c r="A107" i="5"/>
  <c r="A106" i="5"/>
  <c r="A105" i="5"/>
  <c r="S104" i="5"/>
  <c r="A104" i="5"/>
  <c r="S103" i="5"/>
  <c r="N103" i="5"/>
  <c r="A103" i="5"/>
  <c r="A102" i="5"/>
  <c r="E102" i="5" s="1"/>
  <c r="A101" i="5"/>
  <c r="S100" i="5"/>
  <c r="N100" i="5"/>
  <c r="M100" i="5"/>
  <c r="E100" i="5"/>
  <c r="A100" i="5"/>
  <c r="A99" i="5"/>
  <c r="A98" i="5"/>
  <c r="A97" i="5"/>
  <c r="A96" i="5"/>
  <c r="R95" i="5"/>
  <c r="A95" i="5"/>
  <c r="L97" i="5"/>
  <c r="J112" i="5" s="1"/>
  <c r="F97" i="5"/>
  <c r="A94" i="5"/>
  <c r="A93" i="5"/>
  <c r="B85" i="5"/>
  <c r="A85" i="5"/>
  <c r="B84" i="5"/>
  <c r="A84" i="5"/>
  <c r="B83" i="5"/>
  <c r="A83" i="5" s="1"/>
  <c r="B82" i="5"/>
  <c r="A82" i="5"/>
  <c r="B81" i="5"/>
  <c r="A81" i="5"/>
  <c r="N81" i="5" s="1"/>
  <c r="B80" i="5"/>
  <c r="B79" i="5"/>
  <c r="A79" i="5"/>
  <c r="B78" i="5"/>
  <c r="A78" i="5" s="1"/>
  <c r="B77" i="5"/>
  <c r="A77" i="5"/>
  <c r="B76" i="5"/>
  <c r="B75" i="5"/>
  <c r="A75" i="5"/>
  <c r="B74" i="5"/>
  <c r="A74" i="5"/>
  <c r="B73" i="5"/>
  <c r="A73" i="5" s="1"/>
  <c r="B72" i="5"/>
  <c r="A72" i="5" s="1"/>
  <c r="S71" i="5"/>
  <c r="N71" i="5"/>
  <c r="B71" i="5"/>
  <c r="A71" i="5"/>
  <c r="B70" i="5"/>
  <c r="A70" i="5"/>
  <c r="S69" i="5"/>
  <c r="B69" i="5"/>
  <c r="A69" i="5"/>
  <c r="N69" i="5" s="1"/>
  <c r="B68" i="5"/>
  <c r="A68" i="5" s="1"/>
  <c r="B67" i="5"/>
  <c r="A67" i="5"/>
  <c r="B66" i="5"/>
  <c r="A66" i="5" s="1"/>
  <c r="B65" i="5"/>
  <c r="N64" i="5"/>
  <c r="B64" i="5"/>
  <c r="A64" i="5"/>
  <c r="B63" i="5"/>
  <c r="B62" i="5"/>
  <c r="A62" i="5" s="1"/>
  <c r="S61" i="5"/>
  <c r="B61" i="5"/>
  <c r="A61" i="5"/>
  <c r="B60" i="5"/>
  <c r="A60" i="5"/>
  <c r="B59" i="5"/>
  <c r="B58" i="5"/>
  <c r="B57" i="5"/>
  <c r="A57" i="5" s="1"/>
  <c r="N56" i="5"/>
  <c r="B56" i="5"/>
  <c r="A56" i="5"/>
  <c r="B55" i="5"/>
  <c r="B54" i="5"/>
  <c r="A54" i="5" s="1"/>
  <c r="N53" i="5"/>
  <c r="B53" i="5"/>
  <c r="A53" i="5"/>
  <c r="B52" i="5"/>
  <c r="A52" i="5" s="1"/>
  <c r="S51" i="5"/>
  <c r="B51" i="5"/>
  <c r="A51" i="5"/>
  <c r="S50" i="5"/>
  <c r="N50" i="5"/>
  <c r="B50" i="5"/>
  <c r="A50" i="5"/>
  <c r="N49" i="5"/>
  <c r="B49" i="5"/>
  <c r="A49" i="5"/>
  <c r="S49" i="5" s="1"/>
  <c r="B48" i="5"/>
  <c r="A48" i="5"/>
  <c r="S48" i="5" s="1"/>
  <c r="S47" i="5"/>
  <c r="B47" i="5"/>
  <c r="A47" i="5"/>
  <c r="B46" i="5"/>
  <c r="A46" i="5"/>
  <c r="B45" i="5"/>
  <c r="N44" i="5"/>
  <c r="S44" i="5"/>
  <c r="B44" i="5"/>
  <c r="A44" i="5"/>
  <c r="B43" i="5"/>
  <c r="A43" i="5"/>
  <c r="N43" i="5" s="1"/>
  <c r="B42" i="5"/>
  <c r="A42" i="5"/>
  <c r="B41" i="5"/>
  <c r="A41" i="5" s="1"/>
  <c r="B40" i="5"/>
  <c r="A40" i="5" s="1"/>
  <c r="N39" i="5"/>
  <c r="S39" i="5"/>
  <c r="B39" i="5"/>
  <c r="A39" i="5"/>
  <c r="B38" i="5"/>
  <c r="A38" i="5" s="1"/>
  <c r="B37" i="5"/>
  <c r="A37" i="5"/>
  <c r="B36" i="5"/>
  <c r="A36" i="5"/>
  <c r="B35" i="5"/>
  <c r="A35" i="5"/>
  <c r="B34" i="5"/>
  <c r="A34" i="5" s="1"/>
  <c r="B33" i="5"/>
  <c r="A33" i="5" s="1"/>
  <c r="B32" i="5"/>
  <c r="A32" i="5" s="1"/>
  <c r="B31" i="5"/>
  <c r="A31" i="5" s="1"/>
  <c r="B30" i="5"/>
  <c r="A30" i="5"/>
  <c r="B29" i="5"/>
  <c r="A29" i="5"/>
  <c r="B28" i="5"/>
  <c r="A28" i="5" s="1"/>
  <c r="B27" i="5"/>
  <c r="A27" i="5" s="1"/>
  <c r="B26" i="5"/>
  <c r="A26" i="5"/>
  <c r="B25" i="5"/>
  <c r="A25" i="5" s="1"/>
  <c r="B24" i="5"/>
  <c r="A24" i="5" s="1"/>
  <c r="E23" i="5"/>
  <c r="B23" i="5"/>
  <c r="A23" i="5"/>
  <c r="E22" i="5"/>
  <c r="B22" i="5"/>
  <c r="A22" i="5"/>
  <c r="B21" i="5"/>
  <c r="A21" i="5"/>
  <c r="B20" i="5"/>
  <c r="A20" i="5" s="1"/>
  <c r="R19" i="5"/>
  <c r="B19" i="5"/>
  <c r="A19" i="5"/>
  <c r="B18" i="5"/>
  <c r="A18" i="5" s="1"/>
  <c r="B17" i="5"/>
  <c r="B16" i="5"/>
  <c r="A16" i="5"/>
  <c r="K15" i="5"/>
  <c r="B15" i="5"/>
  <c r="A15" i="5"/>
  <c r="B14" i="5"/>
  <c r="A14" i="5" s="1"/>
  <c r="B13" i="5"/>
  <c r="A13" i="5" s="1"/>
  <c r="N12" i="5"/>
  <c r="B12" i="5"/>
  <c r="A12" i="5"/>
  <c r="B11" i="5"/>
  <c r="P10" i="5"/>
  <c r="N10" i="5"/>
  <c r="B10" i="5"/>
  <c r="A10" i="5"/>
  <c r="B9" i="5"/>
  <c r="A9" i="5"/>
  <c r="P9" i="5" s="1"/>
  <c r="S8" i="5"/>
  <c r="P8" i="5"/>
  <c r="N8" i="5"/>
  <c r="E8" i="5"/>
  <c r="B8" i="5"/>
  <c r="A8" i="5" s="1"/>
  <c r="K7" i="5"/>
  <c r="B7" i="5"/>
  <c r="A7" i="5"/>
  <c r="B6" i="5"/>
  <c r="B5" i="5"/>
  <c r="A5" i="5" s="1"/>
  <c r="S79" i="5" l="1"/>
  <c r="S112" i="5"/>
  <c r="S37" i="5"/>
  <c r="S75" i="5"/>
  <c r="N75" i="5"/>
  <c r="S70" i="5"/>
  <c r="N70" i="5"/>
  <c r="S19" i="5"/>
  <c r="N60" i="5"/>
  <c r="S82" i="5"/>
  <c r="V82" i="5"/>
  <c r="K11" i="5"/>
  <c r="P94" i="5"/>
  <c r="S52" i="5"/>
  <c r="Q135" i="5"/>
  <c r="L24" i="5"/>
  <c r="S68" i="5"/>
  <c r="N68" i="5"/>
  <c r="S62" i="5"/>
  <c r="S9" i="5"/>
  <c r="K17" i="5"/>
  <c r="S35" i="5"/>
  <c r="A45" i="5"/>
  <c r="S46" i="5"/>
  <c r="L72" i="5"/>
  <c r="A63" i="5"/>
  <c r="A65" i="5"/>
  <c r="E94" i="5"/>
  <c r="E96" i="5"/>
  <c r="N97" i="5"/>
  <c r="N98" i="5" s="1"/>
  <c r="F105" i="5"/>
  <c r="D112" i="5" s="1"/>
  <c r="Q182" i="5"/>
  <c r="S181" i="5"/>
  <c r="A6" i="5"/>
  <c r="E21" i="5"/>
  <c r="N131" i="5"/>
  <c r="AL415" i="5"/>
  <c r="V485" i="5"/>
  <c r="A485" i="5" s="1"/>
  <c r="AL473" i="5"/>
  <c r="AO473" i="5" s="1"/>
  <c r="AF479" i="5"/>
  <c r="AF418" i="5"/>
  <c r="V402" i="5"/>
  <c r="Z421" i="5"/>
  <c r="AF414" i="5"/>
  <c r="AL474" i="5"/>
  <c r="C291" i="5"/>
  <c r="C356" i="5" s="1"/>
  <c r="Z415" i="5"/>
  <c r="C236" i="5"/>
  <c r="C168" i="5"/>
  <c r="K12" i="5"/>
  <c r="AO485" i="5"/>
  <c r="AO402" i="5"/>
  <c r="S356" i="5"/>
  <c r="S236" i="5"/>
  <c r="S168" i="5"/>
  <c r="S291" i="5"/>
  <c r="K96" i="5"/>
  <c r="M96" i="5"/>
  <c r="K100" i="5"/>
  <c r="N102" i="5"/>
  <c r="S102" i="5"/>
  <c r="L105" i="5"/>
  <c r="N104" i="5"/>
  <c r="S114" i="5"/>
  <c r="S7" i="5"/>
  <c r="S12" i="5"/>
  <c r="S15" i="5"/>
  <c r="S23" i="5"/>
  <c r="N23" i="5"/>
  <c r="S43" i="5"/>
  <c r="N52" i="5"/>
  <c r="R94" i="5"/>
  <c r="R97" i="5" s="1"/>
  <c r="E9" i="5"/>
  <c r="AF411" i="5"/>
  <c r="A58" i="5"/>
  <c r="N61" i="5"/>
  <c r="Z447" i="5"/>
  <c r="K94" i="5"/>
  <c r="N96" i="5"/>
  <c r="Q105" i="5"/>
  <c r="D113" i="5"/>
  <c r="AF478" i="5"/>
  <c r="P15" i="5"/>
  <c r="N19" i="5"/>
  <c r="D53" i="5"/>
  <c r="N7" i="5"/>
  <c r="E10" i="5"/>
  <c r="S10" i="5"/>
  <c r="R10" i="5"/>
  <c r="Z409" i="5"/>
  <c r="N67" i="5"/>
  <c r="N79" i="5"/>
  <c r="K95" i="5"/>
  <c r="P96" i="5"/>
  <c r="N42" i="5"/>
  <c r="N9" i="5"/>
  <c r="P12" i="5"/>
  <c r="S22" i="5"/>
  <c r="N22" i="5"/>
  <c r="N36" i="5"/>
  <c r="L54" i="5"/>
  <c r="N77" i="5"/>
  <c r="M94" i="5"/>
  <c r="N95" i="5"/>
  <c r="E103" i="5"/>
  <c r="N113" i="5"/>
  <c r="N115" i="5"/>
  <c r="N125" i="5"/>
  <c r="P7" i="5"/>
  <c r="N47" i="5"/>
  <c r="S67" i="5"/>
  <c r="A11" i="5"/>
  <c r="N15" i="5"/>
  <c r="A17" i="5"/>
  <c r="N35" i="5"/>
  <c r="K39" i="5"/>
  <c r="S77" i="5"/>
  <c r="C89" i="5"/>
  <c r="AL470" i="5" s="1"/>
  <c r="N94" i="5"/>
  <c r="S96" i="5"/>
  <c r="P100" i="5"/>
  <c r="F108" i="5"/>
  <c r="R15" i="5"/>
  <c r="AF409" i="5"/>
  <c r="Q41" i="5"/>
  <c r="N46" i="5"/>
  <c r="Z430" i="5"/>
  <c r="S56" i="5"/>
  <c r="S81" i="5"/>
  <c r="S89" i="5"/>
  <c r="N112" i="5"/>
  <c r="S113" i="5"/>
  <c r="L122" i="5"/>
  <c r="N129" i="5"/>
  <c r="A55" i="5"/>
  <c r="AL439" i="5"/>
  <c r="AF446" i="5"/>
  <c r="A76" i="5"/>
  <c r="A80" i="5"/>
  <c r="R100" i="5"/>
  <c r="Q229" i="5"/>
  <c r="K10" i="5"/>
  <c r="L108" i="5"/>
  <c r="S138" i="5"/>
  <c r="N138" i="5"/>
  <c r="M15" i="5"/>
  <c r="N37" i="5"/>
  <c r="S53" i="5"/>
  <c r="A59" i="5"/>
  <c r="N62" i="5"/>
  <c r="S64" i="5"/>
  <c r="AL446" i="5"/>
  <c r="L83" i="5"/>
  <c r="S94" i="5"/>
  <c r="N120" i="5"/>
  <c r="E7" i="5"/>
  <c r="E12" i="5"/>
  <c r="E19" i="5"/>
  <c r="AF412" i="5"/>
  <c r="N48" i="5"/>
  <c r="Z480" i="5"/>
  <c r="P95" i="5"/>
  <c r="J97" i="5"/>
  <c r="L153" i="5"/>
  <c r="S136" i="5"/>
  <c r="N136" i="5"/>
  <c r="L135" i="5"/>
  <c r="N123" i="5"/>
  <c r="S150" i="5"/>
  <c r="N150" i="5"/>
  <c r="E104" i="5"/>
  <c r="S141" i="5"/>
  <c r="Q173" i="5"/>
  <c r="Q185" i="5"/>
  <c r="S121" i="5"/>
  <c r="N121" i="5"/>
  <c r="S128" i="5"/>
  <c r="S123" i="5"/>
  <c r="S126" i="5"/>
  <c r="F135" i="5"/>
  <c r="E135" i="5" s="1"/>
  <c r="S130" i="5"/>
  <c r="S148" i="5"/>
  <c r="Q163" i="5"/>
  <c r="E185" i="5"/>
  <c r="E194" i="5" s="1"/>
  <c r="Q242" i="5"/>
  <c r="S241" i="5"/>
  <c r="S142" i="5"/>
  <c r="N142" i="5"/>
  <c r="S145" i="5"/>
  <c r="F185" i="5"/>
  <c r="N118" i="5"/>
  <c r="S118" i="5"/>
  <c r="S133" i="5"/>
  <c r="N133" i="5"/>
  <c r="N151" i="5"/>
  <c r="S151" i="5"/>
  <c r="J185" i="5"/>
  <c r="K186" i="5" s="1"/>
  <c r="S124" i="5"/>
  <c r="N124" i="5"/>
  <c r="S131" i="5"/>
  <c r="S143" i="5"/>
  <c r="N143" i="5"/>
  <c r="N146" i="5"/>
  <c r="N134" i="5"/>
  <c r="F163" i="5"/>
  <c r="N162" i="5"/>
  <c r="R299" i="5"/>
  <c r="P299" i="5"/>
  <c r="N127" i="5"/>
  <c r="S184" i="5"/>
  <c r="Q153" i="5"/>
  <c r="F173" i="5"/>
  <c r="S214" i="5"/>
  <c r="N214" i="5"/>
  <c r="S268" i="5"/>
  <c r="N268" i="5"/>
  <c r="N281" i="5"/>
  <c r="R307" i="5"/>
  <c r="P307" i="5"/>
  <c r="S319" i="5"/>
  <c r="N319" i="5"/>
  <c r="S162" i="5"/>
  <c r="N207" i="5"/>
  <c r="S211" i="5"/>
  <c r="S255" i="5"/>
  <c r="S275" i="5"/>
  <c r="N275" i="5"/>
  <c r="K174" i="5"/>
  <c r="Q176" i="5"/>
  <c r="N178" i="5"/>
  <c r="L185" i="5"/>
  <c r="S223" i="5"/>
  <c r="N223" i="5"/>
  <c r="S258" i="5"/>
  <c r="N258" i="5"/>
  <c r="R296" i="5"/>
  <c r="P296" i="5"/>
  <c r="N158" i="5"/>
  <c r="K185" i="5"/>
  <c r="S204" i="5"/>
  <c r="N204" i="5"/>
  <c r="P250" i="5"/>
  <c r="S272" i="5"/>
  <c r="L163" i="5"/>
  <c r="S175" i="5"/>
  <c r="P180" i="5"/>
  <c r="F182" i="5"/>
  <c r="L229" i="5"/>
  <c r="K304" i="5"/>
  <c r="R297" i="5"/>
  <c r="P297" i="5"/>
  <c r="P301" i="5"/>
  <c r="R301" i="5"/>
  <c r="S308" i="5"/>
  <c r="K308" i="5"/>
  <c r="M172" i="5"/>
  <c r="Q179" i="5"/>
  <c r="S199" i="5"/>
  <c r="S208" i="5"/>
  <c r="S218" i="5"/>
  <c r="N227" i="5"/>
  <c r="L309" i="5"/>
  <c r="M301" i="5"/>
  <c r="E301" i="5"/>
  <c r="N145" i="5"/>
  <c r="P185" i="5"/>
  <c r="P194" i="5" s="1"/>
  <c r="S202" i="5"/>
  <c r="N270" i="5"/>
  <c r="S273" i="5"/>
  <c r="N283" i="5"/>
  <c r="P295" i="5"/>
  <c r="R295" i="5"/>
  <c r="J309" i="5"/>
  <c r="S178" i="5"/>
  <c r="N181" i="5"/>
  <c r="N254" i="5"/>
  <c r="F266" i="5"/>
  <c r="S260" i="5"/>
  <c r="N260" i="5"/>
  <c r="S277" i="5"/>
  <c r="N277" i="5"/>
  <c r="Q349" i="5"/>
  <c r="S216" i="5"/>
  <c r="S221" i="5"/>
  <c r="N221" i="5"/>
  <c r="L266" i="5"/>
  <c r="E299" i="5"/>
  <c r="N299" i="5"/>
  <c r="N152" i="5"/>
  <c r="V159" i="5"/>
  <c r="W159" i="5" s="1"/>
  <c r="N159" i="5"/>
  <c r="N163" i="5" s="1"/>
  <c r="S172" i="5"/>
  <c r="N175" i="5"/>
  <c r="L176" i="5"/>
  <c r="N184" i="5"/>
  <c r="L285" i="5"/>
  <c r="M312" i="5"/>
  <c r="P312" i="5"/>
  <c r="E312" i="5"/>
  <c r="S159" i="5"/>
  <c r="S161" i="5"/>
  <c r="L179" i="5"/>
  <c r="N179" i="5" s="1"/>
  <c r="S206" i="5"/>
  <c r="S225" i="5"/>
  <c r="S228" i="5"/>
  <c r="P285" i="5"/>
  <c r="Q250" i="5"/>
  <c r="S245" i="5"/>
  <c r="P287" i="5"/>
  <c r="Q245" i="5"/>
  <c r="S307" i="5"/>
  <c r="Q330" i="5"/>
  <c r="S207" i="5"/>
  <c r="S209" i="5"/>
  <c r="N247" i="5"/>
  <c r="F250" i="5"/>
  <c r="S261" i="5"/>
  <c r="S271" i="5"/>
  <c r="M299" i="5"/>
  <c r="K299" i="5"/>
  <c r="S302" i="5"/>
  <c r="S323" i="5"/>
  <c r="S327" i="5"/>
  <c r="S188" i="5"/>
  <c r="N199" i="5"/>
  <c r="S212" i="5"/>
  <c r="N228" i="5"/>
  <c r="F245" i="5"/>
  <c r="K250" i="5"/>
  <c r="N265" i="5"/>
  <c r="N282" i="5"/>
  <c r="N284" i="5"/>
  <c r="K300" i="5"/>
  <c r="N301" i="5"/>
  <c r="E302" i="5"/>
  <c r="S321" i="5"/>
  <c r="N323" i="5"/>
  <c r="S329" i="5"/>
  <c r="L182" i="5"/>
  <c r="M188" i="5"/>
  <c r="N206" i="5"/>
  <c r="F210" i="5"/>
  <c r="N216" i="5"/>
  <c r="L242" i="5"/>
  <c r="M244" i="5"/>
  <c r="S247" i="5"/>
  <c r="L250" i="5"/>
  <c r="S284" i="5"/>
  <c r="N298" i="5"/>
  <c r="S300" i="5"/>
  <c r="N341" i="5"/>
  <c r="S341" i="5"/>
  <c r="O362" i="5"/>
  <c r="R360" i="5"/>
  <c r="S386" i="5"/>
  <c r="AI420" i="5"/>
  <c r="R178" i="5"/>
  <c r="N201" i="5"/>
  <c r="N218" i="5"/>
  <c r="N255" i="5"/>
  <c r="N274" i="5"/>
  <c r="S295" i="5"/>
  <c r="S312" i="5"/>
  <c r="R312" i="5" s="1"/>
  <c r="S373" i="5"/>
  <c r="L189" i="5"/>
  <c r="N208" i="5"/>
  <c r="N225" i="5"/>
  <c r="R241" i="5"/>
  <c r="R244" i="5"/>
  <c r="N262" i="5"/>
  <c r="N272" i="5"/>
  <c r="S335" i="5"/>
  <c r="L248" i="5"/>
  <c r="O304" i="5"/>
  <c r="N324" i="5"/>
  <c r="S328" i="5"/>
  <c r="N335" i="5"/>
  <c r="N264" i="5"/>
  <c r="N297" i="5"/>
  <c r="R298" i="5"/>
  <c r="S303" i="5"/>
  <c r="E307" i="5"/>
  <c r="N326" i="5"/>
  <c r="N328" i="5"/>
  <c r="S384" i="5"/>
  <c r="D185" i="5"/>
  <c r="S262" i="5"/>
  <c r="K295" i="5"/>
  <c r="N308" i="5"/>
  <c r="N333" i="5"/>
  <c r="S333" i="5"/>
  <c r="S370" i="5"/>
  <c r="L395" i="5"/>
  <c r="K395" i="5" s="1"/>
  <c r="M296" i="5"/>
  <c r="K296" i="5"/>
  <c r="S301" i="5"/>
  <c r="L330" i="5"/>
  <c r="N318" i="5"/>
  <c r="S322" i="5"/>
  <c r="S345" i="5"/>
  <c r="S366" i="5"/>
  <c r="L377" i="5"/>
  <c r="S375" i="5"/>
  <c r="S388" i="5"/>
  <c r="K297" i="5"/>
  <c r="K307" i="5"/>
  <c r="L349" i="5"/>
  <c r="S331" i="5"/>
  <c r="N300" i="5"/>
  <c r="E300" i="5"/>
  <c r="S320" i="5"/>
  <c r="S340" i="5"/>
  <c r="N340" i="5"/>
  <c r="N346" i="5"/>
  <c r="S346" i="5"/>
  <c r="S371" i="5"/>
  <c r="S379" i="5"/>
  <c r="S392" i="5"/>
  <c r="AN420" i="5"/>
  <c r="AO420" i="5" s="1"/>
  <c r="AH420" i="5"/>
  <c r="AI457" i="5"/>
  <c r="AH453" i="5"/>
  <c r="AI496" i="5"/>
  <c r="N332" i="5"/>
  <c r="N349" i="5" s="1"/>
  <c r="N343" i="5"/>
  <c r="N345" i="5"/>
  <c r="E360" i="5"/>
  <c r="Z441" i="5"/>
  <c r="AN496" i="5"/>
  <c r="AN457" i="5"/>
  <c r="AO457" i="5" s="1"/>
  <c r="AH460" i="5"/>
  <c r="AI460" i="5" s="1"/>
  <c r="AN477" i="5"/>
  <c r="AO477" i="5" s="1"/>
  <c r="AN493" i="5"/>
  <c r="S338" i="5"/>
  <c r="N347" i="5"/>
  <c r="F377" i="5"/>
  <c r="F395" i="5"/>
  <c r="E395" i="5" s="1"/>
  <c r="AN453" i="5"/>
  <c r="AN469" i="5"/>
  <c r="AO469" i="5" s="1"/>
  <c r="S336" i="5"/>
  <c r="N338" i="5"/>
  <c r="S393" i="5"/>
  <c r="AO453" i="5"/>
  <c r="N336" i="5"/>
  <c r="S360" i="5"/>
  <c r="S391" i="5"/>
  <c r="AN458" i="5"/>
  <c r="S389" i="5"/>
  <c r="AI454" i="5"/>
  <c r="AN456" i="5"/>
  <c r="AH456" i="5"/>
  <c r="S387" i="5"/>
  <c r="S372" i="5"/>
  <c r="S385" i="5"/>
  <c r="AO454" i="5"/>
  <c r="AN459" i="5"/>
  <c r="AN491" i="5"/>
  <c r="AO491" i="5" s="1"/>
  <c r="Q377" i="5"/>
  <c r="S383" i="5"/>
  <c r="AN454" i="5"/>
  <c r="AN461" i="5"/>
  <c r="AO461" i="5" s="1"/>
  <c r="AH493" i="5"/>
  <c r="AH496" i="5"/>
  <c r="AH458" i="5"/>
  <c r="AI492" i="5"/>
  <c r="F397" i="5" l="1"/>
  <c r="E377" i="5"/>
  <c r="O309" i="5"/>
  <c r="R304" i="5"/>
  <c r="N210" i="5"/>
  <c r="AN446" i="5"/>
  <c r="AO446" i="5" s="1"/>
  <c r="AH409" i="5"/>
  <c r="AI409" i="5"/>
  <c r="P377" i="5"/>
  <c r="S395" i="5"/>
  <c r="AE418" i="5"/>
  <c r="N82" i="5"/>
  <c r="D304" i="5"/>
  <c r="M295" i="5"/>
  <c r="E295" i="5"/>
  <c r="S157" i="5"/>
  <c r="S163" i="5" s="1"/>
  <c r="Q304" i="5"/>
  <c r="S242" i="5"/>
  <c r="S153" i="5"/>
  <c r="K153" i="5"/>
  <c r="F24" i="5"/>
  <c r="AL425" i="5"/>
  <c r="AO425" i="5" s="1"/>
  <c r="N105" i="5"/>
  <c r="N106" i="5" s="1"/>
  <c r="J113" i="5"/>
  <c r="S105" i="5"/>
  <c r="AF451" i="5"/>
  <c r="AL422" i="5"/>
  <c r="Z423" i="5"/>
  <c r="Z412" i="5"/>
  <c r="Z444" i="5"/>
  <c r="AL476" i="5"/>
  <c r="AO476" i="5" s="1"/>
  <c r="AF472" i="5"/>
  <c r="AL442" i="5"/>
  <c r="AF422" i="5"/>
  <c r="L314" i="5"/>
  <c r="AI455" i="5"/>
  <c r="AH455" i="5"/>
  <c r="Q194" i="5"/>
  <c r="Q186" i="5"/>
  <c r="F153" i="5"/>
  <c r="E153" i="5" s="1"/>
  <c r="N126" i="5"/>
  <c r="R96" i="5"/>
  <c r="K9" i="5"/>
  <c r="R9" i="5"/>
  <c r="M9" i="5"/>
  <c r="AL418" i="5"/>
  <c r="AN418" i="5" s="1"/>
  <c r="AF439" i="5"/>
  <c r="Z471" i="5"/>
  <c r="AF436" i="5"/>
  <c r="AL429" i="5"/>
  <c r="AL413" i="5"/>
  <c r="AL479" i="5"/>
  <c r="AO479" i="5" s="1"/>
  <c r="AF475" i="5"/>
  <c r="AF425" i="5"/>
  <c r="D32" i="5"/>
  <c r="J314" i="5"/>
  <c r="K309" i="5"/>
  <c r="M300" i="5"/>
  <c r="P229" i="5"/>
  <c r="AI458" i="5"/>
  <c r="Q251" i="5"/>
  <c r="AO458" i="5"/>
  <c r="S377" i="5"/>
  <c r="L397" i="5"/>
  <c r="K377" i="5"/>
  <c r="N312" i="5"/>
  <c r="R362" i="5"/>
  <c r="P362" i="5"/>
  <c r="F229" i="5"/>
  <c r="F330" i="5"/>
  <c r="AO455" i="5"/>
  <c r="AN455" i="5"/>
  <c r="E174" i="5"/>
  <c r="K119" i="5"/>
  <c r="K113" i="5"/>
  <c r="K120" i="5"/>
  <c r="K115" i="5"/>
  <c r="K104" i="5"/>
  <c r="R104" i="5" s="1"/>
  <c r="J105" i="5"/>
  <c r="K121" i="5"/>
  <c r="K112" i="5"/>
  <c r="K97" i="5"/>
  <c r="K116" i="5"/>
  <c r="K114" i="5"/>
  <c r="K118" i="5"/>
  <c r="J108" i="5"/>
  <c r="K103" i="5"/>
  <c r="R103" i="5" s="1"/>
  <c r="K117" i="5"/>
  <c r="K102" i="5"/>
  <c r="R102" i="5" s="1"/>
  <c r="N51" i="5"/>
  <c r="S95" i="5"/>
  <c r="Q97" i="5"/>
  <c r="Z474" i="5"/>
  <c r="AL426" i="5"/>
  <c r="AO426" i="5" s="1"/>
  <c r="AF423" i="5"/>
  <c r="Z448" i="5"/>
  <c r="AL431" i="5"/>
  <c r="AF428" i="5"/>
  <c r="R300" i="5"/>
  <c r="P300" i="5"/>
  <c r="F285" i="5"/>
  <c r="E285" i="5" s="1"/>
  <c r="N267" i="5"/>
  <c r="N285" i="5" s="1"/>
  <c r="F251" i="5"/>
  <c r="S97" i="5"/>
  <c r="N80" i="5"/>
  <c r="S80" i="5"/>
  <c r="N11" i="5"/>
  <c r="S11" i="5"/>
  <c r="AL428" i="5"/>
  <c r="AL447" i="5"/>
  <c r="Z429" i="5"/>
  <c r="AF429" i="5"/>
  <c r="AL464" i="5"/>
  <c r="AF435" i="5"/>
  <c r="AL444" i="5"/>
  <c r="Z414" i="5"/>
  <c r="AF463" i="5"/>
  <c r="AL478" i="5"/>
  <c r="AO478" i="5" s="1"/>
  <c r="AF431" i="5"/>
  <c r="R7" i="5"/>
  <c r="Q395" i="5"/>
  <c r="P395" i="5" s="1"/>
  <c r="N78" i="5"/>
  <c r="S78" i="5"/>
  <c r="F41" i="5"/>
  <c r="R12" i="5"/>
  <c r="S40" i="5"/>
  <c r="N40" i="5"/>
  <c r="K40" i="5"/>
  <c r="AF416" i="5"/>
  <c r="AL411" i="5"/>
  <c r="AL430" i="5"/>
  <c r="AL449" i="5"/>
  <c r="AO449" i="5" s="1"/>
  <c r="Z431" i="5"/>
  <c r="Z470" i="5"/>
  <c r="AL440" i="5"/>
  <c r="AO440" i="5" s="1"/>
  <c r="AF421" i="5"/>
  <c r="AF465" i="5"/>
  <c r="D97" i="5"/>
  <c r="M97" i="5" s="1"/>
  <c r="M98" i="5" s="1"/>
  <c r="E95" i="5"/>
  <c r="M95" i="5"/>
  <c r="Q210" i="5"/>
  <c r="F287" i="5"/>
  <c r="E287" i="5" s="1"/>
  <c r="E266" i="5"/>
  <c r="N66" i="5"/>
  <c r="S66" i="5"/>
  <c r="E15" i="5"/>
  <c r="S33" i="5"/>
  <c r="N33" i="5"/>
  <c r="AF426" i="5"/>
  <c r="AF415" i="5"/>
  <c r="AL432" i="5"/>
  <c r="Z413" i="5"/>
  <c r="Z440" i="5"/>
  <c r="AI440" i="5" s="1"/>
  <c r="AF440" i="5"/>
  <c r="Z473" i="5"/>
  <c r="AF444" i="5"/>
  <c r="AF424" i="5"/>
  <c r="AL412" i="5"/>
  <c r="AL463" i="5"/>
  <c r="AF450" i="5"/>
  <c r="O97" i="5"/>
  <c r="P360" i="5"/>
  <c r="Q362" i="5"/>
  <c r="S349" i="5"/>
  <c r="E308" i="5"/>
  <c r="M308" i="5"/>
  <c r="E297" i="5"/>
  <c r="M297" i="5"/>
  <c r="N211" i="5"/>
  <c r="L287" i="5"/>
  <c r="N266" i="5"/>
  <c r="S270" i="5"/>
  <c r="Q285" i="5"/>
  <c r="S285" i="5" s="1"/>
  <c r="F189" i="5"/>
  <c r="P116" i="5"/>
  <c r="S116" i="5"/>
  <c r="Z428" i="5"/>
  <c r="AF432" i="5"/>
  <c r="AL417" i="5"/>
  <c r="Z436" i="5"/>
  <c r="AF438" i="5"/>
  <c r="Z442" i="5"/>
  <c r="AF442" i="5"/>
  <c r="Z476" i="5"/>
  <c r="AF448" i="5"/>
  <c r="AL435" i="5"/>
  <c r="AF427" i="5"/>
  <c r="AF417" i="5"/>
  <c r="AL465" i="5"/>
  <c r="AL466" i="5" s="1"/>
  <c r="AO466" i="5" s="1"/>
  <c r="AL441" i="5"/>
  <c r="N295" i="5"/>
  <c r="F304" i="5"/>
  <c r="R308" i="5"/>
  <c r="P308" i="5"/>
  <c r="Q351" i="5"/>
  <c r="K285" i="5"/>
  <c r="F186" i="5"/>
  <c r="F194" i="5"/>
  <c r="E210" i="5" s="1"/>
  <c r="R8" i="5"/>
  <c r="M8" i="5"/>
  <c r="K8" i="5"/>
  <c r="AF434" i="5"/>
  <c r="AF464" i="5"/>
  <c r="Z446" i="5"/>
  <c r="AH446" i="5" s="1"/>
  <c r="AL450" i="5"/>
  <c r="AO450" i="5" s="1"/>
  <c r="AF437" i="5"/>
  <c r="AF430" i="5"/>
  <c r="Z435" i="5"/>
  <c r="AF471" i="5"/>
  <c r="J13" i="5"/>
  <c r="K6" i="5"/>
  <c r="F349" i="5"/>
  <c r="S34" i="5"/>
  <c r="N34" i="5"/>
  <c r="N116" i="5"/>
  <c r="E116" i="5"/>
  <c r="F54" i="5"/>
  <c r="AH461" i="5"/>
  <c r="AI461" i="5" s="1"/>
  <c r="AI453" i="5"/>
  <c r="S330" i="5"/>
  <c r="N330" i="5"/>
  <c r="L351" i="5"/>
  <c r="K330" i="5"/>
  <c r="AH492" i="5"/>
  <c r="N229" i="5"/>
  <c r="K229" i="5"/>
  <c r="S229" i="5"/>
  <c r="M185" i="5"/>
  <c r="K194" i="5"/>
  <c r="AF406" i="5" s="1"/>
  <c r="N135" i="5"/>
  <c r="S135" i="5"/>
  <c r="K135" i="5"/>
  <c r="S42" i="5"/>
  <c r="Q54" i="5"/>
  <c r="M7" i="5"/>
  <c r="Z422" i="5"/>
  <c r="AF441" i="5"/>
  <c r="AF445" i="5"/>
  <c r="AF447" i="5"/>
  <c r="Z475" i="5"/>
  <c r="AF470" i="5"/>
  <c r="Z439" i="5"/>
  <c r="AL436" i="5"/>
  <c r="AF474" i="5"/>
  <c r="S57" i="5"/>
  <c r="N57" i="5"/>
  <c r="M12" i="5"/>
  <c r="N21" i="5"/>
  <c r="S60" i="5"/>
  <c r="Q122" i="5"/>
  <c r="S122" i="5" s="1"/>
  <c r="F122" i="5"/>
  <c r="AH469" i="5"/>
  <c r="AI469" i="5" s="1"/>
  <c r="K349" i="5"/>
  <c r="L186" i="5"/>
  <c r="S185" i="5"/>
  <c r="N185" i="5"/>
  <c r="N186" i="5" s="1"/>
  <c r="L194" i="5"/>
  <c r="AH459" i="5"/>
  <c r="AI459" i="5" s="1"/>
  <c r="M307" i="5"/>
  <c r="O185" i="5"/>
  <c r="R172" i="5"/>
  <c r="L251" i="5"/>
  <c r="Q266" i="5"/>
  <c r="Q287" i="5" s="1"/>
  <c r="Q289" i="5" s="1"/>
  <c r="P174" i="5"/>
  <c r="L231" i="5"/>
  <c r="N108" i="5"/>
  <c r="N109" i="5" s="1"/>
  <c r="L155" i="5"/>
  <c r="K122" i="5"/>
  <c r="S32" i="5"/>
  <c r="N32" i="5"/>
  <c r="J32" i="5"/>
  <c r="R98" i="5"/>
  <c r="AF443" i="5"/>
  <c r="AL451" i="5"/>
  <c r="AO451" i="5" s="1"/>
  <c r="AL409" i="5"/>
  <c r="AL475" i="5"/>
  <c r="AO475" i="5" s="1"/>
  <c r="Z411" i="5"/>
  <c r="AH411" i="5" s="1"/>
  <c r="AL421" i="5"/>
  <c r="AF473" i="5"/>
  <c r="AL448" i="5"/>
  <c r="AF449" i="5"/>
  <c r="AF480" i="5"/>
  <c r="Q24" i="5"/>
  <c r="S24" i="5" s="1"/>
  <c r="L13" i="5"/>
  <c r="L27" i="5" s="1"/>
  <c r="S21" i="5"/>
  <c r="M10" i="5"/>
  <c r="AO460" i="5"/>
  <c r="AN460" i="5"/>
  <c r="AN466" i="5" s="1"/>
  <c r="AO459" i="5"/>
  <c r="L289" i="5"/>
  <c r="S250" i="5"/>
  <c r="N250" i="5"/>
  <c r="N251" i="5" s="1"/>
  <c r="N38" i="5"/>
  <c r="K38" i="5"/>
  <c r="S38" i="5"/>
  <c r="S31" i="5"/>
  <c r="L41" i="5"/>
  <c r="J31" i="5"/>
  <c r="N31" i="5"/>
  <c r="N17" i="5"/>
  <c r="S17" i="5"/>
  <c r="S36" i="5"/>
  <c r="S106" i="5"/>
  <c r="O113" i="5"/>
  <c r="AF410" i="5"/>
  <c r="AL471" i="5"/>
  <c r="AL410" i="5"/>
  <c r="AF413" i="5"/>
  <c r="AL414" i="5"/>
  <c r="AL423" i="5"/>
  <c r="AF476" i="5"/>
  <c r="Z410" i="5"/>
  <c r="M6" i="5"/>
  <c r="R6" i="5"/>
  <c r="N24" i="5"/>
  <c r="N25" i="5" s="1"/>
  <c r="P210" i="5" l="1"/>
  <c r="Q231" i="5"/>
  <c r="P231" i="5" s="1"/>
  <c r="S210" i="5"/>
  <c r="N153" i="5"/>
  <c r="AN476" i="5"/>
  <c r="AH476" i="5"/>
  <c r="AI476" i="5" s="1"/>
  <c r="K155" i="5"/>
  <c r="AN448" i="5"/>
  <c r="AO448" i="5" s="1"/>
  <c r="AH448" i="5"/>
  <c r="AH415" i="5"/>
  <c r="AI415" i="5" s="1"/>
  <c r="AN415" i="5"/>
  <c r="AO415" i="5" s="1"/>
  <c r="AE415" i="5"/>
  <c r="AE416" i="5"/>
  <c r="F351" i="5"/>
  <c r="AN451" i="5"/>
  <c r="F155" i="5"/>
  <c r="E122" i="5"/>
  <c r="AN413" i="5"/>
  <c r="AO413" i="5" s="1"/>
  <c r="AE413" i="5"/>
  <c r="AH413" i="5"/>
  <c r="AL443" i="5"/>
  <c r="S63" i="5"/>
  <c r="Q72" i="5"/>
  <c r="Q74" i="5" s="1"/>
  <c r="AL434" i="5"/>
  <c r="S55" i="5"/>
  <c r="Z443" i="5"/>
  <c r="AH443" i="5" s="1"/>
  <c r="N63" i="5"/>
  <c r="L74" i="5"/>
  <c r="K41" i="5"/>
  <c r="S41" i="5"/>
  <c r="N41" i="5"/>
  <c r="L195" i="5"/>
  <c r="S194" i="5"/>
  <c r="N194" i="5"/>
  <c r="N195" i="5" s="1"/>
  <c r="S195" i="5"/>
  <c r="L233" i="5"/>
  <c r="K210" i="5"/>
  <c r="F72" i="5"/>
  <c r="Z434" i="5"/>
  <c r="AH434" i="5" s="1"/>
  <c r="N55" i="5"/>
  <c r="F309" i="5"/>
  <c r="N304" i="5"/>
  <c r="N305" i="5" s="1"/>
  <c r="P119" i="5"/>
  <c r="P118" i="5"/>
  <c r="O105" i="5"/>
  <c r="P105" i="5" s="1"/>
  <c r="P97" i="5"/>
  <c r="O108" i="5"/>
  <c r="P113" i="5"/>
  <c r="P114" i="5"/>
  <c r="P112" i="5"/>
  <c r="P115" i="5"/>
  <c r="P121" i="5"/>
  <c r="P117" i="5"/>
  <c r="P120" i="5"/>
  <c r="AN426" i="5"/>
  <c r="Q108" i="5"/>
  <c r="S98" i="5"/>
  <c r="O112" i="5"/>
  <c r="E229" i="5"/>
  <c r="AN436" i="5"/>
  <c r="AH436" i="5"/>
  <c r="AI436" i="5" s="1"/>
  <c r="Q195" i="5"/>
  <c r="Q397" i="5"/>
  <c r="P397" i="5" s="1"/>
  <c r="AI411" i="5"/>
  <c r="AN410" i="5"/>
  <c r="AO410" i="5" s="1"/>
  <c r="AH410" i="5"/>
  <c r="AI410" i="5" s="1"/>
  <c r="AE410" i="5"/>
  <c r="L165" i="5"/>
  <c r="AH474" i="5"/>
  <c r="AI474" i="5" s="1"/>
  <c r="AN474" i="5"/>
  <c r="AO474" i="5" s="1"/>
  <c r="AN442" i="5"/>
  <c r="AH442" i="5"/>
  <c r="S266" i="5"/>
  <c r="AN450" i="5"/>
  <c r="Z437" i="5"/>
  <c r="N58" i="5"/>
  <c r="AN422" i="5"/>
  <c r="AO422" i="5" s="1"/>
  <c r="AH422" i="5"/>
  <c r="Q309" i="5"/>
  <c r="S304" i="5"/>
  <c r="S305" i="5" s="1"/>
  <c r="AN479" i="5"/>
  <c r="AN478" i="5"/>
  <c r="F231" i="5"/>
  <c r="E231" i="5" s="1"/>
  <c r="N122" i="5"/>
  <c r="AF452" i="5"/>
  <c r="O13" i="5"/>
  <c r="AK413" i="5" s="1"/>
  <c r="P6" i="5"/>
  <c r="AF407" i="5"/>
  <c r="L85" i="5"/>
  <c r="N231" i="5"/>
  <c r="K231" i="5"/>
  <c r="AO436" i="5"/>
  <c r="K23" i="5"/>
  <c r="R23" i="5" s="1"/>
  <c r="K21" i="5"/>
  <c r="R21" i="5" s="1"/>
  <c r="K13" i="5"/>
  <c r="J27" i="5"/>
  <c r="K22" i="5"/>
  <c r="R22" i="5" s="1"/>
  <c r="J24" i="5"/>
  <c r="AI442" i="5"/>
  <c r="D105" i="5"/>
  <c r="E105" i="5" s="1"/>
  <c r="E97" i="5"/>
  <c r="E118" i="5"/>
  <c r="D108" i="5"/>
  <c r="E108" i="5" s="1"/>
  <c r="E120" i="5"/>
  <c r="E113" i="5"/>
  <c r="E114" i="5"/>
  <c r="E115" i="5"/>
  <c r="E117" i="5"/>
  <c r="E119" i="5"/>
  <c r="E121" i="5"/>
  <c r="E112" i="5"/>
  <c r="AN431" i="5"/>
  <c r="AO431" i="5" s="1"/>
  <c r="AH431" i="5"/>
  <c r="AI431" i="5" s="1"/>
  <c r="AL437" i="5"/>
  <c r="AN437" i="5" s="1"/>
  <c r="S58" i="5"/>
  <c r="K105" i="5"/>
  <c r="AN439" i="5"/>
  <c r="AO439" i="5" s="1"/>
  <c r="AH439" i="5"/>
  <c r="AO442" i="5"/>
  <c r="AN473" i="5"/>
  <c r="AH473" i="5"/>
  <c r="AI473" i="5" s="1"/>
  <c r="R185" i="5"/>
  <c r="S186" i="5" s="1"/>
  <c r="P186" i="5"/>
  <c r="P122" i="5"/>
  <c r="Q155" i="5"/>
  <c r="P155" i="5" s="1"/>
  <c r="S363" i="5"/>
  <c r="S362" i="5"/>
  <c r="Q13" i="5"/>
  <c r="S6" i="5"/>
  <c r="S13" i="5" s="1"/>
  <c r="S25" i="5"/>
  <c r="AI439" i="5"/>
  <c r="Z438" i="5"/>
  <c r="N59" i="5"/>
  <c r="S351" i="5"/>
  <c r="N351" i="5"/>
  <c r="K351" i="5"/>
  <c r="S287" i="5"/>
  <c r="N287" i="5"/>
  <c r="K287" i="5"/>
  <c r="AK412" i="5"/>
  <c r="AK418" i="5"/>
  <c r="AO418" i="5"/>
  <c r="K54" i="5"/>
  <c r="P304" i="5"/>
  <c r="AK414" i="5"/>
  <c r="AH480" i="5"/>
  <c r="AI480" i="5" s="1"/>
  <c r="AN480" i="5"/>
  <c r="AO480" i="5" s="1"/>
  <c r="AN470" i="5"/>
  <c r="AO470" i="5" s="1"/>
  <c r="AH470" i="5"/>
  <c r="AI470" i="5" s="1"/>
  <c r="AF481" i="5"/>
  <c r="AL438" i="5"/>
  <c r="AN438" i="5" s="1"/>
  <c r="S59" i="5"/>
  <c r="AH471" i="5"/>
  <c r="AI471" i="5" s="1"/>
  <c r="AN471" i="5"/>
  <c r="AO471" i="5" s="1"/>
  <c r="Z445" i="5"/>
  <c r="N65" i="5"/>
  <c r="AN421" i="5"/>
  <c r="AO421" i="5" s="1"/>
  <c r="AH421" i="5"/>
  <c r="AI421" i="5" s="1"/>
  <c r="AF433" i="5"/>
  <c r="AF466" i="5"/>
  <c r="O32" i="5"/>
  <c r="K314" i="5"/>
  <c r="E11" i="5"/>
  <c r="M11" i="5"/>
  <c r="M13" i="5" s="1"/>
  <c r="AH447" i="5"/>
  <c r="AI447" i="5" s="1"/>
  <c r="AN447" i="5"/>
  <c r="AO447" i="5" s="1"/>
  <c r="P17" i="5"/>
  <c r="R17" i="5"/>
  <c r="S289" i="5"/>
  <c r="E6" i="5"/>
  <c r="D13" i="5"/>
  <c r="Y411" i="5" s="1"/>
  <c r="F13" i="5"/>
  <c r="N6" i="5"/>
  <c r="N13" i="5" s="1"/>
  <c r="E17" i="5"/>
  <c r="M17" i="5"/>
  <c r="AN449" i="5"/>
  <c r="R250" i="5"/>
  <c r="S251" i="5" s="1"/>
  <c r="M250" i="5"/>
  <c r="F233" i="5"/>
  <c r="F195" i="5"/>
  <c r="S65" i="5"/>
  <c r="AL445" i="5"/>
  <c r="AN445" i="5" s="1"/>
  <c r="AO417" i="5"/>
  <c r="AK417" i="5"/>
  <c r="AH444" i="5"/>
  <c r="AI444" i="5" s="1"/>
  <c r="AN444" i="5"/>
  <c r="AO444" i="5" s="1"/>
  <c r="AI414" i="5"/>
  <c r="Y414" i="5"/>
  <c r="K397" i="5"/>
  <c r="S397" i="5"/>
  <c r="L399" i="5"/>
  <c r="AL427" i="5"/>
  <c r="AO427" i="5" s="1"/>
  <c r="P11" i="5"/>
  <c r="R11" i="5"/>
  <c r="R13" i="5" s="1"/>
  <c r="R14" i="5" s="1"/>
  <c r="D309" i="5"/>
  <c r="E304" i="5"/>
  <c r="M304" i="5"/>
  <c r="AN412" i="5"/>
  <c r="AO412" i="5" s="1"/>
  <c r="O314" i="5"/>
  <c r="R309" i="5"/>
  <c r="AN430" i="5"/>
  <c r="AH430" i="5"/>
  <c r="AI430" i="5" s="1"/>
  <c r="F74" i="5"/>
  <c r="AN428" i="5"/>
  <c r="AO428" i="5" s="1"/>
  <c r="AH428" i="5"/>
  <c r="AI428" i="5" s="1"/>
  <c r="M108" i="5"/>
  <c r="M109" i="5" s="1"/>
  <c r="K108" i="5"/>
  <c r="L353" i="5"/>
  <c r="AF419" i="5"/>
  <c r="AE412" i="5"/>
  <c r="Y410" i="5"/>
  <c r="AN440" i="5"/>
  <c r="AH440" i="5"/>
  <c r="Q83" i="5"/>
  <c r="AL472" i="5"/>
  <c r="AO472" i="5" s="1"/>
  <c r="S76" i="5"/>
  <c r="S83" i="5" s="1"/>
  <c r="AH435" i="5"/>
  <c r="AI435" i="5" s="1"/>
  <c r="AN435" i="5"/>
  <c r="AO435" i="5" s="1"/>
  <c r="AN425" i="5"/>
  <c r="AE414" i="5"/>
  <c r="Y412" i="5"/>
  <c r="Z463" i="5"/>
  <c r="Z478" i="5"/>
  <c r="AH478" i="5" s="1"/>
  <c r="AI478" i="5" s="1"/>
  <c r="Z497" i="5"/>
  <c r="Z464" i="5"/>
  <c r="AI464" i="5" s="1"/>
  <c r="Z417" i="5"/>
  <c r="Z450" i="5"/>
  <c r="AI450" i="5" s="1"/>
  <c r="Z479" i="5"/>
  <c r="AH479" i="5" s="1"/>
  <c r="AI479" i="5" s="1"/>
  <c r="Z416" i="5"/>
  <c r="Z419" i="5" s="1"/>
  <c r="Z451" i="5"/>
  <c r="AI451" i="5" s="1"/>
  <c r="Z495" i="5"/>
  <c r="Z427" i="5"/>
  <c r="AI427" i="5" s="1"/>
  <c r="Z426" i="5"/>
  <c r="AI426" i="5" s="1"/>
  <c r="Z418" i="5"/>
  <c r="Z425" i="5"/>
  <c r="AI425" i="5" s="1"/>
  <c r="Z449" i="5"/>
  <c r="AI449" i="5" s="1"/>
  <c r="Z432" i="5"/>
  <c r="AI432" i="5" s="1"/>
  <c r="Z465" i="5"/>
  <c r="AI465" i="5" s="1"/>
  <c r="AN409" i="5"/>
  <c r="AO409" i="5" s="1"/>
  <c r="AH412" i="5"/>
  <c r="AI412" i="5" s="1"/>
  <c r="AN441" i="5"/>
  <c r="AO441" i="5" s="1"/>
  <c r="AH441" i="5"/>
  <c r="AI441" i="5" s="1"/>
  <c r="AN417" i="5"/>
  <c r="AE417" i="5"/>
  <c r="Z472" i="5"/>
  <c r="Z481" i="5" s="1"/>
  <c r="F83" i="5"/>
  <c r="N76" i="5"/>
  <c r="N83" i="5" s="1"/>
  <c r="F289" i="5"/>
  <c r="F402" i="5" s="1"/>
  <c r="AI448" i="5"/>
  <c r="AN475" i="5"/>
  <c r="AH475" i="5"/>
  <c r="AI475" i="5" s="1"/>
  <c r="AH414" i="5"/>
  <c r="N45" i="5"/>
  <c r="N54" i="5" s="1"/>
  <c r="Z424" i="5"/>
  <c r="AH424" i="5" s="1"/>
  <c r="AE409" i="5"/>
  <c r="AN411" i="5"/>
  <c r="AO411" i="5" s="1"/>
  <c r="AH445" i="5"/>
  <c r="AI422" i="5"/>
  <c r="AI446" i="5"/>
  <c r="AI413" i="5"/>
  <c r="Y413" i="5"/>
  <c r="AO430" i="5"/>
  <c r="AN429" i="5"/>
  <c r="AO429" i="5" s="1"/>
  <c r="AH429" i="5"/>
  <c r="AI429" i="5" s="1"/>
  <c r="AN423" i="5"/>
  <c r="AO423" i="5" s="1"/>
  <c r="AH423" i="5"/>
  <c r="AI423" i="5" s="1"/>
  <c r="AN414" i="5"/>
  <c r="AO414" i="5" s="1"/>
  <c r="AL416" i="5"/>
  <c r="AN416" i="5" s="1"/>
  <c r="S45" i="5"/>
  <c r="S54" i="5" s="1"/>
  <c r="AL424" i="5"/>
  <c r="AN424" i="5" s="1"/>
  <c r="K72" i="5"/>
  <c r="AE411" i="5"/>
  <c r="E397" i="5"/>
  <c r="F399" i="5"/>
  <c r="AN472" i="5" l="1"/>
  <c r="Q233" i="5"/>
  <c r="S72" i="5"/>
  <c r="AL481" i="5"/>
  <c r="AO481" i="5" s="1"/>
  <c r="S231" i="5"/>
  <c r="AI417" i="5"/>
  <c r="Y417" i="5"/>
  <c r="AL433" i="5"/>
  <c r="Q165" i="5"/>
  <c r="S165" i="5" s="1"/>
  <c r="P135" i="5"/>
  <c r="S108" i="5"/>
  <c r="S109" i="5" s="1"/>
  <c r="P153" i="5"/>
  <c r="AL452" i="5"/>
  <c r="AG412" i="5"/>
  <c r="AM412" i="5"/>
  <c r="AH465" i="5"/>
  <c r="AH450" i="5"/>
  <c r="AH451" i="5"/>
  <c r="AI497" i="5"/>
  <c r="AH497" i="5"/>
  <c r="AH419" i="5"/>
  <c r="AI419" i="5" s="1"/>
  <c r="AF468" i="5"/>
  <c r="AD419" i="5"/>
  <c r="E74" i="5"/>
  <c r="E309" i="5"/>
  <c r="D314" i="5"/>
  <c r="M309" i="5"/>
  <c r="M24" i="5"/>
  <c r="K24" i="5"/>
  <c r="K37" i="5"/>
  <c r="K36" i="5"/>
  <c r="K35" i="5"/>
  <c r="K34" i="5"/>
  <c r="K32" i="5"/>
  <c r="K33" i="5"/>
  <c r="K31" i="5"/>
  <c r="AH426" i="5"/>
  <c r="AI437" i="5"/>
  <c r="P108" i="5"/>
  <c r="S233" i="5"/>
  <c r="N233" i="5"/>
  <c r="E155" i="5"/>
  <c r="F165" i="5"/>
  <c r="N165" i="5" s="1"/>
  <c r="AO445" i="5"/>
  <c r="F27" i="5"/>
  <c r="N14" i="5"/>
  <c r="D31" i="5"/>
  <c r="AF483" i="5"/>
  <c r="AS407" i="5"/>
  <c r="R194" i="5"/>
  <c r="M194" i="5"/>
  <c r="AK410" i="5"/>
  <c r="AK409" i="5"/>
  <c r="AI418" i="5"/>
  <c r="Y418" i="5"/>
  <c r="AH418" i="5"/>
  <c r="AI463" i="5"/>
  <c r="Z466" i="5"/>
  <c r="AH432" i="5"/>
  <c r="D27" i="5"/>
  <c r="E27" i="5" s="1"/>
  <c r="D24" i="5"/>
  <c r="M14" i="5"/>
  <c r="E13" i="5"/>
  <c r="Y409" i="5"/>
  <c r="AM409" i="5" s="1"/>
  <c r="Y415" i="5"/>
  <c r="AG415" i="5" s="1"/>
  <c r="K27" i="5"/>
  <c r="W82" i="5"/>
  <c r="AL419" i="5"/>
  <c r="AM411" i="5"/>
  <c r="AG411" i="5"/>
  <c r="AH417" i="5"/>
  <c r="AI445" i="5"/>
  <c r="Q27" i="5"/>
  <c r="S14" i="5"/>
  <c r="O31" i="5"/>
  <c r="P13" i="5"/>
  <c r="O27" i="5"/>
  <c r="O24" i="5"/>
  <c r="AK415" i="5"/>
  <c r="F314" i="5"/>
  <c r="N309" i="5"/>
  <c r="N310" i="5" s="1"/>
  <c r="E351" i="5"/>
  <c r="L401" i="5"/>
  <c r="N72" i="5"/>
  <c r="AI495" i="5"/>
  <c r="AH495" i="5"/>
  <c r="AM414" i="5"/>
  <c r="AG414" i="5"/>
  <c r="AH438" i="5"/>
  <c r="AI438" i="5" s="1"/>
  <c r="M105" i="5"/>
  <c r="AN434" i="5"/>
  <c r="Q314" i="5"/>
  <c r="S309" i="5"/>
  <c r="S310" i="5" s="1"/>
  <c r="Z452" i="5"/>
  <c r="AI434" i="5"/>
  <c r="N74" i="5"/>
  <c r="K74" i="5"/>
  <c r="S74" i="5"/>
  <c r="AG416" i="5"/>
  <c r="AM416" i="5"/>
  <c r="N155" i="5"/>
  <c r="AI424" i="5"/>
  <c r="AO424" i="5"/>
  <c r="AN427" i="5"/>
  <c r="AH425" i="5"/>
  <c r="AH437" i="5"/>
  <c r="AH452" i="5" s="1"/>
  <c r="AI452" i="5" s="1"/>
  <c r="P309" i="5"/>
  <c r="N289" i="5"/>
  <c r="AD466" i="5"/>
  <c r="Q399" i="5"/>
  <c r="S399" i="5" s="1"/>
  <c r="AD452" i="5"/>
  <c r="E72" i="5"/>
  <c r="AM413" i="5"/>
  <c r="AG413" i="5"/>
  <c r="AH416" i="5"/>
  <c r="S155" i="5"/>
  <c r="Z433" i="5"/>
  <c r="AG417" i="5"/>
  <c r="AM417" i="5"/>
  <c r="AH427" i="5"/>
  <c r="Y416" i="5"/>
  <c r="AI416" i="5"/>
  <c r="R108" i="5"/>
  <c r="R109" i="5" s="1"/>
  <c r="L402" i="5"/>
  <c r="AH463" i="5"/>
  <c r="AO438" i="5"/>
  <c r="AH472" i="5"/>
  <c r="AI472" i="5" s="1"/>
  <c r="AH464" i="5"/>
  <c r="AK411" i="5"/>
  <c r="AN443" i="5"/>
  <c r="AO443" i="5" s="1"/>
  <c r="AK416" i="5"/>
  <c r="AO416" i="5"/>
  <c r="R314" i="5"/>
  <c r="P314" i="5"/>
  <c r="AL406" i="5"/>
  <c r="AH449" i="5"/>
  <c r="AD433" i="5"/>
  <c r="AN481" i="5"/>
  <c r="AH481" i="5"/>
  <c r="AI481" i="5" s="1"/>
  <c r="AD481" i="5"/>
  <c r="AS481" i="5"/>
  <c r="AO437" i="5"/>
  <c r="AM410" i="5"/>
  <c r="AG410" i="5"/>
  <c r="AI443" i="5"/>
  <c r="AM415" i="5"/>
  <c r="AN452" i="5" l="1"/>
  <c r="AL407" i="5"/>
  <c r="Q85" i="5"/>
  <c r="P41" i="5"/>
  <c r="P54" i="5"/>
  <c r="S27" i="5"/>
  <c r="S85" i="5" s="1"/>
  <c r="P72" i="5"/>
  <c r="E314" i="5"/>
  <c r="Z406" i="5"/>
  <c r="Y448" i="5" s="1"/>
  <c r="M314" i="5"/>
  <c r="E39" i="5"/>
  <c r="E24" i="5"/>
  <c r="E34" i="5"/>
  <c r="E38" i="5"/>
  <c r="E36" i="5"/>
  <c r="E32" i="5"/>
  <c r="E37" i="5"/>
  <c r="E31" i="5"/>
  <c r="E40" i="5"/>
  <c r="E35" i="5"/>
  <c r="E33" i="5"/>
  <c r="X466" i="5"/>
  <c r="AI466" i="5"/>
  <c r="X433" i="5"/>
  <c r="P74" i="5"/>
  <c r="P39" i="5"/>
  <c r="P24" i="5"/>
  <c r="P35" i="5"/>
  <c r="P34" i="5"/>
  <c r="P37" i="5"/>
  <c r="P31" i="5"/>
  <c r="P38" i="5"/>
  <c r="P40" i="5"/>
  <c r="P32" i="5"/>
  <c r="P36" i="5"/>
  <c r="P33" i="5"/>
  <c r="AL468" i="5"/>
  <c r="AN468" i="5" s="1"/>
  <c r="AG409" i="5"/>
  <c r="AE483" i="5"/>
  <c r="AF489" i="5"/>
  <c r="P27" i="5"/>
  <c r="M27" i="5"/>
  <c r="M28" i="5" s="1"/>
  <c r="Z407" i="5"/>
  <c r="X452" i="5" s="1"/>
  <c r="F85" i="5"/>
  <c r="E54" i="5"/>
  <c r="E41" i="5"/>
  <c r="N27" i="5"/>
  <c r="AN419" i="5"/>
  <c r="AO419" i="5" s="1"/>
  <c r="AO434" i="5"/>
  <c r="F353" i="5"/>
  <c r="N314" i="5"/>
  <c r="N315" i="5" s="1"/>
  <c r="E330" i="5"/>
  <c r="E349" i="5"/>
  <c r="AH433" i="5"/>
  <c r="AI433" i="5" s="1"/>
  <c r="AM418" i="5"/>
  <c r="AG418" i="5"/>
  <c r="AN433" i="5"/>
  <c r="AO433" i="5" s="1"/>
  <c r="AH466" i="5"/>
  <c r="Q353" i="5"/>
  <c r="S353" i="5" s="1"/>
  <c r="S315" i="5"/>
  <c r="P330" i="5"/>
  <c r="P349" i="5"/>
  <c r="P351" i="5"/>
  <c r="S314" i="5"/>
  <c r="R27" i="5"/>
  <c r="R28" i="5" s="1"/>
  <c r="AD468" i="5"/>
  <c r="AP468" i="5"/>
  <c r="AS468" i="5" s="1"/>
  <c r="AO452" i="5"/>
  <c r="Z468" i="5"/>
  <c r="X468" i="5" s="1"/>
  <c r="AF498" i="5" l="1"/>
  <c r="AF488" i="5"/>
  <c r="AE489" i="5"/>
  <c r="F401" i="5"/>
  <c r="N353" i="5"/>
  <c r="AH468" i="5"/>
  <c r="AI468" i="5" s="1"/>
  <c r="S28" i="5"/>
  <c r="N28" i="5"/>
  <c r="N85" i="5"/>
  <c r="AO468" i="5"/>
  <c r="Z483" i="5"/>
  <c r="AH407" i="5"/>
  <c r="AI407" i="5" s="1"/>
  <c r="X419" i="5"/>
  <c r="X481" i="5"/>
  <c r="AJ452" i="5"/>
  <c r="AJ466" i="5"/>
  <c r="AJ433" i="5"/>
  <c r="AJ419" i="5"/>
  <c r="AO407" i="5"/>
  <c r="AJ407" i="5"/>
  <c r="AL483" i="5"/>
  <c r="AJ468" i="5"/>
  <c r="AN407" i="5"/>
  <c r="AE488" i="5" l="1"/>
  <c r="AL489" i="5"/>
  <c r="AN483" i="5"/>
  <c r="AO483" i="5" s="1"/>
  <c r="AK483" i="5"/>
  <c r="Y483" i="5"/>
  <c r="Z489" i="5"/>
  <c r="AH483" i="5"/>
  <c r="AI483" i="5" s="1"/>
  <c r="AF511" i="5"/>
  <c r="AF507" i="5"/>
  <c r="AE498" i="5"/>
  <c r="AF502" i="5"/>
  <c r="AF504" i="5"/>
  <c r="AG511" i="5" l="1"/>
  <c r="AJ507" i="5"/>
  <c r="Y489" i="5"/>
  <c r="Z498" i="5"/>
  <c r="Z488" i="5"/>
  <c r="AH489" i="5"/>
  <c r="AI489" i="5" s="1"/>
  <c r="AL488" i="5"/>
  <c r="AL498" i="5"/>
  <c r="AK489" i="5"/>
  <c r="AN489" i="5"/>
  <c r="AO489" i="5" s="1"/>
  <c r="AK498" i="5" l="1"/>
  <c r="AN498" i="5"/>
  <c r="AO498" i="5" s="1"/>
  <c r="AK488" i="5"/>
  <c r="AN488" i="5"/>
  <c r="AO488" i="5" s="1"/>
  <c r="Y488" i="5"/>
  <c r="AH488" i="5"/>
  <c r="AI488" i="5" s="1"/>
  <c r="Y498" i="5"/>
  <c r="AH498" i="5"/>
  <c r="AI498" i="5" s="1"/>
  <c r="A499" i="15" l="1"/>
  <c r="A498" i="15"/>
  <c r="A497" i="15"/>
  <c r="AO497" i="15" s="1"/>
  <c r="A496" i="15"/>
  <c r="AO496" i="15" s="1"/>
  <c r="A495" i="15"/>
  <c r="AI494" i="15"/>
  <c r="A494" i="15"/>
  <c r="AO494" i="15" s="1"/>
  <c r="AO493" i="15"/>
  <c r="A493" i="15"/>
  <c r="AI493" i="15" s="1"/>
  <c r="AI492" i="15"/>
  <c r="A492" i="15"/>
  <c r="AO492" i="15" s="1"/>
  <c r="A491" i="15"/>
  <c r="A490" i="15"/>
  <c r="A489" i="15"/>
  <c r="A488" i="15"/>
  <c r="A487" i="15"/>
  <c r="A486" i="15"/>
  <c r="A484" i="15"/>
  <c r="AR483" i="15"/>
  <c r="A483" i="15"/>
  <c r="AO482" i="15"/>
  <c r="AN482" i="15"/>
  <c r="A482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H469" i="15"/>
  <c r="AI469" i="15" s="1"/>
  <c r="A469" i="15"/>
  <c r="AR468" i="15"/>
  <c r="A468" i="15"/>
  <c r="AO467" i="15"/>
  <c r="AN467" i="15"/>
  <c r="AH467" i="15"/>
  <c r="A467" i="15"/>
  <c r="A466" i="15"/>
  <c r="A465" i="15"/>
  <c r="A464" i="15"/>
  <c r="A463" i="15"/>
  <c r="A462" i="15"/>
  <c r="AH461" i="15"/>
  <c r="A461" i="15"/>
  <c r="AO460" i="15"/>
  <c r="A460" i="15"/>
  <c r="AH459" i="15"/>
  <c r="A459" i="15"/>
  <c r="AQ458" i="15"/>
  <c r="AN458" i="15"/>
  <c r="A458" i="15"/>
  <c r="AO458" i="15" s="1"/>
  <c r="AQ457" i="15"/>
  <c r="A457" i="15"/>
  <c r="A456" i="15"/>
  <c r="A455" i="15"/>
  <c r="A454" i="15"/>
  <c r="A453" i="15"/>
  <c r="A452" i="15"/>
  <c r="A451" i="15"/>
  <c r="A450" i="15"/>
  <c r="A449" i="15"/>
  <c r="A448" i="15"/>
  <c r="A447" i="15"/>
  <c r="A446" i="15"/>
  <c r="A445" i="15"/>
  <c r="A444" i="15"/>
  <c r="A443" i="15"/>
  <c r="A442" i="15"/>
  <c r="A441" i="15"/>
  <c r="AQ439" i="15"/>
  <c r="A439" i="15"/>
  <c r="AQ438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H420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S394" i="15"/>
  <c r="A394" i="15"/>
  <c r="A393" i="15"/>
  <c r="A392" i="15"/>
  <c r="A391" i="15"/>
  <c r="A390" i="15"/>
  <c r="A389" i="15"/>
  <c r="A388" i="15"/>
  <c r="S387" i="15"/>
  <c r="A387" i="15"/>
  <c r="S386" i="15"/>
  <c r="A386" i="15"/>
  <c r="A385" i="15"/>
  <c r="S384" i="15"/>
  <c r="A384" i="15"/>
  <c r="A383" i="15"/>
  <c r="A382" i="15"/>
  <c r="A381" i="15"/>
  <c r="S380" i="15"/>
  <c r="A380" i="15"/>
  <c r="A379" i="15"/>
  <c r="S378" i="15"/>
  <c r="F395" i="15"/>
  <c r="A378" i="15"/>
  <c r="A377" i="15"/>
  <c r="A376" i="15"/>
  <c r="S375" i="15"/>
  <c r="A375" i="15"/>
  <c r="A374" i="15"/>
  <c r="A373" i="15"/>
  <c r="A372" i="15"/>
  <c r="A371" i="15"/>
  <c r="A370" i="15"/>
  <c r="S369" i="15"/>
  <c r="A369" i="15"/>
  <c r="A368" i="15"/>
  <c r="S367" i="15"/>
  <c r="A367" i="15"/>
  <c r="A366" i="15"/>
  <c r="A365" i="15"/>
  <c r="A364" i="15"/>
  <c r="A363" i="15"/>
  <c r="A362" i="15"/>
  <c r="A361" i="15"/>
  <c r="A360" i="15"/>
  <c r="D362" i="15" s="1"/>
  <c r="E362" i="15" s="1"/>
  <c r="A359" i="15"/>
  <c r="A348" i="15"/>
  <c r="S347" i="15"/>
  <c r="A347" i="15"/>
  <c r="S346" i="15"/>
  <c r="A346" i="15"/>
  <c r="A345" i="15"/>
  <c r="A344" i="15"/>
  <c r="N343" i="15"/>
  <c r="A343" i="15"/>
  <c r="A342" i="15"/>
  <c r="A341" i="15"/>
  <c r="A340" i="15"/>
  <c r="N339" i="15"/>
  <c r="A339" i="15"/>
  <c r="S338" i="15"/>
  <c r="N338" i="15"/>
  <c r="A338" i="15"/>
  <c r="S337" i="15"/>
  <c r="A337" i="15"/>
  <c r="A336" i="15"/>
  <c r="A335" i="15"/>
  <c r="N335" i="15" s="1"/>
  <c r="S334" i="15"/>
  <c r="N334" i="15"/>
  <c r="A334" i="15"/>
  <c r="N333" i="15"/>
  <c r="A333" i="15"/>
  <c r="A332" i="15"/>
  <c r="S332" i="15" s="1"/>
  <c r="N331" i="15"/>
  <c r="S331" i="15"/>
  <c r="A331" i="15"/>
  <c r="A330" i="15"/>
  <c r="A329" i="15"/>
  <c r="N328" i="15"/>
  <c r="S328" i="15"/>
  <c r="A328" i="15"/>
  <c r="A327" i="15"/>
  <c r="S326" i="15"/>
  <c r="A326" i="15"/>
  <c r="A325" i="15"/>
  <c r="S324" i="15"/>
  <c r="A324" i="15"/>
  <c r="N323" i="15"/>
  <c r="A323" i="15"/>
  <c r="S322" i="15"/>
  <c r="N322" i="15"/>
  <c r="A322" i="15"/>
  <c r="N321" i="15"/>
  <c r="A321" i="15"/>
  <c r="A320" i="15"/>
  <c r="A319" i="15"/>
  <c r="A318" i="15"/>
  <c r="A317" i="15"/>
  <c r="A316" i="15"/>
  <c r="A315" i="15"/>
  <c r="A314" i="15"/>
  <c r="A313" i="15"/>
  <c r="M312" i="15"/>
  <c r="K312" i="15"/>
  <c r="E312" i="15"/>
  <c r="A312" i="15"/>
  <c r="A311" i="15"/>
  <c r="A310" i="15"/>
  <c r="A309" i="15"/>
  <c r="K308" i="15"/>
  <c r="A308" i="15"/>
  <c r="N307" i="15"/>
  <c r="K307" i="15"/>
  <c r="A307" i="15"/>
  <c r="E307" i="15" s="1"/>
  <c r="A306" i="15"/>
  <c r="A305" i="15"/>
  <c r="A304" i="15"/>
  <c r="K303" i="15"/>
  <c r="A303" i="15"/>
  <c r="K302" i="15"/>
  <c r="A302" i="15"/>
  <c r="E302" i="15" s="1"/>
  <c r="K301" i="15"/>
  <c r="E301" i="15"/>
  <c r="A301" i="15"/>
  <c r="K300" i="15"/>
  <c r="A300" i="15"/>
  <c r="K299" i="15"/>
  <c r="A299" i="15"/>
  <c r="E299" i="15" s="1"/>
  <c r="K298" i="15"/>
  <c r="A298" i="15"/>
  <c r="K297" i="15"/>
  <c r="M297" i="15"/>
  <c r="A297" i="15"/>
  <c r="N296" i="15"/>
  <c r="K296" i="15"/>
  <c r="A296" i="15"/>
  <c r="E296" i="15" s="1"/>
  <c r="M295" i="15"/>
  <c r="K295" i="15"/>
  <c r="A295" i="15"/>
  <c r="A294" i="15"/>
  <c r="A284" i="15"/>
  <c r="A283" i="15"/>
  <c r="N282" i="15"/>
  <c r="A282" i="15"/>
  <c r="A281" i="15"/>
  <c r="A280" i="15"/>
  <c r="A279" i="15"/>
  <c r="A278" i="15"/>
  <c r="S277" i="15"/>
  <c r="A277" i="15"/>
  <c r="S276" i="15"/>
  <c r="N276" i="15"/>
  <c r="A276" i="15"/>
  <c r="S275" i="15"/>
  <c r="N275" i="15"/>
  <c r="A275" i="15"/>
  <c r="A274" i="15"/>
  <c r="N273" i="15"/>
  <c r="A273" i="15"/>
  <c r="S273" i="15" s="1"/>
  <c r="A272" i="15"/>
  <c r="S271" i="15"/>
  <c r="A271" i="15"/>
  <c r="S270" i="15"/>
  <c r="N270" i="15"/>
  <c r="A270" i="15"/>
  <c r="N269" i="15"/>
  <c r="A269" i="15"/>
  <c r="S268" i="15"/>
  <c r="A268" i="15"/>
  <c r="S267" i="15"/>
  <c r="N267" i="15"/>
  <c r="A267" i="15"/>
  <c r="A266" i="15"/>
  <c r="N265" i="15"/>
  <c r="A265" i="15"/>
  <c r="A264" i="15"/>
  <c r="S263" i="15"/>
  <c r="N263" i="15"/>
  <c r="A263" i="15"/>
  <c r="A262" i="15"/>
  <c r="A261" i="15"/>
  <c r="N260" i="15"/>
  <c r="S260" i="15"/>
  <c r="A260" i="15"/>
  <c r="N259" i="15"/>
  <c r="A259" i="15"/>
  <c r="N258" i="15"/>
  <c r="A258" i="15"/>
  <c r="A257" i="15"/>
  <c r="S257" i="15" s="1"/>
  <c r="A256" i="15"/>
  <c r="A255" i="15"/>
  <c r="S254" i="15"/>
  <c r="N254" i="15"/>
  <c r="A254" i="15"/>
  <c r="A253" i="15"/>
  <c r="A252" i="15"/>
  <c r="A251" i="15"/>
  <c r="L250" i="15"/>
  <c r="A250" i="15"/>
  <c r="A249" i="15"/>
  <c r="S248" i="15"/>
  <c r="Q248" i="15"/>
  <c r="N248" i="15"/>
  <c r="F248" i="15"/>
  <c r="A248" i="15"/>
  <c r="S247" i="15"/>
  <c r="R247" i="15"/>
  <c r="N247" i="15"/>
  <c r="K250" i="15"/>
  <c r="L251" i="15" s="1"/>
  <c r="A247" i="15"/>
  <c r="A246" i="15"/>
  <c r="L245" i="15"/>
  <c r="A245" i="15"/>
  <c r="K266" i="15"/>
  <c r="A244" i="15"/>
  <c r="A243" i="15"/>
  <c r="L242" i="15"/>
  <c r="A242" i="15"/>
  <c r="S241" i="15"/>
  <c r="M241" i="15"/>
  <c r="A241" i="15"/>
  <c r="A240" i="15"/>
  <c r="A239" i="15"/>
  <c r="N232" i="15"/>
  <c r="N228" i="15"/>
  <c r="A228" i="15"/>
  <c r="A227" i="15"/>
  <c r="S226" i="15"/>
  <c r="N226" i="15"/>
  <c r="A226" i="15"/>
  <c r="A225" i="15"/>
  <c r="N224" i="15"/>
  <c r="S224" i="15"/>
  <c r="A224" i="15"/>
  <c r="S223" i="15"/>
  <c r="A223" i="15"/>
  <c r="S222" i="15"/>
  <c r="N222" i="15"/>
  <c r="A222" i="15"/>
  <c r="A221" i="15"/>
  <c r="S220" i="15"/>
  <c r="N220" i="15"/>
  <c r="A220" i="15"/>
  <c r="A219" i="15"/>
  <c r="N218" i="15"/>
  <c r="A218" i="15"/>
  <c r="S217" i="15"/>
  <c r="A217" i="15"/>
  <c r="A216" i="15"/>
  <c r="N215" i="15"/>
  <c r="A215" i="15"/>
  <c r="N214" i="15"/>
  <c r="S214" i="15"/>
  <c r="A214" i="15"/>
  <c r="A213" i="15"/>
  <c r="S212" i="15"/>
  <c r="N212" i="15"/>
  <c r="A212" i="15"/>
  <c r="A211" i="15"/>
  <c r="A210" i="15"/>
  <c r="S209" i="15"/>
  <c r="A209" i="15"/>
  <c r="S208" i="15"/>
  <c r="A208" i="15"/>
  <c r="S207" i="15"/>
  <c r="A207" i="15"/>
  <c r="N206" i="15"/>
  <c r="A206" i="15"/>
  <c r="S205" i="15"/>
  <c r="N205" i="15"/>
  <c r="A205" i="15"/>
  <c r="N204" i="15"/>
  <c r="A204" i="15"/>
  <c r="A203" i="15"/>
  <c r="N202" i="15"/>
  <c r="A202" i="15"/>
  <c r="A201" i="15"/>
  <c r="S200" i="15"/>
  <c r="A200" i="15"/>
  <c r="N200" i="15" s="1"/>
  <c r="S199" i="15"/>
  <c r="N199" i="15"/>
  <c r="A199" i="15"/>
  <c r="L210" i="15"/>
  <c r="A198" i="15"/>
  <c r="A197" i="15"/>
  <c r="A196" i="15"/>
  <c r="A195" i="15"/>
  <c r="A194" i="15"/>
  <c r="A193" i="15"/>
  <c r="L192" i="15"/>
  <c r="A192" i="15"/>
  <c r="Q192" i="15"/>
  <c r="F192" i="15"/>
  <c r="A191" i="15"/>
  <c r="A190" i="15"/>
  <c r="A189" i="15"/>
  <c r="R188" i="15"/>
  <c r="Q189" i="15"/>
  <c r="M188" i="15"/>
  <c r="A188" i="15"/>
  <c r="A187" i="15"/>
  <c r="A186" i="15"/>
  <c r="O185" i="15"/>
  <c r="L185" i="15"/>
  <c r="L194" i="15" s="1"/>
  <c r="A185" i="15"/>
  <c r="A184" i="15"/>
  <c r="A183" i="15"/>
  <c r="M182" i="15"/>
  <c r="L182" i="15"/>
  <c r="A182" i="15"/>
  <c r="M181" i="15"/>
  <c r="R181" i="15"/>
  <c r="F182" i="15"/>
  <c r="A181" i="15"/>
  <c r="P183" i="15" s="1"/>
  <c r="A180" i="15"/>
  <c r="R179" i="15"/>
  <c r="A179" i="15"/>
  <c r="R178" i="15"/>
  <c r="N178" i="15"/>
  <c r="A178" i="15"/>
  <c r="A177" i="15"/>
  <c r="L176" i="15"/>
  <c r="A176" i="15"/>
  <c r="S175" i="15"/>
  <c r="M175" i="15"/>
  <c r="R175" i="15"/>
  <c r="A175" i="15"/>
  <c r="P177" i="15" s="1"/>
  <c r="A174" i="15"/>
  <c r="A173" i="15"/>
  <c r="R172" i="15"/>
  <c r="N172" i="15"/>
  <c r="A172" i="15"/>
  <c r="A171" i="15"/>
  <c r="A162" i="15"/>
  <c r="S161" i="15"/>
  <c r="A161" i="15"/>
  <c r="S160" i="15"/>
  <c r="A160" i="15"/>
  <c r="V159" i="15"/>
  <c r="A159" i="15"/>
  <c r="S158" i="15"/>
  <c r="N158" i="15"/>
  <c r="A158" i="15"/>
  <c r="A157" i="15"/>
  <c r="A156" i="15"/>
  <c r="A155" i="15"/>
  <c r="A154" i="15"/>
  <c r="A153" i="15"/>
  <c r="A152" i="15"/>
  <c r="S151" i="15"/>
  <c r="A151" i="15"/>
  <c r="N151" i="15" s="1"/>
  <c r="A150" i="15"/>
  <c r="S149" i="15"/>
  <c r="A149" i="15"/>
  <c r="S148" i="15"/>
  <c r="A148" i="15"/>
  <c r="A147" i="15"/>
  <c r="N146" i="15"/>
  <c r="S146" i="15"/>
  <c r="A146" i="15"/>
  <c r="A145" i="15"/>
  <c r="S145" i="15" s="1"/>
  <c r="S144" i="15"/>
  <c r="N144" i="15"/>
  <c r="A144" i="15"/>
  <c r="A143" i="15"/>
  <c r="A142" i="15"/>
  <c r="S142" i="15" s="1"/>
  <c r="A141" i="15"/>
  <c r="A140" i="15"/>
  <c r="S139" i="15"/>
  <c r="N139" i="15"/>
  <c r="A139" i="15"/>
  <c r="A138" i="15"/>
  <c r="A137" i="15"/>
  <c r="S136" i="15"/>
  <c r="A136" i="15"/>
  <c r="A135" i="15"/>
  <c r="S134" i="15"/>
  <c r="N134" i="15"/>
  <c r="A134" i="15"/>
  <c r="S133" i="15"/>
  <c r="A133" i="15"/>
  <c r="A132" i="15"/>
  <c r="S132" i="15" s="1"/>
  <c r="S131" i="15"/>
  <c r="A131" i="15"/>
  <c r="A130" i="15"/>
  <c r="S129" i="15"/>
  <c r="A129" i="15"/>
  <c r="N129" i="15" s="1"/>
  <c r="A128" i="15"/>
  <c r="A127" i="15"/>
  <c r="A126" i="15"/>
  <c r="A125" i="15"/>
  <c r="N124" i="15"/>
  <c r="S124" i="15"/>
  <c r="A124" i="15"/>
  <c r="S123" i="15"/>
  <c r="N123" i="15"/>
  <c r="A123" i="15"/>
  <c r="A122" i="15"/>
  <c r="A121" i="15"/>
  <c r="S120" i="15"/>
  <c r="A120" i="15"/>
  <c r="A119" i="15"/>
  <c r="S118" i="15"/>
  <c r="A118" i="15"/>
  <c r="V117" i="15"/>
  <c r="A117" i="15"/>
  <c r="A116" i="15"/>
  <c r="S115" i="15"/>
  <c r="A115" i="15"/>
  <c r="A114" i="15"/>
  <c r="A113" i="15"/>
  <c r="A112" i="15"/>
  <c r="A111" i="15"/>
  <c r="A110" i="15"/>
  <c r="A109" i="15"/>
  <c r="A108" i="15"/>
  <c r="A107" i="15"/>
  <c r="A106" i="15"/>
  <c r="A105" i="15"/>
  <c r="S104" i="15"/>
  <c r="A104" i="15"/>
  <c r="A103" i="15"/>
  <c r="L105" i="15"/>
  <c r="E102" i="15"/>
  <c r="A102" i="15"/>
  <c r="A101" i="15"/>
  <c r="S100" i="15"/>
  <c r="P100" i="15"/>
  <c r="N100" i="15"/>
  <c r="E100" i="15"/>
  <c r="A100" i="15"/>
  <c r="A99" i="15"/>
  <c r="A98" i="15"/>
  <c r="A97" i="15"/>
  <c r="S96" i="15"/>
  <c r="P96" i="15"/>
  <c r="N96" i="15"/>
  <c r="M96" i="15"/>
  <c r="E96" i="15"/>
  <c r="A96" i="15"/>
  <c r="K95" i="15"/>
  <c r="A95" i="15"/>
  <c r="N94" i="15"/>
  <c r="A94" i="15"/>
  <c r="A93" i="15"/>
  <c r="B85" i="15"/>
  <c r="A85" i="15"/>
  <c r="B84" i="15"/>
  <c r="A84" i="15" s="1"/>
  <c r="B83" i="15"/>
  <c r="A83" i="15" s="1"/>
  <c r="B82" i="15"/>
  <c r="V82" i="15" s="1"/>
  <c r="A82" i="15"/>
  <c r="B81" i="15"/>
  <c r="A81" i="15"/>
  <c r="B80" i="15"/>
  <c r="A80" i="15" s="1"/>
  <c r="B79" i="15"/>
  <c r="A79" i="15" s="1"/>
  <c r="B78" i="15"/>
  <c r="A78" i="15"/>
  <c r="B77" i="15"/>
  <c r="A77" i="15" s="1"/>
  <c r="B76" i="15"/>
  <c r="A76" i="15"/>
  <c r="B75" i="15"/>
  <c r="A75" i="15"/>
  <c r="B74" i="15"/>
  <c r="A74" i="15" s="1"/>
  <c r="B73" i="15"/>
  <c r="A73" i="15" s="1"/>
  <c r="B72" i="15"/>
  <c r="A72" i="15"/>
  <c r="S71" i="15"/>
  <c r="N71" i="15"/>
  <c r="B71" i="15"/>
  <c r="A71" i="15"/>
  <c r="B70" i="15"/>
  <c r="A70" i="15" s="1"/>
  <c r="B69" i="15"/>
  <c r="A69" i="15" s="1"/>
  <c r="N69" i="15" s="1"/>
  <c r="N68" i="15"/>
  <c r="B68" i="15"/>
  <c r="A68" i="15"/>
  <c r="B67" i="15"/>
  <c r="S67" i="15" s="1"/>
  <c r="A67" i="15"/>
  <c r="B66" i="15"/>
  <c r="A66" i="15" s="1"/>
  <c r="B65" i="15"/>
  <c r="A65" i="15" s="1"/>
  <c r="B64" i="15"/>
  <c r="A64" i="15"/>
  <c r="B63" i="15"/>
  <c r="B62" i="15"/>
  <c r="S61" i="15"/>
  <c r="B61" i="15"/>
  <c r="A61" i="15"/>
  <c r="B60" i="15"/>
  <c r="A60" i="15" s="1"/>
  <c r="B59" i="15"/>
  <c r="A59" i="15" s="1"/>
  <c r="S58" i="15"/>
  <c r="B58" i="15"/>
  <c r="N58" i="15" s="1"/>
  <c r="A58" i="15"/>
  <c r="B57" i="15"/>
  <c r="A57" i="15"/>
  <c r="S56" i="15"/>
  <c r="N56" i="15"/>
  <c r="B56" i="15"/>
  <c r="A56" i="15" s="1"/>
  <c r="B55" i="15"/>
  <c r="A55" i="15"/>
  <c r="B54" i="15"/>
  <c r="A54" i="15"/>
  <c r="B53" i="15"/>
  <c r="A53" i="15"/>
  <c r="B52" i="15"/>
  <c r="B51" i="15"/>
  <c r="A51" i="15" s="1"/>
  <c r="S50" i="15"/>
  <c r="N50" i="15"/>
  <c r="B50" i="15"/>
  <c r="A50" i="15"/>
  <c r="N49" i="15"/>
  <c r="B49" i="15"/>
  <c r="A49" i="15"/>
  <c r="B48" i="15"/>
  <c r="S48" i="15" s="1"/>
  <c r="A48" i="15"/>
  <c r="B47" i="15"/>
  <c r="A47" i="15"/>
  <c r="B46" i="15"/>
  <c r="A46" i="15"/>
  <c r="B45" i="15"/>
  <c r="A45" i="15"/>
  <c r="N44" i="15"/>
  <c r="B44" i="15"/>
  <c r="A44" i="15"/>
  <c r="N43" i="15"/>
  <c r="S43" i="15"/>
  <c r="B43" i="15"/>
  <c r="A43" i="15" s="1"/>
  <c r="N42" i="15"/>
  <c r="B42" i="15"/>
  <c r="A42" i="15"/>
  <c r="B41" i="15"/>
  <c r="A41" i="15" s="1"/>
  <c r="B40" i="15"/>
  <c r="A40" i="15"/>
  <c r="K39" i="15"/>
  <c r="N39" i="15"/>
  <c r="B39" i="15"/>
  <c r="A39" i="15"/>
  <c r="K38" i="15"/>
  <c r="B38" i="15"/>
  <c r="A38" i="15" s="1"/>
  <c r="B37" i="15"/>
  <c r="A37" i="15" s="1"/>
  <c r="B36" i="15"/>
  <c r="N35" i="15"/>
  <c r="B35" i="15"/>
  <c r="A35" i="15" s="1"/>
  <c r="B34" i="15"/>
  <c r="A34" i="15" s="1"/>
  <c r="B33" i="15"/>
  <c r="B32" i="15"/>
  <c r="A32" i="15"/>
  <c r="B31" i="15"/>
  <c r="A31" i="15" s="1"/>
  <c r="B30" i="15"/>
  <c r="A30" i="15"/>
  <c r="B29" i="15"/>
  <c r="A29" i="15"/>
  <c r="B28" i="15"/>
  <c r="A28" i="15"/>
  <c r="B27" i="15"/>
  <c r="A27" i="15" s="1"/>
  <c r="B26" i="15"/>
  <c r="A26" i="15"/>
  <c r="B25" i="15"/>
  <c r="A25" i="15" s="1"/>
  <c r="B24" i="15"/>
  <c r="A24" i="15"/>
  <c r="B23" i="15"/>
  <c r="B22" i="15"/>
  <c r="A22" i="15" s="1"/>
  <c r="E21" i="15"/>
  <c r="B21" i="15"/>
  <c r="A21" i="15"/>
  <c r="B20" i="15"/>
  <c r="A20" i="15" s="1"/>
  <c r="R19" i="15"/>
  <c r="B19" i="15"/>
  <c r="A19" i="15"/>
  <c r="B18" i="15"/>
  <c r="A18" i="15" s="1"/>
  <c r="K17" i="15"/>
  <c r="E17" i="15"/>
  <c r="B17" i="15"/>
  <c r="A17" i="15"/>
  <c r="B16" i="15"/>
  <c r="A16" i="15" s="1"/>
  <c r="P15" i="15"/>
  <c r="R15" i="15"/>
  <c r="N15" i="15"/>
  <c r="B15" i="15"/>
  <c r="A15" i="15"/>
  <c r="B14" i="15"/>
  <c r="A14" i="15" s="1"/>
  <c r="B13" i="15"/>
  <c r="A13" i="15" s="1"/>
  <c r="S12" i="15"/>
  <c r="P12" i="15"/>
  <c r="N12" i="15"/>
  <c r="B12" i="15"/>
  <c r="A12" i="15"/>
  <c r="B11" i="15"/>
  <c r="N11" i="15" s="1"/>
  <c r="A11" i="15"/>
  <c r="B10" i="15"/>
  <c r="A10" i="15" s="1"/>
  <c r="P9" i="15"/>
  <c r="N9" i="15"/>
  <c r="E9" i="15"/>
  <c r="B9" i="15"/>
  <c r="A9" i="15"/>
  <c r="K8" i="15"/>
  <c r="B8" i="15"/>
  <c r="B7" i="15"/>
  <c r="A7" i="15"/>
  <c r="E7" i="15" s="1"/>
  <c r="K6" i="15"/>
  <c r="B6" i="15"/>
  <c r="A6" i="15"/>
  <c r="B5" i="15"/>
  <c r="S55" i="15" l="1"/>
  <c r="P10" i="15"/>
  <c r="E10" i="15"/>
  <c r="N22" i="15"/>
  <c r="E22" i="15"/>
  <c r="S65" i="15"/>
  <c r="L24" i="15"/>
  <c r="S47" i="15"/>
  <c r="N40" i="15"/>
  <c r="K40" i="15"/>
  <c r="R9" i="15"/>
  <c r="J32" i="15"/>
  <c r="S68" i="15"/>
  <c r="R7" i="15"/>
  <c r="S64" i="15"/>
  <c r="AO485" i="15"/>
  <c r="AO402" i="15"/>
  <c r="S236" i="15"/>
  <c r="S356" i="15"/>
  <c r="S291" i="15"/>
  <c r="S168" i="15"/>
  <c r="N6" i="15"/>
  <c r="P7" i="15"/>
  <c r="K9" i="15"/>
  <c r="E11" i="15"/>
  <c r="S15" i="15"/>
  <c r="N32" i="15"/>
  <c r="S38" i="15"/>
  <c r="N47" i="15"/>
  <c r="S49" i="15"/>
  <c r="N65" i="15"/>
  <c r="J97" i="15"/>
  <c r="K94" i="15"/>
  <c r="N120" i="15"/>
  <c r="N133" i="15"/>
  <c r="K15" i="15"/>
  <c r="E19" i="15"/>
  <c r="A5" i="15"/>
  <c r="M15" i="15"/>
  <c r="M17" i="15"/>
  <c r="S22" i="15"/>
  <c r="S35" i="15"/>
  <c r="N53" i="15"/>
  <c r="N61" i="15"/>
  <c r="L83" i="15"/>
  <c r="M9" i="15"/>
  <c r="N21" i="15"/>
  <c r="A23" i="15"/>
  <c r="S32" i="15"/>
  <c r="A36" i="15"/>
  <c r="A52" i="15"/>
  <c r="AL417" i="15"/>
  <c r="N82" i="15"/>
  <c r="E104" i="15"/>
  <c r="N161" i="15"/>
  <c r="K7" i="15"/>
  <c r="S17" i="15"/>
  <c r="N19" i="15"/>
  <c r="A33" i="15"/>
  <c r="A62" i="15"/>
  <c r="S66" i="15"/>
  <c r="F83" i="15"/>
  <c r="Q83" i="15"/>
  <c r="S80" i="15"/>
  <c r="J112" i="15"/>
  <c r="S126" i="15"/>
  <c r="N126" i="15"/>
  <c r="N145" i="15"/>
  <c r="Q182" i="15"/>
  <c r="S181" i="15"/>
  <c r="S46" i="15"/>
  <c r="S89" i="15"/>
  <c r="N116" i="15"/>
  <c r="S116" i="15"/>
  <c r="AF418" i="15"/>
  <c r="AL445" i="15"/>
  <c r="AL439" i="15"/>
  <c r="AL475" i="15"/>
  <c r="Z474" i="15"/>
  <c r="AF465" i="15"/>
  <c r="AF439" i="15"/>
  <c r="AF475" i="15"/>
  <c r="AL440" i="15"/>
  <c r="AO440" i="15" s="1"/>
  <c r="AF413" i="15"/>
  <c r="AL470" i="15"/>
  <c r="AL428" i="15"/>
  <c r="Z413" i="15"/>
  <c r="AF411" i="15"/>
  <c r="AF443" i="15"/>
  <c r="V402" i="15"/>
  <c r="AF476" i="15"/>
  <c r="AF473" i="15"/>
  <c r="AL444" i="15"/>
  <c r="AL415" i="15"/>
  <c r="C291" i="15"/>
  <c r="C356" i="15" s="1"/>
  <c r="AF415" i="15"/>
  <c r="AL410" i="15"/>
  <c r="AL436" i="15"/>
  <c r="AF412" i="15"/>
  <c r="V485" i="15"/>
  <c r="A485" i="15" s="1"/>
  <c r="AF425" i="15"/>
  <c r="AF431" i="15"/>
  <c r="Z473" i="15"/>
  <c r="Z435" i="15"/>
  <c r="C236" i="15"/>
  <c r="AF428" i="15"/>
  <c r="C168" i="15"/>
  <c r="C89" i="15"/>
  <c r="AL413" i="15" s="1"/>
  <c r="M6" i="15"/>
  <c r="M7" i="15"/>
  <c r="S21" i="15"/>
  <c r="N46" i="15"/>
  <c r="Z417" i="15"/>
  <c r="Z444" i="15"/>
  <c r="N66" i="15"/>
  <c r="N75" i="15"/>
  <c r="N80" i="15"/>
  <c r="S82" i="15"/>
  <c r="R94" i="15"/>
  <c r="S95" i="15"/>
  <c r="R100" i="15"/>
  <c r="M100" i="15"/>
  <c r="K100" i="15"/>
  <c r="N102" i="15"/>
  <c r="N114" i="15"/>
  <c r="S121" i="15"/>
  <c r="R12" i="15"/>
  <c r="N17" i="15"/>
  <c r="S19" i="15"/>
  <c r="N7" i="15"/>
  <c r="A8" i="15"/>
  <c r="S9" i="15"/>
  <c r="J13" i="15"/>
  <c r="J24" i="15" s="1"/>
  <c r="S42" i="15"/>
  <c r="N64" i="15"/>
  <c r="S75" i="15"/>
  <c r="L97" i="15"/>
  <c r="S114" i="15"/>
  <c r="D53" i="15"/>
  <c r="N57" i="15"/>
  <c r="F97" i="15"/>
  <c r="AF478" i="15"/>
  <c r="R6" i="15"/>
  <c r="S7" i="15"/>
  <c r="P11" i="15"/>
  <c r="K12" i="15"/>
  <c r="Z497" i="15"/>
  <c r="S44" i="15"/>
  <c r="N95" i="15"/>
  <c r="Q105" i="15"/>
  <c r="S117" i="15"/>
  <c r="N128" i="15"/>
  <c r="S128" i="15"/>
  <c r="Q185" i="15"/>
  <c r="S185" i="15" s="1"/>
  <c r="Q173" i="15"/>
  <c r="S172" i="15"/>
  <c r="AL479" i="15"/>
  <c r="AO479" i="15" s="1"/>
  <c r="E15" i="15"/>
  <c r="Z409" i="15"/>
  <c r="S45" i="15"/>
  <c r="S76" i="15"/>
  <c r="N78" i="15"/>
  <c r="S78" i="15"/>
  <c r="S102" i="15"/>
  <c r="S39" i="15"/>
  <c r="A63" i="15"/>
  <c r="S69" i="15"/>
  <c r="N76" i="15"/>
  <c r="N81" i="15"/>
  <c r="S81" i="15"/>
  <c r="E94" i="15"/>
  <c r="P94" i="15"/>
  <c r="L135" i="15"/>
  <c r="S143" i="15"/>
  <c r="N45" i="15"/>
  <c r="N67" i="15"/>
  <c r="R96" i="15"/>
  <c r="K96" i="15"/>
  <c r="S103" i="15"/>
  <c r="N103" i="15"/>
  <c r="S113" i="15"/>
  <c r="N113" i="15"/>
  <c r="J113" i="15"/>
  <c r="N115" i="15"/>
  <c r="N117" i="15"/>
  <c r="S152" i="15"/>
  <c r="N152" i="15"/>
  <c r="F179" i="15"/>
  <c r="S203" i="15"/>
  <c r="N203" i="15"/>
  <c r="N138" i="15"/>
  <c r="S138" i="15"/>
  <c r="S147" i="15"/>
  <c r="F229" i="15"/>
  <c r="AN459" i="15"/>
  <c r="AO459" i="15" s="1"/>
  <c r="N131" i="15"/>
  <c r="N143" i="15"/>
  <c r="L163" i="15"/>
  <c r="N159" i="15"/>
  <c r="S159" i="15"/>
  <c r="E185" i="15"/>
  <c r="E194" i="15" s="1"/>
  <c r="E174" i="15"/>
  <c r="M178" i="15"/>
  <c r="S141" i="15"/>
  <c r="N150" i="15"/>
  <c r="W159" i="15"/>
  <c r="F173" i="15"/>
  <c r="F185" i="15"/>
  <c r="Q176" i="15"/>
  <c r="L179" i="15"/>
  <c r="N179" i="15" s="1"/>
  <c r="L266" i="15"/>
  <c r="F105" i="15"/>
  <c r="E103" i="15"/>
  <c r="N104" i="15"/>
  <c r="N119" i="15"/>
  <c r="N136" i="15"/>
  <c r="N141" i="15"/>
  <c r="N162" i="15"/>
  <c r="J185" i="15"/>
  <c r="K186" i="15" s="1"/>
  <c r="N211" i="15"/>
  <c r="S127" i="15"/>
  <c r="M172" i="15"/>
  <c r="K185" i="15"/>
  <c r="K174" i="15"/>
  <c r="S201" i="15"/>
  <c r="N201" i="15"/>
  <c r="L153" i="15"/>
  <c r="E12" i="15"/>
  <c r="N127" i="15"/>
  <c r="N148" i="15"/>
  <c r="N157" i="15"/>
  <c r="S157" i="15"/>
  <c r="N160" i="15"/>
  <c r="L173" i="15"/>
  <c r="D185" i="15"/>
  <c r="P180" i="15"/>
  <c r="F189" i="15"/>
  <c r="F135" i="15"/>
  <c r="N132" i="15"/>
  <c r="S137" i="15"/>
  <c r="F153" i="15"/>
  <c r="S184" i="15"/>
  <c r="Q210" i="15"/>
  <c r="S198" i="15"/>
  <c r="S221" i="15"/>
  <c r="N221" i="15"/>
  <c r="R244" i="15"/>
  <c r="L122" i="15"/>
  <c r="N121" i="15"/>
  <c r="Q135" i="15"/>
  <c r="N142" i="15"/>
  <c r="F176" i="15"/>
  <c r="N175" i="15"/>
  <c r="S178" i="15"/>
  <c r="Q179" i="15"/>
  <c r="S188" i="15"/>
  <c r="S210" i="15"/>
  <c r="K210" i="15"/>
  <c r="N227" i="15"/>
  <c r="S227" i="15"/>
  <c r="N256" i="15"/>
  <c r="S256" i="15"/>
  <c r="S274" i="15"/>
  <c r="N274" i="15"/>
  <c r="R299" i="15"/>
  <c r="S125" i="15"/>
  <c r="N125" i="15"/>
  <c r="P185" i="15"/>
  <c r="P194" i="15" s="1"/>
  <c r="P174" i="15"/>
  <c r="N118" i="15"/>
  <c r="N130" i="15"/>
  <c r="N140" i="15"/>
  <c r="S140" i="15"/>
  <c r="S202" i="15"/>
  <c r="S213" i="15"/>
  <c r="N213" i="15"/>
  <c r="S216" i="15"/>
  <c r="R295" i="15"/>
  <c r="P295" i="15"/>
  <c r="N181" i="15"/>
  <c r="S204" i="15"/>
  <c r="S206" i="15"/>
  <c r="S215" i="15"/>
  <c r="N219" i="15"/>
  <c r="L229" i="15"/>
  <c r="L231" i="15" s="1"/>
  <c r="S261" i="15"/>
  <c r="S282" i="15"/>
  <c r="M308" i="15"/>
  <c r="N324" i="15"/>
  <c r="S345" i="15"/>
  <c r="L377" i="15"/>
  <c r="N147" i="15"/>
  <c r="N149" i="15"/>
  <c r="S150" i="15"/>
  <c r="S162" i="15"/>
  <c r="L189" i="15"/>
  <c r="N208" i="15"/>
  <c r="N217" i="15"/>
  <c r="N223" i="15"/>
  <c r="N225" i="15"/>
  <c r="N261" i="15"/>
  <c r="N279" i="15"/>
  <c r="R298" i="15"/>
  <c r="P298" i="15"/>
  <c r="L330" i="15"/>
  <c r="S342" i="15"/>
  <c r="F377" i="15"/>
  <c r="S366" i="15"/>
  <c r="S373" i="15"/>
  <c r="S259" i="15"/>
  <c r="N264" i="15"/>
  <c r="E298" i="15"/>
  <c r="M300" i="15"/>
  <c r="N308" i="15"/>
  <c r="S319" i="15"/>
  <c r="N319" i="15"/>
  <c r="E395" i="15"/>
  <c r="AO495" i="15"/>
  <c r="AN495" i="15"/>
  <c r="N198" i="15"/>
  <c r="S219" i="15"/>
  <c r="S225" i="15"/>
  <c r="L248" i="15"/>
  <c r="N257" i="15"/>
  <c r="N271" i="15"/>
  <c r="N277" i="15"/>
  <c r="S280" i="15"/>
  <c r="N280" i="15"/>
  <c r="N283" i="15"/>
  <c r="S302" i="15"/>
  <c r="N325" i="15"/>
  <c r="K360" i="15"/>
  <c r="J362" i="15"/>
  <c r="K362" i="15" s="1"/>
  <c r="L186" i="15"/>
  <c r="N188" i="15"/>
  <c r="R241" i="15"/>
  <c r="S242" i="15" s="1"/>
  <c r="Q242" i="15"/>
  <c r="S264" i="15"/>
  <c r="S269" i="15"/>
  <c r="S283" i="15"/>
  <c r="S255" i="15"/>
  <c r="N262" i="15"/>
  <c r="S262" i="15"/>
  <c r="M298" i="15"/>
  <c r="R302" i="15"/>
  <c r="P302" i="15"/>
  <c r="N207" i="15"/>
  <c r="N209" i="15"/>
  <c r="S218" i="15"/>
  <c r="S228" i="15"/>
  <c r="N255" i="15"/>
  <c r="L285" i="15"/>
  <c r="N272" i="15"/>
  <c r="S272" i="15"/>
  <c r="R296" i="15"/>
  <c r="P296" i="15"/>
  <c r="R301" i="15"/>
  <c r="P301" i="15"/>
  <c r="E303" i="15"/>
  <c r="S303" i="15"/>
  <c r="N320" i="15"/>
  <c r="N326" i="15"/>
  <c r="N336" i="15"/>
  <c r="N184" i="15"/>
  <c r="N185" i="15"/>
  <c r="N186" i="15" s="1"/>
  <c r="N216" i="15"/>
  <c r="S265" i="15"/>
  <c r="S329" i="15"/>
  <c r="N329" i="15"/>
  <c r="S340" i="15"/>
  <c r="N340" i="15"/>
  <c r="S371" i="15"/>
  <c r="S278" i="15"/>
  <c r="N278" i="15"/>
  <c r="S281" i="15"/>
  <c r="N281" i="15"/>
  <c r="N284" i="15"/>
  <c r="S284" i="15"/>
  <c r="E295" i="15"/>
  <c r="E297" i="15"/>
  <c r="S344" i="15"/>
  <c r="N344" i="15"/>
  <c r="S258" i="15"/>
  <c r="N303" i="15"/>
  <c r="R307" i="15"/>
  <c r="S348" i="15"/>
  <c r="N348" i="15"/>
  <c r="M247" i="15"/>
  <c r="F266" i="15"/>
  <c r="N268" i="15"/>
  <c r="N285" i="15" s="1"/>
  <c r="N295" i="15"/>
  <c r="N299" i="15"/>
  <c r="M301" i="15"/>
  <c r="S321" i="15"/>
  <c r="S327" i="15"/>
  <c r="M296" i="15"/>
  <c r="N297" i="15"/>
  <c r="S297" i="15"/>
  <c r="M299" i="15"/>
  <c r="E300" i="15"/>
  <c r="N302" i="15"/>
  <c r="M307" i="15"/>
  <c r="E308" i="15"/>
  <c r="S308" i="15"/>
  <c r="S323" i="15"/>
  <c r="S325" i="15"/>
  <c r="N332" i="15"/>
  <c r="N349" i="15" s="1"/>
  <c r="S333" i="15"/>
  <c r="Q349" i="15"/>
  <c r="S376" i="15"/>
  <c r="S379" i="15"/>
  <c r="S382" i="15"/>
  <c r="AI459" i="15"/>
  <c r="AN461" i="15"/>
  <c r="AO461" i="15" s="1"/>
  <c r="S279" i="15"/>
  <c r="AL448" i="15"/>
  <c r="S301" i="15"/>
  <c r="S318" i="15"/>
  <c r="S320" i="15"/>
  <c r="N327" i="15"/>
  <c r="N342" i="15"/>
  <c r="N346" i="15"/>
  <c r="S365" i="15"/>
  <c r="S368" i="15"/>
  <c r="S393" i="15"/>
  <c r="AO491" i="15"/>
  <c r="AN494" i="15"/>
  <c r="AH494" i="15"/>
  <c r="J304" i="15"/>
  <c r="N312" i="15"/>
  <c r="S360" i="15"/>
  <c r="S374" i="15"/>
  <c r="S383" i="15"/>
  <c r="AN454" i="15"/>
  <c r="AN491" i="15"/>
  <c r="AH491" i="15"/>
  <c r="AI491" i="15" s="1"/>
  <c r="S295" i="15"/>
  <c r="N298" i="15"/>
  <c r="S298" i="15"/>
  <c r="N301" i="15"/>
  <c r="P312" i="15"/>
  <c r="S336" i="15"/>
  <c r="S390" i="15"/>
  <c r="S296" i="15"/>
  <c r="S299" i="15"/>
  <c r="L304" i="15"/>
  <c r="S307" i="15"/>
  <c r="AI460" i="15"/>
  <c r="O304" i="15"/>
  <c r="S372" i="15"/>
  <c r="S391" i="15"/>
  <c r="AI458" i="15"/>
  <c r="AN460" i="15"/>
  <c r="AH460" i="15"/>
  <c r="AH492" i="15"/>
  <c r="AN496" i="15"/>
  <c r="S312" i="15"/>
  <c r="R312" i="15" s="1"/>
  <c r="AN492" i="15"/>
  <c r="N347" i="15"/>
  <c r="Q395" i="15"/>
  <c r="P395" i="15" s="1"/>
  <c r="L395" i="15"/>
  <c r="K395" i="15" s="1"/>
  <c r="AI420" i="15"/>
  <c r="AH458" i="15"/>
  <c r="AH477" i="15"/>
  <c r="AI477" i="15" s="1"/>
  <c r="AN497" i="15"/>
  <c r="S300" i="15"/>
  <c r="N341" i="15"/>
  <c r="N345" i="15"/>
  <c r="L349" i="15"/>
  <c r="S370" i="15"/>
  <c r="S385" i="15"/>
  <c r="S388" i="15"/>
  <c r="AI461" i="15"/>
  <c r="AN493" i="15"/>
  <c r="N318" i="15"/>
  <c r="N337" i="15"/>
  <c r="S341" i="15"/>
  <c r="AN420" i="15"/>
  <c r="AO420" i="15" s="1"/>
  <c r="S339" i="15"/>
  <c r="S343" i="15"/>
  <c r="S389" i="15"/>
  <c r="S392" i="15"/>
  <c r="AH496" i="15"/>
  <c r="L362" i="15"/>
  <c r="AH493" i="15"/>
  <c r="AN469" i="15"/>
  <c r="AO469" i="15" s="1"/>
  <c r="AI417" i="15" l="1"/>
  <c r="R304" i="15"/>
  <c r="O309" i="15"/>
  <c r="K231" i="15"/>
  <c r="L233" i="15"/>
  <c r="D113" i="15"/>
  <c r="N105" i="15"/>
  <c r="N106" i="15" s="1"/>
  <c r="K24" i="15"/>
  <c r="K35" i="15"/>
  <c r="K36" i="15"/>
  <c r="K33" i="15"/>
  <c r="K32" i="15"/>
  <c r="AO417" i="15"/>
  <c r="AI497" i="15"/>
  <c r="AH497" i="15"/>
  <c r="E377" i="15"/>
  <c r="F397" i="15"/>
  <c r="E397" i="15" s="1"/>
  <c r="O113" i="15"/>
  <c r="S51" i="15"/>
  <c r="N51" i="15"/>
  <c r="P360" i="15"/>
  <c r="Q362" i="15"/>
  <c r="N300" i="15"/>
  <c r="P299" i="15"/>
  <c r="L155" i="15"/>
  <c r="AL438" i="15"/>
  <c r="Z429" i="15"/>
  <c r="AF464" i="15"/>
  <c r="AF424" i="15"/>
  <c r="Z446" i="15"/>
  <c r="AF446" i="15"/>
  <c r="Z430" i="15"/>
  <c r="Z415" i="15"/>
  <c r="Z495" i="15"/>
  <c r="Z441" i="15"/>
  <c r="AF441" i="15"/>
  <c r="Z428" i="15"/>
  <c r="F54" i="15"/>
  <c r="Q54" i="15"/>
  <c r="S11" i="15"/>
  <c r="S53" i="15"/>
  <c r="L41" i="15"/>
  <c r="S31" i="15"/>
  <c r="N31" i="15"/>
  <c r="K31" i="15"/>
  <c r="R308" i="15"/>
  <c r="P308" i="15"/>
  <c r="AH457" i="15"/>
  <c r="AI457" i="15"/>
  <c r="Q304" i="15"/>
  <c r="P304" i="15" s="1"/>
  <c r="P307" i="15"/>
  <c r="F330" i="15"/>
  <c r="F285" i="15"/>
  <c r="E285" i="15" s="1"/>
  <c r="F194" i="15"/>
  <c r="F186" i="15"/>
  <c r="D97" i="15"/>
  <c r="E95" i="15"/>
  <c r="O97" i="15"/>
  <c r="P119" i="15" s="1"/>
  <c r="P95" i="15"/>
  <c r="R95" i="15"/>
  <c r="R97" i="15" s="1"/>
  <c r="R98" i="15" s="1"/>
  <c r="S10" i="15"/>
  <c r="N10" i="15"/>
  <c r="N48" i="15"/>
  <c r="S119" i="15"/>
  <c r="AL474" i="15"/>
  <c r="AO474" i="15" s="1"/>
  <c r="Z479" i="15"/>
  <c r="AF432" i="15"/>
  <c r="AF423" i="15"/>
  <c r="AL427" i="15"/>
  <c r="AO427" i="15" s="1"/>
  <c r="AL447" i="15"/>
  <c r="Z449" i="15"/>
  <c r="AI449" i="15" s="1"/>
  <c r="AF436" i="15"/>
  <c r="AL409" i="15"/>
  <c r="Z471" i="15"/>
  <c r="AF444" i="15"/>
  <c r="AL429" i="15"/>
  <c r="AE418" i="15"/>
  <c r="AL426" i="15"/>
  <c r="AO426" i="15" s="1"/>
  <c r="S381" i="15"/>
  <c r="S395" i="15" s="1"/>
  <c r="R300" i="15"/>
  <c r="P300" i="15"/>
  <c r="R360" i="15"/>
  <c r="O362" i="15"/>
  <c r="Q377" i="15"/>
  <c r="F210" i="15"/>
  <c r="Q285" i="15"/>
  <c r="M95" i="15"/>
  <c r="F122" i="15"/>
  <c r="N122" i="15" s="1"/>
  <c r="D112" i="15"/>
  <c r="E112" i="15"/>
  <c r="N112" i="15"/>
  <c r="Q330" i="15"/>
  <c r="S60" i="15"/>
  <c r="N60" i="15"/>
  <c r="AF416" i="15"/>
  <c r="Z436" i="15"/>
  <c r="AL471" i="15"/>
  <c r="Z434" i="15"/>
  <c r="AF470" i="15"/>
  <c r="AL450" i="15"/>
  <c r="AO450" i="15" s="1"/>
  <c r="AF449" i="15"/>
  <c r="Z439" i="15"/>
  <c r="AH439" i="15" s="1"/>
  <c r="AF414" i="15"/>
  <c r="AL472" i="15"/>
  <c r="AO472" i="15" s="1"/>
  <c r="AF447" i="15"/>
  <c r="R185" i="15"/>
  <c r="S186" i="15" s="1"/>
  <c r="L54" i="15"/>
  <c r="AE412" i="15"/>
  <c r="AH456" i="15"/>
  <c r="AI456" i="15"/>
  <c r="AE411" i="15"/>
  <c r="AL464" i="15"/>
  <c r="Z416" i="15"/>
  <c r="AL432" i="15"/>
  <c r="P186" i="15"/>
  <c r="S79" i="15"/>
  <c r="N79" i="15"/>
  <c r="N83" i="15" s="1"/>
  <c r="M10" i="15"/>
  <c r="R10" i="15"/>
  <c r="K10" i="15"/>
  <c r="Q153" i="15"/>
  <c r="R297" i="15"/>
  <c r="P297" i="15"/>
  <c r="AN439" i="15"/>
  <c r="AO439" i="15" s="1"/>
  <c r="Z447" i="15"/>
  <c r="Z450" i="15"/>
  <c r="AI450" i="15" s="1"/>
  <c r="AF450" i="15"/>
  <c r="K34" i="15"/>
  <c r="S34" i="15"/>
  <c r="N34" i="15"/>
  <c r="S77" i="15"/>
  <c r="N77" i="15"/>
  <c r="L13" i="15"/>
  <c r="L27" i="15" s="1"/>
  <c r="AH428" i="15"/>
  <c r="AN428" i="15"/>
  <c r="AO428" i="15" s="1"/>
  <c r="AN475" i="15"/>
  <c r="AO475" i="15" s="1"/>
  <c r="AH453" i="15"/>
  <c r="AI453" i="15" s="1"/>
  <c r="S362" i="15"/>
  <c r="AN453" i="15"/>
  <c r="AO453" i="15" s="1"/>
  <c r="AI455" i="15"/>
  <c r="AH455" i="15"/>
  <c r="F362" i="15"/>
  <c r="F399" i="15" s="1"/>
  <c r="E360" i="15"/>
  <c r="N229" i="15"/>
  <c r="K229" i="15"/>
  <c r="P250" i="15"/>
  <c r="Q186" i="15"/>
  <c r="Q194" i="15"/>
  <c r="M12" i="15"/>
  <c r="S8" i="15"/>
  <c r="AF421" i="15"/>
  <c r="AL435" i="15"/>
  <c r="AF429" i="15"/>
  <c r="AF430" i="15"/>
  <c r="AL416" i="15"/>
  <c r="AF479" i="15"/>
  <c r="AL418" i="15"/>
  <c r="Z472" i="15"/>
  <c r="AF442" i="15"/>
  <c r="AL478" i="15"/>
  <c r="AO478" i="15" s="1"/>
  <c r="AL463" i="15"/>
  <c r="AL466" i="15" s="1"/>
  <c r="AL451" i="15"/>
  <c r="AO451" i="15" s="1"/>
  <c r="Z464" i="15"/>
  <c r="AI464" i="15" s="1"/>
  <c r="S335" i="15"/>
  <c r="S349" i="15" s="1"/>
  <c r="AH473" i="15"/>
  <c r="AI473" i="15" s="1"/>
  <c r="Q245" i="15"/>
  <c r="P285" i="15"/>
  <c r="Q250" i="15"/>
  <c r="S245" i="15"/>
  <c r="P287" i="15"/>
  <c r="P266" i="15"/>
  <c r="S244" i="15"/>
  <c r="AI496" i="15"/>
  <c r="AO455" i="15"/>
  <c r="AO454" i="15"/>
  <c r="F242" i="15"/>
  <c r="N241" i="15"/>
  <c r="N242" i="15" s="1"/>
  <c r="AN457" i="15"/>
  <c r="AO457" i="15" s="1"/>
  <c r="F250" i="15"/>
  <c r="N244" i="15"/>
  <c r="N245" i="15" s="1"/>
  <c r="F245" i="15"/>
  <c r="E6" i="15"/>
  <c r="AL424" i="15"/>
  <c r="AF451" i="15"/>
  <c r="Z470" i="15"/>
  <c r="Z437" i="15"/>
  <c r="AF434" i="15"/>
  <c r="Z421" i="15"/>
  <c r="AL473" i="15"/>
  <c r="AO473" i="15" s="1"/>
  <c r="Z445" i="15"/>
  <c r="AF445" i="15"/>
  <c r="Z480" i="15"/>
  <c r="AL465" i="15"/>
  <c r="N55" i="15"/>
  <c r="AH413" i="15"/>
  <c r="AI413" i="15" s="1"/>
  <c r="AE413" i="15"/>
  <c r="AN413" i="15"/>
  <c r="AO413" i="15" s="1"/>
  <c r="AF409" i="15"/>
  <c r="Z418" i="15"/>
  <c r="Z426" i="15"/>
  <c r="AI426" i="15" s="1"/>
  <c r="AH454" i="15"/>
  <c r="AI454" i="15"/>
  <c r="N38" i="15"/>
  <c r="AL434" i="15"/>
  <c r="Z476" i="15"/>
  <c r="AH476" i="15" s="1"/>
  <c r="AI476" i="15" s="1"/>
  <c r="AF437" i="15"/>
  <c r="AF410" i="15"/>
  <c r="AL422" i="15"/>
  <c r="Z475" i="15"/>
  <c r="AH475" i="15" s="1"/>
  <c r="AI475" i="15" s="1"/>
  <c r="AL446" i="15"/>
  <c r="Z448" i="15"/>
  <c r="AL412" i="15"/>
  <c r="AN412" i="15" s="1"/>
  <c r="AF471" i="15"/>
  <c r="S23" i="15"/>
  <c r="N23" i="15"/>
  <c r="E23" i="15"/>
  <c r="N59" i="15"/>
  <c r="S59" i="15"/>
  <c r="S57" i="15"/>
  <c r="S105" i="15"/>
  <c r="S106" i="15" s="1"/>
  <c r="AN456" i="15"/>
  <c r="AO456" i="15"/>
  <c r="AH415" i="15"/>
  <c r="AE415" i="15"/>
  <c r="AN415" i="15"/>
  <c r="AO415" i="15" s="1"/>
  <c r="AN477" i="15"/>
  <c r="AO477" i="15" s="1"/>
  <c r="M304" i="15"/>
  <c r="J309" i="15"/>
  <c r="K304" i="15"/>
  <c r="S285" i="15"/>
  <c r="K285" i="15"/>
  <c r="Q266" i="15"/>
  <c r="Q287" i="15" s="1"/>
  <c r="S130" i="15"/>
  <c r="N137" i="15"/>
  <c r="Z438" i="15"/>
  <c r="AF422" i="15"/>
  <c r="Z410" i="15"/>
  <c r="AF427" i="15"/>
  <c r="Z440" i="15"/>
  <c r="AI440" i="15" s="1"/>
  <c r="Z412" i="15"/>
  <c r="AH412" i="15" s="1"/>
  <c r="Z424" i="15"/>
  <c r="AL476" i="15"/>
  <c r="AO476" i="15" s="1"/>
  <c r="Z463" i="15"/>
  <c r="AI463" i="15" s="1"/>
  <c r="AL449" i="15"/>
  <c r="AO449" i="15" s="1"/>
  <c r="AF417" i="15"/>
  <c r="AF474" i="15"/>
  <c r="Z422" i="15"/>
  <c r="S37" i="15"/>
  <c r="N37" i="15"/>
  <c r="K37" i="15"/>
  <c r="K118" i="15"/>
  <c r="K121" i="15"/>
  <c r="K115" i="15"/>
  <c r="K104" i="15"/>
  <c r="R104" i="15" s="1"/>
  <c r="K116" i="15"/>
  <c r="K120" i="15"/>
  <c r="K102" i="15"/>
  <c r="R102" i="15" s="1"/>
  <c r="M97" i="15"/>
  <c r="M98" i="15" s="1"/>
  <c r="K113" i="15"/>
  <c r="K103" i="15"/>
  <c r="R103" i="15" s="1"/>
  <c r="K97" i="15"/>
  <c r="K119" i="15"/>
  <c r="K117" i="15"/>
  <c r="J105" i="15"/>
  <c r="J108" i="15"/>
  <c r="K114" i="15"/>
  <c r="K112" i="15"/>
  <c r="S40" i="15"/>
  <c r="Q97" i="15"/>
  <c r="O112" i="15" s="1"/>
  <c r="S94" i="15"/>
  <c r="S97" i="15" s="1"/>
  <c r="O13" i="15"/>
  <c r="AK417" i="15" s="1"/>
  <c r="P6" i="15"/>
  <c r="S83" i="15"/>
  <c r="Q122" i="15"/>
  <c r="S122" i="15" s="1"/>
  <c r="S112" i="15"/>
  <c r="P112" i="15"/>
  <c r="F108" i="15"/>
  <c r="E135" i="15" s="1"/>
  <c r="K23" i="15"/>
  <c r="R23" i="15" s="1"/>
  <c r="K22" i="15"/>
  <c r="R22" i="15" s="1"/>
  <c r="K13" i="15"/>
  <c r="J27" i="15"/>
  <c r="K21" i="15"/>
  <c r="R21" i="15" s="1"/>
  <c r="F349" i="15"/>
  <c r="E349" i="15" s="1"/>
  <c r="AN455" i="15"/>
  <c r="L309" i="15"/>
  <c r="N304" i="15"/>
  <c r="N305" i="15" s="1"/>
  <c r="F287" i="15"/>
  <c r="E287" i="15" s="1"/>
  <c r="E266" i="15"/>
  <c r="N266" i="15"/>
  <c r="L287" i="15"/>
  <c r="N156" i="15"/>
  <c r="N163" i="15" s="1"/>
  <c r="F163" i="15"/>
  <c r="R17" i="15"/>
  <c r="P17" i="15"/>
  <c r="P117" i="15"/>
  <c r="L108" i="15"/>
  <c r="K153" i="15" s="1"/>
  <c r="N97" i="15"/>
  <c r="N98" i="15" s="1"/>
  <c r="Z423" i="15"/>
  <c r="AL441" i="15"/>
  <c r="AL425" i="15"/>
  <c r="AO425" i="15" s="1"/>
  <c r="Z451" i="15"/>
  <c r="AI451" i="15" s="1"/>
  <c r="AF480" i="15"/>
  <c r="S70" i="15"/>
  <c r="N70" i="15"/>
  <c r="K11" i="15"/>
  <c r="M11" i="15"/>
  <c r="R11" i="15"/>
  <c r="M94" i="15"/>
  <c r="S330" i="15"/>
  <c r="N330" i="15"/>
  <c r="L351" i="15"/>
  <c r="Q231" i="15"/>
  <c r="P231" i="15" s="1"/>
  <c r="P210" i="15"/>
  <c r="E250" i="15"/>
  <c r="M244" i="15"/>
  <c r="N153" i="15"/>
  <c r="S153" i="15"/>
  <c r="Q229" i="15"/>
  <c r="P229" i="15" s="1"/>
  <c r="S211" i="15"/>
  <c r="Z432" i="15"/>
  <c r="AI432" i="15" s="1"/>
  <c r="AL430" i="15"/>
  <c r="Z478" i="15"/>
  <c r="AH478" i="15" s="1"/>
  <c r="AI478" i="15" s="1"/>
  <c r="Z465" i="15"/>
  <c r="AI465" i="15" s="1"/>
  <c r="AF435" i="15"/>
  <c r="AL423" i="15"/>
  <c r="Q41" i="15"/>
  <c r="F41" i="15"/>
  <c r="F304" i="15"/>
  <c r="F309" i="15" s="1"/>
  <c r="F314" i="15" s="1"/>
  <c r="D304" i="15"/>
  <c r="R303" i="15"/>
  <c r="P303" i="15"/>
  <c r="S377" i="15"/>
  <c r="K377" i="15"/>
  <c r="L397" i="15"/>
  <c r="M185" i="15"/>
  <c r="K194" i="15"/>
  <c r="L195" i="15" s="1"/>
  <c r="Q163" i="15"/>
  <c r="S156" i="15"/>
  <c r="S163" i="15" s="1"/>
  <c r="S135" i="15"/>
  <c r="N135" i="15"/>
  <c r="E117" i="15"/>
  <c r="S6" i="15"/>
  <c r="S13" i="15" s="1"/>
  <c r="AL421" i="15"/>
  <c r="AF448" i="15"/>
  <c r="AF426" i="15"/>
  <c r="AL437" i="15"/>
  <c r="AF440" i="15"/>
  <c r="Z427" i="15"/>
  <c r="AI427" i="15" s="1"/>
  <c r="AF472" i="15"/>
  <c r="AF463" i="15"/>
  <c r="AF438" i="15"/>
  <c r="Z425" i="15"/>
  <c r="AI425" i="15" s="1"/>
  <c r="L72" i="15"/>
  <c r="K72" i="15" s="1"/>
  <c r="S266" i="15" l="1"/>
  <c r="S304" i="15"/>
  <c r="AH426" i="15"/>
  <c r="AN426" i="15"/>
  <c r="K397" i="15"/>
  <c r="AO422" i="15"/>
  <c r="AF419" i="15"/>
  <c r="AH409" i="15"/>
  <c r="AI409" i="15" s="1"/>
  <c r="AN409" i="15"/>
  <c r="AO409" i="15" s="1"/>
  <c r="AE409" i="15"/>
  <c r="P8" i="15"/>
  <c r="R8" i="15"/>
  <c r="R13" i="15" s="1"/>
  <c r="R14" i="15" s="1"/>
  <c r="S229" i="15"/>
  <c r="AH432" i="15"/>
  <c r="D105" i="15"/>
  <c r="E105" i="15" s="1"/>
  <c r="E116" i="15"/>
  <c r="E97" i="15"/>
  <c r="D108" i="15"/>
  <c r="E108" i="15" s="1"/>
  <c r="E118" i="15"/>
  <c r="E114" i="15"/>
  <c r="E120" i="15"/>
  <c r="E115" i="15"/>
  <c r="E121" i="15"/>
  <c r="E113" i="15"/>
  <c r="J31" i="15"/>
  <c r="AI495" i="15"/>
  <c r="AH495" i="15"/>
  <c r="AK413" i="15"/>
  <c r="AH471" i="15"/>
  <c r="AI471" i="15" s="1"/>
  <c r="AN471" i="15"/>
  <c r="AO471" i="15" s="1"/>
  <c r="AN425" i="15"/>
  <c r="AH425" i="15"/>
  <c r="AH427" i="15"/>
  <c r="AN427" i="15"/>
  <c r="K309" i="15"/>
  <c r="J314" i="15"/>
  <c r="M309" i="15"/>
  <c r="AN410" i="15"/>
  <c r="AO410" i="15" s="1"/>
  <c r="AE410" i="15"/>
  <c r="AH410" i="15"/>
  <c r="AI410" i="15" s="1"/>
  <c r="AN445" i="15"/>
  <c r="AO445" i="15" s="1"/>
  <c r="AH445" i="15"/>
  <c r="AI445" i="15" s="1"/>
  <c r="Q251" i="15"/>
  <c r="R250" i="15" s="1"/>
  <c r="Q289" i="15"/>
  <c r="S250" i="15"/>
  <c r="Z466" i="15"/>
  <c r="AI436" i="15"/>
  <c r="F231" i="15"/>
  <c r="E210" i="15"/>
  <c r="N210" i="15"/>
  <c r="AI415" i="15"/>
  <c r="K155" i="15"/>
  <c r="O314" i="15"/>
  <c r="R309" i="15"/>
  <c r="AN437" i="15"/>
  <c r="AO437" i="15" s="1"/>
  <c r="AH437" i="15"/>
  <c r="F289" i="15"/>
  <c r="F402" i="15" s="1"/>
  <c r="F251" i="15"/>
  <c r="M250" i="15" s="1"/>
  <c r="N250" i="15"/>
  <c r="N251" i="15" s="1"/>
  <c r="E8" i="15"/>
  <c r="M8" i="15"/>
  <c r="M13" i="15" s="1"/>
  <c r="AN450" i="15"/>
  <c r="AH450" i="15"/>
  <c r="AK415" i="15"/>
  <c r="AI416" i="15"/>
  <c r="K54" i="15"/>
  <c r="AH416" i="15"/>
  <c r="AN416" i="15"/>
  <c r="AE416" i="15"/>
  <c r="Q397" i="15"/>
  <c r="P397" i="15" s="1"/>
  <c r="P377" i="15"/>
  <c r="F233" i="15"/>
  <c r="N233" i="15" s="1"/>
  <c r="F195" i="15"/>
  <c r="N194" i="15"/>
  <c r="N195" i="15" s="1"/>
  <c r="AI430" i="15"/>
  <c r="AH480" i="15"/>
  <c r="AI480" i="15" s="1"/>
  <c r="AN480" i="15"/>
  <c r="AO480" i="15" s="1"/>
  <c r="S287" i="15"/>
  <c r="N287" i="15"/>
  <c r="L289" i="15"/>
  <c r="K287" i="15"/>
  <c r="K27" i="15"/>
  <c r="W82" i="15"/>
  <c r="AH422" i="15"/>
  <c r="AI422" i="15" s="1"/>
  <c r="AN422" i="15"/>
  <c r="N8" i="15"/>
  <c r="N13" i="15" s="1"/>
  <c r="F13" i="15"/>
  <c r="R362" i="15"/>
  <c r="P362" i="15"/>
  <c r="L74" i="15"/>
  <c r="L85" i="15" s="1"/>
  <c r="N41" i="15"/>
  <c r="K41" i="15"/>
  <c r="S41" i="15"/>
  <c r="AN446" i="15"/>
  <c r="AO446" i="15" s="1"/>
  <c r="AH446" i="15"/>
  <c r="AH438" i="15"/>
  <c r="AN438" i="15"/>
  <c r="AI438" i="15"/>
  <c r="AO434" i="15"/>
  <c r="AI447" i="15"/>
  <c r="AH447" i="15"/>
  <c r="AN447" i="15"/>
  <c r="AH444" i="15"/>
  <c r="AI444" i="15" s="1"/>
  <c r="AN444" i="15"/>
  <c r="AO444" i="15" s="1"/>
  <c r="F351" i="15"/>
  <c r="E351" i="15" s="1"/>
  <c r="E330" i="15"/>
  <c r="AI446" i="15"/>
  <c r="O27" i="15"/>
  <c r="O24" i="15"/>
  <c r="AN472" i="15"/>
  <c r="AH472" i="15"/>
  <c r="AI472" i="15" s="1"/>
  <c r="K135" i="15"/>
  <c r="E304" i="15"/>
  <c r="D309" i="15"/>
  <c r="AH474" i="15"/>
  <c r="AI474" i="15" s="1"/>
  <c r="AN474" i="15"/>
  <c r="N62" i="15"/>
  <c r="N72" i="15" s="1"/>
  <c r="Z442" i="15"/>
  <c r="Z452" i="15" s="1"/>
  <c r="AF452" i="15"/>
  <c r="AN434" i="15"/>
  <c r="AH434" i="15"/>
  <c r="AN473" i="15"/>
  <c r="AO418" i="15"/>
  <c r="AK418" i="15"/>
  <c r="Q233" i="15"/>
  <c r="S233" i="15" s="1"/>
  <c r="Q195" i="15"/>
  <c r="S194" i="15"/>
  <c r="S195" i="15" s="1"/>
  <c r="AH424" i="15"/>
  <c r="AN424" i="15"/>
  <c r="AO424" i="15" s="1"/>
  <c r="Q24" i="15"/>
  <c r="AH463" i="15"/>
  <c r="AH466" i="15" s="1"/>
  <c r="AF466" i="15"/>
  <c r="N351" i="15"/>
  <c r="F353" i="15"/>
  <c r="F401" i="15" s="1"/>
  <c r="S98" i="15"/>
  <c r="Q108" i="15"/>
  <c r="AH417" i="15"/>
  <c r="AN417" i="15"/>
  <c r="AE417" i="15"/>
  <c r="S62" i="15"/>
  <c r="S72" i="15" s="1"/>
  <c r="AL442" i="15"/>
  <c r="AL452" i="15" s="1"/>
  <c r="AI437" i="15"/>
  <c r="AN479" i="15"/>
  <c r="AH479" i="15"/>
  <c r="AI479" i="15" s="1"/>
  <c r="AN466" i="15"/>
  <c r="AO466" i="15" s="1"/>
  <c r="AE414" i="15"/>
  <c r="Q351" i="15"/>
  <c r="AK409" i="15"/>
  <c r="S305" i="15"/>
  <c r="Q309" i="15"/>
  <c r="P309" i="15" s="1"/>
  <c r="AH464" i="15"/>
  <c r="S363" i="15"/>
  <c r="E229" i="15"/>
  <c r="AL481" i="15"/>
  <c r="Z481" i="15"/>
  <c r="AO416" i="15"/>
  <c r="AK416" i="15"/>
  <c r="S63" i="15"/>
  <c r="AL443" i="15"/>
  <c r="AK410" i="15"/>
  <c r="AI439" i="15"/>
  <c r="AN436" i="15"/>
  <c r="AO436" i="15" s="1"/>
  <c r="AH436" i="15"/>
  <c r="S52" i="15"/>
  <c r="S54" i="15" s="1"/>
  <c r="AL431" i="15"/>
  <c r="AI429" i="15"/>
  <c r="S33" i="15"/>
  <c r="AL411" i="15"/>
  <c r="L165" i="15"/>
  <c r="S108" i="15"/>
  <c r="N108" i="15"/>
  <c r="N109" i="15" s="1"/>
  <c r="AO412" i="15"/>
  <c r="AK412" i="15"/>
  <c r="AL406" i="15"/>
  <c r="AN451" i="15"/>
  <c r="AH451" i="15"/>
  <c r="AH430" i="15"/>
  <c r="AN430" i="15"/>
  <c r="AO430" i="15" s="1"/>
  <c r="N63" i="15"/>
  <c r="Z443" i="15"/>
  <c r="L399" i="15"/>
  <c r="F24" i="15"/>
  <c r="AN449" i="15"/>
  <c r="AH449" i="15"/>
  <c r="Z431" i="15"/>
  <c r="Z433" i="15" s="1"/>
  <c r="N52" i="15"/>
  <c r="N54" i="15" s="1"/>
  <c r="AO438" i="15"/>
  <c r="S231" i="15"/>
  <c r="N309" i="15"/>
  <c r="N310" i="15" s="1"/>
  <c r="L314" i="15"/>
  <c r="AI448" i="15"/>
  <c r="AH429" i="15"/>
  <c r="AN429" i="15"/>
  <c r="AO429" i="15" s="1"/>
  <c r="Z414" i="15"/>
  <c r="AH414" i="15" s="1"/>
  <c r="N36" i="15"/>
  <c r="AO447" i="15"/>
  <c r="AI428" i="15"/>
  <c r="E119" i="15"/>
  <c r="AN478" i="15"/>
  <c r="AN440" i="15"/>
  <c r="AH440" i="15"/>
  <c r="Z411" i="15"/>
  <c r="Z419" i="15" s="1"/>
  <c r="N33" i="15"/>
  <c r="F165" i="15"/>
  <c r="AN448" i="15"/>
  <c r="AO448" i="15" s="1"/>
  <c r="AH448" i="15"/>
  <c r="M194" i="15"/>
  <c r="R194" i="15"/>
  <c r="AH435" i="15"/>
  <c r="AI435" i="15" s="1"/>
  <c r="AN435" i="15"/>
  <c r="AO435" i="15" s="1"/>
  <c r="Q155" i="15"/>
  <c r="P155" i="15" s="1"/>
  <c r="R108" i="15"/>
  <c r="K108" i="15"/>
  <c r="AI424" i="15"/>
  <c r="AI418" i="15"/>
  <c r="F72" i="15"/>
  <c r="D13" i="15"/>
  <c r="AF406" i="15"/>
  <c r="AL414" i="15"/>
  <c r="AN414" i="15" s="1"/>
  <c r="S36" i="15"/>
  <c r="AN470" i="15"/>
  <c r="AO470" i="15" s="1"/>
  <c r="AH470" i="15"/>
  <c r="AI470" i="15" s="1"/>
  <c r="AF481" i="15"/>
  <c r="F155" i="15"/>
  <c r="E155" i="15" s="1"/>
  <c r="E122" i="15"/>
  <c r="AH418" i="15"/>
  <c r="P97" i="15"/>
  <c r="O108" i="15"/>
  <c r="O105" i="15"/>
  <c r="P105" i="15" s="1"/>
  <c r="P115" i="15"/>
  <c r="P120" i="15"/>
  <c r="P118" i="15"/>
  <c r="P121" i="15"/>
  <c r="P116" i="15"/>
  <c r="P114" i="15"/>
  <c r="P113" i="15"/>
  <c r="AH441" i="15"/>
  <c r="AN441" i="15"/>
  <c r="AO441" i="15" s="1"/>
  <c r="Q13" i="15"/>
  <c r="Q72" i="15"/>
  <c r="AO421" i="15"/>
  <c r="K105" i="15"/>
  <c r="M105" i="15"/>
  <c r="Y412" i="15"/>
  <c r="AM412" i="15" s="1"/>
  <c r="AI412" i="15"/>
  <c r="AH421" i="15"/>
  <c r="AI421" i="15" s="1"/>
  <c r="AF433" i="15"/>
  <c r="AN421" i="15"/>
  <c r="AN476" i="15"/>
  <c r="AN418" i="15"/>
  <c r="AH423" i="15"/>
  <c r="AI423" i="15" s="1"/>
  <c r="AN423" i="15"/>
  <c r="AO423" i="15" s="1"/>
  <c r="AI441" i="15"/>
  <c r="K122" i="15"/>
  <c r="AH465" i="15"/>
  <c r="E153" i="15"/>
  <c r="S397" i="15" l="1"/>
  <c r="AL419" i="15"/>
  <c r="Q399" i="15"/>
  <c r="S399" i="15" s="1"/>
  <c r="S309" i="15"/>
  <c r="S310" i="15" s="1"/>
  <c r="Z468" i="15"/>
  <c r="AL468" i="15"/>
  <c r="AN481" i="15"/>
  <c r="AO481" i="15" s="1"/>
  <c r="AH481" i="15"/>
  <c r="AI481" i="15" s="1"/>
  <c r="AS481" i="15"/>
  <c r="D32" i="15"/>
  <c r="N24" i="15"/>
  <c r="N25" i="15" s="1"/>
  <c r="O32" i="15"/>
  <c r="S24" i="15"/>
  <c r="S25" i="15" s="1"/>
  <c r="P24" i="15"/>
  <c r="P35" i="15"/>
  <c r="P38" i="15"/>
  <c r="P34" i="15"/>
  <c r="P39" i="15"/>
  <c r="P32" i="15"/>
  <c r="P40" i="15"/>
  <c r="P31" i="15"/>
  <c r="P37" i="15"/>
  <c r="AG412" i="15"/>
  <c r="P108" i="15"/>
  <c r="R109" i="15"/>
  <c r="N165" i="15"/>
  <c r="Q165" i="15"/>
  <c r="S165" i="15" s="1"/>
  <c r="S109" i="15"/>
  <c r="P135" i="15"/>
  <c r="E231" i="15"/>
  <c r="N231" i="15"/>
  <c r="K314" i="15"/>
  <c r="AI414" i="15"/>
  <c r="Y414" i="15"/>
  <c r="AK411" i="15"/>
  <c r="AN411" i="15"/>
  <c r="AO411" i="15" s="1"/>
  <c r="L353" i="15"/>
  <c r="N314" i="15"/>
  <c r="N315" i="15" s="1"/>
  <c r="K330" i="15"/>
  <c r="K349" i="15"/>
  <c r="AI466" i="15"/>
  <c r="AI442" i="15"/>
  <c r="Q27" i="15"/>
  <c r="P72" i="15" s="1"/>
  <c r="S14" i="15"/>
  <c r="O31" i="15"/>
  <c r="E13" i="15"/>
  <c r="M14" i="15"/>
  <c r="D27" i="15"/>
  <c r="D24" i="15"/>
  <c r="Y413" i="15"/>
  <c r="Y409" i="15"/>
  <c r="AG409" i="15" s="1"/>
  <c r="Y417" i="15"/>
  <c r="AM417" i="15" s="1"/>
  <c r="P13" i="15"/>
  <c r="P33" i="15"/>
  <c r="R314" i="15"/>
  <c r="AH443" i="15"/>
  <c r="AI443" i="15" s="1"/>
  <c r="K74" i="15"/>
  <c r="Y410" i="15"/>
  <c r="E72" i="15"/>
  <c r="AM414" i="15"/>
  <c r="AG414" i="15"/>
  <c r="Y418" i="15"/>
  <c r="AF407" i="15"/>
  <c r="AD419" i="15" s="1"/>
  <c r="AN433" i="15"/>
  <c r="AH433" i="15"/>
  <c r="AI433" i="15" s="1"/>
  <c r="K351" i="15"/>
  <c r="AN443" i="15"/>
  <c r="AO443" i="15" s="1"/>
  <c r="Q314" i="15"/>
  <c r="P351" i="15" s="1"/>
  <c r="P153" i="15"/>
  <c r="R27" i="15"/>
  <c r="R28" i="15" s="1"/>
  <c r="N155" i="15"/>
  <c r="S251" i="15"/>
  <c r="AN431" i="15"/>
  <c r="AO431" i="15" s="1"/>
  <c r="S351" i="15"/>
  <c r="E309" i="15"/>
  <c r="D314" i="15"/>
  <c r="F27" i="15"/>
  <c r="N14" i="15"/>
  <c r="D31" i="15"/>
  <c r="AG416" i="15"/>
  <c r="AM416" i="15"/>
  <c r="F74" i="15"/>
  <c r="E74" i="15" s="1"/>
  <c r="AD466" i="15"/>
  <c r="L402" i="15"/>
  <c r="S289" i="15"/>
  <c r="N289" i="15"/>
  <c r="S155" i="15"/>
  <c r="Y411" i="15"/>
  <c r="AH411" i="15"/>
  <c r="AI411" i="15" s="1"/>
  <c r="AH431" i="15"/>
  <c r="AI431" i="15" s="1"/>
  <c r="AH452" i="15"/>
  <c r="AI452" i="15" s="1"/>
  <c r="AH442" i="15"/>
  <c r="Y415" i="15"/>
  <c r="AN442" i="15"/>
  <c r="AG410" i="15"/>
  <c r="AM410" i="15"/>
  <c r="Q74" i="15"/>
  <c r="AK414" i="15"/>
  <c r="AO414" i="15"/>
  <c r="M108" i="15"/>
  <c r="M109" i="15" s="1"/>
  <c r="AI434" i="15"/>
  <c r="AL433" i="15"/>
  <c r="P36" i="15"/>
  <c r="P122" i="15"/>
  <c r="Y416" i="15"/>
  <c r="AF468" i="15"/>
  <c r="AN419" i="15"/>
  <c r="AO419" i="15" s="1"/>
  <c r="AH419" i="15"/>
  <c r="AI419" i="15" s="1"/>
  <c r="AN452" i="15" l="1"/>
  <c r="AO452" i="15" s="1"/>
  <c r="AO442" i="15"/>
  <c r="P314" i="15"/>
  <c r="AN468" i="15"/>
  <c r="AO468" i="15" s="1"/>
  <c r="AH468" i="15"/>
  <c r="AI468" i="15" s="1"/>
  <c r="AD468" i="15"/>
  <c r="AP468" i="15"/>
  <c r="AS468" i="15" s="1"/>
  <c r="AD481" i="15"/>
  <c r="AM411" i="15"/>
  <c r="AG411" i="15"/>
  <c r="AG413" i="15"/>
  <c r="AM413" i="15"/>
  <c r="AG417" i="15"/>
  <c r="E314" i="15"/>
  <c r="Z406" i="15"/>
  <c r="Y448" i="15" s="1"/>
  <c r="E27" i="15"/>
  <c r="M27" i="15"/>
  <c r="M28" i="15" s="1"/>
  <c r="S314" i="15"/>
  <c r="S315" i="15" s="1"/>
  <c r="M314" i="15"/>
  <c r="AL407" i="15"/>
  <c r="AN407" i="15" s="1"/>
  <c r="Q85" i="15"/>
  <c r="P41" i="15"/>
  <c r="P54" i="15"/>
  <c r="S27" i="15"/>
  <c r="S85" i="15" s="1"/>
  <c r="N74" i="15"/>
  <c r="L401" i="15"/>
  <c r="N353" i="15"/>
  <c r="AF483" i="15"/>
  <c r="AS407" i="15"/>
  <c r="P74" i="15"/>
  <c r="AG418" i="15"/>
  <c r="AM418" i="15"/>
  <c r="AM409" i="15"/>
  <c r="S74" i="15"/>
  <c r="AM415" i="15"/>
  <c r="AG415" i="15"/>
  <c r="AD433" i="15"/>
  <c r="AD452" i="15"/>
  <c r="Q353" i="15"/>
  <c r="S353" i="15" s="1"/>
  <c r="P349" i="15"/>
  <c r="P330" i="15"/>
  <c r="Z407" i="15"/>
  <c r="AH407" i="15" s="1"/>
  <c r="AI407" i="15" s="1"/>
  <c r="F85" i="15"/>
  <c r="E41" i="15"/>
  <c r="E54" i="15"/>
  <c r="N27" i="15"/>
  <c r="E24" i="15"/>
  <c r="E32" i="15"/>
  <c r="E39" i="15"/>
  <c r="E35" i="15"/>
  <c r="E40" i="15"/>
  <c r="E38" i="15"/>
  <c r="E37" i="15"/>
  <c r="E31" i="15"/>
  <c r="E34" i="15"/>
  <c r="M24" i="15"/>
  <c r="E33" i="15"/>
  <c r="E36" i="15"/>
  <c r="AO433" i="15"/>
  <c r="P27" i="15"/>
  <c r="Z483" i="15" l="1"/>
  <c r="X481" i="15"/>
  <c r="X419" i="15"/>
  <c r="X466" i="15"/>
  <c r="X452" i="15"/>
  <c r="X433" i="15"/>
  <c r="X468" i="15"/>
  <c r="S28" i="15"/>
  <c r="AO407" i="15"/>
  <c r="AJ466" i="15"/>
  <c r="AJ407" i="15"/>
  <c r="AJ419" i="15"/>
  <c r="AL483" i="15"/>
  <c r="AJ468" i="15"/>
  <c r="AJ452" i="15"/>
  <c r="AJ433" i="15"/>
  <c r="AH483" i="15"/>
  <c r="AI483" i="15" s="1"/>
  <c r="AE483" i="15"/>
  <c r="AF489" i="15"/>
  <c r="AN483" i="15"/>
  <c r="N85" i="15"/>
  <c r="N28" i="15"/>
  <c r="AF498" i="15" l="1"/>
  <c r="AF488" i="15"/>
  <c r="AE489" i="15"/>
  <c r="AL489" i="15"/>
  <c r="AN489" i="15" s="1"/>
  <c r="AO483" i="15"/>
  <c r="AK483" i="15"/>
  <c r="Y483" i="15"/>
  <c r="Z489" i="15"/>
  <c r="Y489" i="15" l="1"/>
  <c r="Z498" i="15"/>
  <c r="Y498" i="15" s="1"/>
  <c r="Z488" i="15"/>
  <c r="Y488" i="15" s="1"/>
  <c r="AH489" i="15"/>
  <c r="AI489" i="15" s="1"/>
  <c r="AO489" i="15"/>
  <c r="AL498" i="15"/>
  <c r="AL488" i="15"/>
  <c r="AK489" i="15"/>
  <c r="AN488" i="15"/>
  <c r="AH488" i="15"/>
  <c r="AI488" i="15" s="1"/>
  <c r="AE488" i="15"/>
  <c r="AF511" i="15"/>
  <c r="AF507" i="15"/>
  <c r="AE498" i="15"/>
  <c r="AF502" i="15"/>
  <c r="AF504" i="15"/>
  <c r="AG511" i="15" l="1"/>
  <c r="AJ507" i="15"/>
  <c r="AK498" i="15"/>
  <c r="AN498" i="15"/>
  <c r="AO498" i="15" s="1"/>
  <c r="AO488" i="15"/>
  <c r="AK488" i="15"/>
  <c r="AH498" i="15"/>
  <c r="AI498" i="15" s="1"/>
  <c r="AO482" i="1" l="1"/>
  <c r="AN482" i="1"/>
  <c r="AO467" i="1"/>
  <c r="AN467" i="1"/>
  <c r="AO451" i="1"/>
  <c r="AO450" i="1"/>
  <c r="AO427" i="1"/>
  <c r="AO426" i="1"/>
  <c r="AO425" i="1"/>
  <c r="AO418" i="1"/>
  <c r="AO417" i="1"/>
  <c r="AO416" i="1"/>
  <c r="AH467" i="1"/>
  <c r="L329" i="1"/>
  <c r="I329" i="1"/>
  <c r="Q265" i="1"/>
  <c r="L265" i="1"/>
  <c r="I265" i="1"/>
  <c r="F265" i="1"/>
  <c r="N352" i="1"/>
  <c r="N288" i="1"/>
  <c r="N232" i="1"/>
  <c r="M182" i="1"/>
  <c r="R188" i="1"/>
  <c r="R185" i="1"/>
  <c r="S186" i="1" s="1"/>
  <c r="R179" i="1"/>
  <c r="R19" i="1"/>
  <c r="S1" i="1"/>
  <c r="AO485" i="1" s="1"/>
  <c r="AL496" i="1"/>
  <c r="AO496" i="1" s="1"/>
  <c r="AF496" i="1"/>
  <c r="AC496" i="1"/>
  <c r="S89" i="1" l="1"/>
  <c r="S168" i="1"/>
  <c r="S236" i="1"/>
  <c r="S291" i="1"/>
  <c r="S356" i="1"/>
  <c r="F282" i="1"/>
  <c r="AL460" i="1"/>
  <c r="AN496" i="1"/>
  <c r="S265" i="1"/>
  <c r="F140" i="1"/>
  <c r="F329" i="1"/>
  <c r="N329" i="1" s="1"/>
  <c r="N265" i="1"/>
  <c r="AB496" i="1"/>
  <c r="Q144" i="1"/>
  <c r="AL493" i="1"/>
  <c r="AO493" i="1" s="1"/>
  <c r="AL462" i="1"/>
  <c r="AL461" i="1"/>
  <c r="AL459" i="1"/>
  <c r="AL456" i="1"/>
  <c r="AO456" i="1" s="1"/>
  <c r="AL453" i="1"/>
  <c r="AL420" i="1"/>
  <c r="Q348" i="1"/>
  <c r="L348" i="1"/>
  <c r="I348" i="1"/>
  <c r="Q347" i="1"/>
  <c r="L347" i="1"/>
  <c r="I347" i="1"/>
  <c r="Q346" i="1"/>
  <c r="L346" i="1"/>
  <c r="I346" i="1"/>
  <c r="F346" i="1"/>
  <c r="Q284" i="1"/>
  <c r="L284" i="1"/>
  <c r="I284" i="1"/>
  <c r="F284" i="1"/>
  <c r="Q283" i="1"/>
  <c r="L283" i="1"/>
  <c r="I283" i="1"/>
  <c r="F283" i="1"/>
  <c r="Q282" i="1"/>
  <c r="L282" i="1"/>
  <c r="I282" i="1"/>
  <c r="Q228" i="1"/>
  <c r="L228" i="1"/>
  <c r="I228" i="1"/>
  <c r="F228" i="1"/>
  <c r="L227" i="1"/>
  <c r="I227" i="1"/>
  <c r="F227" i="1"/>
  <c r="Q226" i="1"/>
  <c r="L226" i="1"/>
  <c r="I226" i="1"/>
  <c r="F226" i="1"/>
  <c r="L209" i="1"/>
  <c r="I209" i="1"/>
  <c r="F209" i="1"/>
  <c r="Q162" i="1"/>
  <c r="L162" i="1"/>
  <c r="I162" i="1"/>
  <c r="L161" i="1"/>
  <c r="I161" i="1"/>
  <c r="F161" i="1"/>
  <c r="Q160" i="1"/>
  <c r="L160" i="1"/>
  <c r="I160" i="1"/>
  <c r="F160" i="1"/>
  <c r="L159" i="1"/>
  <c r="I159" i="1"/>
  <c r="F159" i="1"/>
  <c r="Q158" i="1"/>
  <c r="L158" i="1"/>
  <c r="I158" i="1"/>
  <c r="F158" i="1"/>
  <c r="Q157" i="1"/>
  <c r="L157" i="1"/>
  <c r="I157" i="1"/>
  <c r="F157" i="1"/>
  <c r="Q156" i="1"/>
  <c r="L156" i="1"/>
  <c r="I156" i="1"/>
  <c r="L152" i="1"/>
  <c r="I152" i="1"/>
  <c r="F152" i="1"/>
  <c r="Q151" i="1"/>
  <c r="L151" i="1"/>
  <c r="I151" i="1"/>
  <c r="F151" i="1"/>
  <c r="Q150" i="1"/>
  <c r="L150" i="1"/>
  <c r="I150" i="1"/>
  <c r="L149" i="1"/>
  <c r="I149" i="1"/>
  <c r="F149" i="1"/>
  <c r="Q148" i="1"/>
  <c r="L148" i="1"/>
  <c r="I148" i="1"/>
  <c r="F148" i="1"/>
  <c r="Q147" i="1"/>
  <c r="L147" i="1"/>
  <c r="I147" i="1"/>
  <c r="F147" i="1"/>
  <c r="Q146" i="1"/>
  <c r="L146" i="1"/>
  <c r="I146" i="1"/>
  <c r="F146" i="1"/>
  <c r="Q145" i="1"/>
  <c r="L145" i="1"/>
  <c r="I145" i="1"/>
  <c r="F145" i="1"/>
  <c r="L144" i="1"/>
  <c r="I144" i="1"/>
  <c r="F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Q139" i="1"/>
  <c r="L139" i="1"/>
  <c r="I139" i="1"/>
  <c r="F139" i="1"/>
  <c r="Q138" i="1"/>
  <c r="L138" i="1"/>
  <c r="I138" i="1"/>
  <c r="F138" i="1"/>
  <c r="Q137" i="1"/>
  <c r="L137" i="1"/>
  <c r="I137" i="1"/>
  <c r="F137" i="1"/>
  <c r="Q136" i="1"/>
  <c r="L136" i="1"/>
  <c r="I136" i="1"/>
  <c r="Q121" i="1"/>
  <c r="L121" i="1"/>
  <c r="I121" i="1"/>
  <c r="F121" i="1"/>
  <c r="Q120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F125" i="1"/>
  <c r="Q124" i="1"/>
  <c r="L124" i="1"/>
  <c r="I124" i="1"/>
  <c r="F124" i="1"/>
  <c r="Q123" i="1"/>
  <c r="L123" i="1"/>
  <c r="I123" i="1"/>
  <c r="Q118" i="1"/>
  <c r="L118" i="1"/>
  <c r="I118" i="1"/>
  <c r="Q117" i="1"/>
  <c r="L117" i="1"/>
  <c r="I117" i="1"/>
  <c r="F117" i="1"/>
  <c r="Q116" i="1"/>
  <c r="L116" i="1"/>
  <c r="I116" i="1"/>
  <c r="F116" i="1"/>
  <c r="Q115" i="1"/>
  <c r="L115" i="1"/>
  <c r="I115" i="1"/>
  <c r="L114" i="1"/>
  <c r="I114" i="1"/>
  <c r="F114" i="1"/>
  <c r="Q113" i="1"/>
  <c r="L113" i="1"/>
  <c r="I113" i="1"/>
  <c r="F113" i="1"/>
  <c r="Q112" i="1"/>
  <c r="L112" i="1"/>
  <c r="I112" i="1"/>
  <c r="F112" i="1"/>
  <c r="AC480" i="1"/>
  <c r="AC479" i="1"/>
  <c r="AC478" i="1"/>
  <c r="AC432" i="1"/>
  <c r="AC431" i="1"/>
  <c r="AC418" i="1"/>
  <c r="AC417" i="1"/>
  <c r="AC416" i="1"/>
  <c r="AB416" i="1" s="1"/>
  <c r="AC497" i="1"/>
  <c r="AF495" i="1"/>
  <c r="AC495" i="1"/>
  <c r="AB495" i="1" s="1"/>
  <c r="AF494" i="1"/>
  <c r="AC494" i="1"/>
  <c r="AF493" i="1"/>
  <c r="AC493" i="1"/>
  <c r="AF492" i="1"/>
  <c r="AC492" i="1"/>
  <c r="AB492" i="1" s="1"/>
  <c r="AF491" i="1"/>
  <c r="AC491" i="1"/>
  <c r="AB491" i="1" s="1"/>
  <c r="F347" i="1" l="1"/>
  <c r="N347" i="1" s="1"/>
  <c r="F118" i="1"/>
  <c r="N118" i="1" s="1"/>
  <c r="F156" i="1"/>
  <c r="N156" i="1" s="1"/>
  <c r="Z496" i="1"/>
  <c r="AH496" i="1" s="1"/>
  <c r="AI496" i="1" s="1"/>
  <c r="S117" i="1"/>
  <c r="N117" i="1"/>
  <c r="N147" i="1"/>
  <c r="S147" i="1"/>
  <c r="AL455" i="1"/>
  <c r="N141" i="1"/>
  <c r="S141" i="1"/>
  <c r="S346" i="1"/>
  <c r="N346" i="1"/>
  <c r="N124" i="1"/>
  <c r="S124" i="1"/>
  <c r="N130" i="1"/>
  <c r="S130" i="1"/>
  <c r="N209" i="1"/>
  <c r="N134" i="1"/>
  <c r="S134" i="1"/>
  <c r="S138" i="1"/>
  <c r="N138" i="1"/>
  <c r="N144" i="1"/>
  <c r="S144" i="1"/>
  <c r="N160" i="1"/>
  <c r="S160" i="1"/>
  <c r="AN493" i="1"/>
  <c r="N114" i="1"/>
  <c r="N151" i="1"/>
  <c r="S151" i="1"/>
  <c r="N157" i="1"/>
  <c r="S157" i="1"/>
  <c r="N226" i="1"/>
  <c r="S226" i="1"/>
  <c r="AL458" i="1"/>
  <c r="S125" i="1"/>
  <c r="N125" i="1"/>
  <c r="S128" i="1"/>
  <c r="N128" i="1"/>
  <c r="N131" i="1"/>
  <c r="F136" i="1"/>
  <c r="N136" i="1" s="1"/>
  <c r="S132" i="1"/>
  <c r="N119" i="1"/>
  <c r="S119" i="1"/>
  <c r="S136" i="1"/>
  <c r="N139" i="1"/>
  <c r="S139" i="1"/>
  <c r="S142" i="1"/>
  <c r="N142" i="1"/>
  <c r="N161" i="1"/>
  <c r="N283" i="1"/>
  <c r="S283" i="1"/>
  <c r="S347" i="1"/>
  <c r="N121" i="1"/>
  <c r="S121" i="1"/>
  <c r="N282" i="1"/>
  <c r="S282" i="1"/>
  <c r="S118" i="1"/>
  <c r="S115" i="1"/>
  <c r="N145" i="1"/>
  <c r="S145" i="1"/>
  <c r="S148" i="1"/>
  <c r="N148" i="1"/>
  <c r="S123" i="1"/>
  <c r="N126" i="1"/>
  <c r="S126" i="1"/>
  <c r="N129" i="1"/>
  <c r="S129" i="1"/>
  <c r="Q152" i="1"/>
  <c r="S152" i="1" s="1"/>
  <c r="S162" i="1"/>
  <c r="S112" i="1"/>
  <c r="N112" i="1"/>
  <c r="N152" i="1"/>
  <c r="S158" i="1"/>
  <c r="N158" i="1"/>
  <c r="N227" i="1"/>
  <c r="Q329" i="1"/>
  <c r="S329" i="1" s="1"/>
  <c r="S116" i="1"/>
  <c r="N116" i="1"/>
  <c r="S146" i="1"/>
  <c r="N146" i="1"/>
  <c r="N149" i="1"/>
  <c r="S348" i="1"/>
  <c r="AL492" i="1"/>
  <c r="AO492" i="1" s="1"/>
  <c r="N133" i="1"/>
  <c r="S133" i="1"/>
  <c r="S120" i="1"/>
  <c r="N120" i="1"/>
  <c r="S137" i="1"/>
  <c r="N137" i="1"/>
  <c r="S140" i="1"/>
  <c r="N140" i="1"/>
  <c r="S143" i="1"/>
  <c r="N143" i="1"/>
  <c r="S228" i="1"/>
  <c r="N228" i="1"/>
  <c r="S284" i="1"/>
  <c r="N284" i="1"/>
  <c r="S127" i="1"/>
  <c r="N127" i="1"/>
  <c r="N113" i="1"/>
  <c r="S113" i="1"/>
  <c r="S150" i="1"/>
  <c r="S156" i="1"/>
  <c r="N159" i="1"/>
  <c r="AL457" i="1"/>
  <c r="F123" i="1"/>
  <c r="N123" i="1" s="1"/>
  <c r="F162" i="1"/>
  <c r="N162" i="1" s="1"/>
  <c r="AL454" i="1"/>
  <c r="Q161" i="1"/>
  <c r="S161" i="1" s="1"/>
  <c r="AL494" i="1"/>
  <c r="AO494" i="1" s="1"/>
  <c r="F150" i="1"/>
  <c r="N150" i="1" s="1"/>
  <c r="F115" i="1"/>
  <c r="N115" i="1" s="1"/>
  <c r="Q131" i="1"/>
  <c r="S131" i="1" s="1"/>
  <c r="F348" i="1"/>
  <c r="N348" i="1" s="1"/>
  <c r="F132" i="1"/>
  <c r="N132" i="1" s="1"/>
  <c r="AB417" i="1"/>
  <c r="Q209" i="1"/>
  <c r="S209" i="1" s="1"/>
  <c r="Q114" i="1"/>
  <c r="S114" i="1" s="1"/>
  <c r="AL469" i="1"/>
  <c r="AL491" i="1"/>
  <c r="AN491" i="1" s="1"/>
  <c r="AO491" i="1" s="1"/>
  <c r="Q159" i="1"/>
  <c r="S159" i="1" s="1"/>
  <c r="Q227" i="1"/>
  <c r="S227" i="1" s="1"/>
  <c r="AB418" i="1"/>
  <c r="AB478" i="1"/>
  <c r="AB494" i="1"/>
  <c r="AB497" i="1"/>
  <c r="AB479" i="1"/>
  <c r="AB493" i="1"/>
  <c r="AB432" i="1"/>
  <c r="AB480" i="1"/>
  <c r="G113" i="1"/>
  <c r="AB431" i="1"/>
  <c r="AC477" i="1"/>
  <c r="AC476" i="1"/>
  <c r="AC475" i="1"/>
  <c r="AB475" i="1" s="1"/>
  <c r="AC474" i="1"/>
  <c r="AB474" i="1" s="1"/>
  <c r="AC473" i="1"/>
  <c r="AC472" i="1"/>
  <c r="AC471" i="1"/>
  <c r="AB471" i="1" s="1"/>
  <c r="AC470" i="1"/>
  <c r="AF469" i="1"/>
  <c r="AC469" i="1"/>
  <c r="AF462" i="1"/>
  <c r="AC462" i="1"/>
  <c r="Z462" i="1"/>
  <c r="AF461" i="1"/>
  <c r="AC461" i="1"/>
  <c r="AB461" i="1" s="1"/>
  <c r="AF460" i="1"/>
  <c r="AC460" i="1"/>
  <c r="AB460" i="1" s="1"/>
  <c r="AF459" i="1"/>
  <c r="AC459" i="1"/>
  <c r="AF458" i="1"/>
  <c r="AC458" i="1"/>
  <c r="AF457" i="1"/>
  <c r="AC457" i="1"/>
  <c r="AB457" i="1" s="1"/>
  <c r="AF456" i="1"/>
  <c r="AC456" i="1"/>
  <c r="AB456" i="1" s="1"/>
  <c r="AF455" i="1"/>
  <c r="AC455" i="1"/>
  <c r="AF454" i="1"/>
  <c r="AC454" i="1"/>
  <c r="AB454" i="1" s="1"/>
  <c r="AF453" i="1"/>
  <c r="AC453" i="1"/>
  <c r="AC451" i="1"/>
  <c r="AC450" i="1"/>
  <c r="AB450" i="1" s="1"/>
  <c r="AC449" i="1"/>
  <c r="AC448" i="1"/>
  <c r="AC447" i="1"/>
  <c r="AB447" i="1" s="1"/>
  <c r="AC446" i="1"/>
  <c r="AB446" i="1" s="1"/>
  <c r="AC445" i="1"/>
  <c r="AB445" i="1" s="1"/>
  <c r="AC444" i="1"/>
  <c r="AC443" i="1"/>
  <c r="AB443" i="1" s="1"/>
  <c r="AC442" i="1"/>
  <c r="AB442" i="1" s="1"/>
  <c r="AC441" i="1"/>
  <c r="AC440" i="1"/>
  <c r="AC439" i="1"/>
  <c r="AC438" i="1"/>
  <c r="AB438" i="1" s="1"/>
  <c r="AC437" i="1"/>
  <c r="AB437" i="1" s="1"/>
  <c r="AC436" i="1"/>
  <c r="AC435" i="1"/>
  <c r="AB435" i="1" s="1"/>
  <c r="AC434" i="1"/>
  <c r="AB434" i="1" s="1"/>
  <c r="AC430" i="1"/>
  <c r="AB430" i="1" s="1"/>
  <c r="AC429" i="1"/>
  <c r="AC428" i="1"/>
  <c r="AB428" i="1" s="1"/>
  <c r="AC427" i="1"/>
  <c r="AC426" i="1"/>
  <c r="AB426" i="1" s="1"/>
  <c r="AC425" i="1"/>
  <c r="AB425" i="1" s="1"/>
  <c r="AC424" i="1"/>
  <c r="AC423" i="1"/>
  <c r="AC422" i="1"/>
  <c r="AB422" i="1" s="1"/>
  <c r="AC421" i="1"/>
  <c r="AB421" i="1" s="1"/>
  <c r="AF420" i="1"/>
  <c r="AC420" i="1"/>
  <c r="AC415" i="1"/>
  <c r="AC414" i="1"/>
  <c r="AC413" i="1"/>
  <c r="AC412" i="1"/>
  <c r="AB412" i="1" s="1"/>
  <c r="AC411" i="1"/>
  <c r="AC410" i="1"/>
  <c r="AC409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60" i="1"/>
  <c r="O360" i="1"/>
  <c r="R360" i="1" s="1"/>
  <c r="L360" i="1"/>
  <c r="J360" i="1"/>
  <c r="I360" i="1"/>
  <c r="G360" i="1"/>
  <c r="F360" i="1"/>
  <c r="D360" i="1"/>
  <c r="L345" i="1"/>
  <c r="I345" i="1"/>
  <c r="F345" i="1"/>
  <c r="Q344" i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L312" i="1"/>
  <c r="J312" i="1"/>
  <c r="K312" i="1" s="1"/>
  <c r="I312" i="1"/>
  <c r="G312" i="1"/>
  <c r="H312" i="1" s="1"/>
  <c r="F312" i="1"/>
  <c r="M312" i="1" s="1"/>
  <c r="D312" i="1"/>
  <c r="E312" i="1" s="1"/>
  <c r="Q311" i="1"/>
  <c r="O311" i="1"/>
  <c r="L311" i="1"/>
  <c r="J311" i="1"/>
  <c r="K311" i="1" s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L303" i="1"/>
  <c r="J303" i="1"/>
  <c r="K303" i="1" s="1"/>
  <c r="I303" i="1"/>
  <c r="G303" i="1"/>
  <c r="H303" i="1" s="1"/>
  <c r="F303" i="1"/>
  <c r="D303" i="1"/>
  <c r="E303" i="1" s="1"/>
  <c r="Q302" i="1"/>
  <c r="O302" i="1"/>
  <c r="R302" i="1" s="1"/>
  <c r="L302" i="1"/>
  <c r="J302" i="1"/>
  <c r="K302" i="1" s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E300" i="1" s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E297" i="1" s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S248" i="1" s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S245" i="1" s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R102" i="1" l="1"/>
  <c r="M175" i="1"/>
  <c r="M241" i="1"/>
  <c r="M244" i="1"/>
  <c r="M247" i="1"/>
  <c r="M178" i="1"/>
  <c r="M172" i="1"/>
  <c r="R296" i="1"/>
  <c r="R299" i="1"/>
  <c r="R308" i="1"/>
  <c r="R104" i="1"/>
  <c r="E296" i="1"/>
  <c r="E299" i="1"/>
  <c r="M300" i="1"/>
  <c r="S360" i="1"/>
  <c r="S223" i="1"/>
  <c r="N223" i="1"/>
  <c r="N103" i="1"/>
  <c r="S103" i="1"/>
  <c r="N220" i="1"/>
  <c r="S220" i="1"/>
  <c r="AN494" i="1"/>
  <c r="N188" i="1"/>
  <c r="S188" i="1"/>
  <c r="N261" i="1"/>
  <c r="S261" i="1"/>
  <c r="N281" i="1"/>
  <c r="AN454" i="1"/>
  <c r="AO454" i="1" s="1"/>
  <c r="AN460" i="1"/>
  <c r="AO460" i="1" s="1"/>
  <c r="S198" i="1"/>
  <c r="N198" i="1"/>
  <c r="N201" i="1"/>
  <c r="S201" i="1"/>
  <c r="S204" i="1"/>
  <c r="N204" i="1"/>
  <c r="N207" i="1"/>
  <c r="S207" i="1"/>
  <c r="N212" i="1"/>
  <c r="S212" i="1"/>
  <c r="N215" i="1"/>
  <c r="S215" i="1"/>
  <c r="S218" i="1"/>
  <c r="N218" i="1"/>
  <c r="S221" i="1"/>
  <c r="N221" i="1"/>
  <c r="S224" i="1"/>
  <c r="N224" i="1"/>
  <c r="M296" i="1"/>
  <c r="M299" i="1"/>
  <c r="M308" i="1"/>
  <c r="N102" i="1"/>
  <c r="S102" i="1"/>
  <c r="S318" i="1"/>
  <c r="N318" i="1"/>
  <c r="S338" i="1"/>
  <c r="N338" i="1"/>
  <c r="N214" i="1"/>
  <c r="S214" i="1"/>
  <c r="S297" i="1"/>
  <c r="N297" i="1"/>
  <c r="N303" i="1"/>
  <c r="S303" i="1"/>
  <c r="AN459" i="1"/>
  <c r="AO459" i="1" s="1"/>
  <c r="R297" i="1"/>
  <c r="P303" i="1"/>
  <c r="R303" i="1"/>
  <c r="S324" i="1"/>
  <c r="N324" i="1"/>
  <c r="S344" i="1"/>
  <c r="N344" i="1"/>
  <c r="N269" i="1"/>
  <c r="S269" i="1"/>
  <c r="N275" i="1"/>
  <c r="S275" i="1"/>
  <c r="S175" i="1"/>
  <c r="N175" i="1"/>
  <c r="N244" i="1"/>
  <c r="N245" i="1" s="1"/>
  <c r="S244" i="1"/>
  <c r="S302" i="1"/>
  <c r="N302" i="1"/>
  <c r="AN455" i="1"/>
  <c r="N206" i="1"/>
  <c r="S206" i="1"/>
  <c r="R175" i="1"/>
  <c r="S322" i="1"/>
  <c r="N322" i="1"/>
  <c r="S333" i="1"/>
  <c r="N333" i="1"/>
  <c r="S336" i="1"/>
  <c r="N336" i="1"/>
  <c r="N342" i="1"/>
  <c r="S342" i="1"/>
  <c r="R300" i="1"/>
  <c r="N321" i="1"/>
  <c r="S321" i="1"/>
  <c r="N335" i="1"/>
  <c r="S335" i="1"/>
  <c r="N255" i="1"/>
  <c r="S255" i="1"/>
  <c r="S272" i="1"/>
  <c r="N272" i="1"/>
  <c r="S247" i="1"/>
  <c r="N248" i="1"/>
  <c r="N247" i="1"/>
  <c r="N296" i="1"/>
  <c r="S296" i="1"/>
  <c r="N299" i="1"/>
  <c r="S299" i="1"/>
  <c r="N308" i="1"/>
  <c r="S308" i="1"/>
  <c r="N184" i="1"/>
  <c r="S184" i="1"/>
  <c r="AN461" i="1"/>
  <c r="AO461" i="1" s="1"/>
  <c r="S163" i="1"/>
  <c r="S172" i="1"/>
  <c r="N172" i="1"/>
  <c r="R241" i="1"/>
  <c r="S319" i="1"/>
  <c r="N319" i="1"/>
  <c r="N345" i="1"/>
  <c r="N202" i="1"/>
  <c r="S202" i="1"/>
  <c r="N208" i="1"/>
  <c r="S208" i="1"/>
  <c r="N219" i="1"/>
  <c r="S219" i="1"/>
  <c r="N225" i="1"/>
  <c r="M295" i="1"/>
  <c r="N100" i="1"/>
  <c r="S100" i="1"/>
  <c r="N104" i="1"/>
  <c r="S104" i="1"/>
  <c r="S203" i="1"/>
  <c r="N203" i="1"/>
  <c r="AN453" i="1"/>
  <c r="AO453" i="1" s="1"/>
  <c r="N332" i="1"/>
  <c r="S332" i="1"/>
  <c r="S258" i="1"/>
  <c r="N258" i="1"/>
  <c r="N163" i="1"/>
  <c r="R181" i="1"/>
  <c r="N256" i="1"/>
  <c r="S256" i="1"/>
  <c r="N259" i="1"/>
  <c r="S259" i="1"/>
  <c r="S262" i="1"/>
  <c r="N262" i="1"/>
  <c r="S267" i="1"/>
  <c r="N267" i="1"/>
  <c r="N270" i="1"/>
  <c r="S270" i="1"/>
  <c r="N273" i="1"/>
  <c r="S273" i="1"/>
  <c r="N276" i="1"/>
  <c r="S276" i="1"/>
  <c r="S279" i="1"/>
  <c r="N279" i="1"/>
  <c r="M100" i="1"/>
  <c r="R100" i="1"/>
  <c r="AN420" i="1"/>
  <c r="AO420" i="1" s="1"/>
  <c r="AN456" i="1"/>
  <c r="N199" i="1"/>
  <c r="S199" i="1"/>
  <c r="S205" i="1"/>
  <c r="N205" i="1"/>
  <c r="S213" i="1"/>
  <c r="N213" i="1"/>
  <c r="N216" i="1"/>
  <c r="S216" i="1"/>
  <c r="N222" i="1"/>
  <c r="S222" i="1"/>
  <c r="K298" i="1"/>
  <c r="M298" i="1"/>
  <c r="K301" i="1"/>
  <c r="M301" i="1"/>
  <c r="M307" i="1"/>
  <c r="F266" i="1"/>
  <c r="N295" i="1"/>
  <c r="S295" i="1"/>
  <c r="N298" i="1"/>
  <c r="S298" i="1"/>
  <c r="N301" i="1"/>
  <c r="S301" i="1"/>
  <c r="N307" i="1"/>
  <c r="S307" i="1"/>
  <c r="S312" i="1"/>
  <c r="R312" i="1" s="1"/>
  <c r="N312" i="1"/>
  <c r="AN457" i="1"/>
  <c r="AO457" i="1" s="1"/>
  <c r="AN492" i="1"/>
  <c r="S211" i="1"/>
  <c r="N211" i="1"/>
  <c r="S300" i="1"/>
  <c r="N300" i="1"/>
  <c r="S178" i="1"/>
  <c r="N178" i="1"/>
  <c r="S181" i="1"/>
  <c r="N181" i="1"/>
  <c r="S325" i="1"/>
  <c r="N325" i="1"/>
  <c r="N328" i="1"/>
  <c r="S328" i="1"/>
  <c r="N339" i="1"/>
  <c r="S339" i="1"/>
  <c r="M188" i="1"/>
  <c r="R295" i="1"/>
  <c r="R298" i="1"/>
  <c r="R307" i="1"/>
  <c r="N320" i="1"/>
  <c r="S320" i="1"/>
  <c r="N323" i="1"/>
  <c r="S323" i="1"/>
  <c r="N326" i="1"/>
  <c r="S326" i="1"/>
  <c r="S331" i="1"/>
  <c r="N331" i="1"/>
  <c r="S334" i="1"/>
  <c r="N334" i="1"/>
  <c r="N337" i="1"/>
  <c r="S337" i="1"/>
  <c r="N340" i="1"/>
  <c r="S340" i="1"/>
  <c r="S343" i="1"/>
  <c r="N343" i="1"/>
  <c r="AN469" i="1"/>
  <c r="AO469" i="1" s="1"/>
  <c r="S200" i="1"/>
  <c r="N200" i="1"/>
  <c r="S217" i="1"/>
  <c r="N217" i="1"/>
  <c r="K297" i="1"/>
  <c r="M297" i="1"/>
  <c r="N327" i="1"/>
  <c r="S327" i="1"/>
  <c r="N341" i="1"/>
  <c r="S341" i="1"/>
  <c r="N264" i="1"/>
  <c r="S264" i="1"/>
  <c r="S278" i="1"/>
  <c r="N278" i="1"/>
  <c r="N241" i="1"/>
  <c r="N242" i="1" s="1"/>
  <c r="S241" i="1"/>
  <c r="R172" i="1"/>
  <c r="R178" i="1"/>
  <c r="M181" i="1"/>
  <c r="L266" i="1"/>
  <c r="S254" i="1"/>
  <c r="N254" i="1"/>
  <c r="N257" i="1"/>
  <c r="S257" i="1"/>
  <c r="N260" i="1"/>
  <c r="S260" i="1"/>
  <c r="N263" i="1"/>
  <c r="S263" i="1"/>
  <c r="S268" i="1"/>
  <c r="N268" i="1"/>
  <c r="N271" i="1"/>
  <c r="S271" i="1"/>
  <c r="S274" i="1"/>
  <c r="N274" i="1"/>
  <c r="N277" i="1"/>
  <c r="S277" i="1"/>
  <c r="N280" i="1"/>
  <c r="S280" i="1"/>
  <c r="R103" i="1"/>
  <c r="AN458" i="1"/>
  <c r="AO458" i="1" s="1"/>
  <c r="AB415" i="1"/>
  <c r="P299" i="1"/>
  <c r="AB448" i="1"/>
  <c r="AB476" i="1"/>
  <c r="P308" i="1"/>
  <c r="AB451" i="1"/>
  <c r="P312" i="1"/>
  <c r="P297" i="1"/>
  <c r="P300" i="1"/>
  <c r="E307" i="1"/>
  <c r="AB440" i="1"/>
  <c r="AB449" i="1"/>
  <c r="K307" i="1"/>
  <c r="K296" i="1"/>
  <c r="E298" i="1"/>
  <c r="K299" i="1"/>
  <c r="P307" i="1"/>
  <c r="P296" i="1"/>
  <c r="E308" i="1"/>
  <c r="AB472" i="1"/>
  <c r="F185" i="1"/>
  <c r="P302" i="1"/>
  <c r="P298" i="1"/>
  <c r="K308" i="1"/>
  <c r="AB462" i="1"/>
  <c r="P301" i="1"/>
  <c r="K300" i="1"/>
  <c r="AB410" i="1"/>
  <c r="AB429" i="1"/>
  <c r="AB459" i="1"/>
  <c r="AB469" i="1"/>
  <c r="AB413" i="1"/>
  <c r="AB453" i="1"/>
  <c r="AB455" i="1"/>
  <c r="AB477" i="1"/>
  <c r="AB420" i="1"/>
  <c r="AB423" i="1"/>
  <c r="AB441" i="1"/>
  <c r="AB411" i="1"/>
  <c r="AB427" i="1"/>
  <c r="AB414" i="1"/>
  <c r="AB470" i="1"/>
  <c r="AB424" i="1"/>
  <c r="AB439" i="1"/>
  <c r="AB458" i="1"/>
  <c r="P311" i="1"/>
  <c r="AB473" i="1"/>
  <c r="AB436" i="1"/>
  <c r="AB444" i="1"/>
  <c r="N266" i="1" l="1"/>
  <c r="S242" i="1"/>
  <c r="AN466" i="1"/>
  <c r="N349" i="1"/>
  <c r="AO455" i="1"/>
  <c r="N285" i="1"/>
  <c r="AL448" i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Z492" i="1"/>
  <c r="Z491" i="1"/>
  <c r="AH491" i="1" s="1"/>
  <c r="AI491" i="1" s="1"/>
  <c r="Z469" i="1"/>
  <c r="AH469" i="1" s="1"/>
  <c r="AI469" i="1" s="1"/>
  <c r="Z461" i="1"/>
  <c r="Z458" i="1"/>
  <c r="AH458" i="1" s="1"/>
  <c r="AI458" i="1" s="1"/>
  <c r="AH461" i="1" l="1"/>
  <c r="AI461" i="1" s="1"/>
  <c r="AI492" i="1"/>
  <c r="AH492" i="1"/>
  <c r="Z420" i="1"/>
  <c r="AH420" i="1" s="1"/>
  <c r="AI420" i="1" s="1"/>
  <c r="Z460" i="1"/>
  <c r="AH460" i="1" s="1"/>
  <c r="AI460" i="1" s="1"/>
  <c r="Z453" i="1"/>
  <c r="AH453" i="1" s="1"/>
  <c r="Z454" i="1"/>
  <c r="AH454" i="1" s="1"/>
  <c r="AI454" i="1" s="1"/>
  <c r="Z455" i="1"/>
  <c r="Z456" i="1"/>
  <c r="Z457" i="1"/>
  <c r="Z493" i="1"/>
  <c r="Z459" i="1"/>
  <c r="AH459" i="1" s="1"/>
  <c r="AI459" i="1" s="1"/>
  <c r="AI493" i="1" l="1"/>
  <c r="AH493" i="1"/>
  <c r="AH457" i="1"/>
  <c r="AI457" i="1" s="1"/>
  <c r="AI456" i="1"/>
  <c r="AH456" i="1"/>
  <c r="AH455" i="1"/>
  <c r="AI455" i="1" s="1"/>
  <c r="AI453" i="1"/>
  <c r="O96" i="1"/>
  <c r="R96" i="1" s="1"/>
  <c r="Q96" i="1"/>
  <c r="S96" i="1" s="1"/>
  <c r="P96" i="1" l="1"/>
  <c r="Q281" i="1" l="1"/>
  <c r="S281" i="1" s="1"/>
  <c r="Q225" i="1"/>
  <c r="S225" i="1" s="1"/>
  <c r="Q345" i="1" l="1"/>
  <c r="S345" i="1" s="1"/>
  <c r="S349" i="1" s="1"/>
  <c r="Q149" i="1"/>
  <c r="S149" i="1" s="1"/>
  <c r="Z495" i="1" l="1"/>
  <c r="Z494" i="1"/>
  <c r="AF424" i="1"/>
  <c r="AF423" i="1"/>
  <c r="AF448" i="1"/>
  <c r="AL464" i="1"/>
  <c r="AF473" i="1"/>
  <c r="AF471" i="1"/>
  <c r="Z476" i="1"/>
  <c r="AF418" i="1"/>
  <c r="AF430" i="1"/>
  <c r="AF449" i="1"/>
  <c r="Z411" i="1"/>
  <c r="AF432" i="1"/>
  <c r="AF475" i="1"/>
  <c r="AF436" i="1"/>
  <c r="AF427" i="1"/>
  <c r="AF435" i="1"/>
  <c r="AF434" i="1"/>
  <c r="AF425" i="1"/>
  <c r="AF409" i="1"/>
  <c r="AF442" i="1"/>
  <c r="AF470" i="1"/>
  <c r="AF410" i="1"/>
  <c r="AL470" i="1"/>
  <c r="AF446" i="1"/>
  <c r="Z412" i="1"/>
  <c r="Z424" i="1"/>
  <c r="AF474" i="1"/>
  <c r="Z436" i="1"/>
  <c r="AF412" i="1"/>
  <c r="AH412" i="1" s="1"/>
  <c r="AF417" i="1"/>
  <c r="Z439" i="1"/>
  <c r="Z447" i="1"/>
  <c r="AF439" i="1"/>
  <c r="AH439" i="1" s="1"/>
  <c r="AF478" i="1"/>
  <c r="AF414" i="1"/>
  <c r="Z474" i="1"/>
  <c r="AF426" i="1"/>
  <c r="AF445" i="1"/>
  <c r="AF437" i="1"/>
  <c r="Z444" i="1"/>
  <c r="AN417" i="1" l="1"/>
  <c r="AN418" i="1"/>
  <c r="AN425" i="1"/>
  <c r="AN448" i="1"/>
  <c r="AO448" i="1" s="1"/>
  <c r="AH474" i="1"/>
  <c r="AI474" i="1" s="1"/>
  <c r="AH424" i="1"/>
  <c r="AI424" i="1" s="1"/>
  <c r="AN470" i="1"/>
  <c r="AO470" i="1" s="1"/>
  <c r="AI439" i="1"/>
  <c r="AI412" i="1"/>
  <c r="AI494" i="1"/>
  <c r="AH494" i="1"/>
  <c r="AN427" i="1"/>
  <c r="AH436" i="1"/>
  <c r="AI436" i="1" s="1"/>
  <c r="AN426" i="1"/>
  <c r="AI495" i="1"/>
  <c r="AH495" i="1"/>
  <c r="AF441" i="1"/>
  <c r="AF440" i="1"/>
  <c r="Z413" i="1"/>
  <c r="AF476" i="1"/>
  <c r="Z437" i="1"/>
  <c r="AH437" i="1" s="1"/>
  <c r="Z445" i="1"/>
  <c r="Z409" i="1"/>
  <c r="AH409" i="1" s="1"/>
  <c r="AF421" i="1"/>
  <c r="Z428" i="1"/>
  <c r="Z435" i="1"/>
  <c r="AH435" i="1" s="1"/>
  <c r="AI435" i="1" s="1"/>
  <c r="Z415" i="1"/>
  <c r="AF444" i="1"/>
  <c r="AH444" i="1" s="1"/>
  <c r="AI444" i="1" s="1"/>
  <c r="AF477" i="1"/>
  <c r="Z430" i="1"/>
  <c r="AH430" i="1" s="1"/>
  <c r="AI430" i="1" s="1"/>
  <c r="Z480" i="1"/>
  <c r="AF422" i="1"/>
  <c r="AF438" i="1"/>
  <c r="AF413" i="1"/>
  <c r="Z441" i="1"/>
  <c r="Z497" i="1"/>
  <c r="AI497" i="1" s="1"/>
  <c r="Z431" i="1"/>
  <c r="Z442" i="1"/>
  <c r="AH442" i="1" s="1"/>
  <c r="AI442" i="1" s="1"/>
  <c r="AF429" i="1"/>
  <c r="AF472" i="1"/>
  <c r="Z414" i="1"/>
  <c r="AH414" i="1" s="1"/>
  <c r="AI414" i="1" s="1"/>
  <c r="Z410" i="1"/>
  <c r="AH410" i="1" s="1"/>
  <c r="AI410" i="1" s="1"/>
  <c r="AF416" i="1"/>
  <c r="AF450" i="1"/>
  <c r="Z434" i="1"/>
  <c r="AH434" i="1" s="1"/>
  <c r="AF411" i="1"/>
  <c r="AH411" i="1" s="1"/>
  <c r="AI411" i="1" s="1"/>
  <c r="AF428" i="1"/>
  <c r="AF431" i="1"/>
  <c r="Z422" i="1"/>
  <c r="AF415" i="1"/>
  <c r="Z438" i="1"/>
  <c r="Z421" i="1"/>
  <c r="AF447" i="1"/>
  <c r="AH447" i="1" s="1"/>
  <c r="AI447" i="1" s="1"/>
  <c r="AF480" i="1"/>
  <c r="Z446" i="1"/>
  <c r="AH446" i="1" s="1"/>
  <c r="AI446" i="1" s="1"/>
  <c r="Z475" i="1"/>
  <c r="AH475" i="1" s="1"/>
  <c r="AI475" i="1" s="1"/>
  <c r="AF443" i="1"/>
  <c r="Z470" i="1"/>
  <c r="AH470" i="1" s="1"/>
  <c r="Z429" i="1"/>
  <c r="Z472" i="1"/>
  <c r="Z443" i="1"/>
  <c r="Z448" i="1"/>
  <c r="AH448" i="1" s="1"/>
  <c r="AI448" i="1" s="1"/>
  <c r="AF497" i="1"/>
  <c r="AF451" i="1"/>
  <c r="AE417" i="1"/>
  <c r="AF479" i="1"/>
  <c r="AE418" i="1"/>
  <c r="Z471" i="1"/>
  <c r="AH471" i="1" s="1"/>
  <c r="AI471" i="1" s="1"/>
  <c r="Z423" i="1"/>
  <c r="AH423" i="1" s="1"/>
  <c r="AI423" i="1" s="1"/>
  <c r="Z473" i="1"/>
  <c r="AH473" i="1" s="1"/>
  <c r="AI473" i="1" s="1"/>
  <c r="Z440" i="1"/>
  <c r="AI440" i="1" s="1"/>
  <c r="AL465" i="1"/>
  <c r="AL471" i="1"/>
  <c r="AN471" i="1" s="1"/>
  <c r="AO471" i="1" s="1"/>
  <c r="AL463" i="1"/>
  <c r="AL497" i="1"/>
  <c r="AO497" i="1" s="1"/>
  <c r="AL495" i="1"/>
  <c r="AL479" i="1"/>
  <c r="AO479" i="1" s="1"/>
  <c r="AL472" i="1"/>
  <c r="AO472" i="1" s="1"/>
  <c r="AL477" i="1"/>
  <c r="AL475" i="1"/>
  <c r="AN475" i="1" s="1"/>
  <c r="AO475" i="1" s="1"/>
  <c r="AL474" i="1"/>
  <c r="AN474" i="1" s="1"/>
  <c r="AO474" i="1" s="1"/>
  <c r="AL473" i="1"/>
  <c r="AO473" i="1" s="1"/>
  <c r="AL476" i="1"/>
  <c r="AO476" i="1" s="1"/>
  <c r="AL478" i="1"/>
  <c r="AO478" i="1" s="1"/>
  <c r="Z451" i="1"/>
  <c r="AI451" i="1" s="1"/>
  <c r="Z417" i="1"/>
  <c r="AI417" i="1" s="1"/>
  <c r="Z477" i="1"/>
  <c r="AH413" i="1" l="1"/>
  <c r="AN478" i="1"/>
  <c r="AH440" i="1"/>
  <c r="AH441" i="1"/>
  <c r="AI441" i="1" s="1"/>
  <c r="AH429" i="1"/>
  <c r="AI429" i="1" s="1"/>
  <c r="AI434" i="1"/>
  <c r="AH480" i="1"/>
  <c r="AI480" i="1" s="1"/>
  <c r="AH477" i="1"/>
  <c r="AI477" i="1" s="1"/>
  <c r="AN477" i="1"/>
  <c r="AO477" i="1" s="1"/>
  <c r="AN472" i="1"/>
  <c r="AH472" i="1"/>
  <c r="AI472" i="1" s="1"/>
  <c r="AI431" i="1"/>
  <c r="AH421" i="1"/>
  <c r="AI421" i="1" s="1"/>
  <c r="AH415" i="1"/>
  <c r="AI415" i="1" s="1"/>
  <c r="AI409" i="1"/>
  <c r="AN473" i="1"/>
  <c r="AH445" i="1"/>
  <c r="AI445" i="1" s="1"/>
  <c r="AN479" i="1"/>
  <c r="AN497" i="1"/>
  <c r="AH497" i="1"/>
  <c r="AH428" i="1"/>
  <c r="AI428" i="1" s="1"/>
  <c r="AH443" i="1"/>
  <c r="AI443" i="1" s="1"/>
  <c r="AH438" i="1"/>
  <c r="AI438" i="1" s="1"/>
  <c r="AI437" i="1"/>
  <c r="AN451" i="1"/>
  <c r="AH451" i="1"/>
  <c r="AH431" i="1"/>
  <c r="AN450" i="1"/>
  <c r="AN476" i="1"/>
  <c r="AH476" i="1"/>
  <c r="AI476" i="1" s="1"/>
  <c r="AO495" i="1"/>
  <c r="AN495" i="1"/>
  <c r="AI470" i="1"/>
  <c r="AH422" i="1"/>
  <c r="AI422" i="1" s="1"/>
  <c r="AE416" i="1"/>
  <c r="AN416" i="1"/>
  <c r="AI413" i="1"/>
  <c r="AH417" i="1"/>
  <c r="AL466" i="1"/>
  <c r="AO466" i="1" s="1"/>
  <c r="AE497" i="1"/>
  <c r="Z479" i="1"/>
  <c r="AH479" i="1" s="1"/>
  <c r="AI479" i="1" s="1"/>
  <c r="Z426" i="1"/>
  <c r="Z416" i="1"/>
  <c r="AI416" i="1" s="1"/>
  <c r="Z418" i="1"/>
  <c r="Z427" i="1"/>
  <c r="Z449" i="1"/>
  <c r="Z478" i="1"/>
  <c r="AH478" i="1" s="1"/>
  <c r="AI478" i="1" s="1"/>
  <c r="Z450" i="1"/>
  <c r="AI450" i="1" s="1"/>
  <c r="Z425" i="1"/>
  <c r="Z432" i="1"/>
  <c r="AH416" i="1" l="1"/>
  <c r="AI432" i="1"/>
  <c r="AH432" i="1"/>
  <c r="AI425" i="1"/>
  <c r="AH425" i="1"/>
  <c r="AI427" i="1"/>
  <c r="AH427" i="1"/>
  <c r="AI449" i="1"/>
  <c r="AH449" i="1"/>
  <c r="AH450" i="1"/>
  <c r="AH452" i="1" s="1"/>
  <c r="AI452" i="1" s="1"/>
  <c r="AI418" i="1"/>
  <c r="AH418" i="1"/>
  <c r="AI426" i="1"/>
  <c r="AH426" i="1"/>
  <c r="Z452" i="1"/>
  <c r="Z433" i="1"/>
  <c r="AL480" i="1"/>
  <c r="AL481" i="1" l="1"/>
  <c r="AN480" i="1"/>
  <c r="AO480" i="1" s="1"/>
  <c r="AC452" i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F465" i="1" l="1"/>
  <c r="AF464" i="1"/>
  <c r="AF463" i="1"/>
  <c r="AC465" i="1"/>
  <c r="AC464" i="1"/>
  <c r="AC463" i="1"/>
  <c r="Z465" i="1"/>
  <c r="AI465" i="1" s="1"/>
  <c r="Z464" i="1"/>
  <c r="AI464" i="1" s="1"/>
  <c r="Z463" i="1"/>
  <c r="AI463" i="1" s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O362" i="1"/>
  <c r="R362" i="1" s="1"/>
  <c r="L394" i="1"/>
  <c r="L393" i="1"/>
  <c r="L392" i="1"/>
  <c r="L391" i="1"/>
  <c r="S391" i="1" s="1"/>
  <c r="L390" i="1"/>
  <c r="S390" i="1" s="1"/>
  <c r="L389" i="1"/>
  <c r="S389" i="1" s="1"/>
  <c r="L388" i="1"/>
  <c r="S388" i="1" s="1"/>
  <c r="L387" i="1"/>
  <c r="S387" i="1" s="1"/>
  <c r="L386" i="1"/>
  <c r="L385" i="1"/>
  <c r="L384" i="1"/>
  <c r="L383" i="1"/>
  <c r="L382" i="1"/>
  <c r="L381" i="1"/>
  <c r="L380" i="1"/>
  <c r="L379" i="1"/>
  <c r="S379" i="1" s="1"/>
  <c r="L378" i="1"/>
  <c r="S378" i="1" s="1"/>
  <c r="L376" i="1"/>
  <c r="S376" i="1" s="1"/>
  <c r="L375" i="1"/>
  <c r="S375" i="1" s="1"/>
  <c r="L374" i="1"/>
  <c r="S374" i="1" s="1"/>
  <c r="L373" i="1"/>
  <c r="S373" i="1" s="1"/>
  <c r="L372" i="1"/>
  <c r="L371" i="1"/>
  <c r="L370" i="1"/>
  <c r="L369" i="1"/>
  <c r="L368" i="1"/>
  <c r="L367" i="1"/>
  <c r="L366" i="1"/>
  <c r="S366" i="1" s="1"/>
  <c r="L365" i="1"/>
  <c r="S365" i="1" s="1"/>
  <c r="J362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2" i="1"/>
  <c r="G362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93" i="1"/>
  <c r="S386" i="1" l="1"/>
  <c r="S367" i="1"/>
  <c r="S380" i="1"/>
  <c r="S392" i="1"/>
  <c r="S393" i="1"/>
  <c r="S381" i="1"/>
  <c r="S369" i="1"/>
  <c r="S382" i="1"/>
  <c r="S394" i="1"/>
  <c r="S370" i="1"/>
  <c r="S383" i="1"/>
  <c r="AH463" i="1"/>
  <c r="AH466" i="1" s="1"/>
  <c r="S368" i="1"/>
  <c r="S371" i="1"/>
  <c r="S384" i="1"/>
  <c r="AH464" i="1"/>
  <c r="S372" i="1"/>
  <c r="S385" i="1"/>
  <c r="AH465" i="1"/>
  <c r="Q176" i="1"/>
  <c r="I248" i="1"/>
  <c r="L176" i="1"/>
  <c r="Q242" i="1"/>
  <c r="Q179" i="1"/>
  <c r="Q192" i="1"/>
  <c r="I189" i="1"/>
  <c r="H362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30" i="1"/>
  <c r="I349" i="1"/>
  <c r="Q330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30" i="1"/>
  <c r="P360" i="1"/>
  <c r="H174" i="1"/>
  <c r="I210" i="1"/>
  <c r="L185" i="1"/>
  <c r="L182" i="1"/>
  <c r="Q266" i="1"/>
  <c r="P266" i="1" s="1"/>
  <c r="L304" i="1"/>
  <c r="H360" i="1"/>
  <c r="I395" i="1"/>
  <c r="H395" i="1" s="1"/>
  <c r="K360" i="1"/>
  <c r="Q377" i="1"/>
  <c r="P377" i="1" s="1"/>
  <c r="I185" i="1"/>
  <c r="I194" i="1" s="1"/>
  <c r="L377" i="1"/>
  <c r="Q250" i="1"/>
  <c r="I377" i="1"/>
  <c r="L189" i="1"/>
  <c r="J304" i="1"/>
  <c r="Q395" i="1"/>
  <c r="P395" i="1" s="1"/>
  <c r="I266" i="1"/>
  <c r="I285" i="1"/>
  <c r="P295" i="1"/>
  <c r="Q349" i="1"/>
  <c r="L395" i="1"/>
  <c r="K395" i="1" s="1"/>
  <c r="Q362" i="1"/>
  <c r="S363" i="1" s="1"/>
  <c r="L362" i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S395" i="1"/>
  <c r="S362" i="1"/>
  <c r="S377" i="1"/>
  <c r="M95" i="1"/>
  <c r="R95" i="1"/>
  <c r="N80" i="1"/>
  <c r="S80" i="1"/>
  <c r="S81" i="1"/>
  <c r="N81" i="1"/>
  <c r="N79" i="1"/>
  <c r="S79" i="1"/>
  <c r="N75" i="1"/>
  <c r="S75" i="1"/>
  <c r="R304" i="1"/>
  <c r="N76" i="1"/>
  <c r="S76" i="1"/>
  <c r="N77" i="1"/>
  <c r="S77" i="1"/>
  <c r="M94" i="1"/>
  <c r="R94" i="1"/>
  <c r="N95" i="1"/>
  <c r="S95" i="1"/>
  <c r="S78" i="1"/>
  <c r="N78" i="1"/>
  <c r="L97" i="1"/>
  <c r="J112" i="1" s="1"/>
  <c r="S94" i="1"/>
  <c r="N94" i="1"/>
  <c r="S330" i="1"/>
  <c r="S304" i="1"/>
  <c r="S305" i="1" s="1"/>
  <c r="S210" i="1"/>
  <c r="N210" i="1"/>
  <c r="N185" i="1"/>
  <c r="N186" i="1" s="1"/>
  <c r="S185" i="1"/>
  <c r="K362" i="1"/>
  <c r="L309" i="1"/>
  <c r="L194" i="1"/>
  <c r="K194" i="1"/>
  <c r="G97" i="1"/>
  <c r="H97" i="1" s="1"/>
  <c r="D97" i="1"/>
  <c r="E113" i="1" s="1"/>
  <c r="F97" i="1"/>
  <c r="J97" i="1"/>
  <c r="Q97" i="1"/>
  <c r="O97" i="1"/>
  <c r="H99" i="1"/>
  <c r="E99" i="1"/>
  <c r="P99" i="1"/>
  <c r="K99" i="1"/>
  <c r="I397" i="1"/>
  <c r="H397" i="1" s="1"/>
  <c r="H94" i="1"/>
  <c r="P94" i="1"/>
  <c r="H330" i="1"/>
  <c r="H349" i="1"/>
  <c r="I287" i="1"/>
  <c r="I289" i="1" s="1"/>
  <c r="P349" i="1"/>
  <c r="H95" i="1"/>
  <c r="P95" i="1"/>
  <c r="P100" i="1"/>
  <c r="P330" i="1"/>
  <c r="K95" i="1"/>
  <c r="Q397" i="1"/>
  <c r="P397" i="1" s="1"/>
  <c r="Q351" i="1"/>
  <c r="P351" i="1" s="1"/>
  <c r="H266" i="1"/>
  <c r="H100" i="1"/>
  <c r="Q287" i="1"/>
  <c r="Q289" i="1" s="1"/>
  <c r="K304" i="1"/>
  <c r="L397" i="1"/>
  <c r="K100" i="1"/>
  <c r="H377" i="1"/>
  <c r="Q83" i="1"/>
  <c r="J309" i="1"/>
  <c r="K94" i="1"/>
  <c r="P285" i="1"/>
  <c r="E100" i="1"/>
  <c r="I195" i="1"/>
  <c r="K377" i="1"/>
  <c r="Q251" i="1"/>
  <c r="P362" i="1"/>
  <c r="O309" i="1"/>
  <c r="P304" i="1"/>
  <c r="G309" i="1"/>
  <c r="G314" i="1" s="1"/>
  <c r="H304" i="1"/>
  <c r="I251" i="1"/>
  <c r="H285" i="1"/>
  <c r="Q194" i="1"/>
  <c r="Q186" i="1"/>
  <c r="L186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S97" i="1" l="1"/>
  <c r="S98" i="1" s="1"/>
  <c r="H120" i="1"/>
  <c r="E119" i="1"/>
  <c r="R97" i="1"/>
  <c r="R98" i="1" s="1"/>
  <c r="E118" i="1"/>
  <c r="E114" i="1"/>
  <c r="M97" i="1"/>
  <c r="M98" i="1" s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N19" i="1"/>
  <c r="S1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N97" i="1"/>
  <c r="N98" i="1" s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O314" i="1"/>
  <c r="R309" i="1"/>
  <c r="S397" i="1"/>
  <c r="K210" i="1"/>
  <c r="S194" i="1"/>
  <c r="S195" i="1" s="1"/>
  <c r="H119" i="1"/>
  <c r="S309" i="1"/>
  <c r="S310" i="1" s="1"/>
  <c r="H115" i="1"/>
  <c r="L195" i="1"/>
  <c r="H113" i="1"/>
  <c r="O112" i="1"/>
  <c r="H116" i="1"/>
  <c r="E120" i="1"/>
  <c r="E115" i="1"/>
  <c r="E117" i="1"/>
  <c r="E116" i="1"/>
  <c r="L314" i="1"/>
  <c r="K397" i="1"/>
  <c r="J314" i="1"/>
  <c r="E121" i="1"/>
  <c r="H121" i="1"/>
  <c r="H117" i="1"/>
  <c r="H114" i="1"/>
  <c r="H118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L399" i="1"/>
  <c r="I399" i="1"/>
  <c r="H287" i="1"/>
  <c r="P287" i="1"/>
  <c r="K309" i="1"/>
  <c r="Q399" i="1"/>
  <c r="Q353" i="1"/>
  <c r="P314" i="1"/>
  <c r="P309" i="1"/>
  <c r="H314" i="1"/>
  <c r="H309" i="1"/>
  <c r="Q195" i="1"/>
  <c r="P210" i="1"/>
  <c r="N13" i="1" l="1"/>
  <c r="S399" i="1"/>
  <c r="S54" i="1"/>
  <c r="N54" i="1"/>
  <c r="M13" i="1"/>
  <c r="R13" i="1"/>
  <c r="S13" i="1"/>
  <c r="R194" i="1"/>
  <c r="S314" i="1"/>
  <c r="S315" i="1" s="1"/>
  <c r="R314" i="1"/>
  <c r="K314" i="1"/>
  <c r="K330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F362" i="1"/>
  <c r="D362" i="1"/>
  <c r="A360" i="1"/>
  <c r="A35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F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F179" i="1"/>
  <c r="N179" i="1" s="1"/>
  <c r="A178" i="1"/>
  <c r="A177" i="1"/>
  <c r="A176" i="1"/>
  <c r="A175" i="1"/>
  <c r="E174" i="1"/>
  <c r="A174" i="1"/>
  <c r="A173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L105" i="1"/>
  <c r="A105" i="1"/>
  <c r="A104" i="1"/>
  <c r="A103" i="1"/>
  <c r="F105" i="1"/>
  <c r="A102" i="1"/>
  <c r="A101" i="1"/>
  <c r="A100" i="1"/>
  <c r="A99" i="1"/>
  <c r="H98" i="1"/>
  <c r="A98" i="1"/>
  <c r="O108" i="1"/>
  <c r="J10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R14" i="1" s="1"/>
  <c r="J13" i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S266" i="1" l="1"/>
  <c r="R108" i="1"/>
  <c r="R109" i="1" s="1"/>
  <c r="N105" i="1"/>
  <c r="N106" i="1" s="1"/>
  <c r="F108" i="1"/>
  <c r="D113" i="1"/>
  <c r="D112" i="1"/>
  <c r="J113" i="1"/>
  <c r="AK418" i="1"/>
  <c r="AK417" i="1"/>
  <c r="AK416" i="1"/>
  <c r="AK432" i="1"/>
  <c r="AK497" i="1"/>
  <c r="AE414" i="1"/>
  <c r="AE415" i="1"/>
  <c r="AE410" i="1"/>
  <c r="AE413" i="1"/>
  <c r="AE412" i="1"/>
  <c r="AE411" i="1"/>
  <c r="A7" i="1"/>
  <c r="I10" i="2"/>
  <c r="L108" i="1"/>
  <c r="A21" i="1"/>
  <c r="K22" i="1"/>
  <c r="R22" i="1" s="1"/>
  <c r="A23" i="1"/>
  <c r="O24" i="1"/>
  <c r="A33" i="1"/>
  <c r="A15" i="1"/>
  <c r="E362" i="1"/>
  <c r="K23" i="1"/>
  <c r="R23" i="1" s="1"/>
  <c r="K21" i="1"/>
  <c r="R21" i="1" s="1"/>
  <c r="P6" i="1"/>
  <c r="G105" i="1"/>
  <c r="G108" i="1"/>
  <c r="H6" i="1"/>
  <c r="H22" i="1"/>
  <c r="A32" i="1"/>
  <c r="A44" i="1"/>
  <c r="A52" i="1"/>
  <c r="A76" i="1"/>
  <c r="E95" i="1"/>
  <c r="V485" i="1"/>
  <c r="A485" i="1" s="1"/>
  <c r="V402" i="1"/>
  <c r="C291" i="1"/>
  <c r="C356" i="1" s="1"/>
  <c r="C236" i="1"/>
  <c r="C168" i="1"/>
  <c r="C89" i="1"/>
  <c r="A81" i="1"/>
  <c r="P21" i="1"/>
  <c r="A9" i="1"/>
  <c r="H17" i="1"/>
  <c r="E21" i="1"/>
  <c r="I24" i="1"/>
  <c r="E23" i="1"/>
  <c r="J24" i="1"/>
  <c r="A39" i="1"/>
  <c r="P39" i="1"/>
  <c r="Q54" i="1"/>
  <c r="A46" i="1"/>
  <c r="F72" i="1"/>
  <c r="A78" i="1"/>
  <c r="O105" i="1"/>
  <c r="P97" i="1"/>
  <c r="I122" i="1"/>
  <c r="G112" i="1"/>
  <c r="E12" i="1"/>
  <c r="AO402" i="1"/>
  <c r="A11" i="1"/>
  <c r="A19" i="1"/>
  <c r="F24" i="1"/>
  <c r="D32" i="1" s="1"/>
  <c r="H23" i="1"/>
  <c r="J27" i="1"/>
  <c r="L41" i="1"/>
  <c r="A35" i="1"/>
  <c r="A80" i="1"/>
  <c r="E94" i="1"/>
  <c r="Q105" i="1"/>
  <c r="S105" i="1" s="1"/>
  <c r="J105" i="1"/>
  <c r="H112" i="1"/>
  <c r="A77" i="1"/>
  <c r="Q24" i="1"/>
  <c r="O32" i="1" s="1"/>
  <c r="K38" i="1"/>
  <c r="A42" i="1"/>
  <c r="A82" i="1"/>
  <c r="L122" i="1"/>
  <c r="E10" i="1"/>
  <c r="O27" i="1"/>
  <c r="P23" i="1"/>
  <c r="A79" i="1"/>
  <c r="K112" i="1"/>
  <c r="P112" i="1"/>
  <c r="L135" i="1"/>
  <c r="E185" i="1"/>
  <c r="M185" i="1" s="1"/>
  <c r="L242" i="1"/>
  <c r="Q135" i="1"/>
  <c r="I153" i="1"/>
  <c r="F173" i="1"/>
  <c r="F135" i="1"/>
  <c r="F250" i="1"/>
  <c r="F245" i="1"/>
  <c r="Q229" i="1"/>
  <c r="F229" i="1"/>
  <c r="F176" i="1"/>
  <c r="E250" i="1"/>
  <c r="F163" i="1"/>
  <c r="AF466" i="1"/>
  <c r="F349" i="1"/>
  <c r="E360" i="1"/>
  <c r="F377" i="1"/>
  <c r="F395" i="1"/>
  <c r="E395" i="1" s="1"/>
  <c r="F330" i="1"/>
  <c r="N330" i="1" s="1"/>
  <c r="AC466" i="1"/>
  <c r="Z466" i="1"/>
  <c r="AI466" i="1" s="1"/>
  <c r="S122" i="1" l="1"/>
  <c r="N108" i="1"/>
  <c r="N109" i="1" s="1"/>
  <c r="R27" i="1"/>
  <c r="R28" i="1" s="1"/>
  <c r="S135" i="1"/>
  <c r="N135" i="1"/>
  <c r="S106" i="1"/>
  <c r="Q108" i="1"/>
  <c r="P108" i="1" s="1"/>
  <c r="O113" i="1"/>
  <c r="E194" i="1"/>
  <c r="AL449" i="1"/>
  <c r="AL440" i="1"/>
  <c r="AL443" i="1"/>
  <c r="AN443" i="1" s="1"/>
  <c r="AO443" i="1" s="1"/>
  <c r="AL411" i="1"/>
  <c r="AN411" i="1" s="1"/>
  <c r="AO411" i="1" s="1"/>
  <c r="AL434" i="1"/>
  <c r="AN434" i="1" s="1"/>
  <c r="AL422" i="1"/>
  <c r="AN422" i="1" s="1"/>
  <c r="AO422" i="1" s="1"/>
  <c r="AL444" i="1"/>
  <c r="AL436" i="1"/>
  <c r="AL414" i="1"/>
  <c r="AN414" i="1" s="1"/>
  <c r="AO414" i="1" s="1"/>
  <c r="AL415" i="1"/>
  <c r="AN415" i="1" s="1"/>
  <c r="AO415" i="1" s="1"/>
  <c r="AL442" i="1"/>
  <c r="AL409" i="1"/>
  <c r="AN409" i="1" s="1"/>
  <c r="AO409" i="1" s="1"/>
  <c r="AL428" i="1"/>
  <c r="AN428" i="1" s="1"/>
  <c r="AO428" i="1" s="1"/>
  <c r="AL430" i="1"/>
  <c r="AN430" i="1" s="1"/>
  <c r="AO430" i="1" s="1"/>
  <c r="AL447" i="1"/>
  <c r="AN447" i="1" s="1"/>
  <c r="AO447" i="1" s="1"/>
  <c r="AL421" i="1"/>
  <c r="AN421" i="1" s="1"/>
  <c r="AO421" i="1" s="1"/>
  <c r="AL424" i="1"/>
  <c r="AN424" i="1" s="1"/>
  <c r="AO424" i="1" s="1"/>
  <c r="AL439" i="1"/>
  <c r="AL412" i="1"/>
  <c r="AN412" i="1" s="1"/>
  <c r="AO412" i="1" s="1"/>
  <c r="AL423" i="1"/>
  <c r="AL445" i="1"/>
  <c r="AL437" i="1"/>
  <c r="AN437" i="1" s="1"/>
  <c r="AO437" i="1" s="1"/>
  <c r="AL431" i="1"/>
  <c r="AL446" i="1"/>
  <c r="AN446" i="1" s="1"/>
  <c r="AO446" i="1" s="1"/>
  <c r="AL410" i="1"/>
  <c r="AN410" i="1" s="1"/>
  <c r="AO410" i="1" s="1"/>
  <c r="AL413" i="1"/>
  <c r="AN413" i="1" s="1"/>
  <c r="AO413" i="1" s="1"/>
  <c r="AL438" i="1"/>
  <c r="AL429" i="1"/>
  <c r="AL435" i="1"/>
  <c r="AN435" i="1" s="1"/>
  <c r="AO435" i="1" s="1"/>
  <c r="AL441" i="1"/>
  <c r="AN441" i="1" s="1"/>
  <c r="AO441" i="1" s="1"/>
  <c r="P38" i="1"/>
  <c r="P40" i="1"/>
  <c r="P32" i="1"/>
  <c r="P35" i="1"/>
  <c r="P33" i="1"/>
  <c r="P36" i="1"/>
  <c r="P34" i="1"/>
  <c r="P31" i="1"/>
  <c r="P37" i="1"/>
  <c r="K31" i="1"/>
  <c r="K35" i="1"/>
  <c r="E135" i="1"/>
  <c r="F351" i="1"/>
  <c r="F397" i="1"/>
  <c r="E377" i="1"/>
  <c r="F231" i="1"/>
  <c r="E266" i="1"/>
  <c r="P135" i="1"/>
  <c r="L245" i="1"/>
  <c r="K266" i="1"/>
  <c r="L250" i="1"/>
  <c r="F251" i="1"/>
  <c r="H12" i="1"/>
  <c r="H15" i="1"/>
  <c r="E112" i="1"/>
  <c r="F122" i="1"/>
  <c r="N122" i="1" s="1"/>
  <c r="I13" i="1"/>
  <c r="F242" i="1"/>
  <c r="E11" i="1"/>
  <c r="Q231" i="1"/>
  <c r="K135" i="1"/>
  <c r="K33" i="1"/>
  <c r="K36" i="1"/>
  <c r="I135" i="1"/>
  <c r="H7" i="1"/>
  <c r="H8" i="1"/>
  <c r="Q155" i="1"/>
  <c r="K37" i="1"/>
  <c r="F285" i="1"/>
  <c r="E285" i="1" s="1"/>
  <c r="I229" i="1"/>
  <c r="F189" i="1"/>
  <c r="P22" i="1"/>
  <c r="L13" i="1"/>
  <c r="J31" i="1" s="1"/>
  <c r="E7" i="1"/>
  <c r="L54" i="1"/>
  <c r="I105" i="1"/>
  <c r="H105" i="1" s="1"/>
  <c r="K34" i="1"/>
  <c r="E15" i="1"/>
  <c r="P24" i="1"/>
  <c r="E6" i="1"/>
  <c r="F304" i="1"/>
  <c r="N304" i="1" s="1"/>
  <c r="N305" i="1" s="1"/>
  <c r="I351" i="1"/>
  <c r="H351" i="1" s="1"/>
  <c r="AL406" i="1"/>
  <c r="K105" i="1"/>
  <c r="K32" i="1"/>
  <c r="E9" i="1"/>
  <c r="G13" i="1"/>
  <c r="E295" i="1"/>
  <c r="D304" i="1"/>
  <c r="M304" i="1" s="1"/>
  <c r="F182" i="1"/>
  <c r="E8" i="1"/>
  <c r="P105" i="1"/>
  <c r="H10" i="1"/>
  <c r="L24" i="1"/>
  <c r="D108" i="1"/>
  <c r="M108" i="1" s="1"/>
  <c r="M109" i="1" s="1"/>
  <c r="E97" i="1"/>
  <c r="D105" i="1"/>
  <c r="M105" i="1" s="1"/>
  <c r="F41" i="1"/>
  <c r="N41" i="1" s="1"/>
  <c r="Q41" i="1"/>
  <c r="S41" i="1" s="1"/>
  <c r="Q13" i="1"/>
  <c r="S14" i="1" s="1"/>
  <c r="K122" i="1"/>
  <c r="F153" i="1"/>
  <c r="E153" i="1" s="1"/>
  <c r="I163" i="1"/>
  <c r="K108" i="1"/>
  <c r="F13" i="1"/>
  <c r="N14" i="1" s="1"/>
  <c r="P155" i="1" l="1"/>
  <c r="P153" i="1"/>
  <c r="P122" i="1"/>
  <c r="AN438" i="1"/>
  <c r="AO438" i="1" s="1"/>
  <c r="AN449" i="1"/>
  <c r="AO449" i="1"/>
  <c r="AN431" i="1"/>
  <c r="AO431" i="1" s="1"/>
  <c r="AN442" i="1"/>
  <c r="AO442" i="1" s="1"/>
  <c r="AO440" i="1"/>
  <c r="AN440" i="1"/>
  <c r="AN445" i="1"/>
  <c r="AO445" i="1" s="1"/>
  <c r="AN423" i="1"/>
  <c r="AO423" i="1" s="1"/>
  <c r="AN436" i="1"/>
  <c r="AO436" i="1" s="1"/>
  <c r="AN444" i="1"/>
  <c r="AO444" i="1" s="1"/>
  <c r="AN439" i="1"/>
  <c r="AO439" i="1" s="1"/>
  <c r="AO434" i="1"/>
  <c r="AN429" i="1"/>
  <c r="AO429" i="1" s="1"/>
  <c r="S24" i="1"/>
  <c r="S25" i="1" s="1"/>
  <c r="N24" i="1"/>
  <c r="N25" i="1" s="1"/>
  <c r="N250" i="1"/>
  <c r="N251" i="1" s="1"/>
  <c r="S250" i="1"/>
  <c r="S108" i="1"/>
  <c r="S109" i="1" s="1"/>
  <c r="D31" i="1"/>
  <c r="O31" i="1"/>
  <c r="F309" i="1"/>
  <c r="N309" i="1" s="1"/>
  <c r="N310" i="1" s="1"/>
  <c r="J32" i="1"/>
  <c r="K24" i="1"/>
  <c r="AL419" i="1"/>
  <c r="AK415" i="1"/>
  <c r="AK414" i="1"/>
  <c r="AK412" i="1"/>
  <c r="AL452" i="1"/>
  <c r="AL433" i="1"/>
  <c r="AK411" i="1"/>
  <c r="AK413" i="1"/>
  <c r="AK410" i="1"/>
  <c r="N9" i="2"/>
  <c r="N8" i="2" s="1"/>
  <c r="F27" i="1"/>
  <c r="E41" i="1" s="1"/>
  <c r="K13" i="1"/>
  <c r="E108" i="1"/>
  <c r="E105" i="1"/>
  <c r="G27" i="1"/>
  <c r="H13" i="1"/>
  <c r="AB409" i="1"/>
  <c r="G24" i="1"/>
  <c r="H39" i="1" s="1"/>
  <c r="Q165" i="1"/>
  <c r="I54" i="1"/>
  <c r="I108" i="1"/>
  <c r="H135" i="1" s="1"/>
  <c r="F194" i="1"/>
  <c r="N194" i="1" s="1"/>
  <c r="N195" i="1" s="1"/>
  <c r="F186" i="1"/>
  <c r="P231" i="1"/>
  <c r="I27" i="1"/>
  <c r="F54" i="1"/>
  <c r="D13" i="1"/>
  <c r="M14" i="1" s="1"/>
  <c r="H11" i="1"/>
  <c r="Q27" i="1"/>
  <c r="P13" i="1"/>
  <c r="H229" i="1"/>
  <c r="L251" i="1"/>
  <c r="Q74" i="1"/>
  <c r="AF433" i="1"/>
  <c r="AH433" i="1" s="1"/>
  <c r="AI433" i="1" s="1"/>
  <c r="L27" i="1"/>
  <c r="F155" i="1"/>
  <c r="E122" i="1"/>
  <c r="H9" i="1"/>
  <c r="I83" i="1"/>
  <c r="AE409" i="1"/>
  <c r="AF419" i="1"/>
  <c r="Z419" i="1"/>
  <c r="Z468" i="1" s="1"/>
  <c r="E304" i="1"/>
  <c r="D309" i="1"/>
  <c r="M309" i="1" s="1"/>
  <c r="AK409" i="1"/>
  <c r="I353" i="1"/>
  <c r="F287" i="1"/>
  <c r="E287" i="1" s="1"/>
  <c r="Z481" i="1"/>
  <c r="F83" i="1"/>
  <c r="I41" i="1"/>
  <c r="I155" i="1"/>
  <c r="I231" i="1"/>
  <c r="H231" i="1" s="1"/>
  <c r="E397" i="1"/>
  <c r="F399" i="1"/>
  <c r="AH419" i="1" l="1"/>
  <c r="AI419" i="1" s="1"/>
  <c r="AN452" i="1"/>
  <c r="AO452" i="1" s="1"/>
  <c r="AN433" i="1"/>
  <c r="AO433" i="1" s="1"/>
  <c r="AN419" i="1"/>
  <c r="AO419" i="1" s="1"/>
  <c r="S27" i="1"/>
  <c r="N27" i="1"/>
  <c r="F314" i="1"/>
  <c r="N314" i="1" s="1"/>
  <c r="N315" i="1" s="1"/>
  <c r="M250" i="1"/>
  <c r="R250" i="1"/>
  <c r="S251" i="1" s="1"/>
  <c r="F353" i="1"/>
  <c r="D314" i="1"/>
  <c r="M314" i="1" s="1"/>
  <c r="AF407" i="1"/>
  <c r="AL468" i="1"/>
  <c r="P41" i="1"/>
  <c r="AL407" i="1"/>
  <c r="Y414" i="1"/>
  <c r="Y412" i="1"/>
  <c r="Y410" i="1"/>
  <c r="Y411" i="1"/>
  <c r="Y413" i="1"/>
  <c r="Y415" i="1"/>
  <c r="Y417" i="1"/>
  <c r="Y416" i="1"/>
  <c r="Y418" i="1"/>
  <c r="E54" i="1"/>
  <c r="E72" i="1"/>
  <c r="H35" i="1"/>
  <c r="K27" i="1"/>
  <c r="H155" i="1"/>
  <c r="H32" i="1"/>
  <c r="Y409" i="1"/>
  <c r="AM409" i="1" s="1"/>
  <c r="E231" i="1"/>
  <c r="P74" i="1"/>
  <c r="H54" i="1"/>
  <c r="K54" i="1"/>
  <c r="Q85" i="1"/>
  <c r="P72" i="1"/>
  <c r="P27" i="1"/>
  <c r="P54" i="1"/>
  <c r="I74" i="1"/>
  <c r="I85" i="1" s="1"/>
  <c r="H41" i="1"/>
  <c r="E155" i="1"/>
  <c r="F165" i="1"/>
  <c r="I233" i="1"/>
  <c r="AC407" i="1"/>
  <c r="G9" i="2" s="1"/>
  <c r="G8" i="2" s="1"/>
  <c r="H72" i="1"/>
  <c r="F233" i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9" i="1"/>
  <c r="Q233" i="1"/>
  <c r="P229" i="1"/>
  <c r="K41" i="1"/>
  <c r="D27" i="1"/>
  <c r="M27" i="1" s="1"/>
  <c r="M28" i="1" s="1"/>
  <c r="E13" i="1"/>
  <c r="D24" i="1"/>
  <c r="M24" i="1" s="1"/>
  <c r="AC481" i="1"/>
  <c r="E309" i="1"/>
  <c r="AF406" i="1"/>
  <c r="I165" i="1"/>
  <c r="H122" i="1"/>
  <c r="H153" i="1"/>
  <c r="H108" i="1"/>
  <c r="F289" i="1"/>
  <c r="AC433" i="1"/>
  <c r="H27" i="1"/>
  <c r="E349" i="1" l="1"/>
  <c r="E351" i="1"/>
  <c r="AG413" i="1"/>
  <c r="AM413" i="1"/>
  <c r="AM412" i="1"/>
  <c r="AG412" i="1"/>
  <c r="AM411" i="1"/>
  <c r="AG411" i="1"/>
  <c r="AG414" i="1"/>
  <c r="AM414" i="1"/>
  <c r="AG418" i="1"/>
  <c r="AM418" i="1"/>
  <c r="AG409" i="1"/>
  <c r="AM415" i="1"/>
  <c r="AG415" i="1"/>
  <c r="AM410" i="1"/>
  <c r="AG410" i="1"/>
  <c r="Z407" i="1"/>
  <c r="Z483" i="1" s="1"/>
  <c r="AG416" i="1"/>
  <c r="AM416" i="1"/>
  <c r="AH407" i="1"/>
  <c r="AI407" i="1" s="1"/>
  <c r="AN407" i="1"/>
  <c r="AO407" i="1" s="1"/>
  <c r="E330" i="1"/>
  <c r="AG417" i="1"/>
  <c r="AM417" i="1"/>
  <c r="N28" i="1"/>
  <c r="S28" i="1"/>
  <c r="Z406" i="1"/>
  <c r="AL483" i="1"/>
  <c r="J9" i="2"/>
  <c r="J8" i="2" s="1"/>
  <c r="O9" i="2"/>
  <c r="O8" i="2" s="1"/>
  <c r="E27" i="1"/>
  <c r="X466" i="1"/>
  <c r="X433" i="1"/>
  <c r="AD433" i="1"/>
  <c r="K9" i="2"/>
  <c r="K8" i="2" s="1"/>
  <c r="C10" i="2"/>
  <c r="AA433" i="1"/>
  <c r="AA481" i="1"/>
  <c r="AA452" i="1"/>
  <c r="AJ468" i="1"/>
  <c r="AJ466" i="1"/>
  <c r="AJ419" i="1"/>
  <c r="AJ433" i="1"/>
  <c r="AJ452" i="1"/>
  <c r="E74" i="1"/>
  <c r="F85" i="1"/>
  <c r="E314" i="1"/>
  <c r="AD419" i="1"/>
  <c r="AA466" i="1"/>
  <c r="E40" i="1"/>
  <c r="E24" i="1"/>
  <c r="E34" i="1"/>
  <c r="E36" i="1"/>
  <c r="E38" i="1"/>
  <c r="E37" i="1"/>
  <c r="E31" i="1"/>
  <c r="E33" i="1"/>
  <c r="E35" i="1"/>
  <c r="E32" i="1"/>
  <c r="E39" i="1"/>
  <c r="AC406" i="1"/>
  <c r="F9" i="2" s="1"/>
  <c r="F8" i="2" s="1"/>
  <c r="H74" i="1"/>
  <c r="AC468" i="1"/>
  <c r="AA468" i="1" s="1"/>
  <c r="AA419" i="1"/>
  <c r="AD466" i="1"/>
  <c r="C9" i="2" l="1"/>
  <c r="C8" i="2" s="1"/>
  <c r="X419" i="1"/>
  <c r="X481" i="1"/>
  <c r="X452" i="1"/>
  <c r="P9" i="2"/>
  <c r="P8" i="2" s="1"/>
  <c r="B9" i="2"/>
  <c r="X468" i="1"/>
  <c r="AC483" i="1"/>
  <c r="AL489" i="1"/>
  <c r="AK483" i="1"/>
  <c r="AL488" i="1" l="1"/>
  <c r="AL498" i="1"/>
  <c r="H9" i="2"/>
  <c r="H8" i="2" s="1"/>
  <c r="D9" i="2"/>
  <c r="B8" i="2"/>
  <c r="AK489" i="1"/>
  <c r="AC489" i="1"/>
  <c r="AB483" i="1"/>
  <c r="Z489" i="1"/>
  <c r="Y483" i="1"/>
  <c r="AK488" i="1" l="1"/>
  <c r="Z488" i="1"/>
  <c r="Y488" i="1" s="1"/>
  <c r="Z498" i="1"/>
  <c r="Q9" i="2"/>
  <c r="D10" i="2"/>
  <c r="D8" i="2" s="1"/>
  <c r="Y489" i="1"/>
  <c r="AB489" i="1"/>
  <c r="AC498" i="1"/>
  <c r="AK498" i="1"/>
  <c r="AB498" i="1" l="1"/>
  <c r="I9" i="2"/>
  <c r="I8" i="2" s="1"/>
  <c r="Q8" i="2"/>
  <c r="Y498" i="1"/>
  <c r="E9" i="2"/>
  <c r="E10" i="2" l="1"/>
  <c r="E8" i="2" s="1"/>
  <c r="AF481" i="1"/>
  <c r="L82" i="1"/>
  <c r="S82" i="1" l="1"/>
  <c r="S83" i="1" s="1"/>
  <c r="N82" i="1"/>
  <c r="N83" i="1" s="1"/>
  <c r="AN481" i="1"/>
  <c r="AO481" i="1" s="1"/>
  <c r="AH481" i="1"/>
  <c r="AI481" i="1" s="1"/>
  <c r="L83" i="1"/>
  <c r="AD481" i="1"/>
  <c r="L229" i="1" l="1"/>
  <c r="L68" i="1"/>
  <c r="S68" i="1" l="1"/>
  <c r="S72" i="1" s="1"/>
  <c r="S85" i="1" s="1"/>
  <c r="N68" i="1"/>
  <c r="N72" i="1" s="1"/>
  <c r="N85" i="1" s="1"/>
  <c r="N229" i="1"/>
  <c r="S229" i="1"/>
  <c r="L72" i="1"/>
  <c r="K229" i="1"/>
  <c r="L231" i="1"/>
  <c r="L349" i="1"/>
  <c r="L11" i="2"/>
  <c r="L285" i="1"/>
  <c r="S285" i="1" s="1"/>
  <c r="L153" i="1"/>
  <c r="N153" i="1" l="1"/>
  <c r="S153" i="1"/>
  <c r="N231" i="1"/>
  <c r="S231" i="1"/>
  <c r="L10" i="2"/>
  <c r="L74" i="1"/>
  <c r="K72" i="1"/>
  <c r="L233" i="1"/>
  <c r="K231" i="1"/>
  <c r="K285" i="1"/>
  <c r="L287" i="1"/>
  <c r="L351" i="1"/>
  <c r="K349" i="1"/>
  <c r="L155" i="1"/>
  <c r="K153" i="1"/>
  <c r="AF452" i="1"/>
  <c r="N351" i="1" l="1"/>
  <c r="S351" i="1"/>
  <c r="S287" i="1"/>
  <c r="N287" i="1"/>
  <c r="N233" i="1"/>
  <c r="S233" i="1"/>
  <c r="N74" i="1"/>
  <c r="S74" i="1"/>
  <c r="N155" i="1"/>
  <c r="S155" i="1"/>
  <c r="K155" i="1"/>
  <c r="L165" i="1"/>
  <c r="M11" i="2"/>
  <c r="K287" i="1"/>
  <c r="L289" i="1"/>
  <c r="K351" i="1"/>
  <c r="L353" i="1"/>
  <c r="AF468" i="1"/>
  <c r="AD452" i="1"/>
  <c r="L85" i="1"/>
  <c r="K74" i="1"/>
  <c r="AH468" i="1" l="1"/>
  <c r="AI468" i="1" s="1"/>
  <c r="AN468" i="1"/>
  <c r="AO468" i="1" s="1"/>
  <c r="N353" i="1"/>
  <c r="S353" i="1"/>
  <c r="S289" i="1"/>
  <c r="N289" i="1"/>
  <c r="S165" i="1"/>
  <c r="N165" i="1"/>
  <c r="M10" i="2"/>
  <c r="AF483" i="1"/>
  <c r="AD468" i="1"/>
  <c r="AH483" i="1" l="1"/>
  <c r="AI483" i="1" s="1"/>
  <c r="AN483" i="1"/>
  <c r="AO483" i="1" s="1"/>
  <c r="AE483" i="1"/>
  <c r="L9" i="2"/>
  <c r="L8" i="2" s="1"/>
  <c r="AF489" i="1"/>
  <c r="AH489" i="1" l="1"/>
  <c r="AI489" i="1" s="1"/>
  <c r="AN489" i="1"/>
  <c r="AO489" i="1" s="1"/>
  <c r="AF488" i="1"/>
  <c r="AF498" i="1"/>
  <c r="AE488" i="1"/>
  <c r="AE489" i="1"/>
  <c r="AH488" i="1" l="1"/>
  <c r="AI488" i="1" s="1"/>
  <c r="AN488" i="1"/>
  <c r="AO488" i="1" s="1"/>
  <c r="AN498" i="1"/>
  <c r="AO498" i="1" s="1"/>
  <c r="AH498" i="1"/>
  <c r="AI498" i="1" s="1"/>
  <c r="AE498" i="1"/>
  <c r="M9" i="2"/>
  <c r="M8" i="2" s="1"/>
</calcChain>
</file>

<file path=xl/sharedStrings.xml><?xml version="1.0" encoding="utf-8"?>
<sst xmlns="http://schemas.openxmlformats.org/spreadsheetml/2006/main" count="3838" uniqueCount="283">
  <si>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</si>
  <si>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</si>
  <si>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</si>
  <si>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</si>
  <si>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</si>
  <si>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</si>
  <si>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</si>
  <si>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</si>
  <si>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</si>
  <si>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</si>
  <si>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</si>
  <si>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</si>
  <si>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</si>
  <si>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</si>
  <si>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</si>
  <si>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</si>
  <si>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</si>
  <si>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</si>
  <si>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</si>
  <si>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</si>
  <si>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</si>
  <si>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</si>
  <si>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</si>
  <si>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</si>
  <si>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</si>
  <si>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</si>
  <si>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</si>
  <si>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</si>
  <si>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</si>
  <si>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</si>
  <si>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</si>
  <si>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</si>
  <si>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</si>
  <si>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</si>
  <si>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</si>
  <si>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</si>
  <si>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</si>
  <si>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</si>
  <si>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</si>
  <si>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</si>
  <si>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</si>
  <si>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</si>
  <si>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</si>
  <si>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</si>
  <si>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</si>
  <si>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</si>
  <si>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</si>
  <si>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</si>
  <si>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</si>
  <si>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</si>
  <si>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</si>
  <si>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</si>
  <si>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</si>
  <si>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</si>
  <si>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</si>
  <si>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</si>
  <si>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</si>
  <si>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</si>
  <si>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</si>
  <si>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</si>
  <si>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</si>
  <si>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</si>
  <si>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</si>
  <si>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</si>
  <si>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</si>
  <si>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</si>
  <si>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</si>
  <si>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</si>
  <si>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</si>
  <si>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</si>
  <si>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</si>
  <si>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</si>
  <si>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</si>
  <si>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</si>
  <si>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</si>
  <si>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</si>
  <si>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</si>
  <si>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</si>
  <si>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</si>
  <si>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</si>
  <si>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</si>
  <si>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</si>
  <si>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</si>
  <si>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</si>
  <si>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</si>
  <si>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</si>
  <si>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</si>
  <si>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</si>
  <si>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</si>
  <si>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</si>
  <si>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</si>
  <si>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</si>
  <si>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</si>
  <si>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</si>
  <si>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</si>
  <si>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</si>
  <si>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</si>
  <si>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</si>
  <si>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</si>
  <si>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</si>
  <si>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</si>
  <si>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</si>
  <si>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</si>
  <si>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</si>
  <si>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</si>
  <si>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</si>
  <si>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</si>
  <si>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</si>
  <si>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</si>
  <si>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</si>
  <si>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</si>
  <si>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</si>
  <si>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</si>
  <si>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</si>
  <si>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</si>
  <si>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</si>
  <si>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</si>
  <si>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</si>
  <si>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</si>
  <si>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</si>
  <si>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</si>
  <si>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</si>
  <si>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</si>
  <si>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</si>
  <si>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</si>
  <si>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</si>
  <si>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</si>
  <si>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</si>
  <si>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</si>
  <si>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</si>
  <si>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</si>
  <si>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</si>
  <si>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</si>
  <si>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</si>
  <si>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</si>
  <si>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</si>
  <si>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</si>
  <si>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</si>
  <si>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</si>
  <si>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</si>
  <si>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</si>
  <si>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</si>
  <si>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</si>
  <si>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</si>
  <si>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</si>
  <si>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</si>
  <si>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</si>
  <si>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</si>
  <si>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</si>
  <si>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</si>
  <si>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</si>
  <si>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</si>
  <si>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</si>
  <si>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</si>
  <si>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</si>
  <si>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</si>
  <si>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</si>
  <si>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</si>
  <si>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</si>
  <si>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</si>
  <si>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</si>
  <si>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</si>
  <si>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</si>
  <si>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</si>
  <si>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</si>
  <si>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</si>
  <si>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</si>
  <si>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</si>
  <si>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</si>
  <si>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</si>
  <si>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</si>
  <si>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</si>
  <si>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</si>
  <si>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</si>
  <si>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</si>
  <si>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</si>
  <si>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</si>
  <si>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</si>
  <si>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</si>
  <si>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</si>
  <si>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</si>
  <si>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</si>
  <si>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</si>
  <si>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</si>
  <si>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</si>
  <si>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</si>
  <si>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</si>
  <si>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</si>
  <si>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</si>
  <si>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</si>
  <si>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</si>
  <si>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</si>
  <si>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</si>
  <si>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</si>
  <si>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</si>
  <si>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</si>
  <si>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</si>
  <si>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</si>
  <si>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</si>
  <si>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</si>
  <si>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</si>
  <si>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</si>
  <si>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</si>
  <si>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</si>
  <si>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</si>
  <si>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</si>
  <si>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</si>
  <si>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</si>
  <si>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</si>
  <si>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</si>
  <si>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BMW Sherbrooke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</si>
  <si>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</si>
  <si>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</si>
  <si>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</si>
  <si>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</si>
  <si>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</si>
  <si>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</si>
  <si>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</si>
  <si>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</si>
  <si>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</si>
  <si>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</si>
  <si>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FORECAST</t>
  </si>
  <si>
    <t>#14</t>
  </si>
  <si>
    <t>#16-17</t>
  </si>
  <si>
    <t>#18</t>
  </si>
  <si>
    <t>#26</t>
  </si>
  <si>
    <t>#27</t>
  </si>
  <si>
    <t>#29</t>
  </si>
  <si>
    <t>#16</t>
  </si>
  <si>
    <t>#52-53</t>
  </si>
  <si>
    <t>#69</t>
  </si>
  <si>
    <t>#71</t>
  </si>
  <si>
    <t>#70</t>
  </si>
  <si>
    <t>#75</t>
  </si>
  <si>
    <t>#78</t>
  </si>
  <si>
    <t>#72-77</t>
  </si>
  <si>
    <t>#76</t>
  </si>
  <si>
    <t>#73</t>
  </si>
  <si>
    <t>#90</t>
  </si>
  <si>
    <t>Revenus d'intérêts floor plan</t>
  </si>
  <si>
    <t>Impôt exigible</t>
  </si>
  <si>
    <t>Profit Net après impôt</t>
  </si>
  <si>
    <t>Pacing</t>
  </si>
  <si>
    <t>Atteint max coop ?</t>
  </si>
  <si>
    <t>Nos pacings pour budget</t>
  </si>
  <si>
    <t>avec boni F&amp;I vendeur 26.5 %</t>
  </si>
  <si>
    <t>sans boni F&amp;I vendeur 22.9 %</t>
  </si>
  <si>
    <t>deprec demo</t>
  </si>
  <si>
    <t>avec boni F&amp;I vendeur 43.6%</t>
  </si>
  <si>
    <t>sans boni F&amp;I vendeur 20.5%</t>
  </si>
  <si>
    <t>DEPEC NEUF</t>
  </si>
  <si>
    <t>Cable estrie travaux</t>
  </si>
  <si>
    <t>Vider drains + reparation porte garage</t>
  </si>
  <si>
    <t>Pertes</t>
  </si>
  <si>
    <t>avec boni F&amp;I vendeur 47.3 %</t>
  </si>
  <si>
    <t>sans boni F&amp;I vendeur 27.9 %</t>
  </si>
  <si>
    <t>2k de cadeau client</t>
  </si>
  <si>
    <t>Kassandra</t>
  </si>
  <si>
    <t>avec boni F&amp;I vendeur 100.5%</t>
  </si>
  <si>
    <t>sans boni F&amp;I vendeur 23.3%</t>
  </si>
  <si>
    <t>+0.5k temps non productf + 1.5k Landry + Daniel vs budget</t>
  </si>
  <si>
    <t>+2k dep courtoisie + 1k enterprise + 250$ Taxis</t>
  </si>
  <si>
    <t>Vetements Eric + bottes</t>
  </si>
  <si>
    <t>+2k dep courtoisie + 250$ Taxis</t>
  </si>
  <si>
    <t xml:space="preserve">+10k dépréciation, </t>
  </si>
  <si>
    <t>cell Sebastien</t>
  </si>
  <si>
    <t>LGM</t>
  </si>
  <si>
    <t>Bonis cadres</t>
  </si>
  <si>
    <t>avec boni F&amp;I vendeur 28.6 %</t>
  </si>
  <si>
    <t>sans boni F&amp;I vendeur 24.7 %</t>
  </si>
  <si>
    <t>Fériés</t>
  </si>
  <si>
    <t>REER sur bonis novembre</t>
  </si>
  <si>
    <t>Serait à 48.8% si nous avions passé les pertes à 0</t>
  </si>
  <si>
    <t>avec boni F&amp;I vendeur 116.4%</t>
  </si>
  <si>
    <t>sans boni F&amp;I vendeur 20.1%</t>
  </si>
  <si>
    <t>Beaucoup d'achats</t>
  </si>
  <si>
    <t>3.7K MALADIE</t>
  </si>
  <si>
    <t>7k écart plaques démos et courtoisies</t>
  </si>
  <si>
    <t>renvers 1k RBSC 2023</t>
  </si>
  <si>
    <t>Réalisé, Octobre 2024</t>
  </si>
  <si>
    <t>Réalisé, Novembre 2024</t>
  </si>
  <si>
    <t>Réalisé, Décembre 2024</t>
  </si>
  <si>
    <t>Q4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</si>
</sst>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dd\/mm\/yy_)"/>
    <numFmt numFmtId="167" formatCode="0.0%"/>
    <numFmt numFmtId="168" formatCode="0_)"/>
    <numFmt numFmtId="169" formatCode="_(* #,##0_);_(* \(#,##0\);_(* &quot;-&quot;??_);_(@_)"/>
    <numFmt numFmtId="170" formatCode="_-* #,##0.00\ _$_-;_-* #,##0.00\ _$\-;_-* &quot;-&quot;??\ _$_-;_-@_-"/>
    <numFmt numFmtId="171" formatCode="_-* #,##0.00\ &quot;$&quot;_-;_-* #,##0.00\ &quot;$&quot;\-;_-* &quot;-&quot;??\ &quot;$&quot;_-;_-@_-"/>
    <numFmt numFmtId="172" formatCode="0.00_)"/>
    <numFmt numFmtId="173" formatCode="#,##0\ &quot;$&quot;"/>
  </numFmts>
  <fonts count="4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6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3" fillId="0" borderId="0"/>
    <xf numFmtId="0" fontId="34" fillId="0" borderId="0"/>
    <xf numFmtId="170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3" fillId="0" borderId="0"/>
    <xf numFmtId="0" fontId="2" fillId="0" borderId="0"/>
    <xf numFmtId="0" fontId="34" fillId="0" borderId="0"/>
    <xf numFmtId="165" fontId="3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08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6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7" fontId="10" fillId="0" borderId="9" xfId="0" applyNumberFormat="1" applyFont="1" applyBorder="1"/>
    <xf numFmtId="167" fontId="10" fillId="0" borderId="8" xfId="0" applyNumberFormat="1" applyFont="1" applyBorder="1"/>
    <xf numFmtId="167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8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7" fontId="10" fillId="2" borderId="32" xfId="0" applyNumberFormat="1" applyFont="1" applyFill="1" applyBorder="1"/>
    <xf numFmtId="167" fontId="10" fillId="2" borderId="31" xfId="0" applyNumberFormat="1" applyFont="1" applyFill="1" applyBorder="1"/>
    <xf numFmtId="167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7" fontId="9" fillId="0" borderId="9" xfId="1" applyNumberFormat="1" applyFont="1" applyFill="1" applyBorder="1"/>
    <xf numFmtId="37" fontId="9" fillId="0" borderId="10" xfId="0" applyNumberFormat="1" applyFont="1" applyBorder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4" xfId="0" applyFont="1" applyFill="1" applyBorder="1"/>
    <xf numFmtId="0" fontId="10" fillId="2" borderId="35" xfId="0" applyFont="1" applyFill="1" applyBorder="1" applyAlignment="1">
      <alignment horizontal="center"/>
    </xf>
    <xf numFmtId="167" fontId="10" fillId="2" borderId="35" xfId="0" applyNumberFormat="1" applyFont="1" applyFill="1" applyBorder="1"/>
    <xf numFmtId="37" fontId="10" fillId="2" borderId="36" xfId="0" applyNumberFormat="1" applyFont="1" applyFill="1" applyBorder="1"/>
    <xf numFmtId="0" fontId="10" fillId="2" borderId="37" xfId="0" applyFont="1" applyFill="1" applyBorder="1" applyAlignment="1">
      <alignment horizontal="center"/>
    </xf>
    <xf numFmtId="0" fontId="9" fillId="2" borderId="38" xfId="0" applyFont="1" applyFill="1" applyBorder="1"/>
    <xf numFmtId="37" fontId="10" fillId="2" borderId="35" xfId="0" applyNumberFormat="1" applyFont="1" applyFill="1" applyBorder="1"/>
    <xf numFmtId="0" fontId="9" fillId="2" borderId="37" xfId="0" applyFont="1" applyFill="1" applyBorder="1"/>
    <xf numFmtId="37" fontId="10" fillId="2" borderId="39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0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1" xfId="0" applyFont="1" applyFill="1" applyBorder="1"/>
    <xf numFmtId="0" fontId="9" fillId="2" borderId="42" xfId="0" applyFont="1" applyFill="1" applyBorder="1"/>
    <xf numFmtId="0" fontId="10" fillId="2" borderId="42" xfId="0" applyFont="1" applyFill="1" applyBorder="1"/>
    <xf numFmtId="37" fontId="10" fillId="2" borderId="43" xfId="0" applyNumberFormat="1" applyFont="1" applyFill="1" applyBorder="1"/>
    <xf numFmtId="0" fontId="9" fillId="2" borderId="44" xfId="0" applyFont="1" applyFill="1" applyBorder="1"/>
    <xf numFmtId="37" fontId="10" fillId="2" borderId="45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8" fontId="9" fillId="0" borderId="0" xfId="0" applyNumberFormat="1" applyFont="1"/>
    <xf numFmtId="167" fontId="18" fillId="4" borderId="46" xfId="0" applyNumberFormat="1" applyFont="1" applyFill="1" applyBorder="1"/>
    <xf numFmtId="37" fontId="9" fillId="0" borderId="13" xfId="0" applyNumberFormat="1" applyFont="1" applyBorder="1"/>
    <xf numFmtId="0" fontId="9" fillId="2" borderId="14" xfId="0" applyFont="1" applyFill="1" applyBorder="1"/>
    <xf numFmtId="167" fontId="9" fillId="0" borderId="0" xfId="0" applyNumberFormat="1" applyFont="1"/>
    <xf numFmtId="0" fontId="10" fillId="0" borderId="0" xfId="0" applyFont="1" applyAlignment="1">
      <alignment horizontal="center"/>
    </xf>
    <xf numFmtId="167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2" xfId="0" applyFont="1" applyFill="1" applyBorder="1" applyAlignment="1">
      <alignment horizontal="right"/>
    </xf>
    <xf numFmtId="0" fontId="9" fillId="2" borderId="44" xfId="0" applyFont="1" applyFill="1" applyBorder="1" applyAlignment="1">
      <alignment horizontal="right"/>
    </xf>
    <xf numFmtId="0" fontId="10" fillId="2" borderId="44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7" fontId="9" fillId="0" borderId="9" xfId="0" applyNumberFormat="1" applyFont="1" applyBorder="1"/>
    <xf numFmtId="167" fontId="9" fillId="0" borderId="8" xfId="0" applyNumberFormat="1" applyFont="1" applyBorder="1"/>
    <xf numFmtId="168" fontId="9" fillId="0" borderId="12" xfId="0" applyNumberFormat="1" applyFont="1" applyBorder="1"/>
    <xf numFmtId="167" fontId="9" fillId="0" borderId="16" xfId="0" applyNumberFormat="1" applyFont="1" applyBorder="1"/>
    <xf numFmtId="37" fontId="9" fillId="0" borderId="14" xfId="0" applyNumberFormat="1" applyFont="1" applyBorder="1"/>
    <xf numFmtId="167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47" xfId="0" applyNumberFormat="1" applyFont="1" applyBorder="1"/>
    <xf numFmtId="2" fontId="9" fillId="0" borderId="0" xfId="0" applyNumberFormat="1" applyFont="1"/>
    <xf numFmtId="167" fontId="10" fillId="0" borderId="14" xfId="0" applyNumberFormat="1" applyFont="1" applyBorder="1"/>
    <xf numFmtId="167" fontId="10" fillId="0" borderId="16" xfId="0" applyNumberFormat="1" applyFont="1" applyBorder="1"/>
    <xf numFmtId="167" fontId="10" fillId="0" borderId="17" xfId="0" applyNumberFormat="1" applyFont="1" applyBorder="1"/>
    <xf numFmtId="168" fontId="9" fillId="0" borderId="15" xfId="0" applyNumberFormat="1" applyFont="1" applyBorder="1"/>
    <xf numFmtId="167" fontId="9" fillId="0" borderId="13" xfId="0" applyNumberFormat="1" applyFont="1" applyBorder="1"/>
    <xf numFmtId="37" fontId="9" fillId="0" borderId="23" xfId="0" applyNumberFormat="1" applyFont="1" applyBorder="1"/>
    <xf numFmtId="167" fontId="9" fillId="0" borderId="20" xfId="0" applyNumberFormat="1" applyFont="1" applyBorder="1"/>
    <xf numFmtId="168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8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4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7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7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8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8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7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48" xfId="0" applyFont="1" applyBorder="1"/>
    <xf numFmtId="167" fontId="10" fillId="0" borderId="7" xfId="0" applyNumberFormat="1" applyFont="1" applyBorder="1"/>
    <xf numFmtId="167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7" fontId="9" fillId="0" borderId="15" xfId="0" applyNumberFormat="1" applyFont="1" applyBorder="1"/>
    <xf numFmtId="167" fontId="9" fillId="0" borderId="12" xfId="0" applyNumberFormat="1" applyFont="1" applyBorder="1"/>
    <xf numFmtId="167" fontId="10" fillId="2" borderId="25" xfId="0" applyNumberFormat="1" applyFont="1" applyFill="1" applyBorder="1"/>
    <xf numFmtId="167" fontId="10" fillId="2" borderId="49" xfId="0" applyNumberFormat="1" applyFont="1" applyFill="1" applyBorder="1"/>
    <xf numFmtId="37" fontId="10" fillId="2" borderId="50" xfId="0" applyNumberFormat="1" applyFont="1" applyFill="1" applyBorder="1"/>
    <xf numFmtId="37" fontId="10" fillId="2" borderId="51" xfId="0" applyNumberFormat="1" applyFont="1" applyFill="1" applyBorder="1"/>
    <xf numFmtId="0" fontId="10" fillId="2" borderId="52" xfId="0" applyFont="1" applyFill="1" applyBorder="1"/>
    <xf numFmtId="37" fontId="10" fillId="2" borderId="53" xfId="0" applyNumberFormat="1" applyFont="1" applyFill="1" applyBorder="1"/>
    <xf numFmtId="168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9" fillId="2" borderId="32" xfId="0" applyFont="1" applyFill="1" applyBorder="1"/>
    <xf numFmtId="0" fontId="12" fillId="0" borderId="56" xfId="0" applyFont="1" applyBorder="1"/>
    <xf numFmtId="0" fontId="14" fillId="0" borderId="11" xfId="0" applyFont="1" applyBorder="1"/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37" fontId="9" fillId="4" borderId="0" xfId="0" applyNumberFormat="1" applyFont="1" applyFill="1"/>
    <xf numFmtId="167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7" fontId="9" fillId="0" borderId="0" xfId="1" applyNumberFormat="1" applyFont="1" applyFill="1" applyBorder="1"/>
    <xf numFmtId="167" fontId="10" fillId="0" borderId="26" xfId="0" applyNumberFormat="1" applyFont="1" applyBorder="1"/>
    <xf numFmtId="0" fontId="12" fillId="0" borderId="0" xfId="0" applyFont="1"/>
    <xf numFmtId="167" fontId="9" fillId="0" borderId="8" xfId="1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37" xfId="0" applyFont="1" applyFill="1" applyBorder="1"/>
    <xf numFmtId="0" fontId="10" fillId="2" borderId="57" xfId="0" applyFont="1" applyFill="1" applyBorder="1"/>
    <xf numFmtId="0" fontId="10" fillId="2" borderId="58" xfId="0" applyFont="1" applyFill="1" applyBorder="1"/>
    <xf numFmtId="37" fontId="10" fillId="2" borderId="59" xfId="0" applyNumberFormat="1" applyFont="1" applyFill="1" applyBorder="1"/>
    <xf numFmtId="0" fontId="10" fillId="2" borderId="60" xfId="0" applyFont="1" applyFill="1" applyBorder="1"/>
    <xf numFmtId="0" fontId="9" fillId="2" borderId="60" xfId="0" applyFont="1" applyFill="1" applyBorder="1"/>
    <xf numFmtId="0" fontId="9" fillId="2" borderId="58" xfId="0" applyFont="1" applyFill="1" applyBorder="1"/>
    <xf numFmtId="37" fontId="10" fillId="2" borderId="61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14" fillId="0" borderId="12" xfId="0" applyFont="1" applyBorder="1"/>
    <xf numFmtId="37" fontId="14" fillId="0" borderId="67" xfId="0" applyNumberFormat="1" applyFont="1" applyBorder="1"/>
    <xf numFmtId="37" fontId="14" fillId="0" borderId="68" xfId="0" applyNumberFormat="1" applyFont="1" applyBorder="1"/>
    <xf numFmtId="37" fontId="14" fillId="0" borderId="12" xfId="0" applyNumberFormat="1" applyFont="1" applyBorder="1"/>
    <xf numFmtId="167" fontId="14" fillId="0" borderId="12" xfId="0" applyNumberFormat="1" applyFont="1" applyBorder="1"/>
    <xf numFmtId="37" fontId="14" fillId="0" borderId="69" xfId="0" applyNumberFormat="1" applyFont="1" applyBorder="1"/>
    <xf numFmtId="167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67" xfId="0" applyNumberFormat="1" applyFont="1" applyFill="1" applyBorder="1"/>
    <xf numFmtId="37" fontId="21" fillId="2" borderId="68" xfId="0" applyNumberFormat="1" applyFont="1" applyFill="1" applyBorder="1"/>
    <xf numFmtId="37" fontId="21" fillId="2" borderId="12" xfId="0" applyNumberFormat="1" applyFont="1" applyFill="1" applyBorder="1"/>
    <xf numFmtId="167" fontId="21" fillId="2" borderId="12" xfId="0" applyNumberFormat="1" applyFont="1" applyFill="1" applyBorder="1"/>
    <xf numFmtId="37" fontId="21" fillId="2" borderId="69" xfId="0" applyNumberFormat="1" applyFont="1" applyFill="1" applyBorder="1"/>
    <xf numFmtId="167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0" xfId="0" applyNumberFormat="1" applyFont="1" applyBorder="1"/>
    <xf numFmtId="37" fontId="14" fillId="0" borderId="71" xfId="0" applyNumberFormat="1" applyFont="1" applyBorder="1"/>
    <xf numFmtId="37" fontId="14" fillId="0" borderId="0" xfId="0" applyNumberFormat="1" applyFont="1"/>
    <xf numFmtId="167" fontId="14" fillId="0" borderId="0" xfId="0" applyNumberFormat="1" applyFont="1"/>
    <xf numFmtId="37" fontId="14" fillId="0" borderId="72" xfId="0" applyNumberFormat="1" applyFont="1" applyBorder="1"/>
    <xf numFmtId="167" fontId="14" fillId="0" borderId="21" xfId="0" applyNumberFormat="1" applyFont="1" applyBorder="1"/>
    <xf numFmtId="0" fontId="14" fillId="0" borderId="0" xfId="0" applyFont="1" applyAlignment="1">
      <alignment horizontal="right"/>
    </xf>
    <xf numFmtId="168" fontId="14" fillId="0" borderId="0" xfId="0" applyNumberFormat="1" applyFont="1"/>
    <xf numFmtId="0" fontId="14" fillId="0" borderId="71" xfId="0" applyFont="1" applyBorder="1"/>
    <xf numFmtId="167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8" fontId="14" fillId="0" borderId="12" xfId="0" applyNumberFormat="1" applyFont="1" applyBorder="1"/>
    <xf numFmtId="0" fontId="14" fillId="0" borderId="68" xfId="0" applyFont="1" applyBorder="1"/>
    <xf numFmtId="167" fontId="14" fillId="0" borderId="67" xfId="0" applyNumberFormat="1" applyFont="1" applyBorder="1"/>
    <xf numFmtId="167" fontId="14" fillId="0" borderId="73" xfId="0" applyNumberFormat="1" applyFont="1" applyBorder="1"/>
    <xf numFmtId="167" fontId="22" fillId="0" borderId="10" xfId="0" applyNumberFormat="1" applyFont="1" applyBorder="1"/>
    <xf numFmtId="0" fontId="21" fillId="2" borderId="34" xfId="0" applyFont="1" applyFill="1" applyBorder="1"/>
    <xf numFmtId="0" fontId="21" fillId="2" borderId="35" xfId="0" applyFont="1" applyFill="1" applyBorder="1"/>
    <xf numFmtId="167" fontId="21" fillId="2" borderId="35" xfId="0" applyNumberFormat="1" applyFont="1" applyFill="1" applyBorder="1"/>
    <xf numFmtId="37" fontId="21" fillId="2" borderId="74" xfId="0" applyNumberFormat="1" applyFont="1" applyFill="1" applyBorder="1"/>
    <xf numFmtId="167" fontId="21" fillId="2" borderId="38" xfId="0" applyNumberFormat="1" applyFont="1" applyFill="1" applyBorder="1"/>
    <xf numFmtId="0" fontId="21" fillId="2" borderId="38" xfId="0" applyFont="1" applyFill="1" applyBorder="1"/>
    <xf numFmtId="37" fontId="21" fillId="2" borderId="35" xfId="0" applyNumberFormat="1" applyFont="1" applyFill="1" applyBorder="1"/>
    <xf numFmtId="0" fontId="21" fillId="2" borderId="75" xfId="0" applyFont="1" applyFill="1" applyBorder="1"/>
    <xf numFmtId="165" fontId="7" fillId="0" borderId="0" xfId="0" applyNumberFormat="1" applyFont="1"/>
    <xf numFmtId="165" fontId="20" fillId="0" borderId="0" xfId="0" applyNumberFormat="1" applyFont="1"/>
    <xf numFmtId="167" fontId="14" fillId="0" borderId="70" xfId="0" applyNumberFormat="1" applyFont="1" applyBorder="1"/>
    <xf numFmtId="168" fontId="21" fillId="2" borderId="35" xfId="0" applyNumberFormat="1" applyFont="1" applyFill="1" applyBorder="1"/>
    <xf numFmtId="37" fontId="21" fillId="2" borderId="38" xfId="0" applyNumberFormat="1" applyFont="1" applyFill="1" applyBorder="1"/>
    <xf numFmtId="37" fontId="21" fillId="2" borderId="75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76" xfId="0" applyNumberFormat="1" applyFont="1" applyBorder="1"/>
    <xf numFmtId="0" fontId="14" fillId="0" borderId="77" xfId="0" applyFont="1" applyBorder="1"/>
    <xf numFmtId="168" fontId="14" fillId="0" borderId="7" xfId="0" applyNumberFormat="1" applyFont="1" applyBorder="1"/>
    <xf numFmtId="37" fontId="14" fillId="0" borderId="7" xfId="0" applyNumberFormat="1" applyFont="1" applyBorder="1"/>
    <xf numFmtId="167" fontId="14" fillId="0" borderId="7" xfId="0" applyNumberFormat="1" applyFont="1" applyBorder="1"/>
    <xf numFmtId="37" fontId="14" fillId="0" borderId="78" xfId="0" applyNumberFormat="1" applyFont="1" applyBorder="1"/>
    <xf numFmtId="0" fontId="14" fillId="0" borderId="47" xfId="0" applyFont="1" applyBorder="1" applyAlignment="1">
      <alignment horizontal="right"/>
    </xf>
    <xf numFmtId="0" fontId="14" fillId="0" borderId="47" xfId="0" applyFont="1" applyBorder="1"/>
    <xf numFmtId="37" fontId="14" fillId="0" borderId="79" xfId="0" applyNumberFormat="1" applyFont="1" applyBorder="1"/>
    <xf numFmtId="0" fontId="14" fillId="0" borderId="80" xfId="0" applyFont="1" applyBorder="1"/>
    <xf numFmtId="168" fontId="14" fillId="0" borderId="47" xfId="0" applyNumberFormat="1" applyFont="1" applyBorder="1"/>
    <xf numFmtId="37" fontId="14" fillId="0" borderId="80" xfId="0" applyNumberFormat="1" applyFont="1" applyBorder="1"/>
    <xf numFmtId="37" fontId="14" fillId="0" borderId="47" xfId="0" applyNumberFormat="1" applyFont="1" applyBorder="1"/>
    <xf numFmtId="167" fontId="14" fillId="0" borderId="47" xfId="0" applyNumberFormat="1" applyFont="1" applyBorder="1"/>
    <xf numFmtId="37" fontId="14" fillId="0" borderId="81" xfId="0" applyNumberFormat="1" applyFont="1" applyBorder="1"/>
    <xf numFmtId="167" fontId="14" fillId="0" borderId="82" xfId="0" applyNumberFormat="1" applyFont="1" applyBorder="1"/>
    <xf numFmtId="169" fontId="20" fillId="0" borderId="0" xfId="0" applyNumberFormat="1" applyFont="1"/>
    <xf numFmtId="0" fontId="14" fillId="2" borderId="35" xfId="0" applyFont="1" applyFill="1" applyBorder="1"/>
    <xf numFmtId="167" fontId="21" fillId="2" borderId="39" xfId="0" applyNumberFormat="1" applyFont="1" applyFill="1" applyBorder="1"/>
    <xf numFmtId="167" fontId="21" fillId="0" borderId="0" xfId="0" applyNumberFormat="1" applyFont="1"/>
    <xf numFmtId="0" fontId="21" fillId="0" borderId="0" xfId="0" applyFont="1"/>
    <xf numFmtId="0" fontId="20" fillId="3" borderId="0" xfId="0" applyFont="1" applyFill="1"/>
    <xf numFmtId="167" fontId="14" fillId="0" borderId="76" xfId="0" applyNumberFormat="1" applyFont="1" applyBorder="1"/>
    <xf numFmtId="0" fontId="14" fillId="0" borderId="70" xfId="0" applyFont="1" applyBorder="1"/>
    <xf numFmtId="0" fontId="14" fillId="0" borderId="72" xfId="0" applyFont="1" applyBorder="1"/>
    <xf numFmtId="167" fontId="14" fillId="0" borderId="83" xfId="0" applyNumberFormat="1" applyFont="1" applyBorder="1"/>
    <xf numFmtId="167" fontId="21" fillId="0" borderId="7" xfId="0" applyNumberFormat="1" applyFont="1" applyBorder="1"/>
    <xf numFmtId="0" fontId="21" fillId="0" borderId="7" xfId="0" applyFont="1" applyBorder="1"/>
    <xf numFmtId="167" fontId="21" fillId="0" borderId="77" xfId="0" applyNumberFormat="1" applyFont="1" applyBorder="1"/>
    <xf numFmtId="37" fontId="21" fillId="0" borderId="77" xfId="0" applyNumberFormat="1" applyFont="1" applyBorder="1"/>
    <xf numFmtId="37" fontId="14" fillId="0" borderId="84" xfId="0" applyNumberFormat="1" applyFont="1" applyBorder="1"/>
    <xf numFmtId="37" fontId="21" fillId="0" borderId="7" xfId="0" applyNumberFormat="1" applyFont="1" applyBorder="1"/>
    <xf numFmtId="167" fontId="21" fillId="0" borderId="71" xfId="0" applyNumberFormat="1" applyFont="1" applyBorder="1"/>
    <xf numFmtId="37" fontId="21" fillId="0" borderId="71" xfId="0" applyNumberFormat="1" applyFont="1" applyBorder="1"/>
    <xf numFmtId="37" fontId="14" fillId="0" borderId="85" xfId="0" applyNumberFormat="1" applyFont="1" applyBorder="1"/>
    <xf numFmtId="37" fontId="21" fillId="0" borderId="0" xfId="0" applyNumberFormat="1" applyFont="1"/>
    <xf numFmtId="167" fontId="14" fillId="2" borderId="38" xfId="0" applyNumberFormat="1" applyFont="1" applyFill="1" applyBorder="1"/>
    <xf numFmtId="167" fontId="14" fillId="2" borderId="35" xfId="0" applyNumberFormat="1" applyFont="1" applyFill="1" applyBorder="1"/>
    <xf numFmtId="37" fontId="14" fillId="2" borderId="75" xfId="0" applyNumberFormat="1" applyFont="1" applyFill="1" applyBorder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76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77" xfId="0" applyNumberFormat="1" applyFont="1" applyFill="1" applyBorder="1"/>
    <xf numFmtId="37" fontId="14" fillId="3" borderId="0" xfId="0" applyNumberFormat="1" applyFont="1" applyFill="1"/>
    <xf numFmtId="167" fontId="14" fillId="3" borderId="0" xfId="0" applyNumberFormat="1" applyFont="1" applyFill="1"/>
    <xf numFmtId="167" fontId="14" fillId="3" borderId="77" xfId="0" applyNumberFormat="1" applyFont="1" applyFill="1" applyBorder="1"/>
    <xf numFmtId="167" fontId="14" fillId="3" borderId="7" xfId="0" applyNumberFormat="1" applyFont="1" applyFill="1" applyBorder="1"/>
    <xf numFmtId="37" fontId="14" fillId="3" borderId="78" xfId="0" applyNumberFormat="1" applyFont="1" applyFill="1" applyBorder="1"/>
    <xf numFmtId="167" fontId="14" fillId="0" borderId="45" xfId="0" applyNumberFormat="1" applyFont="1" applyBorder="1"/>
    <xf numFmtId="0" fontId="21" fillId="2" borderId="57" xfId="0" applyFont="1" applyFill="1" applyBorder="1"/>
    <xf numFmtId="0" fontId="21" fillId="2" borderId="58" xfId="0" applyFont="1" applyFill="1" applyBorder="1"/>
    <xf numFmtId="0" fontId="21" fillId="2" borderId="58" xfId="0" applyFont="1" applyFill="1" applyBorder="1" applyAlignment="1">
      <alignment horizontal="center"/>
    </xf>
    <xf numFmtId="167" fontId="21" fillId="2" borderId="58" xfId="0" applyNumberFormat="1" applyFont="1" applyFill="1" applyBorder="1"/>
    <xf numFmtId="37" fontId="21" fillId="2" borderId="86" xfId="0" applyNumberFormat="1" applyFont="1" applyFill="1" applyBorder="1"/>
    <xf numFmtId="37" fontId="21" fillId="2" borderId="58" xfId="0" applyNumberFormat="1" applyFont="1" applyFill="1" applyBorder="1"/>
    <xf numFmtId="37" fontId="21" fillId="2" borderId="87" xfId="0" applyNumberFormat="1" applyFont="1" applyFill="1" applyBorder="1"/>
    <xf numFmtId="167" fontId="21" fillId="2" borderId="88" xfId="0" applyNumberFormat="1" applyFont="1" applyFill="1" applyBorder="1"/>
    <xf numFmtId="0" fontId="21" fillId="2" borderId="87" xfId="0" applyFont="1" applyFill="1" applyBorder="1" applyAlignment="1">
      <alignment horizontal="center"/>
    </xf>
    <xf numFmtId="37" fontId="21" fillId="2" borderId="89" xfId="0" applyNumberFormat="1" applyFont="1" applyFill="1" applyBorder="1"/>
    <xf numFmtId="167" fontId="21" fillId="2" borderId="46" xfId="0" applyNumberFormat="1" applyFont="1" applyFill="1" applyBorder="1"/>
    <xf numFmtId="39" fontId="14" fillId="0" borderId="0" xfId="0" applyNumberFormat="1" applyFont="1"/>
    <xf numFmtId="0" fontId="21" fillId="2" borderId="90" xfId="0" applyFont="1" applyFill="1" applyBorder="1"/>
    <xf numFmtId="0" fontId="21" fillId="2" borderId="91" xfId="0" applyFont="1" applyFill="1" applyBorder="1"/>
    <xf numFmtId="0" fontId="21" fillId="2" borderId="91" xfId="0" applyFont="1" applyFill="1" applyBorder="1" applyAlignment="1">
      <alignment horizontal="center"/>
    </xf>
    <xf numFmtId="167" fontId="21" fillId="2" borderId="91" xfId="0" applyNumberFormat="1" applyFont="1" applyFill="1" applyBorder="1"/>
    <xf numFmtId="37" fontId="21" fillId="2" borderId="92" xfId="0" applyNumberFormat="1" applyFont="1" applyFill="1" applyBorder="1"/>
    <xf numFmtId="37" fontId="21" fillId="2" borderId="91" xfId="0" applyNumberFormat="1" applyFont="1" applyFill="1" applyBorder="1"/>
    <xf numFmtId="37" fontId="21" fillId="2" borderId="93" xfId="0" applyNumberFormat="1" applyFont="1" applyFill="1" applyBorder="1"/>
    <xf numFmtId="37" fontId="21" fillId="2" borderId="94" xfId="0" applyNumberFormat="1" applyFont="1" applyFill="1" applyBorder="1"/>
    <xf numFmtId="37" fontId="21" fillId="2" borderId="63" xfId="0" applyNumberFormat="1" applyFont="1" applyFill="1" applyBorder="1"/>
    <xf numFmtId="167" fontId="21" fillId="2" borderId="66" xfId="0" applyNumberFormat="1" applyFont="1" applyFill="1" applyBorder="1"/>
    <xf numFmtId="0" fontId="20" fillId="0" borderId="18" xfId="0" applyFont="1" applyBorder="1"/>
    <xf numFmtId="37" fontId="20" fillId="0" borderId="70" xfId="0" applyNumberFormat="1" applyFont="1" applyBorder="1"/>
    <xf numFmtId="0" fontId="20" fillId="0" borderId="70" xfId="0" applyFont="1" applyBorder="1"/>
    <xf numFmtId="0" fontId="20" fillId="0" borderId="85" xfId="0" applyFont="1" applyBorder="1"/>
    <xf numFmtId="0" fontId="20" fillId="0" borderId="72" xfId="0" applyFont="1" applyBorder="1"/>
    <xf numFmtId="0" fontId="20" fillId="0" borderId="10" xfId="0" applyFont="1" applyBorder="1"/>
    <xf numFmtId="0" fontId="7" fillId="0" borderId="72" xfId="0" applyFont="1" applyBorder="1"/>
    <xf numFmtId="167" fontId="21" fillId="2" borderId="61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6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7" fontId="20" fillId="3" borderId="0" xfId="0" applyNumberFormat="1" applyFont="1" applyFill="1"/>
    <xf numFmtId="9" fontId="20" fillId="3" borderId="0" xfId="0" applyNumberFormat="1" applyFont="1" applyFill="1"/>
    <xf numFmtId="167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6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32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96" xfId="0" applyFont="1" applyBorder="1" applyAlignment="1">
      <alignment vertical="center"/>
    </xf>
    <xf numFmtId="0" fontId="33" fillId="0" borderId="97" xfId="0" applyFont="1" applyBorder="1" applyAlignment="1">
      <alignment vertical="center"/>
    </xf>
    <xf numFmtId="37" fontId="33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33" fillId="7" borderId="95" xfId="0" applyFont="1" applyFill="1" applyBorder="1" applyAlignment="1">
      <alignment horizontal="center"/>
    </xf>
    <xf numFmtId="0" fontId="33" fillId="8" borderId="95" xfId="0" applyFont="1" applyFill="1" applyBorder="1" applyAlignment="1">
      <alignment horizontal="center"/>
    </xf>
    <xf numFmtId="0" fontId="33" fillId="5" borderId="95" xfId="0" applyFont="1" applyFill="1" applyBorder="1" applyAlignment="1">
      <alignment horizontal="center"/>
    </xf>
    <xf numFmtId="3" fontId="32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33" fillId="0" borderId="100" xfId="0" applyNumberFormat="1" applyFont="1" applyBorder="1" applyAlignment="1">
      <alignment horizontal="center" vertical="center"/>
    </xf>
    <xf numFmtId="3" fontId="32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/>
    </xf>
    <xf numFmtId="3" fontId="7" fillId="0" borderId="0" xfId="0" applyNumberFormat="1" applyFont="1"/>
    <xf numFmtId="0" fontId="13" fillId="0" borderId="0" xfId="0" applyFont="1"/>
    <xf numFmtId="0" fontId="37" fillId="0" borderId="0" xfId="0" applyFont="1" applyAlignment="1">
      <alignment horizontal="center"/>
    </xf>
    <xf numFmtId="3" fontId="37" fillId="0" borderId="0" xfId="0" applyNumberFormat="1" applyFont="1" applyAlignment="1">
      <alignment horizontal="center"/>
    </xf>
    <xf numFmtId="39" fontId="10" fillId="3" borderId="12" xfId="0" applyNumberFormat="1" applyFont="1" applyFill="1" applyBorder="1"/>
    <xf numFmtId="0" fontId="21" fillId="2" borderId="101" xfId="0" applyFont="1" applyFill="1" applyBorder="1"/>
    <xf numFmtId="0" fontId="21" fillId="2" borderId="102" xfId="0" applyFont="1" applyFill="1" applyBorder="1"/>
    <xf numFmtId="0" fontId="21" fillId="2" borderId="102" xfId="0" applyFont="1" applyFill="1" applyBorder="1" applyAlignment="1">
      <alignment horizontal="center"/>
    </xf>
    <xf numFmtId="167" fontId="21" fillId="2" borderId="102" xfId="0" applyNumberFormat="1" applyFont="1" applyFill="1" applyBorder="1"/>
    <xf numFmtId="37" fontId="21" fillId="2" borderId="103" xfId="0" applyNumberFormat="1" applyFont="1" applyFill="1" applyBorder="1"/>
    <xf numFmtId="37" fontId="21" fillId="2" borderId="102" xfId="0" applyNumberFormat="1" applyFont="1" applyFill="1" applyBorder="1"/>
    <xf numFmtId="37" fontId="21" fillId="2" borderId="104" xfId="0" applyNumberFormat="1" applyFont="1" applyFill="1" applyBorder="1"/>
    <xf numFmtId="167" fontId="21" fillId="2" borderId="105" xfId="0" applyNumberFormat="1" applyFont="1" applyFill="1" applyBorder="1"/>
    <xf numFmtId="37" fontId="21" fillId="2" borderId="106" xfId="0" applyNumberFormat="1" applyFont="1" applyFill="1" applyBorder="1"/>
    <xf numFmtId="167" fontId="21" fillId="2" borderId="107" xfId="0" applyNumberFormat="1" applyFont="1" applyFill="1" applyBorder="1"/>
    <xf numFmtId="10" fontId="9" fillId="0" borderId="0" xfId="0" applyNumberFormat="1" applyFont="1"/>
    <xf numFmtId="172" fontId="9" fillId="0" borderId="0" xfId="0" applyNumberFormat="1" applyFont="1"/>
    <xf numFmtId="0" fontId="39" fillId="0" borderId="0" xfId="0" applyFont="1" applyAlignment="1">
      <alignment horizontal="center"/>
    </xf>
    <xf numFmtId="0" fontId="39" fillId="0" borderId="0" xfId="0" applyFont="1"/>
    <xf numFmtId="0" fontId="8" fillId="0" borderId="0" xfId="0" quotePrefix="1" applyFont="1"/>
    <xf numFmtId="3" fontId="9" fillId="0" borderId="108" xfId="0" applyNumberFormat="1" applyFont="1" applyBorder="1"/>
    <xf numFmtId="3" fontId="9" fillId="0" borderId="109" xfId="0" applyNumberFormat="1" applyFont="1" applyBorder="1"/>
    <xf numFmtId="3" fontId="9" fillId="0" borderId="110" xfId="0" applyNumberFormat="1" applyFont="1" applyBorder="1"/>
    <xf numFmtId="0" fontId="9" fillId="0" borderId="0" xfId="0" quotePrefix="1" applyFont="1"/>
    <xf numFmtId="0" fontId="9" fillId="2" borderId="111" xfId="0" applyFont="1" applyFill="1" applyBorder="1"/>
    <xf numFmtId="37" fontId="10" fillId="2" borderId="112" xfId="0" applyNumberFormat="1" applyFont="1" applyFill="1" applyBorder="1"/>
    <xf numFmtId="39" fontId="12" fillId="0" borderId="113" xfId="0" applyNumberFormat="1" applyFont="1" applyBorder="1"/>
    <xf numFmtId="2" fontId="10" fillId="0" borderId="8" xfId="0" applyNumberFormat="1" applyFont="1" applyBorder="1"/>
    <xf numFmtId="0" fontId="9" fillId="0" borderId="23" xfId="0" applyFont="1" applyBorder="1"/>
    <xf numFmtId="0" fontId="9" fillId="0" borderId="15" xfId="0" applyFont="1" applyBorder="1"/>
    <xf numFmtId="37" fontId="9" fillId="0" borderId="73" xfId="0" applyNumberFormat="1" applyFont="1" applyBorder="1"/>
    <xf numFmtId="10" fontId="9" fillId="0" borderId="8" xfId="0" applyNumberFormat="1" applyFont="1" applyBorder="1"/>
    <xf numFmtId="0" fontId="9" fillId="0" borderId="13" xfId="0" applyFont="1" applyBorder="1" applyAlignment="1">
      <alignment horizontal="center"/>
    </xf>
    <xf numFmtId="1" fontId="0" fillId="0" borderId="0" xfId="0" applyNumberFormat="1"/>
    <xf numFmtId="173" fontId="0" fillId="0" borderId="0" xfId="0" applyNumberFormat="1"/>
    <xf numFmtId="10" fontId="20" fillId="0" borderId="0" xfId="0" applyNumberFormat="1" applyFont="1"/>
    <xf numFmtId="1" fontId="20" fillId="0" borderId="0" xfId="0" applyNumberFormat="1" applyFont="1"/>
    <xf numFmtId="10" fontId="20" fillId="0" borderId="0" xfId="0" applyNumberFormat="1" applyFont="1" applyAlignment="1">
      <alignment horizontal="center"/>
    </xf>
    <xf numFmtId="173" fontId="20" fillId="0" borderId="0" xfId="0" applyNumberFormat="1" applyFont="1"/>
    <xf numFmtId="1" fontId="23" fillId="0" borderId="0" xfId="0" applyNumberFormat="1" applyFont="1"/>
    <xf numFmtId="10" fontId="23" fillId="0" borderId="0" xfId="0" applyNumberFormat="1" applyFont="1"/>
    <xf numFmtId="173" fontId="23" fillId="0" borderId="0" xfId="0" applyNumberFormat="1" applyFont="1"/>
    <xf numFmtId="3" fontId="40" fillId="0" borderId="0" xfId="0" applyNumberFormat="1" applyFont="1"/>
    <xf numFmtId="3" fontId="20" fillId="0" borderId="0" xfId="0" applyNumberFormat="1" applyFont="1"/>
    <xf numFmtId="10" fontId="20" fillId="0" borderId="0" xfId="0" quotePrefix="1" applyNumberFormat="1" applyFont="1"/>
    <xf numFmtId="1" fontId="20" fillId="0" borderId="0" xfId="0" quotePrefix="1" applyNumberFormat="1" applyFont="1"/>
    <xf numFmtId="0" fontId="20" fillId="0" borderId="0" xfId="0" quotePrefix="1" applyFont="1"/>
    <xf numFmtId="0" fontId="20" fillId="9" borderId="0" xfId="0" applyFont="1" applyFill="1"/>
    <xf numFmtId="167" fontId="21" fillId="2" borderId="86" xfId="0" applyNumberFormat="1" applyFont="1" applyFill="1" applyBorder="1"/>
    <xf numFmtId="10" fontId="21" fillId="0" borderId="0" xfId="0" applyNumberFormat="1" applyFont="1"/>
    <xf numFmtId="10" fontId="8" fillId="0" borderId="0" xfId="0" applyNumberFormat="1" applyFont="1"/>
    <xf numFmtId="0" fontId="33" fillId="7" borderId="95" xfId="0" applyFont="1" applyFill="1" applyBorder="1" applyAlignment="1">
      <alignment horizontal="center" vertical="center"/>
    </xf>
    <xf numFmtId="0" fontId="33" fillId="8" borderId="95" xfId="0" applyFon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 vertical="center"/>
    </xf>
    <xf numFmtId="0" fontId="33" fillId="5" borderId="95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/>
    </xf>
    <xf numFmtId="0" fontId="11" fillId="0" borderId="50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0" fillId="0" borderId="65" xfId="0" applyFont="1" applyBorder="1" applyAlignment="1">
      <alignment horizontal="center" vertical="center"/>
    </xf>
    <xf numFmtId="0" fontId="11" fillId="0" borderId="63" xfId="0" applyFont="1" applyBorder="1"/>
    <xf numFmtId="0" fontId="11" fillId="0" borderId="66" xfId="0" applyFont="1" applyBorder="1"/>
    <xf numFmtId="0" fontId="11" fillId="0" borderId="5" xfId="0" applyFont="1" applyBorder="1"/>
    <xf numFmtId="0" fontId="10" fillId="0" borderId="63" xfId="0" applyFont="1" applyBorder="1" applyAlignment="1">
      <alignment horizontal="center" vertical="center"/>
    </xf>
    <xf numFmtId="0" fontId="11" fillId="0" borderId="64" xfId="0" applyFont="1" applyBorder="1"/>
    <xf numFmtId="3" fontId="9" fillId="10" borderId="108" xfId="0" applyNumberFormat="1" applyFont="1" applyFill="1" applyBorder="1"/>
    <xf numFmtId="3" fontId="9" fillId="10" borderId="8" xfId="0" applyNumberFormat="1" applyFont="1" applyFill="1" applyBorder="1"/>
  </cellXfs>
  <cellStyles count="16"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565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tabSelected="1" workbookViewId="0">
      <selection activeCell="E34" sqref="E3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206</v>
      </c>
      <c r="C3" s="440" t="s">
        <v>282</v>
      </c>
      <c r="P3" s="441"/>
      <c r="Q3" s="442"/>
    </row>
    <row r="5" spans="1:17" s="419" customFormat="1" ht="16.5" customHeight="1"/>
    <row r="6" spans="1:17" s="419" customFormat="1" ht="16.5" customHeight="1">
      <c r="B6" s="490" t="s">
        <v>198</v>
      </c>
      <c r="C6" s="490"/>
      <c r="D6" s="490"/>
      <c r="E6" s="490"/>
      <c r="F6" s="491" t="s">
        <v>199</v>
      </c>
      <c r="G6" s="491"/>
      <c r="H6" s="491"/>
      <c r="I6" s="491"/>
      <c r="J6" s="492" t="s">
        <v>200</v>
      </c>
      <c r="K6" s="492"/>
      <c r="L6" s="492"/>
      <c r="M6" s="492"/>
      <c r="N6" s="493" t="s">
        <v>201</v>
      </c>
      <c r="O6" s="493"/>
      <c r="P6" s="493"/>
      <c r="Q6" s="493"/>
    </row>
    <row r="7" spans="1:17" s="419" customFormat="1" ht="16.5" customHeight="1">
      <c r="A7"/>
      <c r="B7" s="426" t="s">
        <v>191</v>
      </c>
      <c r="C7" s="426" t="s">
        <v>192</v>
      </c>
      <c r="D7" s="426" t="s">
        <v>193</v>
      </c>
      <c r="E7" s="426" t="s">
        <v>194</v>
      </c>
      <c r="F7" s="427" t="s">
        <v>191</v>
      </c>
      <c r="G7" s="427" t="s">
        <v>192</v>
      </c>
      <c r="H7" s="427" t="s">
        <v>193</v>
      </c>
      <c r="I7" s="427" t="s">
        <v>194</v>
      </c>
      <c r="J7" s="438" t="s">
        <v>191</v>
      </c>
      <c r="K7" s="438" t="s">
        <v>192</v>
      </c>
      <c r="L7" s="438" t="s">
        <v>193</v>
      </c>
      <c r="M7" s="438" t="s">
        <v>194</v>
      </c>
      <c r="N7" s="428" t="s">
        <v>191</v>
      </c>
      <c r="O7" s="428" t="s">
        <v>192</v>
      </c>
      <c r="P7" s="428" t="s">
        <v>193</v>
      </c>
      <c r="Q7" s="428" t="s">
        <v>194</v>
      </c>
    </row>
    <row r="8" spans="1:17" s="419" customFormat="1" ht="16.5" customHeight="1">
      <c r="A8" s="418" t="s">
        <v>197</v>
      </c>
      <c r="B8" s="429">
        <f t="shared" ref="B8:Q8" si="0">+B9-B10</f>
        <v>0</v>
      </c>
      <c r="C8" s="429">
        <f t="shared" si="0"/>
        <v>0</v>
      </c>
      <c r="D8" s="429">
        <f t="shared" si="0"/>
        <v>0</v>
      </c>
      <c r="E8" s="429">
        <f t="shared" si="0"/>
        <v>0</v>
      </c>
      <c r="F8" s="429">
        <f t="shared" si="0"/>
        <v>0</v>
      </c>
      <c r="G8" s="429">
        <f t="shared" si="0"/>
        <v>0</v>
      </c>
      <c r="H8" s="429">
        <f t="shared" si="0"/>
        <v>0</v>
      </c>
      <c r="I8" s="429">
        <f t="shared" si="0"/>
        <v>0</v>
      </c>
      <c r="J8" s="434">
        <f t="shared" si="0"/>
        <v>0</v>
      </c>
      <c r="K8" s="434">
        <f t="shared" si="0"/>
        <v>0</v>
      </c>
      <c r="L8" s="434">
        <f t="shared" si="0"/>
        <v>0</v>
      </c>
      <c r="M8" s="434">
        <f t="shared" si="0"/>
        <v>0</v>
      </c>
      <c r="N8" s="429">
        <f t="shared" si="0"/>
        <v>0</v>
      </c>
      <c r="O8" s="429">
        <f t="shared" si="0"/>
        <v>0</v>
      </c>
      <c r="P8" s="429">
        <f t="shared" si="0"/>
        <v>2.9103830456733704E-10</v>
      </c>
      <c r="Q8" s="429">
        <f t="shared" si="0"/>
        <v>2.9103830456733704E-10</v>
      </c>
    </row>
    <row r="9" spans="1:17" s="419" customFormat="1" ht="16.5" customHeight="1">
      <c r="A9" s="420" t="s">
        <v>195</v>
      </c>
      <c r="B9" s="422">
        <f>+Conso!$Z$406</f>
        <v>9655398.0426335987</v>
      </c>
      <c r="C9" s="422">
        <f>+Conso!$Z$407</f>
        <v>1185815.5816570171</v>
      </c>
      <c r="D9" s="422">
        <f>+Conso!$Z$483</f>
        <v>229239.47637558368</v>
      </c>
      <c r="E9" s="422">
        <f>+Conso!$Z$498</f>
        <v>193602.70041929954</v>
      </c>
      <c r="F9" s="422">
        <f>+Conso!$AC$406</f>
        <v>0</v>
      </c>
      <c r="G9" s="422">
        <f>+Conso!$AC$407</f>
        <v>0</v>
      </c>
      <c r="H9" s="422">
        <f>+Conso!$AC$483</f>
        <v>0</v>
      </c>
      <c r="I9" s="422">
        <f>+Conso!$AC$498</f>
        <v>0</v>
      </c>
      <c r="J9" s="422">
        <f>+Conso!$AF$406</f>
        <v>13192702.289999997</v>
      </c>
      <c r="K9" s="422">
        <f>+Conso!$AF$407</f>
        <v>1338894.8100000003</v>
      </c>
      <c r="L9" s="422">
        <f>+Conso!$AF$483</f>
        <v>365247.80000000028</v>
      </c>
      <c r="M9" s="422">
        <f>+Conso!$AF$498</f>
        <v>313669.49000000028</v>
      </c>
      <c r="N9" s="422">
        <f>+Conso!$AL$406</f>
        <v>31390596.829999994</v>
      </c>
      <c r="O9" s="422">
        <f>+Conso!$AL$407</f>
        <v>1114466.5499999993</v>
      </c>
      <c r="P9" s="422">
        <f>+Conso!$AL$483</f>
        <v>211321.11999999941</v>
      </c>
      <c r="Q9" s="422">
        <f>+Conso!$AL$498</f>
        <v>152761.11999999941</v>
      </c>
    </row>
    <row r="10" spans="1:17" s="419" customFormat="1" ht="16.5" customHeight="1">
      <c r="A10" s="421" t="s">
        <v>196</v>
      </c>
      <c r="B10" s="433">
        <f>+SUM(B11:B13)</f>
        <v>9655398.0426335987</v>
      </c>
      <c r="C10" s="433">
        <f t="shared" ref="C10:Q10" si="1">+SUM(C11:C13)</f>
        <v>1185815.5816570171</v>
      </c>
      <c r="D10" s="433">
        <f t="shared" si="1"/>
        <v>229239.47637558385</v>
      </c>
      <c r="E10" s="433">
        <f t="shared" si="1"/>
        <v>193602.70041929968</v>
      </c>
      <c r="F10" s="433">
        <f t="shared" si="1"/>
        <v>0</v>
      </c>
      <c r="G10" s="433">
        <f t="shared" si="1"/>
        <v>0</v>
      </c>
      <c r="H10" s="433">
        <f t="shared" si="1"/>
        <v>0</v>
      </c>
      <c r="I10" s="433">
        <f t="shared" si="1"/>
        <v>0</v>
      </c>
      <c r="J10" s="433">
        <f t="shared" si="1"/>
        <v>13192702.290000001</v>
      </c>
      <c r="K10" s="433">
        <f t="shared" si="1"/>
        <v>1338894.8100000005</v>
      </c>
      <c r="L10" s="433">
        <f t="shared" si="1"/>
        <v>365247.80000000022</v>
      </c>
      <c r="M10" s="433">
        <f t="shared" si="1"/>
        <v>313669.49000000028</v>
      </c>
      <c r="N10" s="433">
        <f t="shared" si="1"/>
        <v>31390596.829999998</v>
      </c>
      <c r="O10" s="433">
        <f t="shared" si="1"/>
        <v>1114466.5499999991</v>
      </c>
      <c r="P10" s="433">
        <f t="shared" si="1"/>
        <v>211321.11999999912</v>
      </c>
      <c r="Q10" s="433">
        <f t="shared" si="1"/>
        <v>152761.11999999912</v>
      </c>
    </row>
    <row r="11" spans="1:17" s="419" customFormat="1" ht="16.5" customHeight="1">
      <c r="A11" s="430" t="s">
        <v>203</v>
      </c>
      <c r="B11" s="423">
        <f>+'Mois 1'!$Z$406</f>
        <v>3474336.1673598569</v>
      </c>
      <c r="C11" s="423">
        <f>+'Mois 1'!$Z$407</f>
        <v>425449.49269723834</v>
      </c>
      <c r="D11" s="423">
        <f>+'Mois 1'!$Z$483</f>
        <v>92659.531415616351</v>
      </c>
      <c r="E11" s="423">
        <f>+'Mois 1'!$Z$498</f>
        <v>80879.42212599887</v>
      </c>
      <c r="F11" s="423">
        <f>+'Mois 1'!$AC$406</f>
        <v>0</v>
      </c>
      <c r="G11" s="423">
        <f>+'Mois 1'!$AC$407</f>
        <v>0</v>
      </c>
      <c r="H11" s="423">
        <f>+'Mois 1'!$AC$483</f>
        <v>0</v>
      </c>
      <c r="I11" s="423">
        <f>+'Mois 1'!$AC$498</f>
        <v>0</v>
      </c>
      <c r="J11" s="435">
        <f>+'Mois 1'!$AF$406</f>
        <v>4023235.18</v>
      </c>
      <c r="K11" s="435">
        <f>+'Mois 1'!$AF$407</f>
        <v>459457.19000000012</v>
      </c>
      <c r="L11" s="435">
        <f>+'Mois 1'!$AF$483</f>
        <v>127828.13000000012</v>
      </c>
      <c r="M11" s="435">
        <f>+'Mois 1'!$AF$498</f>
        <v>110237.64000000012</v>
      </c>
      <c r="N11" s="423">
        <f>+'Mois 1'!$AL$406</f>
        <v>10220167.15</v>
      </c>
      <c r="O11" s="423">
        <f>+'Mois 1'!$AL$407</f>
        <v>438573.15999999945</v>
      </c>
      <c r="P11" s="423">
        <f>+'Mois 1'!$AL$483</f>
        <v>126310.73999999951</v>
      </c>
      <c r="Q11" s="423">
        <f>+'Mois 1'!$AL$498</f>
        <v>106790.73999999951</v>
      </c>
    </row>
    <row r="12" spans="1:17" s="419" customFormat="1" ht="16.5" customHeight="1">
      <c r="A12" s="431" t="s">
        <v>204</v>
      </c>
      <c r="B12" s="424">
        <f>+'Mois 2'!$Z$406</f>
        <v>3573970.449556808</v>
      </c>
      <c r="C12" s="424">
        <f>+'Mois 2'!$Z$407</f>
        <v>462823.48432489584</v>
      </c>
      <c r="D12" s="424">
        <f>+'Mois 2'!$Z$483</f>
        <v>144670.94378964746</v>
      </c>
      <c r="E12" s="424">
        <f>+'Mois 2'!$Z$498</f>
        <v>132594.38641259828</v>
      </c>
      <c r="F12" s="424">
        <f>+'Mois 2'!$AC$406</f>
        <v>0</v>
      </c>
      <c r="G12" s="424">
        <f>+'Mois 2'!$AC$407</f>
        <v>0</v>
      </c>
      <c r="H12" s="424">
        <f>+'Mois 2'!$AC$483</f>
        <v>0</v>
      </c>
      <c r="I12" s="424">
        <f>+'Mois 2'!$AC$498</f>
        <v>0</v>
      </c>
      <c r="J12" s="436">
        <f>+'Mois 2'!$AF$406</f>
        <v>4910909.9400000004</v>
      </c>
      <c r="K12" s="436">
        <f>+'Mois 2'!$AF$407</f>
        <v>495524.12999999989</v>
      </c>
      <c r="L12" s="436">
        <f>+'Mois 2'!$AF$483</f>
        <v>195487.83999999988</v>
      </c>
      <c r="M12" s="436">
        <f>+'Mois 2'!$AF$498</f>
        <v>177525.75999999989</v>
      </c>
      <c r="N12" s="424">
        <f>+'Mois 2'!$AL$406</f>
        <v>11998554.869999999</v>
      </c>
      <c r="O12" s="424">
        <f>+'Mois 2'!$AL$407</f>
        <v>420728.0199999999</v>
      </c>
      <c r="P12" s="424">
        <f>+'Mois 2'!$AL$483</f>
        <v>114742.28999999986</v>
      </c>
      <c r="Q12" s="424">
        <f>+'Mois 2'!$AL$498</f>
        <v>95222.289999999863</v>
      </c>
    </row>
    <row r="13" spans="1:17">
      <c r="A13" s="432" t="s">
        <v>205</v>
      </c>
      <c r="B13" s="425">
        <f>+'Mois 3'!$Z$406</f>
        <v>2607091.4257169333</v>
      </c>
      <c r="C13" s="425">
        <f>+'Mois 3'!$Z$407</f>
        <v>297542.604634883</v>
      </c>
      <c r="D13" s="425">
        <f>+'Mois 3'!$Z$483</f>
        <v>-8090.9988296799711</v>
      </c>
      <c r="E13" s="425">
        <f>+'Mois 3'!$Z$498</f>
        <v>-19871.108119297456</v>
      </c>
      <c r="F13" s="425">
        <f>+'Mois 3'!$AC$406</f>
        <v>0</v>
      </c>
      <c r="G13" s="425">
        <f>+'Mois 3'!$AC$407</f>
        <v>0</v>
      </c>
      <c r="H13" s="425">
        <f>+'Mois 3'!$AC$483</f>
        <v>0</v>
      </c>
      <c r="I13" s="425">
        <f>+'Mois 3'!$AC$498</f>
        <v>0</v>
      </c>
      <c r="J13" s="437">
        <f>+'Mois 3'!$AF$406</f>
        <v>4258557.17</v>
      </c>
      <c r="K13" s="437">
        <f>+'Mois 3'!$AF$407</f>
        <v>383913.49000000034</v>
      </c>
      <c r="L13" s="437">
        <f>+'Mois 3'!$AF$483</f>
        <v>41931.830000000264</v>
      </c>
      <c r="M13" s="437">
        <f>+'Mois 3'!$AF$498</f>
        <v>25906.090000000266</v>
      </c>
      <c r="N13" s="425">
        <f>+'Mois 3'!$AL$406</f>
        <v>9171874.8100000005</v>
      </c>
      <c r="O13" s="425">
        <f>+'Mois 3'!$AL$407</f>
        <v>255165.36999999976</v>
      </c>
      <c r="P13" s="425">
        <f>+'Mois 3'!$AL$483</f>
        <v>-29731.910000000265</v>
      </c>
      <c r="Q13" s="425">
        <f>+'Mois 3'!$AL$498</f>
        <v>-49251.910000000265</v>
      </c>
    </row>
  </sheetData>
  <mergeCells count="4">
    <mergeCell ref="B6:E6"/>
    <mergeCell ref="F6:I6"/>
    <mergeCell ref="J6:M6"/>
    <mergeCell ref="N6:Q6"/>
  </mergeCells>
  <phoneticPr fontId="3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02"/>
  <sheetViews>
    <sheetView view="pageBreakPreview" topLeftCell="Q455" zoomScale="60" zoomScaleNormal="70" workbookViewId="0">
      <selection activeCell="N108" sqref="N108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>Réalisé  Q4 2024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 t="s">
        <v>2</v>
      </c>
      <c r="H2" s="456" t="s">
        <v>3</v>
      </c>
      <c r="I2" s="456" t="s">
        <v>4</v>
      </c>
      <c r="J2" s="456"/>
      <c r="K2" s="456"/>
      <c r="L2" s="456"/>
      <c r="M2" s="457"/>
      <c r="N2" s="457"/>
      <c r="O2" s="456"/>
      <c r="P2" s="456"/>
      <c r="Q2" s="456"/>
      <c r="R2" s="10"/>
      <c r="S2" s="10"/>
      <c r="T2" s="10"/>
      <c r="U2" s="10"/>
    </row>
    <row r="3" spans="1:40" ht="21" thickTop="1">
      <c r="B3" s="11"/>
      <c r="C3" s="12"/>
      <c r="D3" s="496" t="s">
        <v>5</v>
      </c>
      <c r="E3" s="497"/>
      <c r="F3" s="498"/>
      <c r="G3" s="499" t="s">
        <v>6</v>
      </c>
      <c r="H3" s="497"/>
      <c r="I3" s="498"/>
      <c r="J3" s="499" t="s">
        <v>7</v>
      </c>
      <c r="K3" s="497"/>
      <c r="L3" s="498"/>
      <c r="M3" s="499" t="s">
        <v>213</v>
      </c>
      <c r="N3" s="498"/>
      <c r="O3" s="496" t="s">
        <v>8</v>
      </c>
      <c r="P3" s="497"/>
      <c r="Q3" s="498"/>
      <c r="R3" s="494" t="s">
        <v>214</v>
      </c>
      <c r="S3" s="495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 t="s">
        <v>10</v>
      </c>
      <c r="H4" s="16" t="s">
        <v>11</v>
      </c>
      <c r="I4" s="17" t="s">
        <v>12</v>
      </c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13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f>+SUM(START:END!F5)</f>
        <v>5027061.6478996659</v>
      </c>
      <c r="G5" s="23"/>
      <c r="H5" s="21"/>
      <c r="I5" s="24">
        <f>+SUM(START:END!I5)</f>
        <v>0</v>
      </c>
      <c r="J5" s="23"/>
      <c r="K5" s="25"/>
      <c r="L5" s="22">
        <f>+SUM(START:END!L5)</f>
        <v>8004934.9699999988</v>
      </c>
      <c r="M5" s="26"/>
      <c r="N5" s="27"/>
      <c r="O5" s="23"/>
      <c r="P5" s="25"/>
      <c r="Q5" s="22">
        <f>+SUM(START:END!Q5)</f>
        <v>26535985.339999996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f>+SUM(START:END!D6)</f>
        <v>17</v>
      </c>
      <c r="E6" s="30">
        <f>IF(D6=0,0,F6/D6)</f>
        <v>5144.9382716049386</v>
      </c>
      <c r="F6" s="30">
        <f>+SUM(START:END!F6)</f>
        <v>87463.950617283961</v>
      </c>
      <c r="G6" s="31">
        <f>+SUM(START:END!G6)</f>
        <v>0</v>
      </c>
      <c r="H6" s="30">
        <f>IF(G6=0,0,I6/G6)</f>
        <v>0</v>
      </c>
      <c r="I6" s="30">
        <f>+SUM(START:END!I6)</f>
        <v>0</v>
      </c>
      <c r="J6" s="31">
        <f>+SUM(START:END!J6)</f>
        <v>31</v>
      </c>
      <c r="K6" s="30">
        <f>IF(J6=0,0,L6/J6)</f>
        <v>5953.901935483872</v>
      </c>
      <c r="L6" s="32">
        <f>+SUM(START:END!L6)</f>
        <v>184570.96000000002</v>
      </c>
      <c r="M6" s="31">
        <f t="shared" ref="M6:M12" si="2">J6-D6</f>
        <v>14</v>
      </c>
      <c r="N6" s="33">
        <f t="shared" ref="N6:N12" si="3">L6-F6</f>
        <v>97107.00938271606</v>
      </c>
      <c r="O6" s="31">
        <f>+SUM(START:END!O6)</f>
        <v>25</v>
      </c>
      <c r="P6" s="30">
        <f>IF(O6=0,0,Q6/O6)</f>
        <v>5006.4736000000048</v>
      </c>
      <c r="Q6" s="32">
        <f>+SUM(START:END!Q6)</f>
        <v>125161.84000000011</v>
      </c>
      <c r="R6" s="31">
        <f>J6-O6</f>
        <v>6</v>
      </c>
      <c r="S6" s="34">
        <f>L6-Q6</f>
        <v>59409.119999999908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1"/>
        <v>Véhicules neufsCamions détail</v>
      </c>
      <c r="B7" s="11" t="str">
        <f t="shared" si="0"/>
        <v>Véhicules neufs</v>
      </c>
      <c r="C7" s="29" t="s">
        <v>16</v>
      </c>
      <c r="D7" s="30">
        <f>+SUM(START:END!D7)</f>
        <v>33</v>
      </c>
      <c r="E7" s="30">
        <f t="shared" ref="E7:E12" si="4">IF(D7=0,0,F7/D7)</f>
        <v>5386.4238410596026</v>
      </c>
      <c r="F7" s="30">
        <f>+SUM(START:END!F7)</f>
        <v>177751.9867549669</v>
      </c>
      <c r="G7" s="31">
        <f>+SUM(START:END!G7)</f>
        <v>0</v>
      </c>
      <c r="H7" s="30">
        <f t="shared" ref="H7:H12" si="5">IF(G7=0,0,I7/G7)</f>
        <v>0</v>
      </c>
      <c r="I7" s="30">
        <f>+SUM(START:END!I7)</f>
        <v>0</v>
      </c>
      <c r="J7" s="31">
        <f>+SUM(START:END!J7)</f>
        <v>47</v>
      </c>
      <c r="K7" s="30">
        <f t="shared" ref="K7:K12" si="6">IF(J7=0,0,L7/J7)</f>
        <v>4204.3804255319228</v>
      </c>
      <c r="L7" s="32">
        <f>+SUM(START:END!L7)</f>
        <v>197605.88000000035</v>
      </c>
      <c r="M7" s="31">
        <f t="shared" si="2"/>
        <v>14</v>
      </c>
      <c r="N7" s="33">
        <f t="shared" si="3"/>
        <v>19853.893245033454</v>
      </c>
      <c r="O7" s="31">
        <f>+SUM(START:END!O7)</f>
        <v>28</v>
      </c>
      <c r="P7" s="30">
        <f t="shared" ref="P7:P12" si="7">IF(O7=0,0,Q7/O7)</f>
        <v>4929.9374999999927</v>
      </c>
      <c r="Q7" s="32">
        <f>+SUM(START:END!Q7)</f>
        <v>138038.2499999998</v>
      </c>
      <c r="R7" s="31">
        <f t="shared" ref="R7:R12" si="8">J7-O7</f>
        <v>19</v>
      </c>
      <c r="S7" s="34">
        <f t="shared" ref="S7:S12" si="9">L7-Q7</f>
        <v>59567.630000000558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1"/>
        <v>Véhicules neufsSprinter</v>
      </c>
      <c r="B8" s="11" t="str">
        <f t="shared" si="0"/>
        <v>Véhicules neufs</v>
      </c>
      <c r="C8" s="29" t="s">
        <v>17</v>
      </c>
      <c r="D8" s="30">
        <f>+SUM(START:END!D8)</f>
        <v>0</v>
      </c>
      <c r="E8" s="30">
        <f t="shared" si="4"/>
        <v>0</v>
      </c>
      <c r="F8" s="30">
        <f>+SUM(START:END!F8)</f>
        <v>0</v>
      </c>
      <c r="G8" s="31">
        <f>+SUM(START:END!G8)</f>
        <v>0</v>
      </c>
      <c r="H8" s="30">
        <f t="shared" si="5"/>
        <v>0</v>
      </c>
      <c r="I8" s="30">
        <f>+SUM(START:END!I8)</f>
        <v>0</v>
      </c>
      <c r="J8" s="31">
        <f>+SUM(START:END!J8)</f>
        <v>0</v>
      </c>
      <c r="K8" s="30">
        <f t="shared" si="6"/>
        <v>0</v>
      </c>
      <c r="L8" s="32">
        <f>+SUM(START:END!L8)</f>
        <v>0</v>
      </c>
      <c r="M8" s="31">
        <f t="shared" si="2"/>
        <v>0</v>
      </c>
      <c r="N8" s="33">
        <f t="shared" si="3"/>
        <v>0</v>
      </c>
      <c r="O8" s="31">
        <f>+SUM(START:END!O8)</f>
        <v>0</v>
      </c>
      <c r="P8" s="30">
        <f t="shared" si="7"/>
        <v>0</v>
      </c>
      <c r="Q8" s="32">
        <f>+SUM(START:END!Q8)</f>
        <v>0</v>
      </c>
      <c r="R8" s="31">
        <f t="shared" si="8"/>
        <v>0</v>
      </c>
      <c r="S8" s="34">
        <f t="shared" si="9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1"/>
        <v>Véhicules neufsMoto détail</v>
      </c>
      <c r="B9" s="11" t="str">
        <f t="shared" si="0"/>
        <v>Véhicules neufs</v>
      </c>
      <c r="C9" s="29" t="s">
        <v>18</v>
      </c>
      <c r="D9" s="30">
        <f>+SUM(START:END!D9)</f>
        <v>0</v>
      </c>
      <c r="E9" s="30">
        <f t="shared" si="4"/>
        <v>0</v>
      </c>
      <c r="F9" s="30">
        <f>+SUM(START:END!F9)</f>
        <v>0</v>
      </c>
      <c r="G9" s="31">
        <f>+SUM(START:END!G9)</f>
        <v>0</v>
      </c>
      <c r="H9" s="30">
        <f t="shared" si="5"/>
        <v>0</v>
      </c>
      <c r="I9" s="30">
        <f>+SUM(START:END!I9)</f>
        <v>0</v>
      </c>
      <c r="J9" s="31">
        <f>+SUM(START:END!J9)</f>
        <v>0</v>
      </c>
      <c r="K9" s="30">
        <f t="shared" si="6"/>
        <v>0</v>
      </c>
      <c r="L9" s="32">
        <f>+SUM(START:END!L9)</f>
        <v>0</v>
      </c>
      <c r="M9" s="31">
        <f t="shared" si="2"/>
        <v>0</v>
      </c>
      <c r="N9" s="33">
        <f t="shared" si="3"/>
        <v>0</v>
      </c>
      <c r="O9" s="31">
        <f>+SUM(START:END!O9)</f>
        <v>0</v>
      </c>
      <c r="P9" s="30">
        <f t="shared" si="7"/>
        <v>0</v>
      </c>
      <c r="Q9" s="32">
        <f>+SUM(START:END!Q9)</f>
        <v>0</v>
      </c>
      <c r="R9" s="31">
        <f t="shared" si="8"/>
        <v>0</v>
      </c>
      <c r="S9" s="34">
        <f t="shared" si="9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1"/>
        <v>Véhicules neufs[...]</v>
      </c>
      <c r="B10" s="11" t="str">
        <f t="shared" si="0"/>
        <v>Véhicules neufs</v>
      </c>
      <c r="C10" s="29" t="s">
        <v>19</v>
      </c>
      <c r="D10" s="30">
        <f>+SUM(START:END!D10)</f>
        <v>0</v>
      </c>
      <c r="E10" s="30">
        <f t="shared" si="4"/>
        <v>0</v>
      </c>
      <c r="F10" s="30">
        <f>+SUM(START:END!F10)</f>
        <v>0</v>
      </c>
      <c r="G10" s="31">
        <f>+SUM(START:END!G10)</f>
        <v>0</v>
      </c>
      <c r="H10" s="30">
        <f t="shared" si="5"/>
        <v>0</v>
      </c>
      <c r="I10" s="30">
        <f>+SUM(START:END!I10)</f>
        <v>0</v>
      </c>
      <c r="J10" s="31">
        <f>+SUM(START:END!J10)</f>
        <v>0</v>
      </c>
      <c r="K10" s="30">
        <f t="shared" si="6"/>
        <v>0</v>
      </c>
      <c r="L10" s="32">
        <f>+SUM(START:END!L10)</f>
        <v>0</v>
      </c>
      <c r="M10" s="31">
        <f t="shared" si="2"/>
        <v>0</v>
      </c>
      <c r="N10" s="33">
        <f t="shared" si="3"/>
        <v>0</v>
      </c>
      <c r="O10" s="31">
        <f>+SUM(START:END!O10)</f>
        <v>0</v>
      </c>
      <c r="P10" s="30">
        <f t="shared" si="7"/>
        <v>0</v>
      </c>
      <c r="Q10" s="32">
        <f>+SUM(START:END!Q10)</f>
        <v>0</v>
      </c>
      <c r="R10" s="31">
        <f t="shared" si="8"/>
        <v>0</v>
      </c>
      <c r="S10" s="34">
        <f t="shared" si="9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1"/>
        <v>Véhicules neufs[...]</v>
      </c>
      <c r="B11" s="11" t="str">
        <f t="shared" si="0"/>
        <v>Véhicules neufs</v>
      </c>
      <c r="C11" s="29" t="s">
        <v>19</v>
      </c>
      <c r="D11" s="30">
        <f>+SUM(START:END!D11)</f>
        <v>0</v>
      </c>
      <c r="E11" s="30">
        <f t="shared" si="4"/>
        <v>0</v>
      </c>
      <c r="F11" s="30">
        <f>+SUM(START:END!F11)</f>
        <v>0</v>
      </c>
      <c r="G11" s="31">
        <f>+SUM(START:END!G11)</f>
        <v>0</v>
      </c>
      <c r="H11" s="30">
        <f t="shared" si="5"/>
        <v>0</v>
      </c>
      <c r="I11" s="30">
        <f>+SUM(START:END!I11)</f>
        <v>0</v>
      </c>
      <c r="J11" s="31">
        <f>+SUM(START:END!J11)</f>
        <v>0</v>
      </c>
      <c r="K11" s="30">
        <f t="shared" si="6"/>
        <v>0</v>
      </c>
      <c r="L11" s="32">
        <f>+SUM(START:END!L11)</f>
        <v>0</v>
      </c>
      <c r="M11" s="31">
        <f t="shared" si="2"/>
        <v>0</v>
      </c>
      <c r="N11" s="33">
        <f t="shared" si="3"/>
        <v>0</v>
      </c>
      <c r="O11" s="31">
        <f>+SUM(START:END!O11)</f>
        <v>0</v>
      </c>
      <c r="P11" s="30">
        <f t="shared" si="7"/>
        <v>0</v>
      </c>
      <c r="Q11" s="32">
        <f>+SUM(START:END!Q11)</f>
        <v>0</v>
      </c>
      <c r="R11" s="31">
        <f t="shared" si="8"/>
        <v>0</v>
      </c>
      <c r="S11" s="34">
        <f t="shared" si="9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1"/>
        <v>Véhicules neufs[...]</v>
      </c>
      <c r="B12" s="11" t="str">
        <f t="shared" si="0"/>
        <v>Véhicules neufs</v>
      </c>
      <c r="C12" s="29" t="s">
        <v>19</v>
      </c>
      <c r="D12" s="30">
        <f>+SUM(START:END!D12)</f>
        <v>0</v>
      </c>
      <c r="E12" s="30">
        <f t="shared" si="4"/>
        <v>0</v>
      </c>
      <c r="F12" s="30">
        <f>+SUM(START:END!F12)</f>
        <v>0</v>
      </c>
      <c r="G12" s="31">
        <f>+SUM(START:END!G12)</f>
        <v>0</v>
      </c>
      <c r="H12" s="30">
        <f t="shared" si="5"/>
        <v>0</v>
      </c>
      <c r="I12" s="30">
        <f>+SUM(START:END!I12)</f>
        <v>0</v>
      </c>
      <c r="J12" s="31">
        <f>+SUM(START:END!J12)</f>
        <v>0</v>
      </c>
      <c r="K12" s="30">
        <f t="shared" si="6"/>
        <v>0</v>
      </c>
      <c r="L12" s="32">
        <f>+SUM(START:END!L12)</f>
        <v>0</v>
      </c>
      <c r="M12" s="31">
        <f t="shared" si="2"/>
        <v>0</v>
      </c>
      <c r="N12" s="33">
        <f t="shared" si="3"/>
        <v>0</v>
      </c>
      <c r="O12" s="31">
        <f>+SUM(START:END!O12)</f>
        <v>0</v>
      </c>
      <c r="P12" s="30">
        <f t="shared" si="7"/>
        <v>0</v>
      </c>
      <c r="Q12" s="32">
        <f>+SUM(START:END!Q12)</f>
        <v>0</v>
      </c>
      <c r="R12" s="31">
        <f t="shared" si="8"/>
        <v>0</v>
      </c>
      <c r="S12" s="34">
        <f t="shared" si="9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1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50</v>
      </c>
      <c r="E13" s="36">
        <f>IF(D13&lt;=0,0,F13/D13)</f>
        <v>5304.3187474450169</v>
      </c>
      <c r="F13" s="37">
        <f>+SUM(F6:F12)</f>
        <v>265215.93737225083</v>
      </c>
      <c r="G13" s="38">
        <f>+SUM(G6:G12)</f>
        <v>0</v>
      </c>
      <c r="H13" s="36">
        <f>IF(G13&lt;=0,0,I13/G13)</f>
        <v>0</v>
      </c>
      <c r="I13" s="37">
        <f>+SUM(I6:I12)</f>
        <v>0</v>
      </c>
      <c r="J13" s="38">
        <f>+SUM(J6:J12)</f>
        <v>78</v>
      </c>
      <c r="K13" s="36">
        <f>IF(J13&lt;=0,0,L13/J13)</f>
        <v>4899.7030769230814</v>
      </c>
      <c r="L13" s="37">
        <f>+SUM(L6:L12)</f>
        <v>382176.84000000037</v>
      </c>
      <c r="M13" s="38">
        <f>+SUM(M6:M12)</f>
        <v>28</v>
      </c>
      <c r="N13" s="37">
        <f>+SUM(N6:N12)</f>
        <v>116960.90262774951</v>
      </c>
      <c r="O13" s="38">
        <f>+SUM(O6:O12)</f>
        <v>53</v>
      </c>
      <c r="P13" s="36">
        <f>IF(O13&lt;=0,0,Q13/O13)</f>
        <v>4966.0394339622626</v>
      </c>
      <c r="Q13" s="37">
        <f>+SUM(Q6:Q12)</f>
        <v>263200.08999999991</v>
      </c>
      <c r="R13" s="38">
        <f>+SUM(R6:R12)</f>
        <v>25</v>
      </c>
      <c r="S13" s="39">
        <f>+SUM(S6:S12)</f>
        <v>118976.75000000047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1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0.56000000000000005</v>
      </c>
      <c r="N14" s="43">
        <f>IF(F13=0,0,N13/F13)</f>
        <v>0.44100254225516605</v>
      </c>
      <c r="O14" s="41"/>
      <c r="P14" s="30"/>
      <c r="Q14" s="40"/>
      <c r="R14" s="42">
        <f>R13/O13</f>
        <v>0.47169811320754718</v>
      </c>
      <c r="S14" s="44">
        <f>IF(Q13=0,0,(S13/Q13))</f>
        <v>0.45203916913554437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1"/>
        <v>Véhicules neufsEx-Démos et courtoisies</v>
      </c>
      <c r="B15" s="11" t="str">
        <f t="shared" si="0"/>
        <v>Véhicules neufs</v>
      </c>
      <c r="C15" s="45" t="s">
        <v>21</v>
      </c>
      <c r="D15" s="25">
        <f>+SUM(START:END!D15)</f>
        <v>5</v>
      </c>
      <c r="E15" s="25">
        <f>IF(D15=0,0,F15/D15)</f>
        <v>2500</v>
      </c>
      <c r="F15" s="22">
        <f>+SUM(START:END!F15)</f>
        <v>12500</v>
      </c>
      <c r="G15" s="46">
        <f>+SUM(START:END!G15)</f>
        <v>0</v>
      </c>
      <c r="H15" s="47">
        <f>IF(G15=0,0,I15/G15)</f>
        <v>0</v>
      </c>
      <c r="I15" s="48">
        <f>+SUM(START:END!I15)</f>
        <v>0</v>
      </c>
      <c r="J15" s="49">
        <f>+SUM(START:END!J15)</f>
        <v>5</v>
      </c>
      <c r="K15" s="50">
        <f>IF(J15=0,0,L15/J15)</f>
        <v>-2997.0700000000011</v>
      </c>
      <c r="L15" s="50">
        <f>+SUM(START:END!L15)</f>
        <v>-14985.350000000006</v>
      </c>
      <c r="M15" s="51">
        <f>J15-D15</f>
        <v>0</v>
      </c>
      <c r="N15" s="48">
        <f>L15-F15</f>
        <v>-27485.350000000006</v>
      </c>
      <c r="O15" s="49">
        <f>+SUM(START:END!O15)</f>
        <v>7</v>
      </c>
      <c r="P15" s="50">
        <f>IF(O15=0,0,Q15/O15)</f>
        <v>371.24857142857138</v>
      </c>
      <c r="Q15" s="50">
        <f>+SUM(START:END!Q15)</f>
        <v>2598.7399999999998</v>
      </c>
      <c r="R15" s="51">
        <f>J15-O15</f>
        <v>-2</v>
      </c>
      <c r="S15" s="52">
        <f>L15-Q15</f>
        <v>-17584.090000000004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1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1"/>
        <v>Véhicules neufsFlottes</v>
      </c>
      <c r="B17" s="11" t="str">
        <f t="shared" si="0"/>
        <v>Véhicules neufs</v>
      </c>
      <c r="C17" s="53" t="s">
        <v>22</v>
      </c>
      <c r="D17" s="30">
        <f>+SUM(START:END!D17)</f>
        <v>0</v>
      </c>
      <c r="E17" s="30">
        <f>IF(D17=0,0,F17/D17)</f>
        <v>0</v>
      </c>
      <c r="F17" s="30">
        <f>+SUM(START:END!F17)</f>
        <v>0</v>
      </c>
      <c r="G17" s="31">
        <f>+SUM(START:END!G17)</f>
        <v>0</v>
      </c>
      <c r="H17" s="30">
        <f>IF(G17=0,0,I17/G17)</f>
        <v>0</v>
      </c>
      <c r="I17" s="30">
        <f>+SUM(START:END!I17)</f>
        <v>0</v>
      </c>
      <c r="J17" s="51">
        <f>+SUM(START:END!J17)</f>
        <v>3</v>
      </c>
      <c r="K17" s="30">
        <f>IF(J17=0,0,L17/J17)</f>
        <v>156.58666666666977</v>
      </c>
      <c r="L17" s="33">
        <f>+SUM(START:END!L17)</f>
        <v>469.76000000000931</v>
      </c>
      <c r="M17" s="51">
        <f>J17-D17</f>
        <v>3</v>
      </c>
      <c r="N17" s="33">
        <f>L17-F17</f>
        <v>469.76000000000931</v>
      </c>
      <c r="O17" s="51">
        <f>+SUM(START:END!O17)</f>
        <v>0</v>
      </c>
      <c r="P17" s="30">
        <f>IF(O17=0,0,Q17/O17)</f>
        <v>0</v>
      </c>
      <c r="Q17" s="33">
        <f>+SUM(START:END!Q17)</f>
        <v>0</v>
      </c>
      <c r="R17" s="31">
        <f>J17-O17</f>
        <v>3</v>
      </c>
      <c r="S17" s="34">
        <f>L17-Q17</f>
        <v>469.76000000000931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1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1"/>
        <v>Véhicules neufsRachat bail</v>
      </c>
      <c r="B19" s="11" t="str">
        <f t="shared" si="0"/>
        <v>Véhicules neufs</v>
      </c>
      <c r="C19" s="45" t="s">
        <v>23</v>
      </c>
      <c r="D19" s="30"/>
      <c r="E19" s="30"/>
      <c r="F19" s="30">
        <f>+SUM(START:END!F19)</f>
        <v>8253.1163521339186</v>
      </c>
      <c r="G19" s="31"/>
      <c r="H19" s="30"/>
      <c r="I19" s="30">
        <f>+SUM(START:END!I19)</f>
        <v>0</v>
      </c>
      <c r="J19" s="46"/>
      <c r="K19" s="30"/>
      <c r="L19" s="33">
        <f>+SUM(START:END!L19)</f>
        <v>5876.8900000000067</v>
      </c>
      <c r="M19" s="31"/>
      <c r="N19" s="33">
        <f>L19-F19</f>
        <v>-2376.2263521339119</v>
      </c>
      <c r="O19" s="46"/>
      <c r="P19" s="30"/>
      <c r="Q19" s="33">
        <f>+SUM(START:END!Q19)</f>
        <v>20519</v>
      </c>
      <c r="R19" s="31">
        <f>O19-K19</f>
        <v>0</v>
      </c>
      <c r="S19" s="34">
        <f>L19-Q19</f>
        <v>-14642.109999999993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1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1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f>+SUM(START:END!F21)</f>
        <v>4675</v>
      </c>
      <c r="G21" s="41">
        <v>0</v>
      </c>
      <c r="H21" s="30">
        <f>IF(G21=0,0,I21/G21)</f>
        <v>0</v>
      </c>
      <c r="I21" s="30">
        <f>+SUM(START:END!I21)</f>
        <v>0</v>
      </c>
      <c r="J21" s="31"/>
      <c r="K21" s="30">
        <f>IF(J13=0,0,L21/(J13+J15))</f>
        <v>14.959156626506022</v>
      </c>
      <c r="L21" s="33">
        <f>+SUM(START:END!L21)</f>
        <v>1241.6099999999999</v>
      </c>
      <c r="M21" s="31"/>
      <c r="N21" s="33">
        <f>L21-F21</f>
        <v>-3433.3900000000003</v>
      </c>
      <c r="O21" s="31"/>
      <c r="P21" s="30">
        <f>IF(O13=0,0,Q21/(O13+O15))</f>
        <v>6.5691666666666659</v>
      </c>
      <c r="Q21" s="33">
        <f>+SUM(START:END!Q21)</f>
        <v>394.15</v>
      </c>
      <c r="R21" s="31">
        <f>O21-K21</f>
        <v>-14.959156626506022</v>
      </c>
      <c r="S21" s="34">
        <f>L21-Q21</f>
        <v>847.45999999999992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1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f>+SUM(START:END!F22)</f>
        <v>56100</v>
      </c>
      <c r="G22" s="41">
        <v>0</v>
      </c>
      <c r="H22" s="30">
        <f>IF(G22=0,0,I22/G22)</f>
        <v>0</v>
      </c>
      <c r="I22" s="30">
        <f>+SUM(START:END!I22)</f>
        <v>0</v>
      </c>
      <c r="J22" s="31"/>
      <c r="K22" s="30">
        <f>IF(J13=0,0,L22/(J13+J15))</f>
        <v>1180.6880722891565</v>
      </c>
      <c r="L22" s="33">
        <f>+SUM(START:END!L22)</f>
        <v>97997.109999999986</v>
      </c>
      <c r="M22" s="31"/>
      <c r="N22" s="33">
        <f>L22-F22</f>
        <v>41897.109999999986</v>
      </c>
      <c r="O22" s="31"/>
      <c r="P22" s="30">
        <f>IF(O13=0,0,Q22/(O13+O15))</f>
        <v>1141.0166666666667</v>
      </c>
      <c r="Q22" s="33">
        <f>+SUM(START:END!Q22)</f>
        <v>68461</v>
      </c>
      <c r="R22" s="31">
        <f>O22-K22</f>
        <v>-1180.6880722891565</v>
      </c>
      <c r="S22" s="34">
        <f>L22-Q22</f>
        <v>29536.109999999986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1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f>+SUM(START:END!F23)</f>
        <v>27225</v>
      </c>
      <c r="G23" s="41">
        <v>0</v>
      </c>
      <c r="H23" s="30">
        <f>IF(G23=0,0,I23/G23)</f>
        <v>0</v>
      </c>
      <c r="I23" s="30">
        <f>+SUM(START:END!I23)</f>
        <v>0</v>
      </c>
      <c r="J23" s="31"/>
      <c r="K23" s="30">
        <f>IF(J13=0,0,L23/(J13+J15))</f>
        <v>442.2304819277108</v>
      </c>
      <c r="L23" s="33">
        <f>+SUM(START:END!L23)</f>
        <v>36705.129999999997</v>
      </c>
      <c r="M23" s="51"/>
      <c r="N23" s="33">
        <f>L23-F23</f>
        <v>9480.1299999999974</v>
      </c>
      <c r="O23" s="31"/>
      <c r="P23" s="30">
        <f>IF(O13=0,0,Q23/(O13+O15))</f>
        <v>431.01816666666667</v>
      </c>
      <c r="Q23" s="33">
        <f>+SUM(START:END!Q23)</f>
        <v>25861.09</v>
      </c>
      <c r="R23" s="31">
        <f>O23-K23</f>
        <v>-442.2304819277108</v>
      </c>
      <c r="S23" s="34">
        <f>L23-Q23</f>
        <v>10844.039999999997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1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55</v>
      </c>
      <c r="E24" s="36">
        <f>IF(D24&lt;=0,0,F24/D24)</f>
        <v>1600</v>
      </c>
      <c r="F24" s="37">
        <f>F21+F22+F23</f>
        <v>88000</v>
      </c>
      <c r="G24" s="38">
        <f>+G15+G13</f>
        <v>0</v>
      </c>
      <c r="H24" s="36">
        <f>IF(G24&lt;=0,0,I24/G24)</f>
        <v>0</v>
      </c>
      <c r="I24" s="37">
        <f>I21+I22+I23</f>
        <v>0</v>
      </c>
      <c r="J24" s="38">
        <f>+J15+J13</f>
        <v>83</v>
      </c>
      <c r="K24" s="36">
        <f>IF(J24&lt;=0,0,L24/J24)</f>
        <v>1637.8777108433733</v>
      </c>
      <c r="L24" s="37">
        <f>L21+L22+L23</f>
        <v>135943.84999999998</v>
      </c>
      <c r="M24" s="58">
        <f>J24-D24</f>
        <v>28</v>
      </c>
      <c r="N24" s="37">
        <f>L24-F24</f>
        <v>47943.849999999977</v>
      </c>
      <c r="O24" s="38">
        <f>+O15+O13</f>
        <v>60</v>
      </c>
      <c r="P24" s="36">
        <f>IF(O24&lt;=0,0,Q24/O24)</f>
        <v>1578.6039999999998</v>
      </c>
      <c r="Q24" s="37">
        <f>Q21+Q22+Q23</f>
        <v>94716.239999999991</v>
      </c>
      <c r="R24" s="56"/>
      <c r="S24" s="39">
        <f>L24-Q24</f>
        <v>41227.609999999986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1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0.54481647727272697</v>
      </c>
      <c r="O25" s="41"/>
      <c r="P25" s="13"/>
      <c r="Q25" s="59"/>
      <c r="R25" s="60"/>
      <c r="S25" s="44">
        <f>IF(Q24=0,0,(S24/Q24))</f>
        <v>0.43527498557797467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1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55</v>
      </c>
      <c r="E27" s="64">
        <f>IF(D27&lt;=0,0,F27/D27)</f>
        <v>6799.4373404433591</v>
      </c>
      <c r="F27" s="65">
        <f>F13+F17+F24+F19+F15</f>
        <v>373969.05372438475</v>
      </c>
      <c r="G27" s="66">
        <f>+G13+G15+G17</f>
        <v>0</v>
      </c>
      <c r="H27" s="67">
        <f>IF(G27&lt;=0,0,I27/G27)</f>
        <v>0</v>
      </c>
      <c r="I27" s="65">
        <f>I13+I17+I24+I19+I15</f>
        <v>0</v>
      </c>
      <c r="J27" s="66">
        <f>+J13+J15+J17</f>
        <v>86</v>
      </c>
      <c r="K27" s="67">
        <f>IF(J27&lt;=0,0,L27/J27)</f>
        <v>5924.2091860465152</v>
      </c>
      <c r="L27" s="65">
        <f>L13+L17+L24+L19+L15</f>
        <v>509481.99000000034</v>
      </c>
      <c r="M27" s="66">
        <f>J27-D27</f>
        <v>31</v>
      </c>
      <c r="N27" s="65">
        <f>L27-F27</f>
        <v>135512.93627561559</v>
      </c>
      <c r="O27" s="66">
        <f>+O13+O15+O17</f>
        <v>60</v>
      </c>
      <c r="P27" s="67">
        <f>IF(O27&lt;=0,0,Q27/O27)</f>
        <v>6350.5678333333317</v>
      </c>
      <c r="Q27" s="65">
        <f>Q13+Q17+Q24+Q19+Q15</f>
        <v>381034.06999999989</v>
      </c>
      <c r="R27" s="66">
        <f>J27-O27</f>
        <v>26</v>
      </c>
      <c r="S27" s="68">
        <f>L27-Q27</f>
        <v>128447.92000000045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1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0.5636363636363636</v>
      </c>
      <c r="N28" s="74">
        <f>N27/F27</f>
        <v>0.36236403768181485</v>
      </c>
      <c r="O28" s="72"/>
      <c r="P28" s="70"/>
      <c r="Q28" s="71"/>
      <c r="R28" s="73">
        <f>R27/O27</f>
        <v>0.43333333333333335</v>
      </c>
      <c r="S28" s="75">
        <f>IF(Q27=0,0,S27/Q27)</f>
        <v>0.33710350363157943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1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1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1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0.2980884979267463</v>
      </c>
      <c r="E31" s="82">
        <f t="shared" ref="E31:E40" si="10">F31/D$24</f>
        <v>1505.1623022111382</v>
      </c>
      <c r="F31" s="30">
        <f>+SUM(START:END!F31)</f>
        <v>82783.926621612598</v>
      </c>
      <c r="G31" s="157"/>
      <c r="H31" s="82" t="e">
        <f t="shared" ref="H31:H40" si="11">I31/G$24</f>
        <v>#DIV/0!</v>
      </c>
      <c r="I31" s="30">
        <f>+SUM(START:END!I31)</f>
        <v>0</v>
      </c>
      <c r="J31" s="157">
        <f>L31/(L13+L15)</f>
        <v>0.30732961703442502</v>
      </c>
      <c r="K31" s="82">
        <f t="shared" ref="K31:K40" si="12">IF(L31=0,0,L31/J$24)</f>
        <v>1359.6243373493976</v>
      </c>
      <c r="L31" s="30">
        <f>+SUM(START:END!L31)</f>
        <v>112848.82</v>
      </c>
      <c r="M31" s="41"/>
      <c r="N31" s="59">
        <f t="shared" ref="N31:N53" si="13">L31-F31</f>
        <v>30064.893378387409</v>
      </c>
      <c r="O31" s="157">
        <f>Q31/(Q13+Q15+Q17)</f>
        <v>0.35812068849212031</v>
      </c>
      <c r="P31" s="82">
        <f t="shared" ref="P31:P40" si="14">IF(Q31=0,0,Q31/O$24)</f>
        <v>1586.4676666666669</v>
      </c>
      <c r="Q31" s="33">
        <f>+SUM(START:END!Q31)</f>
        <v>95188.060000000012</v>
      </c>
      <c r="R31" s="41"/>
      <c r="S31" s="85">
        <f t="shared" ref="S31:S53" si="15">L31-Q31</f>
        <v>17660.759999999995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1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0.25</v>
      </c>
      <c r="E32" s="88">
        <f t="shared" si="10"/>
        <v>400</v>
      </c>
      <c r="F32" s="22">
        <f>+SUM(START:END!F32)</f>
        <v>22000</v>
      </c>
      <c r="G32" s="162"/>
      <c r="H32" s="90" t="e">
        <f t="shared" si="11"/>
        <v>#DIV/0!</v>
      </c>
      <c r="I32" s="22">
        <f>+SUM(START:END!I32)</f>
        <v>0</v>
      </c>
      <c r="J32" s="162">
        <f>L32/L24</f>
        <v>0.36295742690824195</v>
      </c>
      <c r="K32" s="88">
        <f t="shared" si="12"/>
        <v>594.47987951807227</v>
      </c>
      <c r="L32" s="22">
        <f>+SUM(START:END!L32)</f>
        <v>49341.83</v>
      </c>
      <c r="M32" s="23"/>
      <c r="N32" s="91">
        <f t="shared" si="13"/>
        <v>27341.83</v>
      </c>
      <c r="O32" s="162">
        <f>Q32/Q24</f>
        <v>0.24894421484636642</v>
      </c>
      <c r="P32" s="88">
        <f t="shared" si="14"/>
        <v>392.98433333333338</v>
      </c>
      <c r="Q32" s="22">
        <f>+SUM(START:END!Q32)</f>
        <v>23579.06</v>
      </c>
      <c r="R32" s="23"/>
      <c r="S32" s="92">
        <f t="shared" si="15"/>
        <v>25762.77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1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100</v>
      </c>
      <c r="F33" s="30">
        <f>+SUM(START:END!F33)</f>
        <v>5500</v>
      </c>
      <c r="G33" s="83"/>
      <c r="H33" s="82" t="e">
        <f t="shared" si="11"/>
        <v>#DIV/0!</v>
      </c>
      <c r="I33" s="30">
        <f>+SUM(START:END!I33)</f>
        <v>0</v>
      </c>
      <c r="J33" s="41"/>
      <c r="K33" s="82">
        <f t="shared" si="12"/>
        <v>93.779879518072278</v>
      </c>
      <c r="L33" s="30">
        <f>+SUM(START:END!L33)</f>
        <v>7783.73</v>
      </c>
      <c r="M33" s="41"/>
      <c r="N33" s="59">
        <f t="shared" si="13"/>
        <v>2283.7299999999996</v>
      </c>
      <c r="O33" s="41"/>
      <c r="P33" s="82">
        <f t="shared" si="14"/>
        <v>83.309333333333328</v>
      </c>
      <c r="Q33" s="33">
        <f>+SUM(START:END!Q33)</f>
        <v>4998.5599999999995</v>
      </c>
      <c r="R33" s="41"/>
      <c r="S33" s="85">
        <f t="shared" si="15"/>
        <v>2785.17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1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45</v>
      </c>
      <c r="F34" s="30">
        <f>+SUM(START:END!F34)</f>
        <v>2475</v>
      </c>
      <c r="G34" s="83"/>
      <c r="H34" s="82" t="e">
        <f t="shared" si="11"/>
        <v>#DIV/0!</v>
      </c>
      <c r="I34" s="30">
        <f>+SUM(START:END!I34)</f>
        <v>0</v>
      </c>
      <c r="J34" s="41"/>
      <c r="K34" s="82">
        <f t="shared" si="12"/>
        <v>40.999277108433738</v>
      </c>
      <c r="L34" s="30">
        <f>+SUM(START:END!L34)</f>
        <v>3402.94</v>
      </c>
      <c r="M34" s="41"/>
      <c r="N34" s="59">
        <f t="shared" si="13"/>
        <v>927.94</v>
      </c>
      <c r="O34" s="41"/>
      <c r="P34" s="82">
        <f t="shared" si="14"/>
        <v>39.964000000000006</v>
      </c>
      <c r="Q34" s="33">
        <f>+SUM(START:END!Q34)</f>
        <v>2397.84</v>
      </c>
      <c r="R34" s="41"/>
      <c r="S34" s="85">
        <f t="shared" si="15"/>
        <v>1005.0999999999999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1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48.18181818181818</v>
      </c>
      <c r="F35" s="22">
        <f>+SUM(START:END!F35)</f>
        <v>2650</v>
      </c>
      <c r="G35" s="89"/>
      <c r="H35" s="90" t="e">
        <f t="shared" si="11"/>
        <v>#DIV/0!</v>
      </c>
      <c r="I35" s="22">
        <f>+SUM(START:END!I35)</f>
        <v>0</v>
      </c>
      <c r="J35" s="23"/>
      <c r="K35" s="88">
        <f t="shared" si="12"/>
        <v>76.910481927710833</v>
      </c>
      <c r="L35" s="22">
        <f>+SUM(START:END!L35)</f>
        <v>6383.57</v>
      </c>
      <c r="M35" s="23"/>
      <c r="N35" s="91">
        <f t="shared" si="13"/>
        <v>3733.5699999999997</v>
      </c>
      <c r="O35" s="23"/>
      <c r="P35" s="88">
        <f t="shared" si="14"/>
        <v>58.664999999999999</v>
      </c>
      <c r="Q35" s="33">
        <f>+SUM(START:END!Q35)</f>
        <v>3519.9</v>
      </c>
      <c r="R35" s="23"/>
      <c r="S35" s="92">
        <f t="shared" si="15"/>
        <v>2863.6699999999996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1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496.609375</v>
      </c>
      <c r="F36" s="30">
        <f>+SUM(START:END!F36)</f>
        <v>27313.515625</v>
      </c>
      <c r="G36" s="83"/>
      <c r="H36" s="82" t="e">
        <f t="shared" si="11"/>
        <v>#DIV/0!</v>
      </c>
      <c r="I36" s="30">
        <f>+SUM(START:END!I36)</f>
        <v>0</v>
      </c>
      <c r="J36" s="41"/>
      <c r="K36" s="82">
        <f t="shared" si="12"/>
        <v>652.79192771084342</v>
      </c>
      <c r="L36" s="459">
        <f>+SUM(START:END!L36)</f>
        <v>54181.73</v>
      </c>
      <c r="M36" s="13"/>
      <c r="N36" s="59">
        <f t="shared" si="13"/>
        <v>26868.214375000003</v>
      </c>
      <c r="O36" s="41"/>
      <c r="P36" s="82">
        <f t="shared" si="14"/>
        <v>606.7208333333333</v>
      </c>
      <c r="Q36" s="55">
        <f>+SUM(START:END!Q36)</f>
        <v>36403.25</v>
      </c>
      <c r="R36" s="41"/>
      <c r="S36" s="85">
        <f t="shared" si="15"/>
        <v>17778.480000000003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si="1"/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1346.5109554109831</v>
      </c>
      <c r="F37" s="30">
        <f>+SUM(START:END!F37)</f>
        <v>74058.102547604067</v>
      </c>
      <c r="G37" s="83"/>
      <c r="H37" s="82" t="e">
        <f t="shared" si="11"/>
        <v>#DIV/0!</v>
      </c>
      <c r="I37" s="30">
        <f>+SUM(START:END!I37)</f>
        <v>0</v>
      </c>
      <c r="J37" s="41"/>
      <c r="K37" s="82">
        <f t="shared" si="12"/>
        <v>961.48554216867478</v>
      </c>
      <c r="L37" s="460">
        <f>+SUM(START:END!L37)</f>
        <v>79803.3</v>
      </c>
      <c r="M37" s="13"/>
      <c r="N37" s="59">
        <f t="shared" si="13"/>
        <v>5745.1974523959361</v>
      </c>
      <c r="O37" s="41"/>
      <c r="P37" s="82">
        <f t="shared" si="14"/>
        <v>738.43600000000004</v>
      </c>
      <c r="Q37" s="33">
        <f>+SUM(START:END!Q37)</f>
        <v>44306.16</v>
      </c>
      <c r="R37" s="41"/>
      <c r="S37" s="85">
        <f>L37-Q37</f>
        <v>35497.14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"/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f>+SUM(START:END!F38)</f>
        <v>0</v>
      </c>
      <c r="G38" s="83"/>
      <c r="H38" s="82" t="e">
        <f t="shared" si="11"/>
        <v>#DIV/0!</v>
      </c>
      <c r="I38" s="30">
        <f>+SUM(START:END!I38)</f>
        <v>0</v>
      </c>
      <c r="J38" s="41"/>
      <c r="K38" s="82">
        <f t="shared" si="12"/>
        <v>0</v>
      </c>
      <c r="L38" s="460">
        <f>+SUM(START:END!L38)</f>
        <v>0</v>
      </c>
      <c r="M38" s="13"/>
      <c r="N38" s="59">
        <f t="shared" si="13"/>
        <v>0</v>
      </c>
      <c r="O38" s="41"/>
      <c r="P38" s="82">
        <f t="shared" si="14"/>
        <v>0</v>
      </c>
      <c r="Q38" s="33">
        <f>+SUM(START:END!Q38)</f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"/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f>+SUM(START:END!F39)</f>
        <v>0</v>
      </c>
      <c r="G39" s="83"/>
      <c r="H39" s="82" t="e">
        <f t="shared" si="11"/>
        <v>#DIV/0!</v>
      </c>
      <c r="I39" s="30">
        <f>+SUM(START:END!I39)</f>
        <v>0</v>
      </c>
      <c r="J39" s="41"/>
      <c r="K39" s="82">
        <f t="shared" si="12"/>
        <v>0</v>
      </c>
      <c r="L39" s="460">
        <f>+SUM(START:END!L39)</f>
        <v>0</v>
      </c>
      <c r="M39" s="13"/>
      <c r="N39" s="59">
        <f t="shared" si="13"/>
        <v>0</v>
      </c>
      <c r="O39" s="41"/>
      <c r="P39" s="82">
        <f t="shared" si="14"/>
        <v>0</v>
      </c>
      <c r="Q39" s="33">
        <f>+SUM(START:END!Q39)</f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"/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f>+SUM(START:END!F40)</f>
        <v>0</v>
      </c>
      <c r="G40" s="83"/>
      <c r="H40" s="82" t="e">
        <f t="shared" si="11"/>
        <v>#DIV/0!</v>
      </c>
      <c r="I40" s="30">
        <f>+SUM(START:END!I40)</f>
        <v>0</v>
      </c>
      <c r="J40" s="41"/>
      <c r="K40" s="82">
        <f t="shared" si="12"/>
        <v>0</v>
      </c>
      <c r="L40" s="461">
        <f>+SUM(START:END!L40)</f>
        <v>0</v>
      </c>
      <c r="M40" s="13"/>
      <c r="N40" s="59">
        <f t="shared" si="13"/>
        <v>0</v>
      </c>
      <c r="O40" s="41"/>
      <c r="P40" s="82">
        <f t="shared" si="14"/>
        <v>0</v>
      </c>
      <c r="Q40" s="33">
        <f>+SUM(START:END!Q40)</f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0.57967508978425786</v>
      </c>
      <c r="F41" s="96">
        <f>SUM(F31:F40)</f>
        <v>216780.54479421666</v>
      </c>
      <c r="G41" s="97" t="s">
        <v>38</v>
      </c>
      <c r="H41" s="95" t="e">
        <f>I41/I$27</f>
        <v>#DIV/0!</v>
      </c>
      <c r="I41" s="96">
        <f>SUM(I31:I40)</f>
        <v>0</v>
      </c>
      <c r="J41" s="97" t="s">
        <v>38</v>
      </c>
      <c r="K41" s="95">
        <f>L41/L$27</f>
        <v>0.61581356389064867</v>
      </c>
      <c r="L41" s="96">
        <f>SUM(L31:L40)</f>
        <v>313745.92000000004</v>
      </c>
      <c r="M41" s="98"/>
      <c r="N41" s="96">
        <f t="shared" si="13"/>
        <v>96965.375205783377</v>
      </c>
      <c r="O41" s="97" t="s">
        <v>38</v>
      </c>
      <c r="P41" s="95">
        <f>Q41/Q$27</f>
        <v>0.55216277641524303</v>
      </c>
      <c r="Q41" s="99">
        <f>SUM(Q31:Q40)</f>
        <v>210392.83</v>
      </c>
      <c r="R41" s="100"/>
      <c r="S41" s="101">
        <f t="shared" si="15"/>
        <v>103353.09000000005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f>+SUM(START:END!F42)</f>
        <v>37655.08664122138</v>
      </c>
      <c r="G42" s="41"/>
      <c r="H42" s="13"/>
      <c r="I42" s="30">
        <f>+SUM(START:END!I42)</f>
        <v>0</v>
      </c>
      <c r="J42" s="41"/>
      <c r="K42" s="13"/>
      <c r="L42" s="33">
        <f>+SUM(START:END!L42)</f>
        <v>37686.350000000006</v>
      </c>
      <c r="M42" s="41"/>
      <c r="N42" s="59">
        <f t="shared" si="13"/>
        <v>31.263358778625843</v>
      </c>
      <c r="O42" s="41"/>
      <c r="P42" s="13"/>
      <c r="Q42" s="33">
        <f>+SUM(START:END!Q42)</f>
        <v>47955.090000000004</v>
      </c>
      <c r="R42" s="41"/>
      <c r="S42" s="85">
        <f t="shared" si="15"/>
        <v>-10268.739999999998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f>+SUM(START:END!F43)</f>
        <v>26177.051908396945</v>
      </c>
      <c r="G43" s="83"/>
      <c r="H43" s="13"/>
      <c r="I43" s="22">
        <f>+SUM(START:END!I43)</f>
        <v>0</v>
      </c>
      <c r="J43" s="41"/>
      <c r="K43" s="13"/>
      <c r="L43" s="33">
        <f>+SUM(START:END!L43)</f>
        <v>31230.95</v>
      </c>
      <c r="M43" s="41"/>
      <c r="N43" s="59">
        <f t="shared" si="13"/>
        <v>5053.8980916030559</v>
      </c>
      <c r="O43" s="41"/>
      <c r="P43" s="13"/>
      <c r="Q43" s="33">
        <f>+SUM(START:END!Q43)</f>
        <v>19389.46</v>
      </c>
      <c r="R43" s="41"/>
      <c r="S43" s="85">
        <f t="shared" si="15"/>
        <v>11841.490000000002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f>+SUM(START:END!F44)</f>
        <v>1026</v>
      </c>
      <c r="G44" s="106"/>
      <c r="H44" s="105"/>
      <c r="I44" s="30">
        <f>+SUM(START:END!I44)</f>
        <v>0</v>
      </c>
      <c r="J44" s="107"/>
      <c r="K44" s="105"/>
      <c r="L44" s="108">
        <f>+SUM(START:END!L44)</f>
        <v>1026</v>
      </c>
      <c r="M44" s="107"/>
      <c r="N44" s="109">
        <f t="shared" si="13"/>
        <v>0</v>
      </c>
      <c r="O44" s="107"/>
      <c r="P44" s="105"/>
      <c r="Q44" s="108">
        <f>+SUM(START:END!Q44)</f>
        <v>1026</v>
      </c>
      <c r="R44" s="107"/>
      <c r="S44" s="110">
        <f t="shared" si="15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f>+SUM(START:END!F45)</f>
        <v>0</v>
      </c>
      <c r="G45" s="83"/>
      <c r="H45" s="13"/>
      <c r="I45" s="30">
        <f>+SUM(START:END!I45)</f>
        <v>0</v>
      </c>
      <c r="J45" s="41"/>
      <c r="K45" s="13"/>
      <c r="L45" s="33">
        <f>+SUM(START:END!L45)</f>
        <v>0</v>
      </c>
      <c r="M45" s="41"/>
      <c r="N45" s="59">
        <f t="shared" si="13"/>
        <v>0</v>
      </c>
      <c r="O45" s="41"/>
      <c r="P45" s="13"/>
      <c r="Q45" s="33">
        <f>+SUM(START:END!Q45)</f>
        <v>0</v>
      </c>
      <c r="R45" s="41"/>
      <c r="S45" s="85">
        <f t="shared" si="15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"/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f>+SUM(START:END!F46)</f>
        <v>0</v>
      </c>
      <c r="G46" s="83"/>
      <c r="H46" s="13"/>
      <c r="I46" s="30">
        <f>+SUM(START:END!I46)</f>
        <v>0</v>
      </c>
      <c r="J46" s="41"/>
      <c r="K46" s="13"/>
      <c r="L46" s="33">
        <f>+SUM(START:END!L46)</f>
        <v>0</v>
      </c>
      <c r="M46" s="41"/>
      <c r="N46" s="59">
        <f t="shared" si="13"/>
        <v>0</v>
      </c>
      <c r="O46" s="41"/>
      <c r="P46" s="13"/>
      <c r="Q46" s="33">
        <f>+SUM(START:END!Q46)</f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"/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f>+SUM(START:END!F47)</f>
        <v>0</v>
      </c>
      <c r="G47" s="83"/>
      <c r="H47" s="13"/>
      <c r="I47" s="30">
        <f>+SUM(START:END!I47)</f>
        <v>0</v>
      </c>
      <c r="J47" s="41"/>
      <c r="K47" s="13"/>
      <c r="L47" s="33">
        <f>+SUM(START:END!L47)</f>
        <v>0</v>
      </c>
      <c r="M47" s="41"/>
      <c r="N47" s="59">
        <f t="shared" si="13"/>
        <v>0</v>
      </c>
      <c r="O47" s="41"/>
      <c r="P47" s="13"/>
      <c r="Q47" s="33">
        <f>+SUM(START:END!Q47)</f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"/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f>+SUM(START:END!F48)</f>
        <v>0</v>
      </c>
      <c r="G48" s="83"/>
      <c r="H48" s="13"/>
      <c r="I48" s="30">
        <f>+SUM(START:END!I48)</f>
        <v>0</v>
      </c>
      <c r="J48" s="41"/>
      <c r="K48" s="13"/>
      <c r="L48" s="33">
        <f>+SUM(START:END!L48)</f>
        <v>0</v>
      </c>
      <c r="M48" s="41"/>
      <c r="N48" s="59">
        <f t="shared" si="13"/>
        <v>0</v>
      </c>
      <c r="O48" s="41"/>
      <c r="P48" s="13"/>
      <c r="Q48" s="33">
        <f>+SUM(START:END!Q48)</f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"/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f>+SUM(START:END!F49)</f>
        <v>19403.330517950784</v>
      </c>
      <c r="G49" s="83"/>
      <c r="H49" s="13"/>
      <c r="I49" s="22">
        <f>+SUM(START:END!I49)</f>
        <v>0</v>
      </c>
      <c r="J49" s="41"/>
      <c r="K49" s="13"/>
      <c r="L49" s="22">
        <f>+SUM(START:END!L49)</f>
        <v>25400.54</v>
      </c>
      <c r="M49" s="41"/>
      <c r="N49" s="59">
        <f t="shared" si="13"/>
        <v>5997.2094820492166</v>
      </c>
      <c r="O49" s="41"/>
      <c r="P49" s="13"/>
      <c r="Q49" s="22">
        <f>+SUM(START:END!Q49)</f>
        <v>22122.47</v>
      </c>
      <c r="R49" s="41"/>
      <c r="S49" s="85">
        <f t="shared" si="15"/>
        <v>3278.0699999999997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f>+SUM(START:END!F50)</f>
        <v>24878.945768658141</v>
      </c>
      <c r="G50" s="106"/>
      <c r="H50" s="105"/>
      <c r="I50" s="30">
        <f>+SUM(START:END!I50)</f>
        <v>0</v>
      </c>
      <c r="J50" s="107"/>
      <c r="K50" s="105"/>
      <c r="L50" s="33">
        <f>+SUM(START:END!L50)</f>
        <v>19484.48</v>
      </c>
      <c r="M50" s="107"/>
      <c r="N50" s="109">
        <f t="shared" si="13"/>
        <v>-5394.4657686581413</v>
      </c>
      <c r="O50" s="107"/>
      <c r="P50" s="105"/>
      <c r="Q50" s="33">
        <f>+SUM(START:END!Q50)</f>
        <v>19236.36</v>
      </c>
      <c r="R50" s="107"/>
      <c r="S50" s="110">
        <f t="shared" si="15"/>
        <v>248.11999999999898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f>+SUM(START:END!F51)</f>
        <v>11780.553468288072</v>
      </c>
      <c r="G51" s="83"/>
      <c r="H51" s="13"/>
      <c r="I51" s="30">
        <f>+SUM(START:END!I51)</f>
        <v>0</v>
      </c>
      <c r="J51" s="41"/>
      <c r="K51" s="13"/>
      <c r="L51" s="33">
        <f>+SUM(START:END!L51)</f>
        <v>14246.65</v>
      </c>
      <c r="M51" s="41"/>
      <c r="N51" s="59">
        <f t="shared" si="13"/>
        <v>2466.096531711928</v>
      </c>
      <c r="O51" s="41"/>
      <c r="P51" s="13"/>
      <c r="Q51" s="33">
        <f>+SUM(START:END!Q51)</f>
        <v>10833.369999999999</v>
      </c>
      <c r="R51" s="41"/>
      <c r="S51" s="85">
        <f t="shared" si="15"/>
        <v>3413.2800000000007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f>+SUM(START:END!F52)</f>
        <v>2660.1249767102099</v>
      </c>
      <c r="G52" s="83"/>
      <c r="H52" s="13"/>
      <c r="I52" s="30">
        <f>+SUM(START:END!I52)</f>
        <v>0</v>
      </c>
      <c r="J52" s="41"/>
      <c r="K52" s="13"/>
      <c r="L52" s="33">
        <f>+SUM(START:END!L52)</f>
        <v>424.01</v>
      </c>
      <c r="M52" s="41"/>
      <c r="N52" s="59">
        <f t="shared" si="13"/>
        <v>-2236.1149767102097</v>
      </c>
      <c r="O52" s="41"/>
      <c r="P52" s="13"/>
      <c r="Q52" s="33">
        <f>+SUM(START:END!Q52)</f>
        <v>505.31000000000006</v>
      </c>
      <c r="R52" s="41"/>
      <c r="S52" s="85">
        <f t="shared" si="15"/>
        <v>-81.300000000000068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f>+SUM(START:END!F53)</f>
        <v>0</v>
      </c>
      <c r="G53" s="89"/>
      <c r="H53" s="111"/>
      <c r="I53" s="30">
        <f>+SUM(START:END!I53)</f>
        <v>0</v>
      </c>
      <c r="J53" s="23"/>
      <c r="K53" s="111"/>
      <c r="L53" s="33">
        <f>+SUM(START:END!L53)</f>
        <v>0</v>
      </c>
      <c r="M53" s="23"/>
      <c r="N53" s="91">
        <f t="shared" si="13"/>
        <v>0</v>
      </c>
      <c r="O53" s="23"/>
      <c r="P53" s="111"/>
      <c r="Q53" s="33">
        <f>+SUM(START:END!Q53)</f>
        <v>0</v>
      </c>
      <c r="R53" s="23"/>
      <c r="S53" s="92">
        <f t="shared" si="15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0.33045807413868211</v>
      </c>
      <c r="F54" s="96">
        <f>+SUM(F42:F53)</f>
        <v>123581.09328122553</v>
      </c>
      <c r="G54" s="97" t="s">
        <v>38</v>
      </c>
      <c r="H54" s="95" t="e">
        <f>I54/I$27</f>
        <v>#DIV/0!</v>
      </c>
      <c r="I54" s="96">
        <f>+SUM(I42:I53)</f>
        <v>0</v>
      </c>
      <c r="J54" s="97" t="s">
        <v>38</v>
      </c>
      <c r="K54" s="95">
        <f>L54/L$27</f>
        <v>0.25417773845155917</v>
      </c>
      <c r="L54" s="96">
        <f>+SUM(L42:L53)</f>
        <v>129498.97999999998</v>
      </c>
      <c r="M54" s="100"/>
      <c r="N54" s="96">
        <f>+SUM(N42:N53)</f>
        <v>5917.8867187744754</v>
      </c>
      <c r="O54" s="97" t="s">
        <v>38</v>
      </c>
      <c r="P54" s="95">
        <f>Q54/Q$27</f>
        <v>0.3177355242800205</v>
      </c>
      <c r="Q54" s="96">
        <f>+SUM(Q42:Q53)</f>
        <v>121068.06</v>
      </c>
      <c r="R54" s="100"/>
      <c r="S54" s="101">
        <f>+SUM(S42:S53)</f>
        <v>8430.9200000000037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f>+SUM(START:END!F55)</f>
        <v>0</v>
      </c>
      <c r="G55" s="83"/>
      <c r="H55" s="13"/>
      <c r="I55" s="30">
        <f>+SUM(START:END!I55)</f>
        <v>0</v>
      </c>
      <c r="J55" s="41"/>
      <c r="K55" s="13"/>
      <c r="L55" s="33">
        <f>+SUM(START:END!L55)</f>
        <v>0</v>
      </c>
      <c r="M55" s="41"/>
      <c r="N55" s="59">
        <f t="shared" ref="N55:N71" si="16">L55-F55</f>
        <v>0</v>
      </c>
      <c r="O55" s="41"/>
      <c r="P55" s="13"/>
      <c r="Q55" s="33">
        <f>+SUM(START:END!Q55)</f>
        <v>0</v>
      </c>
      <c r="R55" s="41"/>
      <c r="S55" s="85">
        <f t="shared" ref="S55:S71" si="17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f>+SUM(START:END!F56)</f>
        <v>0</v>
      </c>
      <c r="G56" s="83"/>
      <c r="H56" s="13"/>
      <c r="I56" s="30">
        <f>+SUM(START:END!I56)</f>
        <v>0</v>
      </c>
      <c r="J56" s="41"/>
      <c r="K56" s="13"/>
      <c r="L56" s="33">
        <f>+SUM(START:END!L56)</f>
        <v>0</v>
      </c>
      <c r="M56" s="41"/>
      <c r="N56" s="59">
        <f t="shared" si="16"/>
        <v>0</v>
      </c>
      <c r="O56" s="41"/>
      <c r="P56" s="13"/>
      <c r="Q56" s="33">
        <f>+SUM(START:END!Q56)</f>
        <v>0</v>
      </c>
      <c r="R56" s="41"/>
      <c r="S56" s="85">
        <f t="shared" si="17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f>+SUM(START:END!F57)</f>
        <v>15240.250000000002</v>
      </c>
      <c r="G57" s="89"/>
      <c r="H57" s="111"/>
      <c r="I57" s="22">
        <f>+SUM(START:END!I57)</f>
        <v>0</v>
      </c>
      <c r="J57" s="23"/>
      <c r="K57" s="111"/>
      <c r="L57" s="22">
        <f>+SUM(START:END!L57)</f>
        <v>25939.54</v>
      </c>
      <c r="M57" s="23"/>
      <c r="N57" s="91">
        <f t="shared" si="16"/>
        <v>10699.289999999999</v>
      </c>
      <c r="O57" s="23"/>
      <c r="P57" s="111"/>
      <c r="Q57" s="22">
        <f>+SUM(START:END!Q57)</f>
        <v>15449.009999999998</v>
      </c>
      <c r="R57" s="23"/>
      <c r="S57" s="92">
        <f t="shared" si="17"/>
        <v>10490.530000000002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f>+SUM(START:END!F58)</f>
        <v>14979.150000000001</v>
      </c>
      <c r="G58" s="83"/>
      <c r="H58" s="13"/>
      <c r="I58" s="30">
        <f>+SUM(START:END!I58)</f>
        <v>0</v>
      </c>
      <c r="J58" s="41"/>
      <c r="K58" s="13"/>
      <c r="L58" s="33">
        <f>+SUM(START:END!L58)</f>
        <v>13774.49</v>
      </c>
      <c r="M58" s="41"/>
      <c r="N58" s="59">
        <f t="shared" si="16"/>
        <v>-1204.6600000000017</v>
      </c>
      <c r="O58" s="41"/>
      <c r="P58" s="13"/>
      <c r="Q58" s="33">
        <f>+SUM(START:END!Q58)</f>
        <v>14391.489999999998</v>
      </c>
      <c r="R58" s="41"/>
      <c r="S58" s="85">
        <f t="shared" si="17"/>
        <v>-616.99999999999818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f>+SUM(START:END!F59)</f>
        <v>2467.8000000000002</v>
      </c>
      <c r="G59" s="83"/>
      <c r="H59" s="13"/>
      <c r="I59" s="30">
        <f>+SUM(START:END!I59)</f>
        <v>0</v>
      </c>
      <c r="J59" s="41"/>
      <c r="K59" s="13"/>
      <c r="L59" s="33">
        <f>+SUM(START:END!L59)</f>
        <v>3200.75</v>
      </c>
      <c r="M59" s="41"/>
      <c r="N59" s="59">
        <f t="shared" si="16"/>
        <v>732.94999999999982</v>
      </c>
      <c r="O59" s="41"/>
      <c r="P59" s="13"/>
      <c r="Q59" s="33">
        <f>+SUM(START:END!Q59)</f>
        <v>4518</v>
      </c>
      <c r="R59" s="41"/>
      <c r="S59" s="85">
        <f t="shared" si="17"/>
        <v>-1317.25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f>+SUM(START:END!F60)</f>
        <v>8263.35</v>
      </c>
      <c r="G60" s="89"/>
      <c r="H60" s="111"/>
      <c r="I60" s="22">
        <f>+SUM(START:END!I60)</f>
        <v>0</v>
      </c>
      <c r="J60" s="23"/>
      <c r="K60" s="111"/>
      <c r="L60" s="22">
        <f>+SUM(START:END!L60)</f>
        <v>9810.48</v>
      </c>
      <c r="M60" s="23"/>
      <c r="N60" s="91">
        <f t="shared" si="16"/>
        <v>1547.1299999999992</v>
      </c>
      <c r="O60" s="23"/>
      <c r="P60" s="111"/>
      <c r="Q60" s="22">
        <f>+SUM(START:END!Q60)</f>
        <v>7914.18</v>
      </c>
      <c r="R60" s="23"/>
      <c r="S60" s="92">
        <f t="shared" si="17"/>
        <v>1896.2999999999993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f>+SUM(START:END!F61)</f>
        <v>171.875</v>
      </c>
      <c r="G61" s="83"/>
      <c r="H61" s="13"/>
      <c r="I61" s="30">
        <f>+SUM(START:END!I61)</f>
        <v>0</v>
      </c>
      <c r="J61" s="41"/>
      <c r="K61" s="13"/>
      <c r="L61" s="33">
        <f>+SUM(START:END!L61)</f>
        <v>799.12000000000012</v>
      </c>
      <c r="M61" s="41"/>
      <c r="N61" s="59">
        <f t="shared" si="16"/>
        <v>627.24500000000012</v>
      </c>
      <c r="O61" s="41"/>
      <c r="P61" s="13"/>
      <c r="Q61" s="33">
        <f>+SUM(START:END!Q61)</f>
        <v>30.2</v>
      </c>
      <c r="R61" s="41"/>
      <c r="S61" s="85">
        <f t="shared" si="17"/>
        <v>768.92000000000007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f>+SUM(START:END!F62)</f>
        <v>45</v>
      </c>
      <c r="G62" s="83"/>
      <c r="H62" s="13"/>
      <c r="I62" s="30">
        <f>+SUM(START:END!I62)</f>
        <v>0</v>
      </c>
      <c r="J62" s="41"/>
      <c r="K62" s="13"/>
      <c r="L62" s="33">
        <f>+SUM(START:END!L62)</f>
        <v>0</v>
      </c>
      <c r="M62" s="41"/>
      <c r="N62" s="59">
        <f t="shared" si="16"/>
        <v>-45</v>
      </c>
      <c r="O62" s="41"/>
      <c r="P62" s="13"/>
      <c r="Q62" s="33">
        <f>+SUM(START:END!Q62)</f>
        <v>0</v>
      </c>
      <c r="R62" s="41"/>
      <c r="S62" s="85">
        <f t="shared" si="17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f>+SUM(START:END!F63)</f>
        <v>2362.5</v>
      </c>
      <c r="G63" s="83"/>
      <c r="H63" s="13"/>
      <c r="I63" s="30">
        <f>+SUM(START:END!I63)</f>
        <v>0</v>
      </c>
      <c r="J63" s="41"/>
      <c r="K63" s="13"/>
      <c r="L63" s="32">
        <f>+SUM(START:END!L63)</f>
        <v>2142.41</v>
      </c>
      <c r="M63" s="41"/>
      <c r="N63" s="59">
        <f t="shared" si="16"/>
        <v>-220.09000000000015</v>
      </c>
      <c r="O63" s="41"/>
      <c r="P63" s="13"/>
      <c r="Q63" s="32">
        <f>+SUM(START:END!Q63)</f>
        <v>1684.88</v>
      </c>
      <c r="R63" s="41"/>
      <c r="S63" s="85">
        <f t="shared" si="17"/>
        <v>457.52999999999975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f>+SUM(START:END!F64)</f>
        <v>631.20000000000005</v>
      </c>
      <c r="G64" s="83"/>
      <c r="H64" s="13"/>
      <c r="I64" s="30">
        <f>+SUM(START:END!I64)</f>
        <v>0</v>
      </c>
      <c r="J64" s="41"/>
      <c r="K64" s="13"/>
      <c r="L64" s="33">
        <f>+SUM(START:END!L64)</f>
        <v>791.62</v>
      </c>
      <c r="M64" s="41"/>
      <c r="N64" s="59">
        <f t="shared" si="16"/>
        <v>160.41999999999996</v>
      </c>
      <c r="O64" s="41"/>
      <c r="P64" s="13"/>
      <c r="Q64" s="33">
        <f>+SUM(START:END!Q64)</f>
        <v>633.13</v>
      </c>
      <c r="R64" s="41"/>
      <c r="S64" s="85">
        <f t="shared" si="17"/>
        <v>158.49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f>+SUM(START:END!F65)</f>
        <v>675</v>
      </c>
      <c r="G65" s="83"/>
      <c r="H65" s="13"/>
      <c r="I65" s="30">
        <f>+SUM(START:END!I65)</f>
        <v>0</v>
      </c>
      <c r="J65" s="41"/>
      <c r="K65" s="13"/>
      <c r="L65" s="33">
        <f>+SUM(START:END!L65)</f>
        <v>380.09000000000003</v>
      </c>
      <c r="M65" s="41"/>
      <c r="N65" s="59">
        <f t="shared" si="16"/>
        <v>-294.90999999999997</v>
      </c>
      <c r="O65" s="41"/>
      <c r="P65" s="13"/>
      <c r="Q65" s="33">
        <f>+SUM(START:END!Q65)</f>
        <v>1244.42</v>
      </c>
      <c r="R65" s="41"/>
      <c r="S65" s="85">
        <f t="shared" si="17"/>
        <v>-864.33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f>+SUM(START:END!F66)</f>
        <v>2508.3000000000002</v>
      </c>
      <c r="G66" s="83"/>
      <c r="H66" s="13"/>
      <c r="I66" s="30">
        <f>+SUM(START:END!I66)</f>
        <v>0</v>
      </c>
      <c r="J66" s="41"/>
      <c r="K66" s="13"/>
      <c r="L66" s="33">
        <f>+SUM(START:END!L66)</f>
        <v>2124.4499999999998</v>
      </c>
      <c r="M66" s="41"/>
      <c r="N66" s="59">
        <f t="shared" si="16"/>
        <v>-383.85000000000036</v>
      </c>
      <c r="O66" s="41"/>
      <c r="P66" s="13"/>
      <c r="Q66" s="33">
        <f>+SUM(START:END!Q66)</f>
        <v>2634.1600000000003</v>
      </c>
      <c r="R66" s="41"/>
      <c r="S66" s="85">
        <f t="shared" si="17"/>
        <v>-509.71000000000049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"/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f>+SUM(START:END!F67)</f>
        <v>1446.4914399999996</v>
      </c>
      <c r="G67" s="83"/>
      <c r="H67" s="13"/>
      <c r="I67" s="30">
        <f>+SUM(START:END!I67)</f>
        <v>0</v>
      </c>
      <c r="J67" s="41"/>
      <c r="K67" s="13"/>
      <c r="L67" s="59">
        <f>+SUM(START:END!L67)</f>
        <v>2057.3000000000002</v>
      </c>
      <c r="M67" s="41"/>
      <c r="N67" s="59">
        <f t="shared" si="16"/>
        <v>610.80856000000063</v>
      </c>
      <c r="O67" s="41"/>
      <c r="P67" s="13"/>
      <c r="Q67" s="33">
        <f>+SUM(START:END!Q67)</f>
        <v>2097.0499999999997</v>
      </c>
      <c r="R67" s="41"/>
      <c r="S67" s="85">
        <f>L67-Q67</f>
        <v>-39.749999999999545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"/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f>+SUM(START:END!F68)</f>
        <v>6560.8429699695298</v>
      </c>
      <c r="G68" s="83"/>
      <c r="H68" s="13"/>
      <c r="I68" s="30">
        <f>+SUM(START:END!I68)</f>
        <v>0</v>
      </c>
      <c r="J68" s="41"/>
      <c r="K68" s="13"/>
      <c r="L68" s="32">
        <f>+SUM(START:END!L68)</f>
        <v>11294.21</v>
      </c>
      <c r="M68" s="41"/>
      <c r="N68" s="59">
        <f t="shared" si="16"/>
        <v>4733.3670300304693</v>
      </c>
      <c r="O68" s="41"/>
      <c r="P68" s="13"/>
      <c r="Q68" s="33">
        <f>+SUM(START:END!Q68)</f>
        <v>8160.1600000000008</v>
      </c>
      <c r="R68" s="41"/>
      <c r="S68" s="85">
        <f>L68-Q68</f>
        <v>3134.0499999999984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si="1"/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f>+SUM(START:END!F69)</f>
        <v>0</v>
      </c>
      <c r="G69" s="83"/>
      <c r="H69" s="13"/>
      <c r="I69" s="30">
        <f>+SUM(START:END!I69)</f>
        <v>0</v>
      </c>
      <c r="J69" s="41"/>
      <c r="K69" s="13"/>
      <c r="L69" s="33">
        <f>+SUM(START:END!L69)</f>
        <v>0</v>
      </c>
      <c r="M69" s="41"/>
      <c r="N69" s="59">
        <f t="shared" si="16"/>
        <v>0</v>
      </c>
      <c r="O69" s="41"/>
      <c r="P69" s="13"/>
      <c r="Q69" s="33">
        <f>+SUM(START:END!Q69)</f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"/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f>+SUM(START:END!F70)</f>
        <v>0</v>
      </c>
      <c r="G70" s="83"/>
      <c r="H70" s="13"/>
      <c r="I70" s="30">
        <f>+SUM(START:END!I70)</f>
        <v>0</v>
      </c>
      <c r="J70" s="41"/>
      <c r="K70" s="13"/>
      <c r="L70" s="33">
        <f>+SUM(START:END!L70)</f>
        <v>0</v>
      </c>
      <c r="M70" s="41"/>
      <c r="N70" s="59">
        <f t="shared" si="16"/>
        <v>0</v>
      </c>
      <c r="O70" s="41"/>
      <c r="P70" s="13"/>
      <c r="Q70" s="33">
        <f>+SUM(START:END!Q70)</f>
        <v>0</v>
      </c>
      <c r="R70" s="41"/>
      <c r="S70" s="85">
        <f t="shared" si="17"/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f>+SUM(START:END!F71)</f>
        <v>0</v>
      </c>
      <c r="G71" s="83"/>
      <c r="H71" s="13"/>
      <c r="I71" s="30">
        <f>+SUM(START:END!I71)</f>
        <v>0</v>
      </c>
      <c r="J71" s="41"/>
      <c r="K71" s="13"/>
      <c r="L71" s="33">
        <f>+SUM(START:END!L71)</f>
        <v>0</v>
      </c>
      <c r="M71" s="41"/>
      <c r="N71" s="59">
        <f t="shared" si="16"/>
        <v>0</v>
      </c>
      <c r="O71" s="41"/>
      <c r="P71" s="13"/>
      <c r="Q71" s="33">
        <f>+SUM(START:END!Q71)</f>
        <v>0</v>
      </c>
      <c r="R71" s="41"/>
      <c r="S71" s="85">
        <f t="shared" si="17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0.14801160379105535</v>
      </c>
      <c r="F72" s="96">
        <f>+SUM(F55:F71)</f>
        <v>55351.759409969527</v>
      </c>
      <c r="G72" s="97" t="s">
        <v>38</v>
      </c>
      <c r="H72" s="95" t="e">
        <f>I72/I$27</f>
        <v>#DIV/0!</v>
      </c>
      <c r="I72" s="96">
        <f>+SUM(I55:I71)</f>
        <v>0</v>
      </c>
      <c r="J72" s="97" t="s">
        <v>38</v>
      </c>
      <c r="K72" s="95">
        <f>L72/L$27</f>
        <v>0.14193722529818953</v>
      </c>
      <c r="L72" s="96">
        <f>+SUM(L55:L71)</f>
        <v>72314.459999999992</v>
      </c>
      <c r="M72" s="100"/>
      <c r="N72" s="96">
        <f>+SUM(N55:N71)</f>
        <v>16962.700590030468</v>
      </c>
      <c r="O72" s="97" t="s">
        <v>38</v>
      </c>
      <c r="P72" s="95">
        <f>Q72/Q$27</f>
        <v>0.1542032186255681</v>
      </c>
      <c r="Q72" s="96">
        <f>+SUM(Q55:Q71)</f>
        <v>58756.68</v>
      </c>
      <c r="R72" s="100"/>
      <c r="S72" s="101">
        <f>+SUM(S55:S71)</f>
        <v>13557.779999999999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1.0581447677139952</v>
      </c>
      <c r="F74" s="96">
        <f>F41+F54+F72</f>
        <v>395713.39748541173</v>
      </c>
      <c r="G74" s="97" t="s">
        <v>38</v>
      </c>
      <c r="H74" s="95" t="e">
        <f>I74/I$27</f>
        <v>#DIV/0!</v>
      </c>
      <c r="I74" s="96">
        <f>I41+I54+I72</f>
        <v>0</v>
      </c>
      <c r="J74" s="97" t="s">
        <v>38</v>
      </c>
      <c r="K74" s="95">
        <f>L74/L$27</f>
        <v>1.0119285276403973</v>
      </c>
      <c r="L74" s="96">
        <f>L41+L54+L72</f>
        <v>515559.36</v>
      </c>
      <c r="M74" s="100"/>
      <c r="N74" s="113">
        <f t="shared" ref="N74:N82" si="18">L74-F74</f>
        <v>119845.96251458826</v>
      </c>
      <c r="O74" s="97" t="s">
        <v>38</v>
      </c>
      <c r="P74" s="95">
        <f>Q74/Q$27</f>
        <v>1.0241015193208316</v>
      </c>
      <c r="Q74" s="96">
        <f>Q41+Q54+Q72</f>
        <v>390217.57</v>
      </c>
      <c r="R74" s="100"/>
      <c r="S74" s="114">
        <f>L74-Q74</f>
        <v>125341.78999999998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f>+SUM(START:END!F75)</f>
        <v>80082.428461538497</v>
      </c>
      <c r="G75" s="83"/>
      <c r="H75" s="13"/>
      <c r="I75" s="30">
        <f>+SUM(START:END!I75)</f>
        <v>0</v>
      </c>
      <c r="J75" s="41"/>
      <c r="K75" s="13"/>
      <c r="L75" s="32">
        <f>+SUM(START:END!L75)</f>
        <v>131386.59</v>
      </c>
      <c r="M75" s="41"/>
      <c r="N75" s="59">
        <f t="shared" si="18"/>
        <v>51304.1615384615</v>
      </c>
      <c r="O75" s="41"/>
      <c r="P75" s="13"/>
      <c r="Q75" s="32">
        <f>+SUM(START:END!Q75)</f>
        <v>100778.19</v>
      </c>
      <c r="R75" s="41"/>
      <c r="S75" s="85">
        <f>L75-Q75</f>
        <v>30608.399999999994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f>+SUM(START:END!F76)</f>
        <v>0</v>
      </c>
      <c r="G76" s="83"/>
      <c r="H76" s="13"/>
      <c r="I76" s="30">
        <f>+SUM(START:END!I76)</f>
        <v>0</v>
      </c>
      <c r="J76" s="41"/>
      <c r="K76" s="13"/>
      <c r="L76" s="32">
        <f>+SUM(START:END!L76)</f>
        <v>0</v>
      </c>
      <c r="M76" s="41"/>
      <c r="N76" s="59">
        <f t="shared" si="18"/>
        <v>0</v>
      </c>
      <c r="O76" s="41"/>
      <c r="P76" s="13"/>
      <c r="Q76" s="32">
        <f>+SUM(START:END!Q76)</f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f>+SUM(START:END!F77)</f>
        <v>0</v>
      </c>
      <c r="G77" s="83"/>
      <c r="H77" s="13"/>
      <c r="I77" s="30">
        <f>+SUM(START:END!I77)</f>
        <v>0</v>
      </c>
      <c r="J77" s="41"/>
      <c r="K77" s="13"/>
      <c r="L77" s="32">
        <f>+SUM(START:END!L77)</f>
        <v>0</v>
      </c>
      <c r="M77" s="41"/>
      <c r="N77" s="59">
        <f t="shared" si="18"/>
        <v>0</v>
      </c>
      <c r="O77" s="41"/>
      <c r="P77" s="13"/>
      <c r="Q77" s="32">
        <f>+SUM(START:END!Q77)</f>
        <v>0</v>
      </c>
      <c r="R77" s="41"/>
      <c r="S77" s="85">
        <f t="shared" ref="S77:S82" si="19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f>+SUM(START:END!F78)</f>
        <v>91522.775384615408</v>
      </c>
      <c r="G78" s="83"/>
      <c r="H78" s="13"/>
      <c r="I78" s="30">
        <f>+SUM(START:END!I78)</f>
        <v>0</v>
      </c>
      <c r="J78" s="41"/>
      <c r="K78" s="13"/>
      <c r="L78" s="33">
        <f>+SUM(START:END!L78)</f>
        <v>156388.6</v>
      </c>
      <c r="M78" s="41"/>
      <c r="N78" s="59">
        <f t="shared" si="18"/>
        <v>64865.824615384598</v>
      </c>
      <c r="O78" s="41"/>
      <c r="P78" s="13"/>
      <c r="Q78" s="32">
        <f>+SUM(START:END!Q78)</f>
        <v>98013.200000000012</v>
      </c>
      <c r="R78" s="41"/>
      <c r="S78" s="85">
        <f t="shared" si="19"/>
        <v>58375.399999999994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"/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f>+SUM(START:END!F79)</f>
        <v>0</v>
      </c>
      <c r="G79" s="83"/>
      <c r="H79" s="13"/>
      <c r="I79" s="30">
        <f>+SUM(START:END!I79)</f>
        <v>0</v>
      </c>
      <c r="J79" s="41"/>
      <c r="K79" s="13"/>
      <c r="L79" s="33">
        <f>+SUM(START:END!L79)</f>
        <v>0</v>
      </c>
      <c r="M79" s="41"/>
      <c r="N79" s="59">
        <f t="shared" si="18"/>
        <v>0</v>
      </c>
      <c r="O79" s="41"/>
      <c r="P79" s="13"/>
      <c r="Q79" s="32">
        <f>+SUM(START:END!Q79)</f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"/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f>+SUM(START:END!F80)</f>
        <v>0</v>
      </c>
      <c r="G80" s="83"/>
      <c r="H80" s="13"/>
      <c r="I80" s="30">
        <f>+SUM(START:END!I80)</f>
        <v>0</v>
      </c>
      <c r="J80" s="41"/>
      <c r="K80" s="13"/>
      <c r="L80" s="33">
        <f>+SUM(START:END!L80)</f>
        <v>0</v>
      </c>
      <c r="M80" s="41"/>
      <c r="N80" s="59">
        <f t="shared" si="18"/>
        <v>0</v>
      </c>
      <c r="O80" s="41"/>
      <c r="P80" s="13"/>
      <c r="Q80" s="32">
        <f>+SUM(START:END!Q80)</f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"/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f>+SUM(START:END!F81)</f>
        <v>0</v>
      </c>
      <c r="G81" s="83"/>
      <c r="H81" s="13"/>
      <c r="I81" s="30">
        <f>+SUM(START:END!I81)</f>
        <v>0</v>
      </c>
      <c r="J81" s="41"/>
      <c r="K81" s="13"/>
      <c r="L81" s="33">
        <f>+SUM(START:END!L81)</f>
        <v>0</v>
      </c>
      <c r="M81" s="41"/>
      <c r="N81" s="59">
        <f t="shared" si="18"/>
        <v>0</v>
      </c>
      <c r="O81" s="41"/>
      <c r="P81" s="13"/>
      <c r="Q81" s="32">
        <f>+SUM(START:END!Q81)</f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"/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f>+SUM(START:END!F82)</f>
        <v>32397.75</v>
      </c>
      <c r="G82" s="83"/>
      <c r="H82" s="13"/>
      <c r="I82" s="30">
        <f>+SUM(START:END!I82)</f>
        <v>0</v>
      </c>
      <c r="J82" s="41"/>
      <c r="K82" s="13"/>
      <c r="L82" s="32">
        <f>+SUM(START:END!L82)</f>
        <v>49385</v>
      </c>
      <c r="M82" s="41"/>
      <c r="N82" s="59">
        <f t="shared" si="18"/>
        <v>16987.25</v>
      </c>
      <c r="O82" s="41"/>
      <c r="P82" s="13"/>
      <c r="Q82" s="32">
        <f>+SUM(START:END!Q82)</f>
        <v>35105</v>
      </c>
      <c r="R82" s="41"/>
      <c r="S82" s="85">
        <f t="shared" si="19"/>
        <v>14280</v>
      </c>
      <c r="T82" s="13"/>
      <c r="U82" s="13"/>
      <c r="V82" s="11"/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204002.95384615392</v>
      </c>
      <c r="G83" s="97"/>
      <c r="H83" s="95"/>
      <c r="I83" s="96">
        <f>+SUM(I75:I82)</f>
        <v>0</v>
      </c>
      <c r="J83" s="97"/>
      <c r="K83" s="95"/>
      <c r="L83" s="96">
        <f>+SUM(L75:L82)</f>
        <v>337160.19</v>
      </c>
      <c r="M83" s="100"/>
      <c r="N83" s="96">
        <f>+SUM(N75:N82)</f>
        <v>133157.23615384608</v>
      </c>
      <c r="O83" s="97"/>
      <c r="P83" s="95"/>
      <c r="Q83" s="96">
        <f>+SUM(Q75:Q82)</f>
        <v>233896.39</v>
      </c>
      <c r="R83" s="100"/>
      <c r="S83" s="101">
        <f>+SUM(S75:S82)</f>
        <v>103263.79999999999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182258.61008512694</v>
      </c>
      <c r="G85" s="128"/>
      <c r="H85" s="126"/>
      <c r="I85" s="127">
        <f>I27-I74+I83</f>
        <v>0</v>
      </c>
      <c r="J85" s="128"/>
      <c r="K85" s="125"/>
      <c r="L85" s="127">
        <f>L27-L74+L83</f>
        <v>331082.82000000036</v>
      </c>
      <c r="M85" s="128"/>
      <c r="N85" s="127">
        <f>N27-N41-N54-N72+N83</f>
        <v>148824.20991487335</v>
      </c>
      <c r="O85" s="128"/>
      <c r="P85" s="125"/>
      <c r="Q85" s="127">
        <f>Q27-Q74+Q83</f>
        <v>224712.8899999999</v>
      </c>
      <c r="R85" s="128"/>
      <c r="S85" s="129">
        <f>S27-S41-S54-S72+S83</f>
        <v>106369.93000000037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  Q4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96" t="s">
        <v>5</v>
      </c>
      <c r="E91" s="497"/>
      <c r="F91" s="498"/>
      <c r="G91" s="499" t="s">
        <v>71</v>
      </c>
      <c r="H91" s="497"/>
      <c r="I91" s="498"/>
      <c r="J91" s="499" t="s">
        <v>7</v>
      </c>
      <c r="K91" s="497"/>
      <c r="L91" s="498"/>
      <c r="M91" s="499" t="s">
        <v>213</v>
      </c>
      <c r="N91" s="498"/>
      <c r="O91" s="496" t="s">
        <v>8</v>
      </c>
      <c r="P91" s="497"/>
      <c r="Q91" s="498"/>
      <c r="R91" s="494" t="s">
        <v>214</v>
      </c>
      <c r="S91" s="495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 t="s">
        <v>10</v>
      </c>
      <c r="H92" s="80" t="s">
        <v>11</v>
      </c>
      <c r="I92" s="134" t="s">
        <v>12</v>
      </c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13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0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f>+SUM(START:END!F93)</f>
        <v>3131793.1034482755</v>
      </c>
      <c r="G93" s="46"/>
      <c r="H93" s="25"/>
      <c r="I93" s="22">
        <f>+SUM(START:END!I93)</f>
        <v>0</v>
      </c>
      <c r="J93" s="23"/>
      <c r="K93" s="25"/>
      <c r="L93" s="22">
        <f>+SUM(START:END!L93)</f>
        <v>3639290.79</v>
      </c>
      <c r="M93" s="137"/>
      <c r="N93" s="138"/>
      <c r="O93" s="23"/>
      <c r="P93" s="25"/>
      <c r="Q93" s="22">
        <f>+SUM(START:END!Q93)</f>
        <v>3457570.97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0"/>
        <v>Véhicules usagésCertifié</v>
      </c>
      <c r="B94" s="11" t="s">
        <v>70</v>
      </c>
      <c r="C94" s="29" t="s">
        <v>72</v>
      </c>
      <c r="D94" s="30">
        <f>+SUM(START:END!D94)</f>
        <v>13</v>
      </c>
      <c r="E94" s="30">
        <f>IF(D94=0,0,F94/D94)</f>
        <v>3000</v>
      </c>
      <c r="F94" s="30">
        <f>+SUM(START:END!F94)</f>
        <v>39000</v>
      </c>
      <c r="G94" s="31">
        <f>+SUM(START:END!G94)</f>
        <v>0</v>
      </c>
      <c r="H94" s="30">
        <f t="shared" ref="H94:H100" si="21">IF(G94=0,0,I94/G94)</f>
        <v>0</v>
      </c>
      <c r="I94" s="30">
        <f>+SUM(START:END!I94)</f>
        <v>0</v>
      </c>
      <c r="J94" s="31">
        <f>+SUM(START:END!J94)</f>
        <v>12</v>
      </c>
      <c r="K94" s="30">
        <f>IF(J94=0,0,L94/J94)</f>
        <v>2044.4308333333347</v>
      </c>
      <c r="L94" s="33">
        <f>+SUM(START:END!L94)</f>
        <v>24533.170000000016</v>
      </c>
      <c r="M94" s="31">
        <f>J94-D94</f>
        <v>-1</v>
      </c>
      <c r="N94" s="33">
        <f>L94-F94</f>
        <v>-14466.829999999984</v>
      </c>
      <c r="O94" s="31">
        <f>+SUM(START:END!O94)</f>
        <v>19</v>
      </c>
      <c r="P94" s="30">
        <f>IF(O94=0,0,Q94/O94)</f>
        <v>1565.8157894736842</v>
      </c>
      <c r="Q94" s="33">
        <f>+SUM(START:END!Q94)</f>
        <v>29750.5</v>
      </c>
      <c r="R94" s="31">
        <f>J94-O94</f>
        <v>-7</v>
      </c>
      <c r="S94" s="34">
        <f>L94-Q94</f>
        <v>-5217.3299999999836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0"/>
        <v>Véhicules usagésNon Certifié</v>
      </c>
      <c r="B95" s="11" t="s">
        <v>70</v>
      </c>
      <c r="C95" s="29" t="s">
        <v>73</v>
      </c>
      <c r="D95" s="30">
        <f>+SUM(START:END!D95)</f>
        <v>10</v>
      </c>
      <c r="E95" s="30">
        <f>IF(D95=0,0,F95/D95)</f>
        <v>2200</v>
      </c>
      <c r="F95" s="30">
        <f>+SUM(START:END!F95)</f>
        <v>22000</v>
      </c>
      <c r="G95" s="31">
        <f>+SUM(START:END!G95)</f>
        <v>0</v>
      </c>
      <c r="H95" s="30">
        <f t="shared" si="21"/>
        <v>0</v>
      </c>
      <c r="I95" s="30">
        <f>+SUM(START:END!I95)</f>
        <v>0</v>
      </c>
      <c r="J95" s="31">
        <f>+SUM(START:END!J95)</f>
        <v>14</v>
      </c>
      <c r="K95" s="30">
        <f>IF(J95=0,0,L95/J95)</f>
        <v>1686.5071428571443</v>
      </c>
      <c r="L95" s="32">
        <f>+SUM(START:END!L95)</f>
        <v>23611.10000000002</v>
      </c>
      <c r="M95" s="31">
        <f>J95-D95</f>
        <v>4</v>
      </c>
      <c r="N95" s="33">
        <f>L95-F95</f>
        <v>1611.1000000000204</v>
      </c>
      <c r="O95" s="31">
        <f>+SUM(START:END!O95)</f>
        <v>29</v>
      </c>
      <c r="P95" s="30">
        <f>IF(O95=0,0,Q95/O95)</f>
        <v>1894.655517241375</v>
      </c>
      <c r="Q95" s="32">
        <f>+SUM(START:END!Q95)</f>
        <v>54945.009999999878</v>
      </c>
      <c r="R95" s="31">
        <f>J95-O95</f>
        <v>-15</v>
      </c>
      <c r="S95" s="34">
        <f>L95-Q95</f>
        <v>-31333.909999999858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>+B96&amp;C96</f>
        <v>Véhicules usagésAutres marques</v>
      </c>
      <c r="B96" s="11" t="s">
        <v>70</v>
      </c>
      <c r="C96" s="29" t="s">
        <v>207</v>
      </c>
      <c r="D96" s="30">
        <f>+SUM(START:END!D96)</f>
        <v>17</v>
      </c>
      <c r="E96" s="25">
        <f>IF(D96=0,0,F96/D96)</f>
        <v>1850</v>
      </c>
      <c r="F96" s="30">
        <f>+SUM(START:END!F96)</f>
        <v>31450</v>
      </c>
      <c r="G96" s="31">
        <f>+SUM(START:END!G96)</f>
        <v>0</v>
      </c>
      <c r="H96" s="30">
        <f t="shared" si="21"/>
        <v>0</v>
      </c>
      <c r="I96" s="30">
        <f>+SUM(START:END!I96)</f>
        <v>0</v>
      </c>
      <c r="J96" s="31">
        <f>+SUM(START:END!J96)</f>
        <v>8</v>
      </c>
      <c r="K96" s="30">
        <f>IF(J96=0,0,L96/J96)</f>
        <v>869.77874999999869</v>
      </c>
      <c r="L96" s="32">
        <f>+SUM(START:END!L96)</f>
        <v>6958.2299999999896</v>
      </c>
      <c r="M96" s="31">
        <f>J96-D96</f>
        <v>-9</v>
      </c>
      <c r="N96" s="33">
        <f>L96-F96</f>
        <v>-24491.770000000011</v>
      </c>
      <c r="O96" s="31">
        <f>+SUM(START:END!O96)</f>
        <v>0</v>
      </c>
      <c r="P96" s="30">
        <f>IF(O96=0,0,Q96/O96)</f>
        <v>0</v>
      </c>
      <c r="Q96" s="32">
        <f>+SUM(START:END!Q96)</f>
        <v>0</v>
      </c>
      <c r="R96" s="31">
        <f>J96-O96</f>
        <v>8</v>
      </c>
      <c r="S96" s="34">
        <f>L96-Q96</f>
        <v>6958.2299999999896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0"/>
        <v>Véhicules usagésTotal Usagés</v>
      </c>
      <c r="B97" s="11" t="s">
        <v>70</v>
      </c>
      <c r="C97" s="35" t="s">
        <v>74</v>
      </c>
      <c r="D97" s="36">
        <f>+D95+D94+D96</f>
        <v>40</v>
      </c>
      <c r="E97" s="30">
        <f>IF(D97=0,0,F97/D97)</f>
        <v>2311.25</v>
      </c>
      <c r="F97" s="37">
        <f>+F94+F95+F96</f>
        <v>92450</v>
      </c>
      <c r="G97" s="38">
        <f>+G95+G94+G96</f>
        <v>0</v>
      </c>
      <c r="H97" s="36">
        <f t="shared" si="21"/>
        <v>0</v>
      </c>
      <c r="I97" s="37">
        <f>+I94+I95+I96</f>
        <v>0</v>
      </c>
      <c r="J97" s="38">
        <f>+J95+J94+J96</f>
        <v>34</v>
      </c>
      <c r="K97" s="36">
        <f>IF(J97=0,0,L97/J97)</f>
        <v>1620.6617647058829</v>
      </c>
      <c r="L97" s="37">
        <f>+L94+L95+L96</f>
        <v>55102.500000000022</v>
      </c>
      <c r="M97" s="38">
        <f>J97-D97</f>
        <v>-6</v>
      </c>
      <c r="N97" s="37">
        <f>L97-F97</f>
        <v>-37347.499999999978</v>
      </c>
      <c r="O97" s="38">
        <f>+O95+O94+O96</f>
        <v>48</v>
      </c>
      <c r="P97" s="36">
        <f>IF(O97&lt;=0,0,Q97/O97)</f>
        <v>1764.4897916666641</v>
      </c>
      <c r="Q97" s="37">
        <f>+Q94+Q95+Q96</f>
        <v>84695.509999999878</v>
      </c>
      <c r="R97" s="38">
        <f>R94+R95</f>
        <v>-22</v>
      </c>
      <c r="S97" s="39">
        <f>S94+S95</f>
        <v>-36551.239999999845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0"/>
        <v>Véhicules usagés</v>
      </c>
      <c r="B98" s="11" t="s">
        <v>70</v>
      </c>
      <c r="C98" s="29"/>
      <c r="D98" s="13"/>
      <c r="E98" s="30"/>
      <c r="F98" s="40"/>
      <c r="G98" s="41"/>
      <c r="H98" s="13">
        <f t="shared" si="21"/>
        <v>0</v>
      </c>
      <c r="I98" s="40"/>
      <c r="J98" s="41"/>
      <c r="K98" s="13"/>
      <c r="L98" s="40"/>
      <c r="M98" s="42">
        <f>M97/D97</f>
        <v>-0.15</v>
      </c>
      <c r="N98" s="43">
        <f>N97/F97</f>
        <v>-0.40397512168739835</v>
      </c>
      <c r="O98" s="41"/>
      <c r="P98" s="13"/>
      <c r="Q98" s="40"/>
      <c r="R98" s="42">
        <f>R97/O97</f>
        <v>-0.45833333333333331</v>
      </c>
      <c r="S98" s="44">
        <f>IF(Q97=0,0,(S97/Q97))</f>
        <v>-0.43156053963191082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0"/>
        <v>Véhicules usagésUS</v>
      </c>
      <c r="B99" s="11" t="s">
        <v>70</v>
      </c>
      <c r="C99" s="29" t="s">
        <v>187</v>
      </c>
      <c r="D99" s="30">
        <f>+SUM(START:END!D99)</f>
        <v>0</v>
      </c>
      <c r="E99" s="30">
        <f>IF(D99=0,0,F99/D99)</f>
        <v>0</v>
      </c>
      <c r="F99" s="30">
        <f>+SUM(START:END!F99)</f>
        <v>0</v>
      </c>
      <c r="G99" s="41">
        <f>+SUM(START:END!G99)</f>
        <v>0</v>
      </c>
      <c r="H99" s="30">
        <f t="shared" si="21"/>
        <v>0</v>
      </c>
      <c r="I99" s="30">
        <f>+SUM(START:END!I99)</f>
        <v>0</v>
      </c>
      <c r="J99" s="31">
        <f>+SUM(START:END!J99)</f>
        <v>0</v>
      </c>
      <c r="K99" s="30">
        <f>IF(J99=0,0,L99/J99)</f>
        <v>0</v>
      </c>
      <c r="L99" s="33">
        <f>+SUM(START:END!L99)</f>
        <v>0</v>
      </c>
      <c r="M99" s="31"/>
      <c r="N99" s="33"/>
      <c r="O99" s="31">
        <f>+SUM(START:END!O99)</f>
        <v>0</v>
      </c>
      <c r="P99" s="30">
        <f>IF(O99=0,0,Q99/O99)</f>
        <v>0</v>
      </c>
      <c r="Q99" s="33">
        <f>+SUM(START:END!Q99)</f>
        <v>0</v>
      </c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0"/>
        <v>Véhicules usagésVentes au Gros</v>
      </c>
      <c r="B100" s="11" t="s">
        <v>70</v>
      </c>
      <c r="C100" s="29" t="s">
        <v>75</v>
      </c>
      <c r="D100" s="30">
        <f>+SUM(START:END!D100)</f>
        <v>43</v>
      </c>
      <c r="E100" s="30">
        <f>IF(D100=0,0,F100/D100)</f>
        <v>375</v>
      </c>
      <c r="F100" s="30">
        <f>+SUM(START:END!F100)</f>
        <v>16125</v>
      </c>
      <c r="G100" s="31">
        <f>+SUM(START:END!G100)</f>
        <v>0</v>
      </c>
      <c r="H100" s="30">
        <f t="shared" si="21"/>
        <v>0</v>
      </c>
      <c r="I100" s="30">
        <f>+SUM(START:END!I100)</f>
        <v>0</v>
      </c>
      <c r="J100" s="31">
        <f>+SUM(START:END!J100)</f>
        <v>63</v>
      </c>
      <c r="K100" s="30">
        <f>IF(J100=0,0,L100/J100)</f>
        <v>772.843333333332</v>
      </c>
      <c r="L100" s="33">
        <f>+SUM(START:END!L100)</f>
        <v>48689.129999999917</v>
      </c>
      <c r="M100" s="31">
        <f>J100-D100</f>
        <v>20</v>
      </c>
      <c r="N100" s="33">
        <f>L100-F100</f>
        <v>32564.129999999917</v>
      </c>
      <c r="O100" s="31">
        <f>+SUM(START:END!O100)</f>
        <v>42</v>
      </c>
      <c r="P100" s="30">
        <f>IF(O100=0,0,Q100/O100)</f>
        <v>306.1516666666688</v>
      </c>
      <c r="Q100" s="33">
        <f>+SUM(START:END!Q100)</f>
        <v>12858.37000000009</v>
      </c>
      <c r="R100" s="31">
        <f>J100-O100</f>
        <v>21</v>
      </c>
      <c r="S100" s="34">
        <f>L100-Q100</f>
        <v>35830.759999999827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0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0"/>
        <v>Véhicules usagésRev. Finances</v>
      </c>
      <c r="B102" s="11" t="s">
        <v>70</v>
      </c>
      <c r="C102" s="29" t="s">
        <v>24</v>
      </c>
      <c r="D102" s="30">
        <f>+SUM(START:END!D102)</f>
        <v>0</v>
      </c>
      <c r="E102" s="30">
        <f>IF(D102=0,0,F102/D102)</f>
        <v>0</v>
      </c>
      <c r="F102" s="33">
        <f>+SUM(START:END!F102)</f>
        <v>24000</v>
      </c>
      <c r="G102" s="31">
        <f>+SUM(START:END!G102)</f>
        <v>0</v>
      </c>
      <c r="H102" s="30">
        <f>IF(G102=0,0,I102/G102)</f>
        <v>0</v>
      </c>
      <c r="I102" s="30">
        <f>+SUM(START:END!I102)</f>
        <v>0</v>
      </c>
      <c r="J102" s="31">
        <f>+SUM(START:END!J102)</f>
        <v>0</v>
      </c>
      <c r="K102" s="30">
        <f>IF(J102=0,0,L102/J102)</f>
        <v>0</v>
      </c>
      <c r="L102" s="33">
        <f>+SUM(START:END!L102)</f>
        <v>11855.300000000001</v>
      </c>
      <c r="M102" s="31"/>
      <c r="N102" s="33">
        <f>L102-F102</f>
        <v>-12144.699999999999</v>
      </c>
      <c r="O102" s="31">
        <f>+SUM(START:END!O102)</f>
        <v>0</v>
      </c>
      <c r="P102" s="30">
        <f>IF(O102=0,0,Q102/O102)</f>
        <v>0</v>
      </c>
      <c r="Q102" s="33">
        <f>+SUM(START:END!Q102)</f>
        <v>20684.659999999978</v>
      </c>
      <c r="R102" s="31">
        <f>O102-K102</f>
        <v>0</v>
      </c>
      <c r="S102" s="34">
        <f>L102-Q102</f>
        <v>-8829.3599999999769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0"/>
        <v>Véhicules usagésRev. Protections</v>
      </c>
      <c r="B103" s="11" t="s">
        <v>70</v>
      </c>
      <c r="C103" s="29" t="s">
        <v>25</v>
      </c>
      <c r="D103" s="30">
        <f>+SUM(START:END!D103)</f>
        <v>0</v>
      </c>
      <c r="E103" s="30">
        <f>IF(D103=0,0,F103/D103)</f>
        <v>0</v>
      </c>
      <c r="F103" s="33">
        <f>+SUM(START:END!F103)</f>
        <v>35200</v>
      </c>
      <c r="G103" s="31">
        <f>+SUM(START:END!G103)</f>
        <v>0</v>
      </c>
      <c r="H103" s="30">
        <f>IF(G103=0,0,I103/G103)</f>
        <v>0</v>
      </c>
      <c r="I103" s="30">
        <f>+SUM(START:END!I103)</f>
        <v>0</v>
      </c>
      <c r="J103" s="31">
        <f>+SUM(START:END!J103)</f>
        <v>0</v>
      </c>
      <c r="K103" s="30">
        <f>IF(J103=0,0,L103/J103)</f>
        <v>0</v>
      </c>
      <c r="L103" s="33">
        <f>+SUM(START:END!L103)</f>
        <v>33574.300000000003</v>
      </c>
      <c r="M103" s="31"/>
      <c r="N103" s="33">
        <f>L103-F103</f>
        <v>-1625.6999999999971</v>
      </c>
      <c r="O103" s="31">
        <f>+SUM(START:END!O103)</f>
        <v>0</v>
      </c>
      <c r="P103" s="30">
        <f>IF(O103=0,0,Q103/O103)</f>
        <v>0</v>
      </c>
      <c r="Q103" s="33">
        <f>+SUM(START:END!Q103)</f>
        <v>24447</v>
      </c>
      <c r="R103" s="31">
        <f>O103-K103</f>
        <v>0</v>
      </c>
      <c r="S103" s="34">
        <f>L103-Q103</f>
        <v>9127.3000000000029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0"/>
        <v>Véhicules usagésRev. Autres</v>
      </c>
      <c r="B104" s="11" t="s">
        <v>70</v>
      </c>
      <c r="C104" s="29" t="s">
        <v>26</v>
      </c>
      <c r="D104" s="30">
        <f>+SUM(START:END!D104)</f>
        <v>0</v>
      </c>
      <c r="E104" s="25">
        <f>IF(D104=0,0,F104/D104)</f>
        <v>0</v>
      </c>
      <c r="F104" s="33">
        <f>+SUM(START:END!F104)</f>
        <v>6800</v>
      </c>
      <c r="G104" s="31">
        <f>+SUM(START:END!G104)</f>
        <v>0</v>
      </c>
      <c r="H104" s="47">
        <f>IF(G104=0,0,I104/G104)</f>
        <v>0</v>
      </c>
      <c r="I104" s="30">
        <f>+SUM(START:END!I104)</f>
        <v>0</v>
      </c>
      <c r="J104" s="31">
        <f>+SUM(START:END!J104)</f>
        <v>0</v>
      </c>
      <c r="K104" s="47">
        <f>IF(J104=0,0,L104/J104)</f>
        <v>0</v>
      </c>
      <c r="L104" s="33">
        <f>+SUM(START:END!L104)</f>
        <v>5264</v>
      </c>
      <c r="M104" s="51"/>
      <c r="N104" s="33">
        <f>L104-F104</f>
        <v>-1536</v>
      </c>
      <c r="O104" s="31">
        <f>+SUM(START:END!O104)</f>
        <v>0</v>
      </c>
      <c r="P104" s="47">
        <f>IF(O104=0,0,Q104/O104)</f>
        <v>0</v>
      </c>
      <c r="Q104" s="33">
        <f>+SUM(START:END!Q104)</f>
        <v>7060</v>
      </c>
      <c r="R104" s="31">
        <f>O104-K104</f>
        <v>0</v>
      </c>
      <c r="S104" s="34">
        <f>L104-Q104</f>
        <v>-1796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0"/>
        <v>Véhicules usagésTotal F&amp;I</v>
      </c>
      <c r="B105" s="11" t="s">
        <v>70</v>
      </c>
      <c r="C105" s="35" t="s">
        <v>27</v>
      </c>
      <c r="D105" s="36">
        <f>D97</f>
        <v>40</v>
      </c>
      <c r="E105" s="30">
        <f>IF(D105=0,0,F105/D105)</f>
        <v>1650</v>
      </c>
      <c r="F105" s="37">
        <f>F102+F103+F104</f>
        <v>66000</v>
      </c>
      <c r="G105" s="38">
        <f>G97</f>
        <v>0</v>
      </c>
      <c r="H105" s="36">
        <f>IF(G105=0,0,I105/G105)</f>
        <v>0</v>
      </c>
      <c r="I105" s="37">
        <f>I102+I103+I104</f>
        <v>0</v>
      </c>
      <c r="J105" s="38">
        <f>J97</f>
        <v>34</v>
      </c>
      <c r="K105" s="36">
        <f>IF(J105&lt;=0,0,L105/J105)</f>
        <v>1490.9882352941179</v>
      </c>
      <c r="L105" s="37">
        <f>L102+L103+L104</f>
        <v>50693.600000000006</v>
      </c>
      <c r="M105" s="31">
        <f>J105-D105</f>
        <v>-6</v>
      </c>
      <c r="N105" s="37">
        <f>L105-F105</f>
        <v>-15306.399999999994</v>
      </c>
      <c r="O105" s="38">
        <f>O97</f>
        <v>48</v>
      </c>
      <c r="P105" s="36">
        <f>IF(O105&lt;=0,0,Q105/O105)</f>
        <v>1087.3262499999994</v>
      </c>
      <c r="Q105" s="37">
        <f>Q102+Q103+Q104</f>
        <v>52191.659999999974</v>
      </c>
      <c r="R105" s="56"/>
      <c r="S105" s="39">
        <f>L105-Q105</f>
        <v>-1498.0599999999686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0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-0.23191515151515144</v>
      </c>
      <c r="O106" s="41"/>
      <c r="P106" s="13"/>
      <c r="Q106" s="59"/>
      <c r="R106" s="60"/>
      <c r="S106" s="44">
        <f>IF(Q105=0,0,(S105/Q105))</f>
        <v>-2.8703053323078234E-2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0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0"/>
        <v>Véhicules usagésTotal Dépt. Usagés</v>
      </c>
      <c r="B108" s="11" t="s">
        <v>70</v>
      </c>
      <c r="C108" s="62" t="s">
        <v>76</v>
      </c>
      <c r="D108" s="63">
        <f>D97+D100</f>
        <v>83</v>
      </c>
      <c r="E108" s="67">
        <f>IF(D108&lt;=0,0,F108/D108)</f>
        <v>2103.3132530120483</v>
      </c>
      <c r="F108" s="65">
        <f>F97+F105+F100</f>
        <v>174575</v>
      </c>
      <c r="G108" s="66">
        <f>G97+G100</f>
        <v>0</v>
      </c>
      <c r="H108" s="67">
        <f>IF(G108&lt;=0,0,I108/G108)</f>
        <v>0</v>
      </c>
      <c r="I108" s="65">
        <f>I97+I105+I100</f>
        <v>0</v>
      </c>
      <c r="J108" s="66">
        <f>J97+J100+J99</f>
        <v>97</v>
      </c>
      <c r="K108" s="67">
        <f>IF(J108&lt;=0,0,L108/J108)</f>
        <v>1592.6312371134015</v>
      </c>
      <c r="L108" s="65">
        <f>L97+L105+L100+L99</f>
        <v>154485.22999999995</v>
      </c>
      <c r="M108" s="66">
        <f>J108-D108</f>
        <v>14</v>
      </c>
      <c r="N108" s="65">
        <f>L108-F108</f>
        <v>-20089.770000000048</v>
      </c>
      <c r="O108" s="66">
        <f>O97+O100+O99</f>
        <v>90</v>
      </c>
      <c r="P108" s="67">
        <f>IF(O108&lt;=0,0,Q108/O108)</f>
        <v>1663.8393333333329</v>
      </c>
      <c r="Q108" s="65">
        <f>Q97+Q105+Q100+Q99</f>
        <v>149745.53999999995</v>
      </c>
      <c r="R108" s="66">
        <f>J108-O108</f>
        <v>7</v>
      </c>
      <c r="S108" s="68">
        <f>L108-Q108</f>
        <v>4739.6900000000023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0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0.16867469879518071</v>
      </c>
      <c r="N109" s="74">
        <f>N108/F108</f>
        <v>-0.11507816124874723</v>
      </c>
      <c r="O109" s="72"/>
      <c r="P109" s="70"/>
      <c r="Q109" s="71"/>
      <c r="R109" s="73">
        <f>O108/R108</f>
        <v>12.857142857142858</v>
      </c>
      <c r="S109" s="145">
        <f>IF(Q108=0,0,(S108/Q108))</f>
        <v>3.1651627153636785E-2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0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0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0"/>
        <v>Véhicules usagésComm. vendeurs</v>
      </c>
      <c r="B112" s="11" t="s">
        <v>70</v>
      </c>
      <c r="C112" s="29" t="s">
        <v>30</v>
      </c>
      <c r="D112" s="148">
        <f>F112/(F97+F105)</f>
        <v>0.20397433148897115</v>
      </c>
      <c r="E112" s="82">
        <f>F112/D$97</f>
        <v>807.99332061068696</v>
      </c>
      <c r="F112" s="30">
        <f>+SUM(START:END!F112)</f>
        <v>32319.732824427479</v>
      </c>
      <c r="G112" s="157" t="e">
        <f>I112/I97</f>
        <v>#DIV/0!</v>
      </c>
      <c r="H112" s="82" t="e">
        <f>I112/G$97</f>
        <v>#DIV/0!</v>
      </c>
      <c r="I112" s="30">
        <f>+SUM(START:END!I112)</f>
        <v>0</v>
      </c>
      <c r="J112" s="157">
        <f>L112/L97</f>
        <v>0.46818601696837697</v>
      </c>
      <c r="K112" s="82">
        <f>IF($J$97=0,0,L112/(J$94+J$95))</f>
        <v>992.23923076923086</v>
      </c>
      <c r="L112" s="33">
        <f>+SUM(START:END!L112)</f>
        <v>25798.22</v>
      </c>
      <c r="M112" s="41"/>
      <c r="N112" s="59">
        <f t="shared" ref="N112:N153" si="22">L112-F112</f>
        <v>-6521.5128244274783</v>
      </c>
      <c r="O112" s="157">
        <f>Q112/Q97</f>
        <v>0.41919542133933724</v>
      </c>
      <c r="P112" s="82">
        <f>IF($J$97=0,0,Q112/(O$94+O$95))</f>
        <v>739.66604166666673</v>
      </c>
      <c r="Q112" s="33">
        <f>+SUM(START:END!Q112)</f>
        <v>35503.97</v>
      </c>
      <c r="R112" s="41"/>
      <c r="S112" s="85">
        <f t="shared" ref="S112:S148" si="23">L112-Q112</f>
        <v>-9705.75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0"/>
        <v>Véhicules usagésComm. F&amp;I</v>
      </c>
      <c r="B113" s="11" t="s">
        <v>70</v>
      </c>
      <c r="C113" s="86" t="s">
        <v>31</v>
      </c>
      <c r="D113" s="218">
        <f>F113/(F105+F19)</f>
        <v>0.22221289570866362</v>
      </c>
      <c r="E113" s="88">
        <f>F113/D$97</f>
        <v>412.5</v>
      </c>
      <c r="F113" s="22">
        <f>+SUM(START:END!F113)</f>
        <v>16500</v>
      </c>
      <c r="G113" s="162" t="e">
        <f>I113/I98</f>
        <v>#DIV/0!</v>
      </c>
      <c r="H113" s="88" t="e">
        <f>I113/G$97</f>
        <v>#DIV/0!</v>
      </c>
      <c r="I113" s="22">
        <f>+SUM(START:END!I113)</f>
        <v>0</v>
      </c>
      <c r="J113" s="162">
        <f>L113/L105</f>
        <v>0.29637350671485158</v>
      </c>
      <c r="K113" s="88">
        <f>IF($J$97=0,0,L113/(J$94+J$95))</f>
        <v>577.85538461538465</v>
      </c>
      <c r="L113" s="33">
        <f>+SUM(START:END!L113)</f>
        <v>15024.240000000002</v>
      </c>
      <c r="M113" s="23"/>
      <c r="N113" s="91">
        <f t="shared" si="22"/>
        <v>-1475.7599999999984</v>
      </c>
      <c r="O113" s="162">
        <f>Q113/(Q105+Q19)</f>
        <v>0.16946552266201415</v>
      </c>
      <c r="P113" s="88">
        <f>IF($J$97=0,0,Q113/(O$94+O$95))</f>
        <v>256.70729166666666</v>
      </c>
      <c r="Q113" s="33">
        <f>+SUM(START:END!Q113)</f>
        <v>12321.95</v>
      </c>
      <c r="R113" s="23"/>
      <c r="S113" s="92">
        <f t="shared" si="23"/>
        <v>2702.2900000000009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0"/>
        <v>Véhicules usagésFrais de livraison</v>
      </c>
      <c r="B114" s="11" t="s">
        <v>70</v>
      </c>
      <c r="C114" s="29" t="s">
        <v>32</v>
      </c>
      <c r="D114" s="81"/>
      <c r="E114" s="82">
        <f>F114/D$97</f>
        <v>110</v>
      </c>
      <c r="F114" s="30">
        <f>+SUM(START:END!F114)</f>
        <v>4400</v>
      </c>
      <c r="G114" s="83"/>
      <c r="H114" s="82" t="e">
        <f>I114/G$97</f>
        <v>#DIV/0!</v>
      </c>
      <c r="I114" s="30">
        <f>+SUM(START:END!I114)</f>
        <v>0</v>
      </c>
      <c r="J114" s="41"/>
      <c r="K114" s="82">
        <f>IF($J$97=0,0,L114/(J$94+J$95))</f>
        <v>136.31346153846155</v>
      </c>
      <c r="L114" s="108">
        <f>+SUM(START:END!L114)</f>
        <v>3544.15</v>
      </c>
      <c r="M114" s="41"/>
      <c r="N114" s="59">
        <f t="shared" si="22"/>
        <v>-855.84999999999991</v>
      </c>
      <c r="O114" s="41"/>
      <c r="P114" s="82">
        <f>IF($J$97=0,0,Q114/(O$94+O$95))</f>
        <v>120.51291666666667</v>
      </c>
      <c r="Q114" s="108">
        <f>+SUM(START:END!Q114)</f>
        <v>5784.62</v>
      </c>
      <c r="R114" s="41"/>
      <c r="S114" s="85">
        <f t="shared" si="23"/>
        <v>-2240.4699999999998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0"/>
        <v>Véhicules usagésService gratuit 1</v>
      </c>
      <c r="B115" s="11" t="s">
        <v>70</v>
      </c>
      <c r="C115" s="29" t="s">
        <v>33</v>
      </c>
      <c r="D115" s="81"/>
      <c r="E115" s="82">
        <f t="shared" ref="E115:E121" si="24">F115/D$97</f>
        <v>90</v>
      </c>
      <c r="F115" s="30">
        <f>+SUM(START:END!F115)</f>
        <v>3600</v>
      </c>
      <c r="G115" s="83"/>
      <c r="H115" s="82" t="e">
        <f t="shared" ref="H115:H121" si="25">I115/G$97</f>
        <v>#DIV/0!</v>
      </c>
      <c r="I115" s="30">
        <f>+SUM(START:END!I115)</f>
        <v>0</v>
      </c>
      <c r="J115" s="41"/>
      <c r="K115" s="82">
        <f t="shared" ref="K115:K121" si="26">IF($J$97=0,0,L115/(J$94+J$95))</f>
        <v>204.3696153846154</v>
      </c>
      <c r="L115" s="33">
        <f>+SUM(START:END!L115)</f>
        <v>5313.6100000000006</v>
      </c>
      <c r="M115" s="41"/>
      <c r="N115" s="59">
        <f t="shared" si="22"/>
        <v>1713.6100000000006</v>
      </c>
      <c r="O115" s="41"/>
      <c r="P115" s="82">
        <f t="shared" ref="P115:P121" si="27">IF($J$97=0,0,Q115/(O$94+O$95))</f>
        <v>18.624166666666667</v>
      </c>
      <c r="Q115" s="33">
        <f>+SUM(START:END!Q115)</f>
        <v>893.96</v>
      </c>
      <c r="R115" s="41"/>
      <c r="S115" s="85">
        <f t="shared" si="23"/>
        <v>4419.6500000000005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0"/>
        <v>Véhicules usagésEntretien stock</v>
      </c>
      <c r="B116" s="11" t="s">
        <v>70</v>
      </c>
      <c r="C116" s="86" t="s">
        <v>34</v>
      </c>
      <c r="D116" s="87"/>
      <c r="E116" s="88">
        <f t="shared" si="24"/>
        <v>145</v>
      </c>
      <c r="F116" s="22">
        <f>+SUM(START:END!F116)</f>
        <v>5800</v>
      </c>
      <c r="G116" s="89"/>
      <c r="H116" s="88" t="e">
        <f t="shared" si="25"/>
        <v>#DIV/0!</v>
      </c>
      <c r="I116" s="22">
        <f>+SUM(START:END!I116)</f>
        <v>0</v>
      </c>
      <c r="J116" s="23"/>
      <c r="K116" s="88">
        <f t="shared" si="26"/>
        <v>204.12923076923076</v>
      </c>
      <c r="L116" s="48">
        <f>+SUM(START:END!L116)</f>
        <v>5307.36</v>
      </c>
      <c r="M116" s="23"/>
      <c r="N116" s="91">
        <f t="shared" si="22"/>
        <v>-492.64000000000033</v>
      </c>
      <c r="O116" s="23"/>
      <c r="P116" s="88">
        <f t="shared" si="27"/>
        <v>107.77479166666667</v>
      </c>
      <c r="Q116" s="48">
        <f>+SUM(START:END!Q116)</f>
        <v>5173.1900000000005</v>
      </c>
      <c r="R116" s="23"/>
      <c r="S116" s="92">
        <f t="shared" si="23"/>
        <v>134.16999999999916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0"/>
        <v>Véhicules usagésPublicité 1</v>
      </c>
      <c r="B117" s="11" t="s">
        <v>70</v>
      </c>
      <c r="C117" s="29" t="s">
        <v>35</v>
      </c>
      <c r="D117" s="81"/>
      <c r="E117" s="82">
        <f t="shared" si="24"/>
        <v>532.70624999999995</v>
      </c>
      <c r="F117" s="30">
        <f>+SUM(START:END!F117)</f>
        <v>21308.25</v>
      </c>
      <c r="G117" s="83"/>
      <c r="H117" s="82" t="e">
        <f t="shared" si="25"/>
        <v>#DIV/0!</v>
      </c>
      <c r="I117" s="30">
        <f>+SUM(START:END!I117)</f>
        <v>0</v>
      </c>
      <c r="J117" s="41"/>
      <c r="K117" s="82">
        <f t="shared" si="26"/>
        <v>920.99423076923074</v>
      </c>
      <c r="L117" s="33">
        <f>+SUM(START:END!L117)</f>
        <v>23945.85</v>
      </c>
      <c r="M117" s="41"/>
      <c r="N117" s="59">
        <f t="shared" si="22"/>
        <v>2637.5999999999985</v>
      </c>
      <c r="O117" s="41"/>
      <c r="P117" s="82">
        <f t="shared" si="27"/>
        <v>589.04333333333341</v>
      </c>
      <c r="Q117" s="33">
        <f>+SUM(START:END!Q117)</f>
        <v>28274.080000000002</v>
      </c>
      <c r="R117" s="41"/>
      <c r="S117" s="85">
        <f t="shared" si="23"/>
        <v>-4328.2300000000032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20"/>
        <v>Véhicules usagésIntérêt de gros</v>
      </c>
      <c r="B118" s="11" t="s">
        <v>70</v>
      </c>
      <c r="C118" s="29" t="s">
        <v>36</v>
      </c>
      <c r="D118" s="81"/>
      <c r="E118" s="82">
        <f t="shared" si="24"/>
        <v>546.23706436502198</v>
      </c>
      <c r="F118" s="30">
        <f>+SUM(START:END!F118)</f>
        <v>21849.482574600879</v>
      </c>
      <c r="G118" s="83"/>
      <c r="H118" s="82" t="e">
        <f t="shared" si="25"/>
        <v>#DIV/0!</v>
      </c>
      <c r="I118" s="30">
        <f>+SUM(START:END!I118)</f>
        <v>0</v>
      </c>
      <c r="J118" s="41"/>
      <c r="K118" s="82">
        <f t="shared" si="26"/>
        <v>517.31115384615384</v>
      </c>
      <c r="L118" s="33">
        <f>+SUM(START:END!L118)</f>
        <v>13450.09</v>
      </c>
      <c r="M118" s="41"/>
      <c r="N118" s="59">
        <f t="shared" si="22"/>
        <v>-8399.392574600879</v>
      </c>
      <c r="O118" s="41"/>
      <c r="P118" s="82">
        <f t="shared" si="27"/>
        <v>418.29354166666667</v>
      </c>
      <c r="Q118" s="33">
        <f>+SUM(START:END!Q118)</f>
        <v>20078.09</v>
      </c>
      <c r="R118" s="41"/>
      <c r="S118" s="85">
        <f>L118-Q118</f>
        <v>-6628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 t="shared" si="20"/>
        <v>Véhicules usagés[...]</v>
      </c>
      <c r="B119" s="11" t="s">
        <v>70</v>
      </c>
      <c r="C119" s="29" t="s">
        <v>19</v>
      </c>
      <c r="D119" s="81"/>
      <c r="E119" s="82">
        <f t="shared" si="24"/>
        <v>0</v>
      </c>
      <c r="F119" s="30">
        <f>+SUM(START:END!F119)</f>
        <v>0</v>
      </c>
      <c r="G119" s="83"/>
      <c r="H119" s="82" t="e">
        <f t="shared" si="25"/>
        <v>#DIV/0!</v>
      </c>
      <c r="I119" s="30">
        <f>+SUM(START:END!I119)</f>
        <v>0</v>
      </c>
      <c r="J119" s="41"/>
      <c r="K119" s="82">
        <f t="shared" si="26"/>
        <v>0</v>
      </c>
      <c r="L119" s="33">
        <f>+SUM(START:END!L119)</f>
        <v>0</v>
      </c>
      <c r="M119" s="41"/>
      <c r="N119" s="59">
        <f t="shared" si="22"/>
        <v>0</v>
      </c>
      <c r="O119" s="41"/>
      <c r="P119" s="82">
        <f t="shared" si="27"/>
        <v>0</v>
      </c>
      <c r="Q119" s="33">
        <f>+SUM(START:END!Q119)</f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si="20"/>
        <v>Véhicules usagés[...]</v>
      </c>
      <c r="B120" s="11" t="s">
        <v>70</v>
      </c>
      <c r="C120" s="29" t="s">
        <v>19</v>
      </c>
      <c r="D120" s="81"/>
      <c r="E120" s="82">
        <f t="shared" si="24"/>
        <v>0</v>
      </c>
      <c r="F120" s="30">
        <f>+SUM(START:END!F120)</f>
        <v>0</v>
      </c>
      <c r="G120" s="83"/>
      <c r="H120" s="82" t="e">
        <f t="shared" si="25"/>
        <v>#DIV/0!</v>
      </c>
      <c r="I120" s="30">
        <f>+SUM(START:END!I120)</f>
        <v>0</v>
      </c>
      <c r="J120" s="41"/>
      <c r="K120" s="82">
        <f t="shared" si="26"/>
        <v>0</v>
      </c>
      <c r="L120" s="33">
        <f>+SUM(START:END!L120)</f>
        <v>0</v>
      </c>
      <c r="M120" s="41"/>
      <c r="N120" s="59">
        <f t="shared" si="22"/>
        <v>0</v>
      </c>
      <c r="O120" s="41"/>
      <c r="P120" s="82">
        <f t="shared" si="27"/>
        <v>0</v>
      </c>
      <c r="Q120" s="33">
        <f>+SUM(START:END!Q120)</f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si="20"/>
        <v>Véhicules usagés[...]</v>
      </c>
      <c r="B121" s="11" t="s">
        <v>70</v>
      </c>
      <c r="C121" s="29" t="s">
        <v>19</v>
      </c>
      <c r="D121" s="81"/>
      <c r="E121" s="82">
        <f t="shared" si="24"/>
        <v>0</v>
      </c>
      <c r="F121" s="30">
        <f>+SUM(START:END!F121)</f>
        <v>0</v>
      </c>
      <c r="G121" s="83"/>
      <c r="H121" s="82" t="e">
        <f t="shared" si="25"/>
        <v>#DIV/0!</v>
      </c>
      <c r="I121" s="30">
        <f>+SUM(START:END!I121)</f>
        <v>0</v>
      </c>
      <c r="J121" s="41"/>
      <c r="K121" s="82">
        <f t="shared" si="26"/>
        <v>0</v>
      </c>
      <c r="L121" s="33">
        <f>+SUM(START:END!L121)</f>
        <v>0</v>
      </c>
      <c r="M121" s="41"/>
      <c r="N121" s="59">
        <f t="shared" si="22"/>
        <v>0</v>
      </c>
      <c r="O121" s="41"/>
      <c r="P121" s="82">
        <f t="shared" si="27"/>
        <v>0</v>
      </c>
      <c r="Q121" s="33">
        <f>+SUM(START:END!Q121)</f>
        <v>0</v>
      </c>
      <c r="R121" s="41"/>
      <c r="S121" s="85">
        <f t="shared" si="23"/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si="20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0.60591416525291908</v>
      </c>
      <c r="F122" s="96">
        <f>SUM(F112:F121)</f>
        <v>105777.46539902836</v>
      </c>
      <c r="G122" s="97" t="s">
        <v>38</v>
      </c>
      <c r="H122" s="95" t="e">
        <f>I122/I$108</f>
        <v>#DIV/0!</v>
      </c>
      <c r="I122" s="96">
        <f>SUM(I112:I121)</f>
        <v>0</v>
      </c>
      <c r="J122" s="97" t="s">
        <v>38</v>
      </c>
      <c r="K122" s="95">
        <f>L122/L$108</f>
        <v>0.59800875462333869</v>
      </c>
      <c r="L122" s="96">
        <f>SUM(L112:L121)</f>
        <v>92383.52</v>
      </c>
      <c r="M122" s="100"/>
      <c r="N122" s="96">
        <f t="shared" si="22"/>
        <v>-13393.945399028351</v>
      </c>
      <c r="O122" s="97" t="s">
        <v>38</v>
      </c>
      <c r="P122" s="95">
        <f>Q122/Q$108</f>
        <v>0.72142288845464142</v>
      </c>
      <c r="Q122" s="96">
        <f>SUM(Q112:Q121)</f>
        <v>108029.86</v>
      </c>
      <c r="R122" s="100"/>
      <c r="S122" s="101">
        <f t="shared" si="23"/>
        <v>-15646.339999999997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20"/>
        <v>Véhicules usagésSalaires cadres</v>
      </c>
      <c r="B123" s="11" t="s">
        <v>70</v>
      </c>
      <c r="C123" s="102" t="s">
        <v>40</v>
      </c>
      <c r="D123" s="13"/>
      <c r="E123" s="13"/>
      <c r="F123" s="30">
        <f>+SUM(START:END!F123)</f>
        <v>15079.735114503816</v>
      </c>
      <c r="G123" s="41"/>
      <c r="H123" s="13"/>
      <c r="I123" s="30">
        <f>+SUM(START:END!I123)</f>
        <v>0</v>
      </c>
      <c r="J123" s="41"/>
      <c r="K123" s="13"/>
      <c r="L123" s="33">
        <f>+SUM(START:END!L123)</f>
        <v>12915.780000000002</v>
      </c>
      <c r="M123" s="41"/>
      <c r="N123" s="59">
        <f t="shared" si="22"/>
        <v>-2163.9551145038131</v>
      </c>
      <c r="O123" s="41"/>
      <c r="P123" s="13"/>
      <c r="Q123" s="33">
        <f>+SUM(START:END!Q123)</f>
        <v>4751.2999999999993</v>
      </c>
      <c r="R123" s="41"/>
      <c r="S123" s="85">
        <f t="shared" si="23"/>
        <v>8164.4800000000032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20"/>
        <v>Véhicules usagésSalaires commis</v>
      </c>
      <c r="B124" s="11" t="s">
        <v>70</v>
      </c>
      <c r="C124" s="103" t="s">
        <v>41</v>
      </c>
      <c r="D124" s="81"/>
      <c r="E124" s="13"/>
      <c r="F124" s="22">
        <f>+SUM(START:END!F124)</f>
        <v>8175.4442748091597</v>
      </c>
      <c r="G124" s="83"/>
      <c r="H124" s="13"/>
      <c r="I124" s="22">
        <f>+SUM(START:END!I124)</f>
        <v>0</v>
      </c>
      <c r="J124" s="41"/>
      <c r="K124" s="13"/>
      <c r="L124" s="22">
        <f>+SUM(START:END!L124)</f>
        <v>10670.65</v>
      </c>
      <c r="M124" s="41"/>
      <c r="N124" s="59">
        <f t="shared" si="22"/>
        <v>2495.20572519084</v>
      </c>
      <c r="O124" s="41"/>
      <c r="P124" s="13"/>
      <c r="Q124" s="22">
        <f>+SUM(START:END!Q124)</f>
        <v>13067.220000000001</v>
      </c>
      <c r="R124" s="41"/>
      <c r="S124" s="85">
        <f t="shared" si="23"/>
        <v>-2396.5700000000015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20"/>
        <v>Véhicules usagésSalaires autres</v>
      </c>
      <c r="B125" s="11" t="s">
        <v>70</v>
      </c>
      <c r="C125" s="102" t="s">
        <v>42</v>
      </c>
      <c r="D125" s="104"/>
      <c r="E125" s="105"/>
      <c r="F125" s="30">
        <f>+SUM(START:END!F125)</f>
        <v>8427</v>
      </c>
      <c r="G125" s="106"/>
      <c r="H125" s="105"/>
      <c r="I125" s="30">
        <f>+SUM(START:END!I125)</f>
        <v>0</v>
      </c>
      <c r="J125" s="107"/>
      <c r="K125" s="105"/>
      <c r="L125" s="33">
        <f>+SUM(START:END!L125)</f>
        <v>8427</v>
      </c>
      <c r="M125" s="107"/>
      <c r="N125" s="109">
        <f t="shared" si="22"/>
        <v>0</v>
      </c>
      <c r="O125" s="107"/>
      <c r="P125" s="105"/>
      <c r="Q125" s="33">
        <f>+SUM(START:END!Q125)</f>
        <v>8427</v>
      </c>
      <c r="R125" s="107"/>
      <c r="S125" s="110">
        <f t="shared" si="23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2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f>+SUM(START:END!F126)</f>
        <v>0</v>
      </c>
      <c r="G126" s="83"/>
      <c r="H126" s="13"/>
      <c r="I126" s="30">
        <f>+SUM(START:END!I126)</f>
        <v>0</v>
      </c>
      <c r="J126" s="41"/>
      <c r="K126" s="13"/>
      <c r="L126" s="33">
        <f>+SUM(START:END!L126)</f>
        <v>0</v>
      </c>
      <c r="M126" s="41"/>
      <c r="N126" s="59">
        <f t="shared" si="22"/>
        <v>0</v>
      </c>
      <c r="O126" s="41"/>
      <c r="P126" s="13"/>
      <c r="Q126" s="33">
        <f>+SUM(START:END!Q126)</f>
        <v>0</v>
      </c>
      <c r="R126" s="41"/>
      <c r="S126" s="85">
        <f t="shared" si="23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20"/>
        <v>Véhicules usagés[...]</v>
      </c>
      <c r="B127" s="11" t="s">
        <v>70</v>
      </c>
      <c r="C127" s="102" t="s">
        <v>19</v>
      </c>
      <c r="D127" s="81"/>
      <c r="E127" s="13"/>
      <c r="F127" s="30">
        <f>+SUM(START:END!F127)</f>
        <v>0</v>
      </c>
      <c r="G127" s="83"/>
      <c r="H127" s="13"/>
      <c r="I127" s="30">
        <f>+SUM(START:END!I127)</f>
        <v>0</v>
      </c>
      <c r="J127" s="41"/>
      <c r="K127" s="13"/>
      <c r="L127" s="33">
        <f>+SUM(START:END!L127)</f>
        <v>0</v>
      </c>
      <c r="M127" s="41"/>
      <c r="N127" s="59">
        <f t="shared" si="22"/>
        <v>0</v>
      </c>
      <c r="O127" s="41"/>
      <c r="P127" s="13"/>
      <c r="Q127" s="33">
        <f>+SUM(START:END!Q127)</f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si="20"/>
        <v>Véhicules usagés[...]</v>
      </c>
      <c r="B128" s="11" t="s">
        <v>70</v>
      </c>
      <c r="C128" s="102" t="s">
        <v>19</v>
      </c>
      <c r="D128" s="81"/>
      <c r="E128" s="13"/>
      <c r="F128" s="30">
        <f>+SUM(START:END!F128)</f>
        <v>0</v>
      </c>
      <c r="G128" s="83"/>
      <c r="H128" s="13"/>
      <c r="I128" s="30">
        <f>+SUM(START:END!I128)</f>
        <v>0</v>
      </c>
      <c r="J128" s="41"/>
      <c r="K128" s="13"/>
      <c r="L128" s="33">
        <f>+SUM(START:END!L128)</f>
        <v>0</v>
      </c>
      <c r="M128" s="41"/>
      <c r="N128" s="59">
        <f t="shared" si="22"/>
        <v>0</v>
      </c>
      <c r="O128" s="41"/>
      <c r="P128" s="13"/>
      <c r="Q128" s="33">
        <f>+SUM(START:END!Q128)</f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si="20"/>
        <v>Véhicules usagés[...]</v>
      </c>
      <c r="B129" s="11" t="s">
        <v>70</v>
      </c>
      <c r="C129" s="102" t="s">
        <v>19</v>
      </c>
      <c r="D129" s="81"/>
      <c r="E129" s="13"/>
      <c r="F129" s="30">
        <f>+SUM(START:END!F129)</f>
        <v>0</v>
      </c>
      <c r="G129" s="83"/>
      <c r="H129" s="13"/>
      <c r="I129" s="30">
        <f>+SUM(START:END!I129)</f>
        <v>0</v>
      </c>
      <c r="J129" s="41"/>
      <c r="K129" s="13"/>
      <c r="L129" s="33">
        <f>+SUM(START:END!L129)</f>
        <v>0</v>
      </c>
      <c r="M129" s="41"/>
      <c r="N129" s="59">
        <f t="shared" si="22"/>
        <v>0</v>
      </c>
      <c r="O129" s="41"/>
      <c r="P129" s="13"/>
      <c r="Q129" s="33">
        <f>+SUM(START:END!Q129)</f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si="20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f>+SUM(START:END!F130)</f>
        <v>8674.1667779345935</v>
      </c>
      <c r="G130" s="83"/>
      <c r="H130" s="13"/>
      <c r="I130" s="30">
        <f>+SUM(START:END!I130)</f>
        <v>0</v>
      </c>
      <c r="J130" s="41"/>
      <c r="K130" s="13"/>
      <c r="L130" s="33">
        <f>+SUM(START:END!L130)</f>
        <v>13636.5</v>
      </c>
      <c r="M130" s="41"/>
      <c r="N130" s="59">
        <f t="shared" si="22"/>
        <v>4962.3332220654065</v>
      </c>
      <c r="O130" s="41"/>
      <c r="P130" s="13"/>
      <c r="Q130" s="33">
        <f>+SUM(START:END!Q130)</f>
        <v>13972.46</v>
      </c>
      <c r="R130" s="41"/>
      <c r="S130" s="85">
        <f>L130-Q130</f>
        <v>-335.95999999999913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20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f>+SUM(START:END!F131)</f>
        <v>11136.999975863047</v>
      </c>
      <c r="G131" s="106"/>
      <c r="H131" s="105"/>
      <c r="I131" s="54">
        <f>+SUM(START:END!I131)</f>
        <v>0</v>
      </c>
      <c r="J131" s="107"/>
      <c r="K131" s="105"/>
      <c r="L131" s="55">
        <f>+SUM(START:END!L131)</f>
        <v>7515.58</v>
      </c>
      <c r="M131" s="107"/>
      <c r="N131" s="109">
        <f t="shared" si="22"/>
        <v>-3621.4199758630475</v>
      </c>
      <c r="O131" s="107"/>
      <c r="P131" s="105"/>
      <c r="Q131" s="55">
        <f>+SUM(START:END!Q131)</f>
        <v>8741.58</v>
      </c>
      <c r="R131" s="107"/>
      <c r="S131" s="110">
        <f t="shared" si="23"/>
        <v>-1226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20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f>+SUM(START:END!F132)</f>
        <v>5271.7286522900758</v>
      </c>
      <c r="G132" s="83"/>
      <c r="H132" s="13"/>
      <c r="I132" s="30">
        <f>+SUM(START:END!I132)</f>
        <v>0</v>
      </c>
      <c r="J132" s="41"/>
      <c r="K132" s="13"/>
      <c r="L132" s="33">
        <f>+SUM(START:END!L132)</f>
        <v>7560.51</v>
      </c>
      <c r="M132" s="41"/>
      <c r="N132" s="59">
        <f t="shared" si="22"/>
        <v>2288.7813477099244</v>
      </c>
      <c r="O132" s="41"/>
      <c r="P132" s="13"/>
      <c r="Q132" s="33">
        <f>+SUM(START:END!Q132)</f>
        <v>5668.4800000000005</v>
      </c>
      <c r="R132" s="41"/>
      <c r="S132" s="85">
        <f t="shared" si="23"/>
        <v>1892.0299999999997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20"/>
        <v>Véhicules usagésCsst</v>
      </c>
      <c r="B133" s="11" t="s">
        <v>70</v>
      </c>
      <c r="C133" s="102" t="s">
        <v>47</v>
      </c>
      <c r="D133" s="81"/>
      <c r="E133" s="13"/>
      <c r="F133" s="30">
        <f>+SUM(START:END!F133)</f>
        <v>1190.3903408396945</v>
      </c>
      <c r="G133" s="83"/>
      <c r="H133" s="13"/>
      <c r="I133" s="30">
        <f>+SUM(START:END!I133)</f>
        <v>0</v>
      </c>
      <c r="J133" s="41"/>
      <c r="K133" s="13"/>
      <c r="L133" s="33">
        <f>+SUM(START:END!L133)</f>
        <v>197.17000000000002</v>
      </c>
      <c r="M133" s="41"/>
      <c r="N133" s="59">
        <f t="shared" si="22"/>
        <v>-993.22034083969447</v>
      </c>
      <c r="O133" s="41"/>
      <c r="P133" s="13"/>
      <c r="Q133" s="33">
        <f>+SUM(START:END!Q133)</f>
        <v>331.84999999999997</v>
      </c>
      <c r="R133" s="41"/>
      <c r="S133" s="85">
        <f t="shared" si="23"/>
        <v>-134.67999999999995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20"/>
        <v>Véhicules usagés[...]</v>
      </c>
      <c r="B134" s="11" t="s">
        <v>70</v>
      </c>
      <c r="C134" s="29" t="s">
        <v>19</v>
      </c>
      <c r="D134" s="87"/>
      <c r="E134" s="111"/>
      <c r="F134" s="30">
        <f>+SUM(START:END!F134)</f>
        <v>0</v>
      </c>
      <c r="G134" s="89"/>
      <c r="H134" s="111"/>
      <c r="I134" s="30">
        <f>+SUM(START:END!I134)</f>
        <v>0</v>
      </c>
      <c r="J134" s="23"/>
      <c r="K134" s="111"/>
      <c r="L134" s="33">
        <f>+SUM(START:END!L134)</f>
        <v>0</v>
      </c>
      <c r="M134" s="41"/>
      <c r="N134" s="59">
        <f t="shared" si="22"/>
        <v>0</v>
      </c>
      <c r="O134" s="23"/>
      <c r="P134" s="111"/>
      <c r="Q134" s="33">
        <f>+SUM(START:END!Q134)</f>
        <v>0</v>
      </c>
      <c r="R134" s="23"/>
      <c r="S134" s="92">
        <f t="shared" si="23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20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0.33198032442354508</v>
      </c>
      <c r="F135" s="96">
        <f>+SUM(F123:F134)</f>
        <v>57955.465136240382</v>
      </c>
      <c r="G135" s="97" t="s">
        <v>38</v>
      </c>
      <c r="H135" s="95" t="e">
        <f>I135/I$108</f>
        <v>#DIV/0!</v>
      </c>
      <c r="I135" s="96">
        <f>+SUM(I123:I134)</f>
        <v>0</v>
      </c>
      <c r="J135" s="97" t="s">
        <v>38</v>
      </c>
      <c r="K135" s="95">
        <f>L135/L$108</f>
        <v>0.39436255491868072</v>
      </c>
      <c r="L135" s="96">
        <f>SUM(L123:L134)</f>
        <v>60923.19</v>
      </c>
      <c r="M135" s="463"/>
      <c r="N135" s="464">
        <f t="shared" si="22"/>
        <v>2967.7248637596203</v>
      </c>
      <c r="O135" s="97" t="s">
        <v>38</v>
      </c>
      <c r="P135" s="95">
        <f>Q135/Q$108</f>
        <v>0.36702188258828955</v>
      </c>
      <c r="Q135" s="96">
        <f>SUM(Q123:Q134)</f>
        <v>54959.89</v>
      </c>
      <c r="R135" s="147"/>
      <c r="S135" s="114">
        <f t="shared" si="23"/>
        <v>5963.3000000000029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20"/>
        <v>Véhicules usagésPublicité 2</v>
      </c>
      <c r="B136" s="11" t="s">
        <v>70</v>
      </c>
      <c r="C136" s="29" t="s">
        <v>49</v>
      </c>
      <c r="D136" s="81"/>
      <c r="E136" s="13"/>
      <c r="F136" s="30">
        <f>+SUM(START:END!F136)</f>
        <v>0</v>
      </c>
      <c r="G136" s="83"/>
      <c r="H136" s="13"/>
      <c r="I136" s="30">
        <f>+SUM(START:END!I136)</f>
        <v>0</v>
      </c>
      <c r="J136" s="41"/>
      <c r="K136" s="13"/>
      <c r="L136" s="33">
        <f>+SUM(START:END!L136)</f>
        <v>0</v>
      </c>
      <c r="M136" s="41"/>
      <c r="N136" s="59">
        <f t="shared" si="22"/>
        <v>0</v>
      </c>
      <c r="O136" s="41"/>
      <c r="P136" s="13"/>
      <c r="Q136" s="33">
        <f>+SUM(START:END!Q136)</f>
        <v>0</v>
      </c>
      <c r="R136" s="41"/>
      <c r="S136" s="85">
        <f t="shared" si="23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20"/>
        <v>Véhicules usagésService gratuit 2</v>
      </c>
      <c r="B137" s="11" t="s">
        <v>70</v>
      </c>
      <c r="C137" s="29" t="s">
        <v>50</v>
      </c>
      <c r="D137" s="81"/>
      <c r="E137" s="13"/>
      <c r="F137" s="30">
        <f>+SUM(START:END!F137)</f>
        <v>0</v>
      </c>
      <c r="G137" s="83"/>
      <c r="H137" s="13"/>
      <c r="I137" s="30">
        <f>+SUM(START:END!I137)</f>
        <v>0</v>
      </c>
      <c r="J137" s="41"/>
      <c r="K137" s="13"/>
      <c r="L137" s="33">
        <f>+SUM(START:END!L137)</f>
        <v>0</v>
      </c>
      <c r="M137" s="41"/>
      <c r="N137" s="59">
        <f t="shared" si="22"/>
        <v>0</v>
      </c>
      <c r="O137" s="41"/>
      <c r="P137" s="13"/>
      <c r="Q137" s="33">
        <f>+SUM(START:END!Q137)</f>
        <v>0</v>
      </c>
      <c r="R137" s="41"/>
      <c r="S137" s="85">
        <f t="shared" si="23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20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f>+SUM(START:END!F138)</f>
        <v>2573.5</v>
      </c>
      <c r="G138" s="89"/>
      <c r="H138" s="111"/>
      <c r="I138" s="22">
        <f>+SUM(START:END!I138)</f>
        <v>0</v>
      </c>
      <c r="J138" s="23"/>
      <c r="K138" s="111"/>
      <c r="L138" s="22">
        <f>+SUM(START:END!L138)</f>
        <v>3486.5499999999997</v>
      </c>
      <c r="M138" s="23"/>
      <c r="N138" s="91">
        <f t="shared" si="22"/>
        <v>913.04999999999973</v>
      </c>
      <c r="O138" s="23"/>
      <c r="P138" s="111"/>
      <c r="Q138" s="22">
        <f>+SUM(START:END!Q138)</f>
        <v>2106.9499999999998</v>
      </c>
      <c r="R138" s="23"/>
      <c r="S138" s="92">
        <f t="shared" si="23"/>
        <v>1379.6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20"/>
        <v>Véhicules usagésInformatique</v>
      </c>
      <c r="B139" s="11" t="s">
        <v>70</v>
      </c>
      <c r="C139" s="29" t="s">
        <v>52</v>
      </c>
      <c r="D139" s="81"/>
      <c r="E139" s="13"/>
      <c r="F139" s="30">
        <f>+SUM(START:END!F139)</f>
        <v>4259.7000000000007</v>
      </c>
      <c r="G139" s="83"/>
      <c r="H139" s="13"/>
      <c r="I139" s="30">
        <f>+SUM(START:END!I139)</f>
        <v>0</v>
      </c>
      <c r="J139" s="41"/>
      <c r="K139" s="13"/>
      <c r="L139" s="33">
        <f>+SUM(START:END!L139)</f>
        <v>4729.51</v>
      </c>
      <c r="M139" s="41"/>
      <c r="N139" s="59">
        <f t="shared" si="22"/>
        <v>469.80999999999949</v>
      </c>
      <c r="O139" s="41"/>
      <c r="P139" s="13"/>
      <c r="Q139" s="33">
        <f>+SUM(START:END!Q139)</f>
        <v>4107.4399999999996</v>
      </c>
      <c r="R139" s="41"/>
      <c r="S139" s="85">
        <f t="shared" si="23"/>
        <v>622.07000000000062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20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f>+SUM(START:END!F140)</f>
        <v>548.40000000000009</v>
      </c>
      <c r="G140" s="83"/>
      <c r="H140" s="13"/>
      <c r="I140" s="30">
        <f>+SUM(START:END!I140)</f>
        <v>0</v>
      </c>
      <c r="J140" s="41"/>
      <c r="K140" s="13"/>
      <c r="L140" s="33">
        <f>+SUM(START:END!L140)</f>
        <v>1089.27</v>
      </c>
      <c r="M140" s="41"/>
      <c r="N140" s="59">
        <f t="shared" si="22"/>
        <v>540.86999999999989</v>
      </c>
      <c r="O140" s="41"/>
      <c r="P140" s="13"/>
      <c r="Q140" s="33">
        <f>+SUM(START:END!Q140)</f>
        <v>1061.3499999999999</v>
      </c>
      <c r="R140" s="41"/>
      <c r="S140" s="85">
        <f t="shared" si="23"/>
        <v>27.920000000000073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20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f>+SUM(START:END!F141)</f>
        <v>1836.3000000000002</v>
      </c>
      <c r="G141" s="89"/>
      <c r="H141" s="111"/>
      <c r="I141" s="22">
        <f>+SUM(START:END!I141)</f>
        <v>0</v>
      </c>
      <c r="J141" s="23"/>
      <c r="K141" s="111"/>
      <c r="L141" s="22">
        <f>+SUM(START:END!L141)</f>
        <v>2731.9700000000003</v>
      </c>
      <c r="M141" s="23"/>
      <c r="N141" s="91">
        <f t="shared" si="22"/>
        <v>895.67000000000007</v>
      </c>
      <c r="O141" s="23"/>
      <c r="P141" s="111"/>
      <c r="Q141" s="22">
        <f>+SUM(START:END!Q141)</f>
        <v>1864.94</v>
      </c>
      <c r="R141" s="23"/>
      <c r="S141" s="92">
        <f t="shared" si="23"/>
        <v>867.0300000000002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20"/>
        <v>Véhicules usagésFournitures autres</v>
      </c>
      <c r="B142" s="11" t="s">
        <v>70</v>
      </c>
      <c r="C142" s="29" t="s">
        <v>55</v>
      </c>
      <c r="D142" s="81"/>
      <c r="E142" s="13"/>
      <c r="F142" s="30">
        <f>+SUM(START:END!F142)</f>
        <v>88.235294117647072</v>
      </c>
      <c r="G142" s="83"/>
      <c r="H142" s="13"/>
      <c r="I142" s="30">
        <f>+SUM(START:END!I142)</f>
        <v>0</v>
      </c>
      <c r="J142" s="41"/>
      <c r="K142" s="13"/>
      <c r="L142" s="33">
        <f>+SUM(START:END!L142)</f>
        <v>278.45</v>
      </c>
      <c r="M142" s="41"/>
      <c r="N142" s="59">
        <f t="shared" si="22"/>
        <v>190.21470588235292</v>
      </c>
      <c r="O142" s="41"/>
      <c r="P142" s="13"/>
      <c r="Q142" s="33">
        <f>+SUM(START:END!Q142)</f>
        <v>20.13</v>
      </c>
      <c r="R142" s="41"/>
      <c r="S142" s="85">
        <f t="shared" si="23"/>
        <v>258.32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20"/>
        <v>Véhicules usagésUniformes</v>
      </c>
      <c r="B143" s="11" t="s">
        <v>70</v>
      </c>
      <c r="C143" s="29" t="s">
        <v>56</v>
      </c>
      <c r="D143" s="81"/>
      <c r="E143" s="13"/>
      <c r="F143" s="30">
        <f>+SUM(START:END!F143)</f>
        <v>15</v>
      </c>
      <c r="G143" s="83"/>
      <c r="H143" s="13"/>
      <c r="I143" s="30">
        <f>+SUM(START:END!I143)</f>
        <v>0</v>
      </c>
      <c r="J143" s="41"/>
      <c r="K143" s="13"/>
      <c r="L143" s="33">
        <f>+SUM(START:END!L143)</f>
        <v>0</v>
      </c>
      <c r="M143" s="41"/>
      <c r="N143" s="59">
        <f t="shared" si="22"/>
        <v>-15</v>
      </c>
      <c r="O143" s="41"/>
      <c r="P143" s="13"/>
      <c r="Q143" s="33">
        <f>+SUM(START:END!Q143)</f>
        <v>0</v>
      </c>
      <c r="R143" s="41"/>
      <c r="S143" s="85">
        <f t="shared" si="23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20"/>
        <v>Véhicules usagésPapeterie</v>
      </c>
      <c r="B144" s="11" t="s">
        <v>70</v>
      </c>
      <c r="C144" s="29" t="s">
        <v>57</v>
      </c>
      <c r="D144" s="81"/>
      <c r="E144" s="13"/>
      <c r="F144" s="30">
        <f>+SUM(START:END!F144)</f>
        <v>525</v>
      </c>
      <c r="G144" s="83"/>
      <c r="H144" s="13"/>
      <c r="I144" s="30">
        <f>+SUM(START:END!I144)</f>
        <v>0</v>
      </c>
      <c r="J144" s="41"/>
      <c r="K144" s="13"/>
      <c r="L144" s="32">
        <f>+SUM(START:END!L144)</f>
        <v>604.76</v>
      </c>
      <c r="M144" s="41"/>
      <c r="N144" s="59">
        <f t="shared" si="22"/>
        <v>79.759999999999991</v>
      </c>
      <c r="O144" s="41"/>
      <c r="P144" s="13"/>
      <c r="Q144" s="32">
        <f>+SUM(START:END!Q144)</f>
        <v>369.56</v>
      </c>
      <c r="R144" s="41"/>
      <c r="S144" s="85">
        <f t="shared" si="23"/>
        <v>235.2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20"/>
        <v>Véhicules usagésTéléphone</v>
      </c>
      <c r="B145" s="11" t="s">
        <v>70</v>
      </c>
      <c r="C145" s="29" t="s">
        <v>58</v>
      </c>
      <c r="D145" s="81"/>
      <c r="E145" s="13"/>
      <c r="F145" s="30">
        <f>+SUM(START:END!F145)</f>
        <v>189.60000000000002</v>
      </c>
      <c r="G145" s="83"/>
      <c r="H145" s="13"/>
      <c r="I145" s="30">
        <f>+SUM(START:END!I145)</f>
        <v>0</v>
      </c>
      <c r="J145" s="41"/>
      <c r="K145" s="13"/>
      <c r="L145" s="33">
        <f>+SUM(START:END!L145)</f>
        <v>257.15999999999997</v>
      </c>
      <c r="M145" s="41"/>
      <c r="N145" s="59">
        <f t="shared" si="22"/>
        <v>67.559999999999945</v>
      </c>
      <c r="O145" s="41"/>
      <c r="P145" s="13"/>
      <c r="Q145" s="33">
        <f>+SUM(START:END!Q145)</f>
        <v>236.61</v>
      </c>
      <c r="R145" s="41"/>
      <c r="S145" s="85">
        <f t="shared" si="23"/>
        <v>20.549999999999955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20"/>
        <v>Véhicules usagésFrais postaux</v>
      </c>
      <c r="B146" s="11" t="s">
        <v>70</v>
      </c>
      <c r="C146" s="29" t="s">
        <v>59</v>
      </c>
      <c r="D146" s="81"/>
      <c r="E146" s="13"/>
      <c r="F146" s="30">
        <f>+SUM(START:END!F146)</f>
        <v>150</v>
      </c>
      <c r="G146" s="83"/>
      <c r="H146" s="13"/>
      <c r="I146" s="30">
        <f>+SUM(START:END!I146)</f>
        <v>0</v>
      </c>
      <c r="J146" s="41"/>
      <c r="K146" s="13"/>
      <c r="L146" s="33">
        <f>+SUM(START:END!L146)</f>
        <v>387.73</v>
      </c>
      <c r="M146" s="41"/>
      <c r="N146" s="59">
        <f t="shared" si="22"/>
        <v>237.73000000000002</v>
      </c>
      <c r="O146" s="41"/>
      <c r="P146" s="13"/>
      <c r="Q146" s="33">
        <f>+SUM(START:END!Q146)</f>
        <v>484.67999999999995</v>
      </c>
      <c r="R146" s="41"/>
      <c r="S146" s="85">
        <f t="shared" si="23"/>
        <v>-96.949999999999932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20"/>
        <v>Véhicules usagésDivers</v>
      </c>
      <c r="B147" s="11" t="s">
        <v>70</v>
      </c>
      <c r="C147" s="29" t="s">
        <v>60</v>
      </c>
      <c r="D147" s="81"/>
      <c r="E147" s="13"/>
      <c r="F147" s="30">
        <f>+SUM(START:END!F147)</f>
        <v>557.40000000000009</v>
      </c>
      <c r="G147" s="83"/>
      <c r="H147" s="13"/>
      <c r="I147" s="30">
        <f>+SUM(START:END!I147)</f>
        <v>0</v>
      </c>
      <c r="J147" s="41"/>
      <c r="K147" s="13"/>
      <c r="L147" s="33">
        <f>+SUM(START:END!L147)</f>
        <v>472.1</v>
      </c>
      <c r="M147" s="41"/>
      <c r="N147" s="59">
        <f t="shared" si="22"/>
        <v>-85.300000000000068</v>
      </c>
      <c r="O147" s="41"/>
      <c r="P147" s="13"/>
      <c r="Q147" s="33">
        <f>+SUM(START:END!Q147)</f>
        <v>698.7</v>
      </c>
      <c r="R147" s="41"/>
      <c r="S147" s="85">
        <f t="shared" si="23"/>
        <v>-226.60000000000002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20"/>
        <v>Véhicules usagésFormation</v>
      </c>
      <c r="B148" s="11" t="s">
        <v>70</v>
      </c>
      <c r="C148" s="29" t="s">
        <v>61</v>
      </c>
      <c r="D148" s="81"/>
      <c r="E148" s="13"/>
      <c r="F148" s="30">
        <f>+SUM(START:END!F148)</f>
        <v>411.7203199999999</v>
      </c>
      <c r="G148" s="83"/>
      <c r="H148" s="13"/>
      <c r="I148" s="30">
        <f>+SUM(START:END!I148)</f>
        <v>0</v>
      </c>
      <c r="J148" s="41"/>
      <c r="K148" s="13"/>
      <c r="L148" s="59">
        <f>+SUM(START:END!L148)</f>
        <v>106.26</v>
      </c>
      <c r="M148" s="41"/>
      <c r="N148" s="59">
        <f t="shared" si="22"/>
        <v>-305.46031999999991</v>
      </c>
      <c r="O148" s="41"/>
      <c r="P148" s="13"/>
      <c r="Q148" s="33">
        <f>+SUM(START:END!Q148)</f>
        <v>1155.79</v>
      </c>
      <c r="R148" s="41"/>
      <c r="S148" s="85">
        <f t="shared" si="23"/>
        <v>-1049.53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20"/>
        <v>Véhicules usagésFrais bancaires</v>
      </c>
      <c r="B149" s="11" t="s">
        <v>70</v>
      </c>
      <c r="C149" s="29" t="s">
        <v>62</v>
      </c>
      <c r="D149" s="81"/>
      <c r="E149" s="13"/>
      <c r="F149" s="30">
        <f>+SUM(START:END!F149)</f>
        <v>1457.9651044376735</v>
      </c>
      <c r="G149" s="83"/>
      <c r="H149" s="13"/>
      <c r="I149" s="30">
        <f>+SUM(START:END!I149)</f>
        <v>0</v>
      </c>
      <c r="J149" s="41"/>
      <c r="K149" s="13"/>
      <c r="L149" s="33">
        <f>+SUM(START:END!L149)</f>
        <v>2509.81</v>
      </c>
      <c r="M149" s="41"/>
      <c r="N149" s="59">
        <f t="shared" si="22"/>
        <v>1051.8448955623264</v>
      </c>
      <c r="O149" s="41"/>
      <c r="P149" s="13"/>
      <c r="Q149" s="33">
        <f>+SUM(START:END!Q149)</f>
        <v>1813.37</v>
      </c>
      <c r="R149" s="41"/>
      <c r="S149" s="85">
        <f>L149-Q149</f>
        <v>696.44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 t="shared" si="20"/>
        <v>Véhicules usagés[...]</v>
      </c>
      <c r="B150" s="11" t="s">
        <v>70</v>
      </c>
      <c r="C150" s="29" t="s">
        <v>19</v>
      </c>
      <c r="D150" s="81"/>
      <c r="E150" s="13"/>
      <c r="F150" s="30">
        <f>+SUM(START:END!F150)</f>
        <v>0</v>
      </c>
      <c r="G150" s="83"/>
      <c r="H150" s="13"/>
      <c r="I150" s="30">
        <f>+SUM(START:END!I150)</f>
        <v>0</v>
      </c>
      <c r="J150" s="41"/>
      <c r="K150" s="13"/>
      <c r="L150" s="33">
        <f>+SUM(START:END!L150)</f>
        <v>0</v>
      </c>
      <c r="M150" s="41"/>
      <c r="N150" s="59">
        <f t="shared" si="22"/>
        <v>0</v>
      </c>
      <c r="O150" s="41"/>
      <c r="P150" s="13"/>
      <c r="Q150" s="33">
        <f>+SUM(START:END!Q150)</f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si="20"/>
        <v>Véhicules usagés[...]</v>
      </c>
      <c r="B151" s="11" t="s">
        <v>70</v>
      </c>
      <c r="C151" s="29" t="s">
        <v>19</v>
      </c>
      <c r="D151" s="81"/>
      <c r="E151" s="13"/>
      <c r="F151" s="30">
        <f>+SUM(START:END!F151)</f>
        <v>0</v>
      </c>
      <c r="G151" s="83"/>
      <c r="H151" s="13"/>
      <c r="I151" s="30">
        <f>+SUM(START:END!I151)</f>
        <v>0</v>
      </c>
      <c r="J151" s="41"/>
      <c r="K151" s="13"/>
      <c r="L151" s="33">
        <f>+SUM(START:END!L151)</f>
        <v>0</v>
      </c>
      <c r="M151" s="41"/>
      <c r="N151" s="59">
        <f t="shared" si="22"/>
        <v>0</v>
      </c>
      <c r="O151" s="41"/>
      <c r="P151" s="13"/>
      <c r="Q151" s="33">
        <f>+SUM(START:END!Q151)</f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si="20"/>
        <v>Véhicules usagés[...]</v>
      </c>
      <c r="B152" s="11" t="s">
        <v>70</v>
      </c>
      <c r="C152" s="29" t="s">
        <v>19</v>
      </c>
      <c r="D152" s="81"/>
      <c r="E152" s="13"/>
      <c r="F152" s="30">
        <f>+SUM(START:END!F152)</f>
        <v>0</v>
      </c>
      <c r="G152" s="83"/>
      <c r="H152" s="13"/>
      <c r="I152" s="30">
        <f>+SUM(START:END!I152)</f>
        <v>0</v>
      </c>
      <c r="J152" s="41"/>
      <c r="K152" s="13"/>
      <c r="L152" s="33">
        <f>+SUM(START:END!L152)</f>
        <v>0</v>
      </c>
      <c r="M152" s="41"/>
      <c r="N152" s="59">
        <f t="shared" si="22"/>
        <v>0</v>
      </c>
      <c r="O152" s="41"/>
      <c r="P152" s="13"/>
      <c r="Q152" s="33">
        <f>+SUM(START:END!Q152)</f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si="20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7.2248722431936543E-2</v>
      </c>
      <c r="F153" s="96">
        <f>+SUM(F136:F152)</f>
        <v>12612.820718555322</v>
      </c>
      <c r="G153" s="97" t="s">
        <v>38</v>
      </c>
      <c r="H153" s="95" t="e">
        <f>I153/I$108</f>
        <v>#DIV/0!</v>
      </c>
      <c r="I153" s="96">
        <f>+SUM(I136:I152)</f>
        <v>0</v>
      </c>
      <c r="J153" s="97" t="s">
        <v>38</v>
      </c>
      <c r="K153" s="95">
        <f>L153/L$108</f>
        <v>0.10780040266632612</v>
      </c>
      <c r="L153" s="96">
        <f>+SUM(L136:L152)</f>
        <v>16653.57</v>
      </c>
      <c r="M153" s="100"/>
      <c r="N153" s="96">
        <f t="shared" si="22"/>
        <v>4040.7492814446778</v>
      </c>
      <c r="O153" s="97" t="s">
        <v>38</v>
      </c>
      <c r="P153" s="95">
        <f>Q153/Q$108</f>
        <v>9.2954487993432089E-2</v>
      </c>
      <c r="Q153" s="96">
        <f>+SUM(Q136:Q152)</f>
        <v>13919.52</v>
      </c>
      <c r="R153" s="100"/>
      <c r="S153" s="101">
        <f>L153-Q153</f>
        <v>2734.0499999999993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20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20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1.0101432121084009</v>
      </c>
      <c r="F155" s="96">
        <f>F122+F135+F153</f>
        <v>176345.75125382407</v>
      </c>
      <c r="G155" s="97" t="s">
        <v>38</v>
      </c>
      <c r="H155" s="95" t="e">
        <f>I155/I$108</f>
        <v>#DIV/0!</v>
      </c>
      <c r="I155" s="96">
        <f>I122+I135+I153</f>
        <v>0</v>
      </c>
      <c r="J155" s="97" t="s">
        <v>38</v>
      </c>
      <c r="K155" s="95">
        <f>L155/L$108</f>
        <v>1.1001717122083456</v>
      </c>
      <c r="L155" s="96">
        <f>L122+L135+L153</f>
        <v>169960.28000000003</v>
      </c>
      <c r="M155" s="100"/>
      <c r="N155" s="113">
        <f t="shared" ref="N155:N162" si="28">L155-F155</f>
        <v>-6385.4712538240419</v>
      </c>
      <c r="O155" s="97" t="s">
        <v>38</v>
      </c>
      <c r="P155" s="95">
        <f>Q155/Q$108</f>
        <v>1.1813992590363629</v>
      </c>
      <c r="Q155" s="96">
        <f>Q122+Q135+Q153</f>
        <v>176909.27</v>
      </c>
      <c r="R155" s="100"/>
      <c r="S155" s="114">
        <f t="shared" ref="S155:S162" si="29">L155-Q155</f>
        <v>-6948.9899999999616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20"/>
        <v>Véhicules usagésRBSC used</v>
      </c>
      <c r="B156" s="11" t="s">
        <v>70</v>
      </c>
      <c r="C156" s="29" t="s">
        <v>218</v>
      </c>
      <c r="D156" s="149"/>
      <c r="E156" s="150"/>
      <c r="F156" s="30">
        <f>+SUM(START:END!F156)</f>
        <v>4875</v>
      </c>
      <c r="G156" s="151"/>
      <c r="H156" s="150"/>
      <c r="I156" s="30">
        <f>+SUM(START:END!I156)</f>
        <v>0</v>
      </c>
      <c r="J156" s="151"/>
      <c r="K156" s="150"/>
      <c r="L156" s="32">
        <f>+SUM(START:END!L156)</f>
        <v>3000</v>
      </c>
      <c r="M156" s="41"/>
      <c r="N156" s="59">
        <f t="shared" si="28"/>
        <v>-1875</v>
      </c>
      <c r="O156" s="151"/>
      <c r="P156" s="150"/>
      <c r="Q156" s="33">
        <f>+SUM(START:END!Q156)</f>
        <v>4125</v>
      </c>
      <c r="R156" s="41"/>
      <c r="S156" s="85">
        <f t="shared" si="29"/>
        <v>-1125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20"/>
        <v>Véhicules usagésProgramme 360</v>
      </c>
      <c r="B157" s="11" t="s">
        <v>70</v>
      </c>
      <c r="C157" s="29" t="s">
        <v>219</v>
      </c>
      <c r="D157" s="149"/>
      <c r="E157" s="150"/>
      <c r="F157" s="30">
        <f>+SUM(START:END!F157)</f>
        <v>3470.588235294118</v>
      </c>
      <c r="G157" s="151"/>
      <c r="H157" s="150"/>
      <c r="I157" s="30">
        <f>+SUM(START:END!I157)</f>
        <v>0</v>
      </c>
      <c r="J157" s="151"/>
      <c r="K157" s="150"/>
      <c r="L157" s="33">
        <f>+SUM(START:END!L157)</f>
        <v>-1450</v>
      </c>
      <c r="M157" s="41"/>
      <c r="N157" s="59">
        <f t="shared" si="28"/>
        <v>-4920.588235294118</v>
      </c>
      <c r="O157" s="151"/>
      <c r="P157" s="150"/>
      <c r="Q157" s="33">
        <f>+SUM(START:END!Q157)</f>
        <v>3625</v>
      </c>
      <c r="R157" s="41"/>
      <c r="S157" s="85">
        <f t="shared" si="29"/>
        <v>-5075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20"/>
        <v>Véhicules usagésProgramme used 3</v>
      </c>
      <c r="B158" s="11" t="s">
        <v>70</v>
      </c>
      <c r="C158" s="29" t="s">
        <v>77</v>
      </c>
      <c r="D158" s="81"/>
      <c r="E158" s="13"/>
      <c r="F158" s="30">
        <f>+SUM(START:END!F158)</f>
        <v>0</v>
      </c>
      <c r="G158" s="83"/>
      <c r="H158" s="13"/>
      <c r="I158" s="30">
        <f>+SUM(START:END!I158)</f>
        <v>0</v>
      </c>
      <c r="J158" s="41"/>
      <c r="K158" s="13"/>
      <c r="L158" s="33">
        <f>+SUM(START:END!L158)</f>
        <v>0</v>
      </c>
      <c r="M158" s="41"/>
      <c r="N158" s="59">
        <f t="shared" si="28"/>
        <v>0</v>
      </c>
      <c r="O158" s="41"/>
      <c r="P158" s="13"/>
      <c r="Q158" s="33">
        <f>+SUM(START:END!Q158)</f>
        <v>0</v>
      </c>
      <c r="R158" s="41"/>
      <c r="S158" s="85">
        <f t="shared" si="29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f>+SUM(START:END!F159)</f>
        <v>20230</v>
      </c>
      <c r="G159" s="83"/>
      <c r="H159" s="13"/>
      <c r="I159" s="30">
        <f>+SUM(START:END!I159)</f>
        <v>0</v>
      </c>
      <c r="J159" s="41"/>
      <c r="K159" s="13"/>
      <c r="L159" s="32">
        <f>+SUM(START:END!L159)</f>
        <v>17850</v>
      </c>
      <c r="M159" s="41"/>
      <c r="N159" s="59">
        <f t="shared" si="28"/>
        <v>-2380</v>
      </c>
      <c r="O159" s="41"/>
      <c r="P159" s="13"/>
      <c r="Q159" s="33">
        <f>+SUM(START:END!Q159)</f>
        <v>22015</v>
      </c>
      <c r="R159" s="41"/>
      <c r="S159" s="85">
        <f t="shared" si="29"/>
        <v>-4165</v>
      </c>
      <c r="T159" s="112"/>
      <c r="U159" s="13"/>
      <c r="V159" s="13"/>
      <c r="W159" s="454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f>+SUM(START:END!F160)</f>
        <v>0</v>
      </c>
      <c r="G160" s="83"/>
      <c r="H160" s="13"/>
      <c r="I160" s="30">
        <f>+SUM(START:END!I160)</f>
        <v>0</v>
      </c>
      <c r="J160" s="41"/>
      <c r="K160" s="13"/>
      <c r="L160" s="32">
        <f>+SUM(START:END!L160)</f>
        <v>0</v>
      </c>
      <c r="M160" s="41"/>
      <c r="N160" s="59">
        <f t="shared" si="28"/>
        <v>0</v>
      </c>
      <c r="O160" s="41"/>
      <c r="P160" s="13"/>
      <c r="Q160" s="33">
        <f>+SUM(START:END!Q160)</f>
        <v>0</v>
      </c>
      <c r="R160" s="41"/>
      <c r="S160" s="85">
        <f t="shared" si="29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f>+SUM(START:END!F161)</f>
        <v>0</v>
      </c>
      <c r="G161" s="83"/>
      <c r="H161" s="13"/>
      <c r="I161" s="30">
        <f>+SUM(START:END!I161)</f>
        <v>0</v>
      </c>
      <c r="J161" s="41"/>
      <c r="K161" s="13"/>
      <c r="L161" s="32">
        <f>+SUM(START:END!L161)</f>
        <v>0</v>
      </c>
      <c r="M161" s="41"/>
      <c r="N161" s="59">
        <f t="shared" si="28"/>
        <v>0</v>
      </c>
      <c r="O161" s="41"/>
      <c r="P161" s="13"/>
      <c r="Q161" s="33">
        <f>+SUM(START:END!Q161)</f>
        <v>0</v>
      </c>
      <c r="R161" s="41"/>
      <c r="S161" s="85">
        <f t="shared" si="29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f>+SUM(START:END!F162)</f>
        <v>0</v>
      </c>
      <c r="G162" s="83"/>
      <c r="H162" s="13"/>
      <c r="I162" s="30">
        <f>+SUM(START:END!I162)</f>
        <v>0</v>
      </c>
      <c r="J162" s="41"/>
      <c r="K162" s="13"/>
      <c r="L162" s="32">
        <f>+SUM(START:END!L162)</f>
        <v>0</v>
      </c>
      <c r="M162" s="41"/>
      <c r="N162" s="59">
        <f t="shared" si="28"/>
        <v>0</v>
      </c>
      <c r="O162" s="41"/>
      <c r="P162" s="13"/>
      <c r="Q162" s="33">
        <f>+SUM(START:END!Q162)</f>
        <v>0</v>
      </c>
      <c r="R162" s="41"/>
      <c r="S162" s="85">
        <f t="shared" si="29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28575.588235294119</v>
      </c>
      <c r="G163" s="97"/>
      <c r="H163" s="95"/>
      <c r="I163" s="96">
        <f>+SUM(I156:I162)</f>
        <v>0</v>
      </c>
      <c r="J163" s="97"/>
      <c r="K163" s="95"/>
      <c r="L163" s="96">
        <f>+SUM(L156:L162)</f>
        <v>19400</v>
      </c>
      <c r="M163" s="100"/>
      <c r="N163" s="96">
        <f>SUM(N156:N159)</f>
        <v>-9175.5882352941189</v>
      </c>
      <c r="O163" s="97"/>
      <c r="P163" s="95"/>
      <c r="Q163" s="96">
        <f>+SUM(Q156:Q162)</f>
        <v>29765</v>
      </c>
      <c r="R163" s="100"/>
      <c r="S163" s="101">
        <f>+SUM(S156:S162)</f>
        <v>-10365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26804.836981470049</v>
      </c>
      <c r="G165" s="153"/>
      <c r="H165" s="125"/>
      <c r="I165" s="127">
        <f>I108-I155+I163</f>
        <v>0</v>
      </c>
      <c r="J165" s="154"/>
      <c r="K165" s="126"/>
      <c r="L165" s="127">
        <f>L108-L155+L163</f>
        <v>3924.9499999999243</v>
      </c>
      <c r="M165" s="154"/>
      <c r="N165" s="127">
        <f>L165-F165</f>
        <v>-22879.886981470125</v>
      </c>
      <c r="O165" s="154"/>
      <c r="P165" s="126"/>
      <c r="Q165" s="127">
        <f>Q108-Q155+Q163</f>
        <v>2601.2699999999604</v>
      </c>
      <c r="R165" s="154"/>
      <c r="S165" s="129">
        <f>L165-Q165</f>
        <v>1323.6799999999639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  Q4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96" t="s">
        <v>5</v>
      </c>
      <c r="E170" s="497"/>
      <c r="F170" s="498"/>
      <c r="G170" s="499" t="s">
        <v>71</v>
      </c>
      <c r="H170" s="497"/>
      <c r="I170" s="498"/>
      <c r="J170" s="499" t="s">
        <v>7</v>
      </c>
      <c r="K170" s="497"/>
      <c r="L170" s="498"/>
      <c r="M170" s="499" t="s">
        <v>213</v>
      </c>
      <c r="N170" s="498"/>
      <c r="O170" s="496" t="s">
        <v>8</v>
      </c>
      <c r="P170" s="497"/>
      <c r="Q170" s="498"/>
      <c r="R170" s="494" t="s">
        <v>214</v>
      </c>
      <c r="S170" s="495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30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 t="s">
        <v>39</v>
      </c>
      <c r="H171" s="80" t="s">
        <v>79</v>
      </c>
      <c r="I171" s="134" t="s">
        <v>12</v>
      </c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30"/>
        <v>ServiceM/O Client</v>
      </c>
      <c r="B172" s="11" t="s">
        <v>78</v>
      </c>
      <c r="C172" s="29" t="s">
        <v>81</v>
      </c>
      <c r="D172" s="13">
        <f>+SUM(START:END!D172)</f>
        <v>0</v>
      </c>
      <c r="E172" s="82">
        <f>+SUM(START:END!E172)</f>
        <v>231159.50210233737</v>
      </c>
      <c r="F172" s="82">
        <f>+SUM(START:END!F172)</f>
        <v>184002.9636734605</v>
      </c>
      <c r="G172" s="156">
        <f>+SUM(START:END!G172)</f>
        <v>0</v>
      </c>
      <c r="H172" s="82">
        <f>+SUM(START:END!H172)</f>
        <v>0</v>
      </c>
      <c r="I172" s="82">
        <f>+SUM(START:END!I172)</f>
        <v>0</v>
      </c>
      <c r="J172" s="60">
        <f>+SUM(START:END!J172)</f>
        <v>761</v>
      </c>
      <c r="K172" s="30">
        <f>+SUM(START:END!K172)</f>
        <v>221312.36</v>
      </c>
      <c r="L172" s="33">
        <f>+SUM(START:END!L172)</f>
        <v>175427.87</v>
      </c>
      <c r="M172" s="157">
        <f>(K172-E172)/E172</f>
        <v>-4.2598906870710961E-2</v>
      </c>
      <c r="N172" s="59">
        <f>L172-F172</f>
        <v>-8575.0936734605057</v>
      </c>
      <c r="O172" s="60">
        <f>+SUM(START:END!O172)</f>
        <v>729</v>
      </c>
      <c r="P172" s="30">
        <f>+SUM(START:END!P172)</f>
        <v>206530</v>
      </c>
      <c r="Q172" s="33">
        <f>+SUM(START:END!Q172)</f>
        <v>165690.47</v>
      </c>
      <c r="R172" s="157">
        <f>IF(O172=0,0,J172/O172)</f>
        <v>1.0438957475994513</v>
      </c>
      <c r="S172" s="85">
        <f>L172-Q172</f>
        <v>9737.3999999999942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30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0.79599999999999982</v>
      </c>
      <c r="G173" s="41"/>
      <c r="H173" s="144"/>
      <c r="I173" s="158" t="e">
        <f>I172/H172</f>
        <v>#DIV/0!</v>
      </c>
      <c r="J173" s="60"/>
      <c r="K173" s="13"/>
      <c r="L173" s="158">
        <f>L172/K172</f>
        <v>0.79267091092427011</v>
      </c>
      <c r="M173" s="157"/>
      <c r="N173" s="59"/>
      <c r="O173" s="60"/>
      <c r="P173" s="13"/>
      <c r="Q173" s="158">
        <f>Q172/P172</f>
        <v>0.80225860649784531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30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>
        <f>IFERROR(H172/G172,0)</f>
        <v>0</v>
      </c>
      <c r="I174" s="160"/>
      <c r="J174" s="161"/>
      <c r="K174" s="465">
        <f>IFERROR(K172/J172,0)</f>
        <v>290.81781865965831</v>
      </c>
      <c r="L174" s="160"/>
      <c r="M174" s="162"/>
      <c r="N174" s="91"/>
      <c r="O174" s="161"/>
      <c r="P174" s="465">
        <f>IFERROR(P172/O172,0)</f>
        <v>283.30589849108367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30"/>
        <v>ServiceM/O Garantie</v>
      </c>
      <c r="B175" s="11" t="s">
        <v>78</v>
      </c>
      <c r="C175" s="14" t="s">
        <v>83</v>
      </c>
      <c r="D175" s="163">
        <f>+SUM(START:END!D175)</f>
        <v>0</v>
      </c>
      <c r="E175" s="82">
        <f>+SUM(START:END!E175)</f>
        <v>88089.80857339318</v>
      </c>
      <c r="F175" s="82">
        <f>+SUM(START:END!F175)</f>
        <v>63512.751981416484</v>
      </c>
      <c r="G175" s="164">
        <f>+SUM(START:END!G175)</f>
        <v>0</v>
      </c>
      <c r="H175" s="82">
        <f>+SUM(START:END!H175)</f>
        <v>0</v>
      </c>
      <c r="I175" s="82">
        <f>+SUM(START:END!I175)</f>
        <v>0</v>
      </c>
      <c r="J175" s="164">
        <f>+SUM(START:END!J175)</f>
        <v>505</v>
      </c>
      <c r="K175" s="165">
        <f>+SUM(START:END!K175)</f>
        <v>96593.49</v>
      </c>
      <c r="L175" s="33">
        <f>+SUM(START:END!L175)</f>
        <v>65334.259999999995</v>
      </c>
      <c r="M175" s="157">
        <f>(K175-E175)/E175</f>
        <v>9.6534225290339587E-2</v>
      </c>
      <c r="N175" s="109">
        <f>L175-F175</f>
        <v>1821.5080185835104</v>
      </c>
      <c r="O175" s="164">
        <f>+SUM(START:END!O175)</f>
        <v>494</v>
      </c>
      <c r="P175" s="165">
        <f>+SUM(START:END!P175)</f>
        <v>66365.099999999904</v>
      </c>
      <c r="Q175" s="33">
        <f>+SUM(START:END!Q175)</f>
        <v>47860.159999999698</v>
      </c>
      <c r="R175" s="157">
        <f>IF(O175=0,0,J175/O175)</f>
        <v>1.0222672064777327</v>
      </c>
      <c r="S175" s="85">
        <f>L175-Q175</f>
        <v>17474.100000000297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30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 t="e">
        <f>I175/H175</f>
        <v>#DIV/0!</v>
      </c>
      <c r="J176" s="41"/>
      <c r="K176" s="13"/>
      <c r="L176" s="158">
        <f>L175/K175</f>
        <v>0.67638367761636931</v>
      </c>
      <c r="M176" s="42"/>
      <c r="N176" s="43"/>
      <c r="O176" s="41"/>
      <c r="P176" s="13"/>
      <c r="Q176" s="158">
        <f>Q175/P175</f>
        <v>0.72116458801387728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30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30"/>
        <v>ServiceM/O Interne</v>
      </c>
      <c r="B178" s="11" t="s">
        <v>78</v>
      </c>
      <c r="C178" s="29" t="s">
        <v>84</v>
      </c>
      <c r="D178" s="13">
        <f>+SUM(START:END!D178)</f>
        <v>0</v>
      </c>
      <c r="E178" s="82">
        <f>+SUM(START:END!E178)</f>
        <v>105975.16129368302</v>
      </c>
      <c r="F178" s="82">
        <f>+SUM(START:END!F178)</f>
        <v>65492.649679496099</v>
      </c>
      <c r="G178" s="41">
        <f>+SUM(START:END!G178)</f>
        <v>0</v>
      </c>
      <c r="H178" s="82">
        <f>+SUM(START:END!H178)</f>
        <v>0</v>
      </c>
      <c r="I178" s="82">
        <f>+SUM(START:END!I178)</f>
        <v>0</v>
      </c>
      <c r="J178" s="60">
        <f>+SUM(START:END!J178)</f>
        <v>520</v>
      </c>
      <c r="K178" s="165">
        <f>+SUM(START:END!K178)</f>
        <v>140180.19</v>
      </c>
      <c r="L178" s="33">
        <f>+SUM(START:END!L178)</f>
        <v>91305.459999999992</v>
      </c>
      <c r="M178" s="157">
        <f>(K178-E178)/E178</f>
        <v>0.32276458265089591</v>
      </c>
      <c r="N178" s="59">
        <f>L178-F178</f>
        <v>25812.810320503893</v>
      </c>
      <c r="O178" s="60">
        <f>+SUM(START:END!O178)</f>
        <v>507</v>
      </c>
      <c r="P178" s="165">
        <f>+SUM(START:END!P178)</f>
        <v>104798.65</v>
      </c>
      <c r="Q178" s="33">
        <f>+SUM(START:END!Q178)</f>
        <v>64843.5799999999</v>
      </c>
      <c r="R178" s="157">
        <f>IF(O178=0,0,J178/O178)</f>
        <v>1.0256410256410255</v>
      </c>
      <c r="S178" s="85">
        <f>L178-Q178</f>
        <v>26461.880000000092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30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0.61799999999999988</v>
      </c>
      <c r="G179" s="41"/>
      <c r="H179" s="144"/>
      <c r="I179" s="158" t="e">
        <f>I178/H178</f>
        <v>#DIV/0!</v>
      </c>
      <c r="J179" s="60"/>
      <c r="K179" s="144"/>
      <c r="L179" s="158">
        <f>L178/K178</f>
        <v>0.65134353149328728</v>
      </c>
      <c r="M179" s="157"/>
      <c r="N179" s="59">
        <f>L179-F179</f>
        <v>3.3343531493287393E-2</v>
      </c>
      <c r="O179" s="60"/>
      <c r="P179" s="144"/>
      <c r="Q179" s="158">
        <f>Q178/P178</f>
        <v>0.61874442084893178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30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30"/>
        <v>ServiceM/O Esthétique</v>
      </c>
      <c r="B181" s="11" t="s">
        <v>78</v>
      </c>
      <c r="C181" s="14" t="s">
        <v>85</v>
      </c>
      <c r="D181" s="105">
        <f>+SUM(START:END!D181)</f>
        <v>0</v>
      </c>
      <c r="E181" s="82">
        <f>+SUM(START:END!E181)</f>
        <v>31160.130650179915</v>
      </c>
      <c r="F181" s="82">
        <f>+SUM(START:END!F181)</f>
        <v>12464.052260071967</v>
      </c>
      <c r="G181" s="107">
        <f>+SUM(START:END!G181)</f>
        <v>0</v>
      </c>
      <c r="H181" s="82">
        <f>+SUM(START:END!H181)</f>
        <v>0</v>
      </c>
      <c r="I181" s="82">
        <f>+SUM(START:END!I181)</f>
        <v>0</v>
      </c>
      <c r="J181" s="164">
        <f>+SUM(START:END!J181)</f>
        <v>176</v>
      </c>
      <c r="K181" s="165">
        <f>+SUM(START:END!K181)</f>
        <v>31870</v>
      </c>
      <c r="L181" s="108">
        <f>+SUM(START:END!L181)</f>
        <v>11064.740000000002</v>
      </c>
      <c r="M181" s="173">
        <f>IF(E181=0,0,(K181-E181)/E181)</f>
        <v>2.2781334192383623E-2</v>
      </c>
      <c r="N181" s="109">
        <f>L181-F181</f>
        <v>-1399.3122600719653</v>
      </c>
      <c r="O181" s="164">
        <f>+SUM(START:END!O181)</f>
        <v>189</v>
      </c>
      <c r="P181" s="165">
        <f>+SUM(START:END!P181)</f>
        <v>30432.6899999999</v>
      </c>
      <c r="Q181" s="108">
        <f>+SUM(START:END!Q181)</f>
        <v>12285.96999999999</v>
      </c>
      <c r="R181" s="157">
        <f>IF(O181=0,0,J181/O181)</f>
        <v>0.93121693121693117</v>
      </c>
      <c r="S181" s="110">
        <f>L181-Q181</f>
        <v>-1221.2299999999886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30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>
        <f>IFERROR(I181/H181,0)</f>
        <v>0</v>
      </c>
      <c r="J182" s="175"/>
      <c r="K182" s="174"/>
      <c r="L182" s="158">
        <f>IFERROR(L181/K181,0)</f>
        <v>0.34718355820520869</v>
      </c>
      <c r="M182" s="60">
        <f>J182-D182</f>
        <v>0</v>
      </c>
      <c r="N182" s="176"/>
      <c r="O182" s="175"/>
      <c r="P182" s="174"/>
      <c r="Q182" s="158">
        <f>IFERROR(Q181/P181,0)</f>
        <v>0.40370962934923038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30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30"/>
        <v>ServiceAjustement M/O</v>
      </c>
      <c r="B184" s="11" t="s">
        <v>78</v>
      </c>
      <c r="C184" s="29" t="s">
        <v>86</v>
      </c>
      <c r="D184" s="13"/>
      <c r="E184" s="13"/>
      <c r="F184" s="59">
        <f>+SUM(START:END!F184)</f>
        <v>-6545.6092512574187</v>
      </c>
      <c r="G184" s="41"/>
      <c r="H184" s="82"/>
      <c r="I184" s="82">
        <f>+SUM(START:END!I184)</f>
        <v>0</v>
      </c>
      <c r="J184" s="60"/>
      <c r="K184" s="82"/>
      <c r="L184" s="82">
        <f>+SUM(START:END!L184)</f>
        <v>-6364.17</v>
      </c>
      <c r="M184" s="175"/>
      <c r="N184" s="59">
        <f>L184-F184</f>
        <v>181.43925125741862</v>
      </c>
      <c r="O184" s="60"/>
      <c r="P184" s="82"/>
      <c r="Q184" s="82">
        <f>+SUM(START:END!Q184)</f>
        <v>-8735.4</v>
      </c>
      <c r="R184" s="184"/>
      <c r="S184" s="85">
        <f>L184-Q184</f>
        <v>2371.2299999999996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30"/>
        <v>ServiceSous-total M/O</v>
      </c>
      <c r="B185" s="11" t="s">
        <v>78</v>
      </c>
      <c r="C185" s="185" t="s">
        <v>87</v>
      </c>
      <c r="D185" s="186"/>
      <c r="E185" s="186">
        <f>E172+E175+E178+E181+E184</f>
        <v>456384.6026195935</v>
      </c>
      <c r="F185" s="187">
        <f>F172+F175+F178+F181+F184</f>
        <v>318926.80834318761</v>
      </c>
      <c r="G185" s="188"/>
      <c r="H185" s="186">
        <f>H172+H175+H178+H181+H184</f>
        <v>0</v>
      </c>
      <c r="I185" s="187">
        <f>I172+I175+I178+I181+I184</f>
        <v>0</v>
      </c>
      <c r="J185" s="188"/>
      <c r="K185" s="186">
        <f>K172+K175+K178+K181+K184</f>
        <v>489956.04</v>
      </c>
      <c r="L185" s="187">
        <f>L172+L175+L178+L181+L184</f>
        <v>336768.16</v>
      </c>
      <c r="M185" s="189">
        <f>(K185-E185)/E185</f>
        <v>7.3559531122895941E-2</v>
      </c>
      <c r="N185" s="187">
        <f>L185-F185</f>
        <v>17841.35165681236</v>
      </c>
      <c r="O185" s="188"/>
      <c r="P185" s="186">
        <f>P172+P175+P178+P181+P184</f>
        <v>408126.43999999977</v>
      </c>
      <c r="Q185" s="187">
        <f>Q172+Q175+Q178+Q181+Q184</f>
        <v>281944.77999999956</v>
      </c>
      <c r="R185" s="42">
        <f>IF(O185=0,0,J185/O185)</f>
        <v>0</v>
      </c>
      <c r="S185" s="190">
        <f>L185-Q185</f>
        <v>54823.380000000412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30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0.69881149914476859</v>
      </c>
      <c r="G186" s="194"/>
      <c r="H186" s="192"/>
      <c r="I186" s="43" t="e">
        <f>I185/H185</f>
        <v>#DIV/0!</v>
      </c>
      <c r="J186" s="194"/>
      <c r="K186" s="443"/>
      <c r="L186" s="43">
        <f>L185/K185</f>
        <v>0.68734362372591629</v>
      </c>
      <c r="M186" s="194"/>
      <c r="N186" s="193">
        <f>N185/F185</f>
        <v>5.5941837406198271E-2</v>
      </c>
      <c r="O186" s="194"/>
      <c r="P186" s="443"/>
      <c r="Q186" s="43">
        <f>Q185/P185</f>
        <v>0.69082703879709362</v>
      </c>
      <c r="R186" s="194"/>
      <c r="S186" s="44">
        <f>IF(R185=0,0,S185/R185)</f>
        <v>0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30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30"/>
        <v>ServiceSous-traitement</v>
      </c>
      <c r="B188" s="11" t="s">
        <v>78</v>
      </c>
      <c r="C188" s="29" t="s">
        <v>89</v>
      </c>
      <c r="D188" s="82"/>
      <c r="E188" s="82">
        <f>+SUM(START:END!E188)</f>
        <v>12019.091057241501</v>
      </c>
      <c r="F188" s="82">
        <f>+SUM(START:END!F188)</f>
        <v>2055.2645707882971</v>
      </c>
      <c r="G188" s="60"/>
      <c r="H188" s="82">
        <f>+SUM(START:END!H188)</f>
        <v>0</v>
      </c>
      <c r="I188" s="82">
        <f>+SUM(START:END!I188)</f>
        <v>0</v>
      </c>
      <c r="J188" s="60"/>
      <c r="K188" s="30">
        <f>+SUM(START:END!K188)</f>
        <v>12588.570000000002</v>
      </c>
      <c r="L188" s="33">
        <f>+SUM(START:END!L188)</f>
        <v>506.55000000000211</v>
      </c>
      <c r="M188" s="84">
        <f>IF(E188=0,0,(K188-E188)/E188)</f>
        <v>4.7381198798339172E-2</v>
      </c>
      <c r="N188" s="59">
        <f>L188-F188</f>
        <v>-1548.7145707882951</v>
      </c>
      <c r="O188" s="60"/>
      <c r="P188" s="30">
        <f>+SUM(START:END!P188)</f>
        <v>10968.559999999981</v>
      </c>
      <c r="Q188" s="33">
        <f>+SUM(START:END!Q188)</f>
        <v>223.89999999999878</v>
      </c>
      <c r="R188" s="157">
        <f>IF(O188=0,0,J188/O188)</f>
        <v>0</v>
      </c>
      <c r="S188" s="85">
        <f>L188-Q188</f>
        <v>282.65000000000333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30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0.17100000000000004</v>
      </c>
      <c r="G189" s="41"/>
      <c r="H189" s="144"/>
      <c r="I189" s="158">
        <f>IFERROR(I188/H188,0)</f>
        <v>0</v>
      </c>
      <c r="J189" s="175"/>
      <c r="K189" s="174"/>
      <c r="L189" s="158">
        <f>IFERROR(L188/K188,0)</f>
        <v>4.0238883368007808E-2</v>
      </c>
      <c r="M189" s="175"/>
      <c r="N189" s="176"/>
      <c r="O189" s="175"/>
      <c r="P189" s="174"/>
      <c r="Q189" s="158">
        <f>IFERROR(Q188/P188,0)</f>
        <v>2.0412889203322876E-2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30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30"/>
        <v>ServiceM.O. Recond. MCPA</v>
      </c>
      <c r="B191" s="11" t="s">
        <v>78</v>
      </c>
      <c r="C191" s="29" t="s">
        <v>90</v>
      </c>
      <c r="D191" s="13"/>
      <c r="E191" s="82">
        <f>+SUM(START:END!E191)</f>
        <v>0</v>
      </c>
      <c r="F191" s="82">
        <f>+SUM(START:END!F191)</f>
        <v>0</v>
      </c>
      <c r="G191" s="41"/>
      <c r="H191" s="82">
        <f>+SUM(START:END!H191)</f>
        <v>0</v>
      </c>
      <c r="I191" s="82">
        <f>+SUM(START:END!I191)</f>
        <v>0</v>
      </c>
      <c r="J191" s="175"/>
      <c r="K191" s="30">
        <f>+SUM(START:END!K191)</f>
        <v>0</v>
      </c>
      <c r="L191" s="158">
        <f>+SUM(START:END!L191)</f>
        <v>0</v>
      </c>
      <c r="M191" s="175"/>
      <c r="N191" s="176"/>
      <c r="O191" s="175"/>
      <c r="P191" s="30">
        <f>+SUM(START:END!P191)</f>
        <v>0</v>
      </c>
      <c r="Q191" s="158">
        <f>+SUM(START:END!Q191)</f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30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>
        <f>IF(I191=0,0,I191/H191)</f>
        <v>0</v>
      </c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30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30"/>
        <v>ServiceTotal Mécanique</v>
      </c>
      <c r="B194" s="11" t="s">
        <v>78</v>
      </c>
      <c r="C194" s="62" t="s">
        <v>91</v>
      </c>
      <c r="D194" s="63"/>
      <c r="E194" s="63">
        <f>E185+E188+E191</f>
        <v>468403.69367683498</v>
      </c>
      <c r="F194" s="65">
        <f>F185+F188+F191</f>
        <v>320982.07291397592</v>
      </c>
      <c r="G194" s="66"/>
      <c r="H194" s="63">
        <f>H185+H188+H191</f>
        <v>0</v>
      </c>
      <c r="I194" s="65">
        <f>I185+I188+I191</f>
        <v>0</v>
      </c>
      <c r="J194" s="66"/>
      <c r="K194" s="63">
        <f>K185+K188+K191</f>
        <v>502544.61</v>
      </c>
      <c r="L194" s="65">
        <f>L185+L188+L191</f>
        <v>337274.70999999996</v>
      </c>
      <c r="M194" s="206">
        <f>L195-F195</f>
        <v>-1.4134150459361838E-2</v>
      </c>
      <c r="N194" s="65">
        <f>L194-F194</f>
        <v>16292.637086024042</v>
      </c>
      <c r="O194" s="66"/>
      <c r="P194" s="63">
        <f>P185+P188+P191</f>
        <v>419094.99999999977</v>
      </c>
      <c r="Q194" s="65">
        <f>Q185+Q188+Q191</f>
        <v>282168.67999999959</v>
      </c>
      <c r="R194" s="206">
        <f>L195-Q195</f>
        <v>-2.1470785442315732E-3</v>
      </c>
      <c r="S194" s="68">
        <f>L194-Q194</f>
        <v>55106.030000000377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30"/>
        <v>Service</v>
      </c>
      <c r="B195" s="11" t="s">
        <v>78</v>
      </c>
      <c r="C195" s="69"/>
      <c r="D195" s="70"/>
      <c r="E195" s="70"/>
      <c r="F195" s="74">
        <f>F194/E194</f>
        <v>0.68526802253491748</v>
      </c>
      <c r="G195" s="72"/>
      <c r="H195" s="70"/>
      <c r="I195" s="74" t="e">
        <f>I194/H194</f>
        <v>#DIV/0!</v>
      </c>
      <c r="J195" s="72"/>
      <c r="K195" s="70"/>
      <c r="L195" s="74">
        <f>L194/K194</f>
        <v>0.67113387207555564</v>
      </c>
      <c r="M195" s="73"/>
      <c r="N195" s="74">
        <f>N194/F194</f>
        <v>5.0758713526005902E-2</v>
      </c>
      <c r="O195" s="72"/>
      <c r="P195" s="70"/>
      <c r="Q195" s="74">
        <f>Q194/P194</f>
        <v>0.67328095061978721</v>
      </c>
      <c r="R195" s="73"/>
      <c r="S195" s="75">
        <f>L194/S194</f>
        <v>6.1204683044668187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30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30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30"/>
        <v>ServiceSalaires cadres</v>
      </c>
      <c r="B198" s="11" t="s">
        <v>78</v>
      </c>
      <c r="C198" s="102" t="s">
        <v>40</v>
      </c>
      <c r="D198" s="13"/>
      <c r="E198" s="13"/>
      <c r="F198" s="30">
        <f>+SUM(START:END!F198)</f>
        <v>29110.69217557252</v>
      </c>
      <c r="G198" s="41"/>
      <c r="H198" s="13"/>
      <c r="I198" s="30">
        <f>+SUM(START:END!I198)</f>
        <v>0</v>
      </c>
      <c r="J198" s="41"/>
      <c r="K198" s="13"/>
      <c r="L198" s="33">
        <f>+SUM(START:END!L198)</f>
        <v>34543.69</v>
      </c>
      <c r="M198" s="41"/>
      <c r="N198" s="59">
        <f t="shared" ref="N198:N229" si="31">L198-F198</f>
        <v>5432.9978244274826</v>
      </c>
      <c r="O198" s="41"/>
      <c r="P198" s="13"/>
      <c r="Q198" s="33">
        <f>+SUM(START:END!Q198)</f>
        <v>23208.94</v>
      </c>
      <c r="R198" s="41"/>
      <c r="S198" s="85">
        <f t="shared" ref="S198:S228" si="32">L198-Q198</f>
        <v>11334.750000000004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30"/>
        <v>ServiceSalaires commis</v>
      </c>
      <c r="B199" s="11" t="s">
        <v>78</v>
      </c>
      <c r="C199" s="103" t="s">
        <v>41</v>
      </c>
      <c r="D199" s="81"/>
      <c r="E199" s="13"/>
      <c r="F199" s="22">
        <f>+SUM(START:END!F199)</f>
        <v>15210.078244274808</v>
      </c>
      <c r="G199" s="83"/>
      <c r="H199" s="13"/>
      <c r="I199" s="22">
        <f>+SUM(START:END!I199)</f>
        <v>0</v>
      </c>
      <c r="J199" s="41"/>
      <c r="K199" s="13"/>
      <c r="L199" s="33">
        <f>+SUM(START:END!L199)</f>
        <v>16271.61</v>
      </c>
      <c r="M199" s="41"/>
      <c r="N199" s="59">
        <f t="shared" si="31"/>
        <v>1061.5317557251929</v>
      </c>
      <c r="O199" s="41"/>
      <c r="P199" s="13"/>
      <c r="Q199" s="33">
        <f>+SUM(START:END!Q199)</f>
        <v>13782.77</v>
      </c>
      <c r="R199" s="41"/>
      <c r="S199" s="85">
        <f t="shared" si="32"/>
        <v>2488.84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30"/>
        <v>ServiceSalaires autres</v>
      </c>
      <c r="B200" s="11" t="s">
        <v>78</v>
      </c>
      <c r="C200" s="102" t="s">
        <v>42</v>
      </c>
      <c r="D200" s="104"/>
      <c r="E200" s="105"/>
      <c r="F200" s="30">
        <f>+SUM(START:END!F200)</f>
        <v>21116.526717557255</v>
      </c>
      <c r="G200" s="106"/>
      <c r="H200" s="105"/>
      <c r="I200" s="30">
        <f>+SUM(START:END!I200)</f>
        <v>0</v>
      </c>
      <c r="J200" s="107"/>
      <c r="K200" s="105"/>
      <c r="L200" s="108">
        <f>+SUM(START:END!L200)</f>
        <v>23256.920000000002</v>
      </c>
      <c r="M200" s="107"/>
      <c r="N200" s="109">
        <f t="shared" si="31"/>
        <v>2140.3932824427466</v>
      </c>
      <c r="O200" s="107"/>
      <c r="P200" s="105"/>
      <c r="Q200" s="108">
        <f>+SUM(START:END!Q200)</f>
        <v>17970.84</v>
      </c>
      <c r="R200" s="107"/>
      <c r="S200" s="110">
        <f t="shared" si="32"/>
        <v>5286.0800000000017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30"/>
        <v>ServiceSalaires spécialistes</v>
      </c>
      <c r="B201" s="11" t="s">
        <v>78</v>
      </c>
      <c r="C201" s="102" t="s">
        <v>43</v>
      </c>
      <c r="D201" s="81"/>
      <c r="E201" s="13"/>
      <c r="F201" s="30">
        <f>+SUM(START:END!F201)</f>
        <v>33949.4206868498</v>
      </c>
      <c r="G201" s="83"/>
      <c r="H201" s="13"/>
      <c r="I201" s="30">
        <f>+SUM(START:END!I201)</f>
        <v>0</v>
      </c>
      <c r="J201" s="41"/>
      <c r="K201" s="13"/>
      <c r="L201" s="33">
        <f>+SUM(START:END!L201)</f>
        <v>47811.03</v>
      </c>
      <c r="M201" s="41"/>
      <c r="N201" s="59">
        <f t="shared" si="31"/>
        <v>13861.609313150198</v>
      </c>
      <c r="O201" s="41"/>
      <c r="P201" s="13"/>
      <c r="Q201" s="33">
        <f>+SUM(START:END!Q201)</f>
        <v>30809.18</v>
      </c>
      <c r="R201" s="41"/>
      <c r="S201" s="85">
        <f t="shared" si="32"/>
        <v>17001.849999999999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30"/>
        <v>Service[...]</v>
      </c>
      <c r="B202" s="11" t="s">
        <v>78</v>
      </c>
      <c r="C202" s="29" t="s">
        <v>19</v>
      </c>
      <c r="D202" s="81"/>
      <c r="E202" s="13"/>
      <c r="F202" s="30">
        <f>+SUM(START:END!F202)</f>
        <v>0</v>
      </c>
      <c r="G202" s="83"/>
      <c r="H202" s="13"/>
      <c r="I202" s="30">
        <f>+SUM(START:END!I202)</f>
        <v>0</v>
      </c>
      <c r="J202" s="41"/>
      <c r="K202" s="13"/>
      <c r="L202" s="33">
        <f>+SUM(START:END!L202)</f>
        <v>0</v>
      </c>
      <c r="M202" s="41"/>
      <c r="N202" s="59">
        <f t="shared" si="31"/>
        <v>0</v>
      </c>
      <c r="O202" s="41"/>
      <c r="P202" s="13"/>
      <c r="Q202" s="33">
        <f>+SUM(START:END!Q202)</f>
        <v>0</v>
      </c>
      <c r="R202" s="41"/>
      <c r="S202" s="85">
        <f t="shared" si="32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30"/>
        <v>Service[...]</v>
      </c>
      <c r="B203" s="11" t="s">
        <v>78</v>
      </c>
      <c r="C203" s="29" t="s">
        <v>19</v>
      </c>
      <c r="D203" s="81"/>
      <c r="E203" s="13"/>
      <c r="F203" s="30">
        <f>+SUM(START:END!F203)</f>
        <v>0</v>
      </c>
      <c r="G203" s="83"/>
      <c r="H203" s="13"/>
      <c r="I203" s="30">
        <f>+SUM(START:END!I203)</f>
        <v>0</v>
      </c>
      <c r="J203" s="41"/>
      <c r="K203" s="13"/>
      <c r="L203" s="33">
        <f>+SUM(START:END!L203)</f>
        <v>0</v>
      </c>
      <c r="M203" s="41"/>
      <c r="N203" s="59">
        <f t="shared" si="31"/>
        <v>0</v>
      </c>
      <c r="O203" s="41"/>
      <c r="P203" s="13"/>
      <c r="Q203" s="33">
        <f>+SUM(START:END!Q203)</f>
        <v>0</v>
      </c>
      <c r="R203" s="41"/>
      <c r="S203" s="85">
        <f t="shared" si="32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30"/>
        <v>Service[...]</v>
      </c>
      <c r="B204" s="11" t="s">
        <v>78</v>
      </c>
      <c r="C204" s="29" t="s">
        <v>19</v>
      </c>
      <c r="D204" s="81"/>
      <c r="E204" s="13"/>
      <c r="F204" s="30">
        <f>+SUM(START:END!F204)</f>
        <v>0</v>
      </c>
      <c r="G204" s="83"/>
      <c r="H204" s="13"/>
      <c r="I204" s="30">
        <f>+SUM(START:END!I204)</f>
        <v>0</v>
      </c>
      <c r="J204" s="41"/>
      <c r="K204" s="13"/>
      <c r="L204" s="33">
        <f>+SUM(START:END!L204)</f>
        <v>0</v>
      </c>
      <c r="M204" s="41"/>
      <c r="N204" s="59">
        <f t="shared" si="31"/>
        <v>0</v>
      </c>
      <c r="O204" s="41"/>
      <c r="P204" s="13"/>
      <c r="Q204" s="33">
        <f>+SUM(START:END!Q204)</f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30"/>
        <v>ServiceSalaires en absences</v>
      </c>
      <c r="B205" s="11" t="s">
        <v>78</v>
      </c>
      <c r="C205" s="103" t="s">
        <v>44</v>
      </c>
      <c r="D205" s="81"/>
      <c r="E205" s="13"/>
      <c r="F205" s="30">
        <f>+SUM(START:END!F205)</f>
        <v>21705.218429235996</v>
      </c>
      <c r="G205" s="83"/>
      <c r="H205" s="13"/>
      <c r="I205" s="30">
        <f>+SUM(START:END!I205)</f>
        <v>0</v>
      </c>
      <c r="J205" s="41"/>
      <c r="K205" s="13"/>
      <c r="L205" s="33">
        <f>+SUM(START:END!L205)</f>
        <v>29337.360000000001</v>
      </c>
      <c r="M205" s="41"/>
      <c r="N205" s="59">
        <f t="shared" si="31"/>
        <v>7632.1415707640044</v>
      </c>
      <c r="O205" s="41"/>
      <c r="P205" s="13"/>
      <c r="Q205" s="33">
        <f>+SUM(START:END!Q205)</f>
        <v>23860.15</v>
      </c>
      <c r="R205" s="41"/>
      <c r="S205" s="85">
        <f>L205-Q205</f>
        <v>5477.2099999999991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30"/>
        <v>ServiceDéduction à la source</v>
      </c>
      <c r="B206" s="11" t="s">
        <v>78</v>
      </c>
      <c r="C206" s="102" t="s">
        <v>45</v>
      </c>
      <c r="D206" s="104"/>
      <c r="E206" s="105"/>
      <c r="F206" s="55">
        <f>+SUM(START:END!F206)</f>
        <v>28010.483978904656</v>
      </c>
      <c r="G206" s="106"/>
      <c r="H206" s="105"/>
      <c r="I206" s="55">
        <f>+SUM(START:END!I206)</f>
        <v>0</v>
      </c>
      <c r="J206" s="107"/>
      <c r="K206" s="105"/>
      <c r="L206" s="108">
        <f>+SUM(START:END!L206)</f>
        <v>31373.29</v>
      </c>
      <c r="M206" s="107"/>
      <c r="N206" s="109">
        <f t="shared" si="31"/>
        <v>3362.8060210953445</v>
      </c>
      <c r="O206" s="107"/>
      <c r="P206" s="105"/>
      <c r="Q206" s="108">
        <f>+SUM(START:END!Q206)</f>
        <v>26741.45</v>
      </c>
      <c r="R206" s="107"/>
      <c r="S206" s="110">
        <f t="shared" si="32"/>
        <v>4631.84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30"/>
        <v>ServiceBénéfices marginaux</v>
      </c>
      <c r="B207" s="11" t="s">
        <v>78</v>
      </c>
      <c r="C207" s="102" t="s">
        <v>46</v>
      </c>
      <c r="D207" s="81"/>
      <c r="E207" s="13"/>
      <c r="F207" s="30">
        <f>+SUM(START:END!F207)</f>
        <v>13253.878235625361</v>
      </c>
      <c r="G207" s="83"/>
      <c r="H207" s="13"/>
      <c r="I207" s="30">
        <f>+SUM(START:END!I207)</f>
        <v>0</v>
      </c>
      <c r="J207" s="41"/>
      <c r="K207" s="13"/>
      <c r="L207" s="33">
        <f>+SUM(START:END!L207)</f>
        <v>12247.380000000001</v>
      </c>
      <c r="M207" s="41"/>
      <c r="N207" s="59">
        <f t="shared" si="31"/>
        <v>-1006.4982356253604</v>
      </c>
      <c r="O207" s="41"/>
      <c r="P207" s="13"/>
      <c r="Q207" s="33">
        <f>+SUM(START:END!Q207)</f>
        <v>14099.16</v>
      </c>
      <c r="R207" s="41"/>
      <c r="S207" s="85">
        <f t="shared" si="32"/>
        <v>-1851.7799999999988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30"/>
        <v>ServiceCsst</v>
      </c>
      <c r="B208" s="11" t="s">
        <v>78</v>
      </c>
      <c r="C208" s="102" t="s">
        <v>47</v>
      </c>
      <c r="D208" s="81"/>
      <c r="E208" s="13"/>
      <c r="F208" s="30">
        <f>+SUM(START:END!F208)</f>
        <v>2992.8112144960501</v>
      </c>
      <c r="G208" s="83"/>
      <c r="H208" s="13"/>
      <c r="I208" s="30">
        <f>+SUM(START:END!I208)</f>
        <v>0</v>
      </c>
      <c r="J208" s="41"/>
      <c r="K208" s="13"/>
      <c r="L208" s="33">
        <f>+SUM(START:END!L208)</f>
        <v>4332.66</v>
      </c>
      <c r="M208" s="467"/>
      <c r="N208" s="146">
        <f t="shared" si="31"/>
        <v>1339.8487855039498</v>
      </c>
      <c r="O208" s="467"/>
      <c r="P208" s="468"/>
      <c r="Q208" s="22">
        <f>+SUM(START:END!Q208)</f>
        <v>3070.45</v>
      </c>
      <c r="R208" s="467"/>
      <c r="S208" s="469">
        <f t="shared" si="32"/>
        <v>1262.21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30"/>
        <v>Service[...]</v>
      </c>
      <c r="B209" s="11" t="s">
        <v>78</v>
      </c>
      <c r="C209" s="29" t="s">
        <v>19</v>
      </c>
      <c r="D209" s="87"/>
      <c r="E209" s="111"/>
      <c r="F209" s="30">
        <f>+SUM(START:END!F209)</f>
        <v>0</v>
      </c>
      <c r="G209" s="89"/>
      <c r="H209" s="111"/>
      <c r="I209" s="30">
        <f>+SUM(START:END!I209)</f>
        <v>0</v>
      </c>
      <c r="J209" s="23"/>
      <c r="K209" s="111"/>
      <c r="L209" s="33">
        <f>+SUM(START:END!L209)</f>
        <v>0</v>
      </c>
      <c r="M209" s="23"/>
      <c r="N209" s="91">
        <f t="shared" si="31"/>
        <v>0</v>
      </c>
      <c r="O209" s="23"/>
      <c r="P209" s="111"/>
      <c r="Q209" s="33">
        <f>+SUM(START:END!Q209)</f>
        <v>0</v>
      </c>
      <c r="R209" s="23"/>
      <c r="S209" s="92">
        <f t="shared" si="32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30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0.51513502975859493</v>
      </c>
      <c r="F210" s="96">
        <f>+SUM(F198:F209)</f>
        <v>165349.10968251649</v>
      </c>
      <c r="G210" s="97" t="s">
        <v>92</v>
      </c>
      <c r="H210" s="95" t="e">
        <f>I210/I$194</f>
        <v>#DIV/0!</v>
      </c>
      <c r="I210" s="96">
        <f>+SUM(I198:I209)</f>
        <v>0</v>
      </c>
      <c r="J210" s="97" t="s">
        <v>92</v>
      </c>
      <c r="K210" s="95">
        <f>L210/L$194</f>
        <v>0.59053920763878209</v>
      </c>
      <c r="L210" s="96">
        <f>+SUM(L198:L209)</f>
        <v>199173.94</v>
      </c>
      <c r="M210" s="147"/>
      <c r="N210" s="113">
        <f t="shared" si="31"/>
        <v>33824.830317483516</v>
      </c>
      <c r="O210" s="97" t="s">
        <v>92</v>
      </c>
      <c r="P210" s="95">
        <f>Q210/Q$194</f>
        <v>0.54415302222769824</v>
      </c>
      <c r="Q210" s="96">
        <f>+SUM(Q198:Q209)</f>
        <v>153542.94000000003</v>
      </c>
      <c r="R210" s="147"/>
      <c r="S210" s="114">
        <f t="shared" si="32"/>
        <v>45630.999999999971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30"/>
        <v>ServicePublicité 2</v>
      </c>
      <c r="B211" s="11" t="s">
        <v>78</v>
      </c>
      <c r="C211" s="29" t="s">
        <v>49</v>
      </c>
      <c r="D211" s="81"/>
      <c r="E211" s="13"/>
      <c r="F211" s="30">
        <f>+SUM(START:END!F211)</f>
        <v>17630.905460347334</v>
      </c>
      <c r="G211" s="83"/>
      <c r="H211" s="13"/>
      <c r="I211" s="30">
        <f>+SUM(START:END!I211)</f>
        <v>0</v>
      </c>
      <c r="J211" s="41"/>
      <c r="K211" s="13"/>
      <c r="L211" s="33">
        <f>+SUM(START:END!L211)</f>
        <v>25019.64</v>
      </c>
      <c r="M211" s="41"/>
      <c r="N211" s="59">
        <f t="shared" si="31"/>
        <v>7388.7345396526653</v>
      </c>
      <c r="O211" s="41"/>
      <c r="P211" s="13"/>
      <c r="Q211" s="33">
        <f>+SUM(START:END!Q211)</f>
        <v>20532.97</v>
      </c>
      <c r="R211" s="41"/>
      <c r="S211" s="85">
        <f t="shared" si="32"/>
        <v>4486.6699999999983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30"/>
        <v>ServiceService gratuit 2</v>
      </c>
      <c r="B212" s="11" t="s">
        <v>78</v>
      </c>
      <c r="C212" s="29" t="s">
        <v>50</v>
      </c>
      <c r="D212" s="81"/>
      <c r="E212" s="13"/>
      <c r="F212" s="30">
        <f>+SUM(START:END!F212)</f>
        <v>11100</v>
      </c>
      <c r="G212" s="83"/>
      <c r="H212" s="13"/>
      <c r="I212" s="30">
        <f>+SUM(START:END!I212)</f>
        <v>0</v>
      </c>
      <c r="J212" s="41"/>
      <c r="K212" s="13"/>
      <c r="L212" s="33">
        <f>+SUM(START:END!L212)</f>
        <v>8500.7000000000007</v>
      </c>
      <c r="M212" s="41"/>
      <c r="N212" s="59">
        <f t="shared" si="31"/>
        <v>-2599.2999999999993</v>
      </c>
      <c r="O212" s="41"/>
      <c r="P212" s="13"/>
      <c r="Q212" s="33">
        <f>+SUM(START:END!Q212)</f>
        <v>8530.0699999999888</v>
      </c>
      <c r="R212" s="41"/>
      <c r="S212" s="85">
        <f t="shared" si="32"/>
        <v>-29.369999999988067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30"/>
        <v>ServiceFrais véhicules de cie</v>
      </c>
      <c r="B213" s="11" t="s">
        <v>78</v>
      </c>
      <c r="C213" s="86" t="s">
        <v>51</v>
      </c>
      <c r="D213" s="87"/>
      <c r="E213" s="111"/>
      <c r="F213" s="22">
        <f>+SUM(START:END!F213)</f>
        <v>14468.125000000002</v>
      </c>
      <c r="G213" s="89"/>
      <c r="H213" s="111"/>
      <c r="I213" s="22">
        <f>+SUM(START:END!I213)</f>
        <v>0</v>
      </c>
      <c r="J213" s="23"/>
      <c r="K213" s="111"/>
      <c r="L213" s="33">
        <f>+SUM(START:END!L213)</f>
        <v>20271.96</v>
      </c>
      <c r="M213" s="23"/>
      <c r="N213" s="91">
        <f t="shared" si="31"/>
        <v>5803.8349999999973</v>
      </c>
      <c r="O213" s="23"/>
      <c r="P213" s="111"/>
      <c r="Q213" s="33">
        <f>+SUM(START:END!Q213)</f>
        <v>19013.199999999983</v>
      </c>
      <c r="R213" s="23"/>
      <c r="S213" s="92">
        <f t="shared" si="32"/>
        <v>1258.7600000000166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30"/>
        <v>ServiceInformatique</v>
      </c>
      <c r="B214" s="11" t="s">
        <v>78</v>
      </c>
      <c r="C214" s="29" t="s">
        <v>52</v>
      </c>
      <c r="D214" s="81"/>
      <c r="E214" s="13"/>
      <c r="F214" s="30">
        <f>+SUM(START:END!F214)</f>
        <v>16581.074999999997</v>
      </c>
      <c r="G214" s="83"/>
      <c r="H214" s="13"/>
      <c r="I214" s="30">
        <f>+SUM(START:END!I214)</f>
        <v>0</v>
      </c>
      <c r="J214" s="41"/>
      <c r="K214" s="13"/>
      <c r="L214" s="108">
        <f>+SUM(START:END!L214)</f>
        <v>18366.060000000001</v>
      </c>
      <c r="M214" s="41"/>
      <c r="N214" s="59">
        <f t="shared" si="31"/>
        <v>1784.9850000000042</v>
      </c>
      <c r="O214" s="41"/>
      <c r="P214" s="13"/>
      <c r="Q214" s="108">
        <f>+SUM(START:END!Q214)</f>
        <v>18364.59</v>
      </c>
      <c r="R214" s="41"/>
      <c r="S214" s="85">
        <f t="shared" si="32"/>
        <v>1.4700000000011642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30"/>
        <v>ServiceFrais de déplacement</v>
      </c>
      <c r="B215" s="11" t="s">
        <v>78</v>
      </c>
      <c r="C215" s="29" t="s">
        <v>53</v>
      </c>
      <c r="D215" s="81"/>
      <c r="E215" s="13"/>
      <c r="F215" s="30">
        <f>+SUM(START:END!F215)</f>
        <v>1233.9000000000001</v>
      </c>
      <c r="G215" s="83"/>
      <c r="H215" s="13"/>
      <c r="I215" s="30">
        <f>+SUM(START:END!I215)</f>
        <v>0</v>
      </c>
      <c r="J215" s="41"/>
      <c r="K215" s="13"/>
      <c r="L215" s="33">
        <f>+SUM(START:END!L215)</f>
        <v>1034.21</v>
      </c>
      <c r="M215" s="41"/>
      <c r="N215" s="59">
        <f t="shared" si="31"/>
        <v>-199.69000000000005</v>
      </c>
      <c r="O215" s="41"/>
      <c r="P215" s="13"/>
      <c r="Q215" s="33">
        <f>+SUM(START:END!Q215)</f>
        <v>1182.0999999999999</v>
      </c>
      <c r="R215" s="41"/>
      <c r="S215" s="85">
        <f t="shared" si="32"/>
        <v>-147.88999999999987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30"/>
        <v>ServiceServices extérieurs</v>
      </c>
      <c r="B216" s="11" t="s">
        <v>78</v>
      </c>
      <c r="C216" s="86" t="s">
        <v>54</v>
      </c>
      <c r="D216" s="87"/>
      <c r="E216" s="111"/>
      <c r="F216" s="22">
        <f>+SUM(START:END!F216)</f>
        <v>16356.675000000001</v>
      </c>
      <c r="G216" s="89"/>
      <c r="H216" s="111"/>
      <c r="I216" s="22">
        <f>+SUM(START:END!I216)</f>
        <v>0</v>
      </c>
      <c r="J216" s="23"/>
      <c r="K216" s="111"/>
      <c r="L216" s="33">
        <f>+SUM(START:END!L216)</f>
        <v>20410.490000000002</v>
      </c>
      <c r="M216" s="23"/>
      <c r="N216" s="91">
        <f t="shared" si="31"/>
        <v>4053.8150000000005</v>
      </c>
      <c r="O216" s="23"/>
      <c r="P216" s="111"/>
      <c r="Q216" s="33">
        <f>+SUM(START:END!Q216)</f>
        <v>16941.96</v>
      </c>
      <c r="R216" s="23"/>
      <c r="S216" s="92">
        <f t="shared" si="32"/>
        <v>3468.5300000000025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si="30"/>
        <v>ServiceFournitures d'atelier</v>
      </c>
      <c r="B217" s="11" t="s">
        <v>78</v>
      </c>
      <c r="C217" s="29" t="s">
        <v>93</v>
      </c>
      <c r="D217" s="81"/>
      <c r="E217" s="13"/>
      <c r="F217" s="30">
        <f>+SUM(START:END!F217)</f>
        <v>0</v>
      </c>
      <c r="G217" s="83"/>
      <c r="H217" s="13"/>
      <c r="I217" s="30">
        <f>+SUM(START:END!I217)</f>
        <v>0</v>
      </c>
      <c r="J217" s="41"/>
      <c r="K217" s="13"/>
      <c r="L217" s="108">
        <f>+SUM(START:END!L217)</f>
        <v>0</v>
      </c>
      <c r="M217" s="41"/>
      <c r="N217" s="59">
        <f t="shared" si="31"/>
        <v>0</v>
      </c>
      <c r="O217" s="41"/>
      <c r="P217" s="13"/>
      <c r="Q217" s="108">
        <f>+SUM(START:END!Q217)</f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si="30"/>
        <v>ServiceFournitures autres</v>
      </c>
      <c r="B218" s="11" t="s">
        <v>78</v>
      </c>
      <c r="C218" s="29" t="s">
        <v>55</v>
      </c>
      <c r="D218" s="81"/>
      <c r="E218" s="13"/>
      <c r="F218" s="30">
        <f>+SUM(START:END!F218)</f>
        <v>3518.0722891566265</v>
      </c>
      <c r="G218" s="83"/>
      <c r="H218" s="13"/>
      <c r="I218" s="30">
        <f>+SUM(START:END!I218)</f>
        <v>0</v>
      </c>
      <c r="J218" s="41"/>
      <c r="K218" s="13"/>
      <c r="L218" s="33">
        <f>+SUM(START:END!L218)</f>
        <v>5822.35</v>
      </c>
      <c r="M218" s="41"/>
      <c r="N218" s="59">
        <f t="shared" si="31"/>
        <v>2304.2777108433738</v>
      </c>
      <c r="O218" s="41"/>
      <c r="P218" s="13"/>
      <c r="Q218" s="33">
        <f>+SUM(START:END!Q218)</f>
        <v>8713.61</v>
      </c>
      <c r="R218" s="41"/>
      <c r="S218" s="85">
        <f t="shared" si="32"/>
        <v>-2891.26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30"/>
        <v>ServiceUniformes</v>
      </c>
      <c r="B219" s="11" t="s">
        <v>78</v>
      </c>
      <c r="C219" s="29" t="s">
        <v>56</v>
      </c>
      <c r="D219" s="81"/>
      <c r="E219" s="13"/>
      <c r="F219" s="30">
        <f>+SUM(START:END!F219)</f>
        <v>2850</v>
      </c>
      <c r="G219" s="83"/>
      <c r="H219" s="13"/>
      <c r="I219" s="30">
        <f>+SUM(START:END!I219)</f>
        <v>0</v>
      </c>
      <c r="J219" s="41"/>
      <c r="K219" s="13"/>
      <c r="L219" s="33">
        <f>+SUM(START:END!L219)</f>
        <v>4008.66</v>
      </c>
      <c r="M219" s="41"/>
      <c r="N219" s="59">
        <f t="shared" si="31"/>
        <v>1158.6599999999999</v>
      </c>
      <c r="O219" s="41"/>
      <c r="P219" s="13"/>
      <c r="Q219" s="33">
        <f>+SUM(START:END!Q219)</f>
        <v>3734.0299999999997</v>
      </c>
      <c r="R219" s="41"/>
      <c r="S219" s="85">
        <f t="shared" si="32"/>
        <v>274.63000000000011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30"/>
        <v>ServicePapeterie</v>
      </c>
      <c r="B220" s="11" t="s">
        <v>78</v>
      </c>
      <c r="C220" s="29" t="s">
        <v>57</v>
      </c>
      <c r="D220" s="81"/>
      <c r="E220" s="13"/>
      <c r="F220" s="30">
        <f>+SUM(START:END!F220)</f>
        <v>1181.25</v>
      </c>
      <c r="G220" s="83"/>
      <c r="H220" s="13"/>
      <c r="I220" s="30">
        <f>+SUM(START:END!I220)</f>
        <v>0</v>
      </c>
      <c r="J220" s="41"/>
      <c r="K220" s="13"/>
      <c r="L220" s="32">
        <f>+SUM(START:END!L220)</f>
        <v>948.7299999999999</v>
      </c>
      <c r="M220" s="41"/>
      <c r="N220" s="59">
        <f t="shared" si="31"/>
        <v>-232.5200000000001</v>
      </c>
      <c r="O220" s="41"/>
      <c r="P220" s="13"/>
      <c r="Q220" s="32">
        <f>+SUM(START:END!Q220)</f>
        <v>1063.43</v>
      </c>
      <c r="R220" s="41"/>
      <c r="S220" s="85">
        <f t="shared" si="32"/>
        <v>-114.70000000000016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30"/>
        <v>ServiceTéléphone</v>
      </c>
      <c r="B221" s="11" t="s">
        <v>78</v>
      </c>
      <c r="C221" s="29" t="s">
        <v>58</v>
      </c>
      <c r="D221" s="81"/>
      <c r="E221" s="13"/>
      <c r="F221" s="30">
        <f>+SUM(START:END!F221)</f>
        <v>333.6</v>
      </c>
      <c r="G221" s="83"/>
      <c r="H221" s="13"/>
      <c r="I221" s="30">
        <f>+SUM(START:END!I221)</f>
        <v>0</v>
      </c>
      <c r="J221" s="41"/>
      <c r="K221" s="13"/>
      <c r="L221" s="33">
        <f>+SUM(START:END!L221)</f>
        <v>461.36999999999995</v>
      </c>
      <c r="M221" s="41"/>
      <c r="N221" s="59">
        <f t="shared" si="31"/>
        <v>127.76999999999992</v>
      </c>
      <c r="O221" s="41"/>
      <c r="P221" s="13"/>
      <c r="Q221" s="33">
        <f>+SUM(START:END!Q221)</f>
        <v>304.48</v>
      </c>
      <c r="R221" s="41"/>
      <c r="S221" s="85">
        <f t="shared" si="32"/>
        <v>156.88999999999993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30"/>
        <v>ServiceFrais postaux</v>
      </c>
      <c r="B222" s="11" t="s">
        <v>78</v>
      </c>
      <c r="C222" s="29" t="s">
        <v>59</v>
      </c>
      <c r="D222" s="81"/>
      <c r="E222" s="13"/>
      <c r="F222" s="30">
        <f>+SUM(START:END!F222)</f>
        <v>337.5</v>
      </c>
      <c r="G222" s="83"/>
      <c r="H222" s="13"/>
      <c r="I222" s="30">
        <f>+SUM(START:END!I222)</f>
        <v>0</v>
      </c>
      <c r="J222" s="41"/>
      <c r="K222" s="13"/>
      <c r="L222" s="33">
        <f>+SUM(START:END!L222)</f>
        <v>703.65999999999985</v>
      </c>
      <c r="M222" s="41"/>
      <c r="N222" s="59">
        <f t="shared" si="31"/>
        <v>366.15999999999985</v>
      </c>
      <c r="O222" s="41"/>
      <c r="P222" s="13"/>
      <c r="Q222" s="33">
        <f>+SUM(START:END!Q222)</f>
        <v>429.28</v>
      </c>
      <c r="R222" s="41"/>
      <c r="S222" s="85">
        <f t="shared" si="32"/>
        <v>274.37999999999988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30"/>
        <v>ServiceDivers</v>
      </c>
      <c r="B223" s="11" t="s">
        <v>78</v>
      </c>
      <c r="C223" s="29" t="s">
        <v>60</v>
      </c>
      <c r="D223" s="81"/>
      <c r="E223" s="13"/>
      <c r="F223" s="30">
        <f>+SUM(START:END!F223)</f>
        <v>1254.1500000000001</v>
      </c>
      <c r="G223" s="83"/>
      <c r="H223" s="13"/>
      <c r="I223" s="30">
        <f>+SUM(START:END!I223)</f>
        <v>0</v>
      </c>
      <c r="J223" s="41"/>
      <c r="K223" s="13"/>
      <c r="L223" s="33">
        <f>+SUM(START:END!L223)</f>
        <v>1067.51</v>
      </c>
      <c r="M223" s="41"/>
      <c r="N223" s="59">
        <f t="shared" si="31"/>
        <v>-186.6400000000001</v>
      </c>
      <c r="O223" s="41"/>
      <c r="P223" s="13"/>
      <c r="Q223" s="33">
        <f>+SUM(START:END!Q223)</f>
        <v>1189.6199999999999</v>
      </c>
      <c r="R223" s="41"/>
      <c r="S223" s="85">
        <f t="shared" si="32"/>
        <v>-122.1099999999999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30"/>
        <v>ServiceFormation</v>
      </c>
      <c r="B224" s="11" t="s">
        <v>78</v>
      </c>
      <c r="C224" s="29" t="s">
        <v>61</v>
      </c>
      <c r="D224" s="81"/>
      <c r="E224" s="13"/>
      <c r="F224" s="30">
        <f>+SUM(START:END!F224)</f>
        <v>5185.7457200000008</v>
      </c>
      <c r="G224" s="83"/>
      <c r="H224" s="13"/>
      <c r="I224" s="30">
        <f>+SUM(START:END!I224)</f>
        <v>0</v>
      </c>
      <c r="J224" s="41"/>
      <c r="K224" s="13"/>
      <c r="L224" s="33">
        <f>+SUM(START:END!L224)</f>
        <v>3219.6699999999996</v>
      </c>
      <c r="M224" s="41"/>
      <c r="N224" s="59">
        <f t="shared" si="31"/>
        <v>-1966.0757200000012</v>
      </c>
      <c r="O224" s="41"/>
      <c r="P224" s="13"/>
      <c r="Q224" s="33">
        <f>+SUM(START:END!Q224)</f>
        <v>6161.34</v>
      </c>
      <c r="R224" s="41"/>
      <c r="S224" s="85">
        <f t="shared" si="32"/>
        <v>-2941.6700000000005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30"/>
        <v>ServiceFrais bancaires</v>
      </c>
      <c r="B225" s="11" t="s">
        <v>78</v>
      </c>
      <c r="C225" s="29" t="s">
        <v>62</v>
      </c>
      <c r="D225" s="81"/>
      <c r="E225" s="13"/>
      <c r="F225" s="30">
        <f>+SUM(START:END!F225)</f>
        <v>3280.4214849847649</v>
      </c>
      <c r="G225" s="83"/>
      <c r="H225" s="13"/>
      <c r="I225" s="30">
        <f>+SUM(START:END!I225)</f>
        <v>0</v>
      </c>
      <c r="J225" s="41"/>
      <c r="K225" s="13"/>
      <c r="L225" s="33">
        <f>+SUM(START:END!L225)</f>
        <v>5784.63</v>
      </c>
      <c r="M225" s="41"/>
      <c r="N225" s="59">
        <f t="shared" si="31"/>
        <v>2504.2085150152352</v>
      </c>
      <c r="O225" s="41"/>
      <c r="P225" s="13"/>
      <c r="Q225" s="33">
        <f>+SUM(START:END!Q225)</f>
        <v>4080.09</v>
      </c>
      <c r="R225" s="41"/>
      <c r="S225" s="85">
        <f t="shared" si="32"/>
        <v>1704.54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30"/>
        <v>Service[...]</v>
      </c>
      <c r="B226" s="11" t="s">
        <v>78</v>
      </c>
      <c r="C226" s="29" t="s">
        <v>19</v>
      </c>
      <c r="D226" s="81"/>
      <c r="E226" s="13"/>
      <c r="F226" s="30">
        <f>+SUM(START:END!F226)</f>
        <v>0</v>
      </c>
      <c r="G226" s="83"/>
      <c r="H226" s="13"/>
      <c r="I226" s="30">
        <f>+SUM(START:END!I226)</f>
        <v>0</v>
      </c>
      <c r="J226" s="41"/>
      <c r="K226" s="13"/>
      <c r="L226" s="33">
        <f>+SUM(START:END!L226)</f>
        <v>0</v>
      </c>
      <c r="M226" s="41"/>
      <c r="N226" s="59">
        <f t="shared" si="31"/>
        <v>0</v>
      </c>
      <c r="O226" s="41"/>
      <c r="P226" s="13"/>
      <c r="Q226" s="33">
        <f>+SUM(START:END!Q226)</f>
        <v>0</v>
      </c>
      <c r="R226" s="41"/>
      <c r="S226" s="85">
        <f t="shared" si="32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B227" s="11" t="s">
        <v>78</v>
      </c>
      <c r="C227" s="29" t="s">
        <v>19</v>
      </c>
      <c r="D227" s="81"/>
      <c r="E227" s="13"/>
      <c r="F227" s="30">
        <f>+SUM(START:END!F227)</f>
        <v>0</v>
      </c>
      <c r="G227" s="83"/>
      <c r="H227" s="13"/>
      <c r="I227" s="30">
        <f>+SUM(START:END!I227)</f>
        <v>0</v>
      </c>
      <c r="J227" s="41"/>
      <c r="K227" s="13"/>
      <c r="L227" s="33">
        <f>+SUM(START:END!L227)</f>
        <v>0</v>
      </c>
      <c r="M227" s="41"/>
      <c r="N227" s="59">
        <f t="shared" si="31"/>
        <v>0</v>
      </c>
      <c r="O227" s="41"/>
      <c r="P227" s="13"/>
      <c r="Q227" s="33">
        <f>+SUM(START:END!Q227)</f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si="30"/>
        <v>Service[...]</v>
      </c>
      <c r="B228" s="11" t="s">
        <v>78</v>
      </c>
      <c r="C228" s="29" t="s">
        <v>19</v>
      </c>
      <c r="D228" s="81"/>
      <c r="E228" s="13"/>
      <c r="F228" s="30">
        <f>+SUM(START:END!F228)</f>
        <v>0</v>
      </c>
      <c r="G228" s="83"/>
      <c r="H228" s="13"/>
      <c r="I228" s="30">
        <f>+SUM(START:END!I228)</f>
        <v>0</v>
      </c>
      <c r="J228" s="41"/>
      <c r="K228" s="13"/>
      <c r="L228" s="33">
        <f>+SUM(START:END!L228)</f>
        <v>0</v>
      </c>
      <c r="M228" s="41"/>
      <c r="N228" s="59">
        <f t="shared" si="31"/>
        <v>0</v>
      </c>
      <c r="O228" s="41"/>
      <c r="P228" s="13"/>
      <c r="Q228" s="33">
        <f>+SUM(START:END!Q228)</f>
        <v>0</v>
      </c>
      <c r="R228" s="41"/>
      <c r="S228" s="85">
        <f t="shared" si="32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0.29693689460355766</v>
      </c>
      <c r="F229" s="96">
        <f>+SUM(F211:F228)</f>
        <v>95311.419954488723</v>
      </c>
      <c r="G229" s="97" t="s">
        <v>92</v>
      </c>
      <c r="H229" s="95" t="e">
        <f>I229/I$194</f>
        <v>#DIV/0!</v>
      </c>
      <c r="I229" s="96">
        <f>+SUM(I211:I228)</f>
        <v>0</v>
      </c>
      <c r="J229" s="97" t="s">
        <v>92</v>
      </c>
      <c r="K229" s="95">
        <f>L229/L$194</f>
        <v>0.34280554269841351</v>
      </c>
      <c r="L229" s="96">
        <f>+SUM(L211:L228)</f>
        <v>115619.64000000001</v>
      </c>
      <c r="M229" s="100"/>
      <c r="N229" s="96">
        <f t="shared" si="31"/>
        <v>20308.220045511291</v>
      </c>
      <c r="O229" s="97" t="s">
        <v>92</v>
      </c>
      <c r="P229" s="95">
        <f>Q229/Q$194</f>
        <v>0.39069102212194534</v>
      </c>
      <c r="Q229" s="96">
        <f>+SUM(Q211:Q228)</f>
        <v>110240.76999999996</v>
      </c>
      <c r="R229" s="100"/>
      <c r="S229" s="101">
        <f>L229-Q229</f>
        <v>5378.8700000000536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0.81207192436215259</v>
      </c>
      <c r="F231" s="96">
        <f>F210+F229</f>
        <v>260660.52963700521</v>
      </c>
      <c r="G231" s="97" t="s">
        <v>38</v>
      </c>
      <c r="H231" s="95" t="e">
        <f>I231/I$194</f>
        <v>#DIV/0!</v>
      </c>
      <c r="I231" s="96">
        <f>I210+I229</f>
        <v>0</v>
      </c>
      <c r="J231" s="97" t="s">
        <v>38</v>
      </c>
      <c r="K231" s="95">
        <f>L231/L$194</f>
        <v>0.93334475033719566</v>
      </c>
      <c r="L231" s="96">
        <f>L210+L229</f>
        <v>314793.58</v>
      </c>
      <c r="M231" s="100"/>
      <c r="N231" s="113">
        <f>L231-F231</f>
        <v>54133.050362994807</v>
      </c>
      <c r="O231" s="97" t="s">
        <v>38</v>
      </c>
      <c r="P231" s="95">
        <f>Q231/Q$194</f>
        <v>0.93484404434964341</v>
      </c>
      <c r="Q231" s="96">
        <f>Q210+Q229</f>
        <v>263783.70999999996</v>
      </c>
      <c r="R231" s="100"/>
      <c r="S231" s="114">
        <f>L231-Q231</f>
        <v>51009.870000000054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60321.543276970711</v>
      </c>
      <c r="G233" s="153"/>
      <c r="H233" s="125"/>
      <c r="I233" s="127">
        <f>I194-I231</f>
        <v>0</v>
      </c>
      <c r="J233" s="154"/>
      <c r="K233" s="126"/>
      <c r="L233" s="127">
        <f>L194-L231</f>
        <v>22481.129999999946</v>
      </c>
      <c r="M233" s="154"/>
      <c r="N233" s="127">
        <f>L233-F233</f>
        <v>-37840.413276970765</v>
      </c>
      <c r="O233" s="154"/>
      <c r="P233" s="126"/>
      <c r="Q233" s="127">
        <f>Q194-Q231</f>
        <v>18384.969999999623</v>
      </c>
      <c r="R233" s="154"/>
      <c r="S233" s="129">
        <f>L233-Q233</f>
        <v>4096.1600000003236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  Q4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96" t="s">
        <v>5</v>
      </c>
      <c r="E238" s="497"/>
      <c r="F238" s="498"/>
      <c r="G238" s="499" t="s">
        <v>71</v>
      </c>
      <c r="H238" s="497"/>
      <c r="I238" s="498"/>
      <c r="J238" s="499" t="s">
        <v>7</v>
      </c>
      <c r="K238" s="497"/>
      <c r="L238" s="498"/>
      <c r="M238" s="499" t="s">
        <v>213</v>
      </c>
      <c r="N238" s="498"/>
      <c r="O238" s="496" t="s">
        <v>8</v>
      </c>
      <c r="P238" s="497"/>
      <c r="Q238" s="498"/>
      <c r="R238" s="494" t="s">
        <v>214</v>
      </c>
      <c r="S238" s="495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33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 t="s">
        <v>39</v>
      </c>
      <c r="H239" s="80" t="s">
        <v>79</v>
      </c>
      <c r="I239" s="134" t="s">
        <v>12</v>
      </c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33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33"/>
        <v>CarrosserieM/O Sous-traitement</v>
      </c>
      <c r="B241" s="11" t="s">
        <v>94</v>
      </c>
      <c r="C241" s="29" t="s">
        <v>95</v>
      </c>
      <c r="D241" s="80">
        <f>+SUM(START:END!D241)</f>
        <v>0</v>
      </c>
      <c r="E241" s="82">
        <f>+SUM(START:END!E241)</f>
        <v>29118.721596454787</v>
      </c>
      <c r="F241" s="82">
        <f>+SUM(START:END!F241)</f>
        <v>5241.3698873618614</v>
      </c>
      <c r="G241" s="156">
        <f>+SUM(START:END!G241)</f>
        <v>0</v>
      </c>
      <c r="H241" s="82">
        <f>+SUM(START:END!H241)</f>
        <v>0</v>
      </c>
      <c r="I241" s="82">
        <f>+SUM(START:END!I241)</f>
        <v>0</v>
      </c>
      <c r="J241" s="60">
        <f>+SUM(START:END!J241)</f>
        <v>30</v>
      </c>
      <c r="K241" s="30">
        <f>+SUM(START:END!K241)</f>
        <v>11416.34</v>
      </c>
      <c r="L241" s="33">
        <f>+SUM(START:END!L241)</f>
        <v>1696.0600000000004</v>
      </c>
      <c r="M241" s="157">
        <f>IFERROR((K241-E241)/E241,0)</f>
        <v>-0.60793814514886046</v>
      </c>
      <c r="N241" s="59">
        <f>L241-F241</f>
        <v>-3545.309887361861</v>
      </c>
      <c r="O241" s="60">
        <f>+SUM(START:END!O241)</f>
        <v>26</v>
      </c>
      <c r="P241" s="30">
        <f>+SUM(START:END!P241)</f>
        <v>22727.72</v>
      </c>
      <c r="Q241" s="33">
        <f>+SUM(START:END!Q241)</f>
        <v>564.29999999999598</v>
      </c>
      <c r="R241" s="157">
        <f>IF(O241=0,0,J241/O241)</f>
        <v>1.1538461538461537</v>
      </c>
      <c r="S241" s="85">
        <f>L241-Q241</f>
        <v>1131.7600000000043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33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>
        <f>IFERROR(I241/H241,0)</f>
        <v>0</v>
      </c>
      <c r="J242" s="60"/>
      <c r="K242" s="13"/>
      <c r="L242" s="158">
        <f>IFERROR(L241/K241,0)</f>
        <v>0.14856425088951453</v>
      </c>
      <c r="M242" s="157"/>
      <c r="N242" s="470">
        <f>IFERROR(N241/M241,0)</f>
        <v>5831.6950756458164</v>
      </c>
      <c r="O242" s="60"/>
      <c r="P242" s="13"/>
      <c r="Q242" s="158">
        <f>IFERROR(Q241/P241,0)</f>
        <v>2.482871137096004E-2</v>
      </c>
      <c r="R242" s="60"/>
      <c r="S242" s="85">
        <f>IFERROR(S241/R241,0)</f>
        <v>980.8586666666705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33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33"/>
        <v>CarrosserieM/O Carrosserie</v>
      </c>
      <c r="B244" s="11" t="s">
        <v>94</v>
      </c>
      <c r="C244" s="14" t="s">
        <v>96</v>
      </c>
      <c r="D244" s="105">
        <f>+SUM(START:END!D244)</f>
        <v>0</v>
      </c>
      <c r="E244" s="82">
        <f>+SUM(START:END!E244)</f>
        <v>0</v>
      </c>
      <c r="F244" s="82">
        <f>+SUM(START:END!F244)</f>
        <v>0</v>
      </c>
      <c r="G244" s="209">
        <f>+SUM(START:END!G244)</f>
        <v>0</v>
      </c>
      <c r="H244" s="82">
        <f>+SUM(START:END!H244)</f>
        <v>0</v>
      </c>
      <c r="I244" s="82">
        <f>+SUM(START:END!I244)</f>
        <v>0</v>
      </c>
      <c r="J244" s="164">
        <f>+SUM(START:END!J244)</f>
        <v>0</v>
      </c>
      <c r="K244" s="165">
        <f>+SUM(START:END!K244)</f>
        <v>0</v>
      </c>
      <c r="L244" s="108">
        <f>+SUM(START:END!L244)</f>
        <v>0</v>
      </c>
      <c r="M244" s="173">
        <f>IFERROR((K244-E244)/E244,0)</f>
        <v>0</v>
      </c>
      <c r="N244" s="109">
        <f>L244-F244</f>
        <v>0</v>
      </c>
      <c r="O244" s="164">
        <f>+SUM(START:END!O244)</f>
        <v>0</v>
      </c>
      <c r="P244" s="165">
        <f>+SUM(START:END!P244)</f>
        <v>0</v>
      </c>
      <c r="Q244" s="108">
        <f>+SUM(START:END!Q244)</f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33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 t="e">
        <f>I244/H244</f>
        <v>#DIV/0!</v>
      </c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33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33"/>
        <v>CarrosserieM/O Esthétique Carr.</v>
      </c>
      <c r="B247" s="11" t="s">
        <v>94</v>
      </c>
      <c r="C247" s="14" t="s">
        <v>97</v>
      </c>
      <c r="D247" s="163">
        <f>+SUM(START:END!D247)</f>
        <v>0</v>
      </c>
      <c r="E247" s="82">
        <f>+SUM(START:END!E247)</f>
        <v>0</v>
      </c>
      <c r="F247" s="82">
        <f>+SUM(START:END!F247)</f>
        <v>0</v>
      </c>
      <c r="G247" s="164">
        <f>+SUM(START:END!G247)</f>
        <v>0</v>
      </c>
      <c r="H247" s="82">
        <f>+SUM(START:END!H247)</f>
        <v>0</v>
      </c>
      <c r="I247" s="82">
        <f>+SUM(START:END!I247)</f>
        <v>0</v>
      </c>
      <c r="J247" s="164">
        <f>+SUM(START:END!J247)</f>
        <v>0</v>
      </c>
      <c r="K247" s="30">
        <f>+SUM(START:END!K247)</f>
        <v>0</v>
      </c>
      <c r="L247" s="33">
        <f>+SUM(START:END!L247)</f>
        <v>0</v>
      </c>
      <c r="M247" s="157">
        <f>IFERROR((K247-E247)/E247,0)</f>
        <v>0</v>
      </c>
      <c r="N247" s="109">
        <f>L247-F247</f>
        <v>0</v>
      </c>
      <c r="O247" s="164">
        <f>+SUM(START:END!O247)</f>
        <v>0</v>
      </c>
      <c r="P247" s="30">
        <f>+SUM(START:END!P247)</f>
        <v>0</v>
      </c>
      <c r="Q247" s="33">
        <f>+SUM(START:END!Q247)</f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33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 t="e">
        <f>I247/H247</f>
        <v>#DIV/0!</v>
      </c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33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33"/>
        <v>CarrosserieTotal Mécanique</v>
      </c>
      <c r="B250" s="11" t="s">
        <v>94</v>
      </c>
      <c r="C250" s="62" t="s">
        <v>91</v>
      </c>
      <c r="D250" s="63"/>
      <c r="E250" s="63">
        <f>E244+E247+E241</f>
        <v>29118.721596454787</v>
      </c>
      <c r="F250" s="65">
        <f>F244+F247+F241</f>
        <v>5241.3698873618614</v>
      </c>
      <c r="G250" s="66"/>
      <c r="H250" s="63">
        <f>H244+H247+H241</f>
        <v>0</v>
      </c>
      <c r="I250" s="65">
        <f>I244+I247+I241</f>
        <v>0</v>
      </c>
      <c r="J250" s="66"/>
      <c r="K250" s="63">
        <f>K244+K247+K241</f>
        <v>11416.34</v>
      </c>
      <c r="L250" s="65">
        <f>L244+L247+L241</f>
        <v>1696.0600000000004</v>
      </c>
      <c r="M250" s="206">
        <f>L251-F251</f>
        <v>-3.1435749110485467E-2</v>
      </c>
      <c r="N250" s="65">
        <f>L250-F250</f>
        <v>-3545.309887361861</v>
      </c>
      <c r="O250" s="66"/>
      <c r="P250" s="63">
        <f>P244+P247+P241</f>
        <v>22727.72</v>
      </c>
      <c r="Q250" s="65">
        <f>Q244+Q247+Q241</f>
        <v>564.29999999999598</v>
      </c>
      <c r="R250" s="206">
        <f>L251-Q251</f>
        <v>0.12373553951855448</v>
      </c>
      <c r="S250" s="68">
        <f>L250-Q250</f>
        <v>1131.7600000000043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33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 t="e">
        <f>I250/H250</f>
        <v>#DIV/0!</v>
      </c>
      <c r="J251" s="72"/>
      <c r="K251" s="70"/>
      <c r="L251" s="74">
        <f>IF(K250=0,0,L250/K250)</f>
        <v>0.14856425088951453</v>
      </c>
      <c r="M251" s="73"/>
      <c r="N251" s="74">
        <f>N250/F250</f>
        <v>-0.67640902350937149</v>
      </c>
      <c r="O251" s="72"/>
      <c r="P251" s="70"/>
      <c r="Q251" s="74">
        <f>IF(P250=0,0,Q250/P250)</f>
        <v>2.482871137096004E-2</v>
      </c>
      <c r="R251" s="73"/>
      <c r="S251" s="75">
        <f>IF(R250=0,0,S250/R250)</f>
        <v>9146.6041559570986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33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33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33"/>
        <v>CarrosserieSalaires cadres</v>
      </c>
      <c r="B254" s="11" t="s">
        <v>94</v>
      </c>
      <c r="C254" s="102" t="s">
        <v>40</v>
      </c>
      <c r="D254" s="13"/>
      <c r="E254" s="13"/>
      <c r="F254" s="30">
        <f>+SUM(START:END!F254)</f>
        <v>912.82500000000005</v>
      </c>
      <c r="G254" s="41"/>
      <c r="H254" s="13"/>
      <c r="I254" s="30">
        <f>+SUM(START:END!I254)</f>
        <v>0</v>
      </c>
      <c r="J254" s="41"/>
      <c r="K254" s="13"/>
      <c r="L254" s="33">
        <f>+SUM(START:END!L254)</f>
        <v>912.81</v>
      </c>
      <c r="M254" s="41"/>
      <c r="N254" s="59">
        <f t="shared" ref="N254:N284" si="34">L254-F254</f>
        <v>-1.5000000000100044E-2</v>
      </c>
      <c r="O254" s="41"/>
      <c r="P254" s="13"/>
      <c r="Q254" s="33">
        <f>+SUM(START:END!Q254)</f>
        <v>912.81</v>
      </c>
      <c r="R254" s="41"/>
      <c r="S254" s="85">
        <f t="shared" ref="S254:S284" si="35"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33"/>
        <v>CarrosserieSalaires commis</v>
      </c>
      <c r="B255" s="11" t="s">
        <v>94</v>
      </c>
      <c r="C255" s="103" t="s">
        <v>41</v>
      </c>
      <c r="D255" s="81"/>
      <c r="E255" s="13"/>
      <c r="F255" s="22">
        <f>+SUM(START:END!F255)</f>
        <v>1039.9809160305344</v>
      </c>
      <c r="G255" s="83"/>
      <c r="H255" s="13"/>
      <c r="I255" s="22">
        <f>+SUM(START:END!I255)</f>
        <v>0</v>
      </c>
      <c r="J255" s="41"/>
      <c r="K255" s="13"/>
      <c r="L255" s="33">
        <f>+SUM(START:END!L255)</f>
        <v>1069.32</v>
      </c>
      <c r="M255" s="41"/>
      <c r="N255" s="59">
        <f t="shared" si="34"/>
        <v>29.339083969465491</v>
      </c>
      <c r="O255" s="41"/>
      <c r="P255" s="13"/>
      <c r="Q255" s="33">
        <f>+SUM(START:END!Q255)</f>
        <v>948.31</v>
      </c>
      <c r="R255" s="41"/>
      <c r="S255" s="85">
        <f>L255-Q255</f>
        <v>121.00999999999999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33"/>
        <v>CarrosserieSalaires autres</v>
      </c>
      <c r="B256" s="11" t="s">
        <v>94</v>
      </c>
      <c r="C256" s="102" t="s">
        <v>42</v>
      </c>
      <c r="D256" s="104"/>
      <c r="E256" s="105"/>
      <c r="F256" s="30">
        <f>+SUM(START:END!F256)</f>
        <v>57</v>
      </c>
      <c r="G256" s="106"/>
      <c r="H256" s="105"/>
      <c r="I256" s="30">
        <f>+SUM(START:END!I256)</f>
        <v>0</v>
      </c>
      <c r="J256" s="107"/>
      <c r="K256" s="105"/>
      <c r="L256" s="108">
        <f>+SUM(START:END!L256)</f>
        <v>57</v>
      </c>
      <c r="M256" s="107"/>
      <c r="N256" s="109">
        <f t="shared" si="34"/>
        <v>0</v>
      </c>
      <c r="O256" s="107"/>
      <c r="P256" s="105"/>
      <c r="Q256" s="108">
        <f>+SUM(START:END!Q256)</f>
        <v>57</v>
      </c>
      <c r="R256" s="107"/>
      <c r="S256" s="110">
        <f t="shared" si="35"/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33"/>
        <v>CarrosserieSalaires spécialistes</v>
      </c>
      <c r="B257" s="11" t="s">
        <v>94</v>
      </c>
      <c r="C257" s="102" t="s">
        <v>43</v>
      </c>
      <c r="D257" s="81"/>
      <c r="E257" s="13"/>
      <c r="F257" s="30">
        <f>+SUM(START:END!F257)</f>
        <v>0</v>
      </c>
      <c r="G257" s="83"/>
      <c r="H257" s="13"/>
      <c r="I257" s="30">
        <f>+SUM(START:END!I257)</f>
        <v>0</v>
      </c>
      <c r="J257" s="41"/>
      <c r="K257" s="13"/>
      <c r="L257" s="33">
        <f>+SUM(START:END!L257)</f>
        <v>0</v>
      </c>
      <c r="M257" s="41"/>
      <c r="N257" s="59">
        <f t="shared" si="34"/>
        <v>0</v>
      </c>
      <c r="O257" s="41"/>
      <c r="P257" s="13"/>
      <c r="Q257" s="33">
        <f>+SUM(START:END!Q257)</f>
        <v>0</v>
      </c>
      <c r="R257" s="41"/>
      <c r="S257" s="85">
        <f t="shared" si="35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33"/>
        <v>Carrosserie[...]</v>
      </c>
      <c r="B258" s="11" t="s">
        <v>94</v>
      </c>
      <c r="C258" s="29" t="s">
        <v>19</v>
      </c>
      <c r="D258" s="81"/>
      <c r="E258" s="13"/>
      <c r="F258" s="30">
        <f>+SUM(START:END!F258)</f>
        <v>0</v>
      </c>
      <c r="G258" s="83"/>
      <c r="H258" s="13"/>
      <c r="I258" s="30">
        <f>+SUM(START:END!I258)</f>
        <v>0</v>
      </c>
      <c r="J258" s="41"/>
      <c r="K258" s="13"/>
      <c r="L258" s="33">
        <f>+SUM(START:END!L258)</f>
        <v>0</v>
      </c>
      <c r="M258" s="41"/>
      <c r="N258" s="59">
        <f t="shared" si="34"/>
        <v>0</v>
      </c>
      <c r="O258" s="41"/>
      <c r="P258" s="13"/>
      <c r="Q258" s="33">
        <f>+SUM(START:END!Q258)</f>
        <v>0</v>
      </c>
      <c r="R258" s="41"/>
      <c r="S258" s="85">
        <f t="shared" si="35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33"/>
        <v>Carrosserie[...]</v>
      </c>
      <c r="B259" s="11" t="s">
        <v>94</v>
      </c>
      <c r="C259" s="29" t="s">
        <v>19</v>
      </c>
      <c r="D259" s="81"/>
      <c r="E259" s="13"/>
      <c r="F259" s="30">
        <f>+SUM(START:END!F259)</f>
        <v>0</v>
      </c>
      <c r="G259" s="83"/>
      <c r="H259" s="13"/>
      <c r="I259" s="30">
        <f>+SUM(START:END!I259)</f>
        <v>0</v>
      </c>
      <c r="J259" s="41"/>
      <c r="K259" s="13"/>
      <c r="L259" s="33">
        <f>+SUM(START:END!L259)</f>
        <v>0</v>
      </c>
      <c r="M259" s="41"/>
      <c r="N259" s="59">
        <f t="shared" si="34"/>
        <v>0</v>
      </c>
      <c r="O259" s="41"/>
      <c r="P259" s="13"/>
      <c r="Q259" s="33">
        <f>+SUM(START:END!Q259)</f>
        <v>0</v>
      </c>
      <c r="R259" s="41"/>
      <c r="S259" s="85">
        <f t="shared" si="35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33"/>
        <v>Carrosserie[...]</v>
      </c>
      <c r="B260" s="11" t="s">
        <v>94</v>
      </c>
      <c r="C260" s="29" t="s">
        <v>19</v>
      </c>
      <c r="D260" s="81"/>
      <c r="E260" s="13"/>
      <c r="F260" s="30">
        <f>+SUM(START:END!F260)</f>
        <v>0</v>
      </c>
      <c r="G260" s="83"/>
      <c r="H260" s="13"/>
      <c r="I260" s="30">
        <f>+SUM(START:END!I260)</f>
        <v>0</v>
      </c>
      <c r="J260" s="41"/>
      <c r="K260" s="13"/>
      <c r="L260" s="33">
        <f>+SUM(START:END!L260)</f>
        <v>0</v>
      </c>
      <c r="M260" s="41"/>
      <c r="N260" s="59">
        <f t="shared" si="34"/>
        <v>0</v>
      </c>
      <c r="O260" s="41"/>
      <c r="P260" s="13"/>
      <c r="Q260" s="33">
        <f>+SUM(START:END!Q260)</f>
        <v>0</v>
      </c>
      <c r="R260" s="41"/>
      <c r="S260" s="85">
        <f t="shared" si="35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33"/>
        <v>CarrosserieSalaires en absences</v>
      </c>
      <c r="B261" s="11" t="s">
        <v>94</v>
      </c>
      <c r="C261" s="103" t="s">
        <v>44</v>
      </c>
      <c r="D261" s="81"/>
      <c r="E261" s="13"/>
      <c r="F261" s="22">
        <f>+SUM(START:END!F261)</f>
        <v>321.68894634491903</v>
      </c>
      <c r="G261" s="83"/>
      <c r="H261" s="13"/>
      <c r="I261" s="22">
        <f>+SUM(START:END!I261)</f>
        <v>0</v>
      </c>
      <c r="J261" s="41"/>
      <c r="K261" s="13"/>
      <c r="L261" s="33">
        <f>+SUM(START:END!L261)</f>
        <v>294.77000000000004</v>
      </c>
      <c r="M261" s="41"/>
      <c r="N261" s="59">
        <f t="shared" si="34"/>
        <v>-26.918946344918993</v>
      </c>
      <c r="O261" s="41"/>
      <c r="P261" s="13"/>
      <c r="Q261" s="33">
        <f>+SUM(START:END!Q261)</f>
        <v>172.37</v>
      </c>
      <c r="R261" s="41"/>
      <c r="S261" s="85">
        <f t="shared" si="35"/>
        <v>122.40000000000003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33"/>
        <v>CarrosserieDéduction à la source</v>
      </c>
      <c r="B262" s="11" t="s">
        <v>94</v>
      </c>
      <c r="C262" s="102" t="s">
        <v>45</v>
      </c>
      <c r="D262" s="104"/>
      <c r="E262" s="105"/>
      <c r="F262" s="30">
        <f>+SUM(START:END!F262)</f>
        <v>411.24142355566005</v>
      </c>
      <c r="G262" s="106"/>
      <c r="H262" s="105"/>
      <c r="I262" s="30">
        <f>+SUM(START:END!I262)</f>
        <v>0</v>
      </c>
      <c r="J262" s="107"/>
      <c r="K262" s="105"/>
      <c r="L262" s="108">
        <f>+SUM(START:END!L262)</f>
        <v>649.42000000000007</v>
      </c>
      <c r="M262" s="107"/>
      <c r="N262" s="109">
        <f t="shared" si="34"/>
        <v>238.17857644434002</v>
      </c>
      <c r="O262" s="107"/>
      <c r="P262" s="105"/>
      <c r="Q262" s="108">
        <f>+SUM(START:END!Q262)</f>
        <v>639.95000000000005</v>
      </c>
      <c r="R262" s="107"/>
      <c r="S262" s="110">
        <f t="shared" si="35"/>
        <v>9.4700000000000273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33"/>
        <v>CarrosserieBénéfices marginaux</v>
      </c>
      <c r="B263" s="11" t="s">
        <v>94</v>
      </c>
      <c r="C263" s="102" t="s">
        <v>46</v>
      </c>
      <c r="D263" s="81"/>
      <c r="E263" s="13"/>
      <c r="F263" s="30">
        <f>+SUM(START:END!F263)</f>
        <v>194.76049055343515</v>
      </c>
      <c r="G263" s="83"/>
      <c r="H263" s="13"/>
      <c r="I263" s="30">
        <f>+SUM(START:END!I263)</f>
        <v>0</v>
      </c>
      <c r="J263" s="41"/>
      <c r="K263" s="13"/>
      <c r="L263" s="33">
        <f>+SUM(START:END!L263)</f>
        <v>17.270000000000003</v>
      </c>
      <c r="M263" s="41"/>
      <c r="N263" s="59">
        <f t="shared" si="34"/>
        <v>-177.49049055343514</v>
      </c>
      <c r="O263" s="41"/>
      <c r="P263" s="13"/>
      <c r="Q263" s="33">
        <f>+SUM(START:END!Q263)</f>
        <v>115.68</v>
      </c>
      <c r="R263" s="41"/>
      <c r="S263" s="85">
        <f t="shared" si="35"/>
        <v>-98.41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33"/>
        <v>CarrosserieCsst</v>
      </c>
      <c r="B264" s="11" t="s">
        <v>94</v>
      </c>
      <c r="C264" s="102" t="s">
        <v>47</v>
      </c>
      <c r="D264" s="81"/>
      <c r="E264" s="13"/>
      <c r="F264" s="30">
        <f>+SUM(START:END!F264)</f>
        <v>43.978175286259543</v>
      </c>
      <c r="G264" s="83"/>
      <c r="H264" s="13"/>
      <c r="I264" s="30">
        <f>+SUM(START:END!I264)</f>
        <v>0</v>
      </c>
      <c r="J264" s="41"/>
      <c r="K264" s="13"/>
      <c r="L264" s="33">
        <f>+SUM(START:END!L264)</f>
        <v>12.41</v>
      </c>
      <c r="M264" s="467"/>
      <c r="N264" s="146">
        <f t="shared" si="34"/>
        <v>-31.568175286259542</v>
      </c>
      <c r="O264" s="41"/>
      <c r="P264" s="13"/>
      <c r="Q264" s="33">
        <f>+SUM(START:END!Q264)</f>
        <v>11.809999999999999</v>
      </c>
      <c r="R264" s="41"/>
      <c r="S264" s="85">
        <f t="shared" si="35"/>
        <v>0.60000000000000142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33"/>
        <v>Carrosserie[...]</v>
      </c>
      <c r="B265" s="11" t="s">
        <v>94</v>
      </c>
      <c r="C265" s="29" t="s">
        <v>19</v>
      </c>
      <c r="D265" s="81"/>
      <c r="E265" s="13"/>
      <c r="F265" s="30">
        <f>+SUM(START:END!F265)</f>
        <v>0</v>
      </c>
      <c r="G265" s="83"/>
      <c r="H265" s="13"/>
      <c r="I265" s="30">
        <f>+SUM(START:END!I265)</f>
        <v>0</v>
      </c>
      <c r="J265" s="41"/>
      <c r="K265" s="13"/>
      <c r="L265" s="33">
        <f>+SUM(START:END!L265)</f>
        <v>0</v>
      </c>
      <c r="M265" s="41"/>
      <c r="N265" s="59">
        <f>L265-F265</f>
        <v>0</v>
      </c>
      <c r="O265" s="41"/>
      <c r="P265" s="13"/>
      <c r="Q265" s="33">
        <f>+SUM(START:END!Q265)</f>
        <v>0</v>
      </c>
      <c r="R265" s="41"/>
      <c r="S265" s="85">
        <f>L265-Q265</f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33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2981.4749517708083</v>
      </c>
      <c r="G266" s="97" t="s">
        <v>38</v>
      </c>
      <c r="H266" s="95" t="e">
        <f>I266/I$244</f>
        <v>#DIV/0!</v>
      </c>
      <c r="I266" s="96">
        <f>+SUM(I254:I265)</f>
        <v>0</v>
      </c>
      <c r="J266" s="97" t="s">
        <v>38</v>
      </c>
      <c r="K266" s="95">
        <f>IF(L244=0,0,L266/L$244)</f>
        <v>0</v>
      </c>
      <c r="L266" s="96">
        <f>+SUM(L254:L265)</f>
        <v>3013</v>
      </c>
      <c r="M266" s="147"/>
      <c r="N266" s="113">
        <f>L266-F266</f>
        <v>31.525048229191725</v>
      </c>
      <c r="O266" s="97" t="s">
        <v>38</v>
      </c>
      <c r="P266" s="95">
        <f>IF(Q244=0,0,Q266/Q$244)</f>
        <v>0</v>
      </c>
      <c r="Q266" s="96">
        <f>+SUM(Q254:Q265)</f>
        <v>2857.9299999999994</v>
      </c>
      <c r="R266" s="147"/>
      <c r="S266" s="114">
        <f t="shared" si="35"/>
        <v>155.07000000000062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33"/>
        <v>CarrosseriePublicité 2</v>
      </c>
      <c r="B267" s="11" t="s">
        <v>94</v>
      </c>
      <c r="C267" s="211" t="s">
        <v>49</v>
      </c>
      <c r="D267" s="81"/>
      <c r="E267" s="13"/>
      <c r="F267" s="30">
        <f>+SUM(START:END!F267)</f>
        <v>0</v>
      </c>
      <c r="G267" s="83"/>
      <c r="H267" s="13"/>
      <c r="I267" s="30">
        <f>+SUM(START:END!I267)</f>
        <v>0</v>
      </c>
      <c r="J267" s="41"/>
      <c r="K267" s="13"/>
      <c r="L267" s="33">
        <f>+SUM(START:END!L267)</f>
        <v>151.26</v>
      </c>
      <c r="M267" s="41"/>
      <c r="N267" s="59">
        <f t="shared" si="34"/>
        <v>151.26</v>
      </c>
      <c r="O267" s="41"/>
      <c r="P267" s="13"/>
      <c r="Q267" s="33">
        <f>+SUM(START:END!Q267)</f>
        <v>21.45</v>
      </c>
      <c r="R267" s="41"/>
      <c r="S267" s="85">
        <f t="shared" si="35"/>
        <v>129.81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33"/>
        <v>CarrosserieService gratuit 2</v>
      </c>
      <c r="B268" s="11" t="s">
        <v>94</v>
      </c>
      <c r="C268" s="102" t="s">
        <v>50</v>
      </c>
      <c r="D268" s="81"/>
      <c r="E268" s="13"/>
      <c r="F268" s="30">
        <f>+SUM(START:END!F268)</f>
        <v>0</v>
      </c>
      <c r="G268" s="83"/>
      <c r="H268" s="13"/>
      <c r="I268" s="30">
        <f>+SUM(START:END!I268)</f>
        <v>0</v>
      </c>
      <c r="J268" s="41"/>
      <c r="K268" s="13"/>
      <c r="L268" s="33">
        <f>+SUM(START:END!L268)</f>
        <v>85.71</v>
      </c>
      <c r="M268" s="41"/>
      <c r="N268" s="59">
        <f t="shared" si="34"/>
        <v>85.71</v>
      </c>
      <c r="O268" s="41"/>
      <c r="P268" s="13"/>
      <c r="Q268" s="33">
        <f>+SUM(START:END!Q268)</f>
        <v>26.69</v>
      </c>
      <c r="R268" s="41"/>
      <c r="S268" s="85">
        <f t="shared" si="35"/>
        <v>59.019999999999996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33"/>
        <v>CarrosserieFrais véhicules de cie</v>
      </c>
      <c r="B269" s="11" t="s">
        <v>94</v>
      </c>
      <c r="C269" s="103" t="s">
        <v>51</v>
      </c>
      <c r="D269" s="87"/>
      <c r="E269" s="111"/>
      <c r="F269" s="22">
        <f>+SUM(START:END!F269)</f>
        <v>358.125</v>
      </c>
      <c r="G269" s="89"/>
      <c r="H269" s="111"/>
      <c r="I269" s="22">
        <f>+SUM(START:END!I269)</f>
        <v>0</v>
      </c>
      <c r="J269" s="23"/>
      <c r="K269" s="111"/>
      <c r="L269" s="33">
        <f>+SUM(START:END!L269)</f>
        <v>397.57</v>
      </c>
      <c r="M269" s="23"/>
      <c r="N269" s="91">
        <f t="shared" si="34"/>
        <v>39.444999999999993</v>
      </c>
      <c r="O269" s="23"/>
      <c r="P269" s="111"/>
      <c r="Q269" s="33">
        <f>+SUM(START:END!Q269)</f>
        <v>320.77</v>
      </c>
      <c r="R269" s="23"/>
      <c r="S269" s="92">
        <f t="shared" si="35"/>
        <v>76.800000000000011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33"/>
        <v>CarrosserieInformatique</v>
      </c>
      <c r="B270" s="11" t="s">
        <v>94</v>
      </c>
      <c r="C270" s="102" t="s">
        <v>52</v>
      </c>
      <c r="D270" s="81"/>
      <c r="E270" s="13"/>
      <c r="F270" s="30">
        <f>+SUM(START:END!F270)</f>
        <v>717.67500000000007</v>
      </c>
      <c r="G270" s="83"/>
      <c r="H270" s="13"/>
      <c r="I270" s="30">
        <f>+SUM(START:END!I270)</f>
        <v>0</v>
      </c>
      <c r="J270" s="41"/>
      <c r="K270" s="13"/>
      <c r="L270" s="108">
        <f>+SUM(START:END!L270)</f>
        <v>625.84</v>
      </c>
      <c r="M270" s="41"/>
      <c r="N270" s="59">
        <f t="shared" si="34"/>
        <v>-91.835000000000036</v>
      </c>
      <c r="O270" s="41"/>
      <c r="P270" s="13"/>
      <c r="Q270" s="108">
        <f>+SUM(START:END!Q270)</f>
        <v>682.46</v>
      </c>
      <c r="R270" s="41"/>
      <c r="S270" s="85">
        <f t="shared" si="35"/>
        <v>-56.620000000000005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33"/>
        <v>CarrosserieFrais de déplacement</v>
      </c>
      <c r="B271" s="11" t="s">
        <v>94</v>
      </c>
      <c r="C271" s="102" t="s">
        <v>53</v>
      </c>
      <c r="D271" s="81"/>
      <c r="E271" s="13"/>
      <c r="F271" s="30">
        <f>+SUM(START:END!F271)</f>
        <v>137.10000000000002</v>
      </c>
      <c r="G271" s="83"/>
      <c r="H271" s="13"/>
      <c r="I271" s="30">
        <f>+SUM(START:END!I271)</f>
        <v>0</v>
      </c>
      <c r="J271" s="41"/>
      <c r="K271" s="13"/>
      <c r="L271" s="33">
        <f>+SUM(START:END!L271)</f>
        <v>78.05</v>
      </c>
      <c r="M271" s="41"/>
      <c r="N271" s="59">
        <f t="shared" si="34"/>
        <v>-59.050000000000026</v>
      </c>
      <c r="O271" s="41"/>
      <c r="P271" s="13"/>
      <c r="Q271" s="33">
        <f>+SUM(START:END!Q271)</f>
        <v>4.58</v>
      </c>
      <c r="R271" s="41"/>
      <c r="S271" s="85">
        <f t="shared" si="35"/>
        <v>73.47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33"/>
        <v>CarrosserieServices extérieurs</v>
      </c>
      <c r="B272" s="11" t="s">
        <v>94</v>
      </c>
      <c r="C272" s="102" t="s">
        <v>54</v>
      </c>
      <c r="D272" s="87"/>
      <c r="E272" s="111"/>
      <c r="F272" s="22">
        <f>+SUM(START:END!F272)</f>
        <v>459.07500000000005</v>
      </c>
      <c r="G272" s="89"/>
      <c r="H272" s="111"/>
      <c r="I272" s="22">
        <f>+SUM(START:END!I272)</f>
        <v>0</v>
      </c>
      <c r="J272" s="23"/>
      <c r="K272" s="111"/>
      <c r="L272" s="33">
        <f>+SUM(START:END!L272)</f>
        <v>469.26</v>
      </c>
      <c r="M272" s="23"/>
      <c r="N272" s="91">
        <f t="shared" si="34"/>
        <v>10.184999999999945</v>
      </c>
      <c r="O272" s="23"/>
      <c r="P272" s="111"/>
      <c r="Q272" s="22">
        <f>+SUM(START:END!Q272)</f>
        <v>425.6</v>
      </c>
      <c r="R272" s="23"/>
      <c r="S272" s="92">
        <f t="shared" si="35"/>
        <v>43.659999999999968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 t="shared" si="33"/>
        <v>CarrosserieFournitures d'atelier</v>
      </c>
      <c r="B273" s="11" t="s">
        <v>94</v>
      </c>
      <c r="C273" s="212" t="s">
        <v>93</v>
      </c>
      <c r="D273" s="81"/>
      <c r="E273" s="13"/>
      <c r="F273" s="30">
        <f>+SUM(START:END!F273)</f>
        <v>0</v>
      </c>
      <c r="G273" s="83"/>
      <c r="H273" s="13"/>
      <c r="I273" s="30">
        <f>+SUM(START:END!I273)</f>
        <v>0</v>
      </c>
      <c r="J273" s="41"/>
      <c r="K273" s="13"/>
      <c r="L273" s="55">
        <f>+SUM(START:END!L273)</f>
        <v>0</v>
      </c>
      <c r="M273" s="41"/>
      <c r="N273" s="59">
        <f t="shared" si="34"/>
        <v>0</v>
      </c>
      <c r="O273" s="41"/>
      <c r="P273" s="13"/>
      <c r="Q273" s="33">
        <f>+SUM(START:END!Q273)</f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si="33"/>
        <v>CarrosserieFournitures autres</v>
      </c>
      <c r="B274" s="11" t="s">
        <v>94</v>
      </c>
      <c r="C274" s="102" t="s">
        <v>55</v>
      </c>
      <c r="D274" s="81"/>
      <c r="E274" s="13"/>
      <c r="F274" s="30">
        <f>+SUM(START:END!F274)</f>
        <v>7.2289156626506017</v>
      </c>
      <c r="G274" s="83"/>
      <c r="H274" s="13"/>
      <c r="I274" s="30">
        <f>+SUM(START:END!I274)</f>
        <v>0</v>
      </c>
      <c r="J274" s="41"/>
      <c r="K274" s="13"/>
      <c r="L274" s="33">
        <f>+SUM(START:END!L274)</f>
        <v>1.35</v>
      </c>
      <c r="M274" s="41"/>
      <c r="N274" s="59">
        <f t="shared" si="34"/>
        <v>-5.8789156626506021</v>
      </c>
      <c r="O274" s="41"/>
      <c r="P274" s="13"/>
      <c r="Q274" s="33">
        <f>+SUM(START:END!Q274)</f>
        <v>0</v>
      </c>
      <c r="R274" s="41"/>
      <c r="S274" s="85">
        <f t="shared" si="35"/>
        <v>1.35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33"/>
        <v>CarrosserieUniformes</v>
      </c>
      <c r="B275" s="11" t="s">
        <v>94</v>
      </c>
      <c r="C275" s="102" t="s">
        <v>56</v>
      </c>
      <c r="D275" s="81"/>
      <c r="E275" s="13"/>
      <c r="F275" s="30">
        <f>+SUM(START:END!F275)</f>
        <v>0</v>
      </c>
      <c r="G275" s="83"/>
      <c r="H275" s="13"/>
      <c r="I275" s="30">
        <f>+SUM(START:END!I275)</f>
        <v>0</v>
      </c>
      <c r="J275" s="41"/>
      <c r="K275" s="13"/>
      <c r="L275" s="33">
        <f>+SUM(START:END!L275)</f>
        <v>0</v>
      </c>
      <c r="M275" s="41"/>
      <c r="N275" s="59">
        <f t="shared" si="34"/>
        <v>0</v>
      </c>
      <c r="O275" s="41"/>
      <c r="P275" s="13"/>
      <c r="Q275" s="33">
        <f>+SUM(START:END!Q275)</f>
        <v>0</v>
      </c>
      <c r="R275" s="41"/>
      <c r="S275" s="85">
        <f t="shared" si="35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33"/>
        <v>CarrosseriePapeterie</v>
      </c>
      <c r="B276" s="11" t="s">
        <v>94</v>
      </c>
      <c r="C276" s="102" t="s">
        <v>57</v>
      </c>
      <c r="D276" s="81"/>
      <c r="E276" s="13"/>
      <c r="F276" s="30">
        <f>+SUM(START:END!F276)</f>
        <v>131.25</v>
      </c>
      <c r="G276" s="83"/>
      <c r="H276" s="13"/>
      <c r="I276" s="30">
        <f>+SUM(START:END!I276)</f>
        <v>0</v>
      </c>
      <c r="J276" s="41"/>
      <c r="K276" s="13"/>
      <c r="L276" s="32">
        <f>+SUM(START:END!L276)</f>
        <v>102.94999999999999</v>
      </c>
      <c r="M276" s="41"/>
      <c r="N276" s="59">
        <f t="shared" si="34"/>
        <v>-28.300000000000011</v>
      </c>
      <c r="O276" s="41"/>
      <c r="P276" s="13"/>
      <c r="Q276" s="32">
        <f>+SUM(START:END!Q276)</f>
        <v>92.34</v>
      </c>
      <c r="R276" s="41"/>
      <c r="S276" s="85">
        <f t="shared" si="35"/>
        <v>10.609999999999985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33"/>
        <v>CarrosserieTéléphone</v>
      </c>
      <c r="B277" s="11" t="s">
        <v>94</v>
      </c>
      <c r="C277" s="102" t="s">
        <v>58</v>
      </c>
      <c r="D277" s="81"/>
      <c r="E277" s="13"/>
      <c r="F277" s="30">
        <f>+SUM(START:END!F277)</f>
        <v>26.400000000000002</v>
      </c>
      <c r="G277" s="83"/>
      <c r="H277" s="13"/>
      <c r="I277" s="30">
        <f>+SUM(START:END!I277)</f>
        <v>0</v>
      </c>
      <c r="J277" s="41"/>
      <c r="K277" s="13"/>
      <c r="L277" s="33">
        <f>+SUM(START:END!L277)</f>
        <v>33.79</v>
      </c>
      <c r="M277" s="41"/>
      <c r="N277" s="59">
        <f t="shared" si="34"/>
        <v>7.389999999999997</v>
      </c>
      <c r="O277" s="41"/>
      <c r="P277" s="13"/>
      <c r="Q277" s="33">
        <f>+SUM(START:END!Q277)</f>
        <v>23.14</v>
      </c>
      <c r="R277" s="41"/>
      <c r="S277" s="85">
        <f t="shared" si="35"/>
        <v>10.649999999999999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33"/>
        <v>CarrosserieFrais postaux</v>
      </c>
      <c r="B278" s="11" t="s">
        <v>94</v>
      </c>
      <c r="C278" s="102" t="s">
        <v>59</v>
      </c>
      <c r="D278" s="81"/>
      <c r="E278" s="13"/>
      <c r="F278" s="30">
        <f>+SUM(START:END!F278)</f>
        <v>37.5</v>
      </c>
      <c r="G278" s="83"/>
      <c r="H278" s="13"/>
      <c r="I278" s="30">
        <f>+SUM(START:END!I278)</f>
        <v>0</v>
      </c>
      <c r="J278" s="41"/>
      <c r="K278" s="13"/>
      <c r="L278" s="33">
        <f>+SUM(START:END!L278)</f>
        <v>11.899999999999999</v>
      </c>
      <c r="M278" s="41"/>
      <c r="N278" s="59">
        <f t="shared" si="34"/>
        <v>-25.6</v>
      </c>
      <c r="O278" s="41"/>
      <c r="P278" s="13"/>
      <c r="Q278" s="33">
        <f>+SUM(START:END!Q278)</f>
        <v>31.94</v>
      </c>
      <c r="R278" s="41"/>
      <c r="S278" s="85">
        <f t="shared" si="35"/>
        <v>-20.040000000000003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33"/>
        <v>CarrosserieDivers</v>
      </c>
      <c r="B279" s="11" t="s">
        <v>94</v>
      </c>
      <c r="C279" s="102" t="s">
        <v>60</v>
      </c>
      <c r="D279" s="81"/>
      <c r="E279" s="13"/>
      <c r="F279" s="30">
        <f>+SUM(START:END!F279)</f>
        <v>139.35000000000002</v>
      </c>
      <c r="G279" s="83"/>
      <c r="H279" s="13"/>
      <c r="I279" s="30">
        <f>+SUM(START:END!I279)</f>
        <v>0</v>
      </c>
      <c r="J279" s="41"/>
      <c r="K279" s="13"/>
      <c r="L279" s="33">
        <f>+SUM(START:END!L279)</f>
        <v>112.74000000000001</v>
      </c>
      <c r="M279" s="41"/>
      <c r="N279" s="59">
        <f t="shared" si="34"/>
        <v>-26.610000000000014</v>
      </c>
      <c r="O279" s="41"/>
      <c r="P279" s="13"/>
      <c r="Q279" s="33">
        <f>+SUM(START:END!Q279)</f>
        <v>132.12999999999988</v>
      </c>
      <c r="R279" s="41"/>
      <c r="S279" s="85">
        <f t="shared" si="35"/>
        <v>-19.389999999999873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33"/>
        <v>CarrosserieFormation</v>
      </c>
      <c r="B280" s="11" t="s">
        <v>94</v>
      </c>
      <c r="C280" s="102" t="s">
        <v>61</v>
      </c>
      <c r="D280" s="81"/>
      <c r="E280" s="13"/>
      <c r="F280" s="30">
        <f>+SUM(START:END!F280)</f>
        <v>62.305079999999982</v>
      </c>
      <c r="G280" s="83"/>
      <c r="H280" s="13"/>
      <c r="I280" s="30">
        <f>+SUM(START:END!I280)</f>
        <v>0</v>
      </c>
      <c r="J280" s="41"/>
      <c r="K280" s="13"/>
      <c r="L280" s="33">
        <f>+SUM(START:END!L280)</f>
        <v>111.15</v>
      </c>
      <c r="M280" s="41"/>
      <c r="N280" s="59">
        <f t="shared" si="34"/>
        <v>48.844920000000023</v>
      </c>
      <c r="O280" s="41"/>
      <c r="P280" s="13"/>
      <c r="Q280" s="33">
        <f>+SUM(START:END!Q280)</f>
        <v>107.39999999999999</v>
      </c>
      <c r="R280" s="41"/>
      <c r="S280" s="85">
        <f t="shared" si="35"/>
        <v>3.7500000000000142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33"/>
        <v>CarrosserieFrais bancaires</v>
      </c>
      <c r="B281" s="11" t="s">
        <v>94</v>
      </c>
      <c r="C281" s="102" t="s">
        <v>62</v>
      </c>
      <c r="D281" s="81"/>
      <c r="E281" s="13"/>
      <c r="F281" s="30">
        <f>+SUM(START:END!F281)</f>
        <v>364.49127610941838</v>
      </c>
      <c r="G281" s="83"/>
      <c r="H281" s="13"/>
      <c r="I281" s="30">
        <f>+SUM(START:END!I281)</f>
        <v>0</v>
      </c>
      <c r="J281" s="41"/>
      <c r="K281" s="13"/>
      <c r="L281" s="33">
        <f>+SUM(START:END!L281)</f>
        <v>489.94</v>
      </c>
      <c r="M281" s="41"/>
      <c r="N281" s="59">
        <f t="shared" si="34"/>
        <v>125.44872389058162</v>
      </c>
      <c r="O281" s="41"/>
      <c r="P281" s="13"/>
      <c r="Q281" s="33">
        <f>+SUM(START:END!Q281)</f>
        <v>453.36</v>
      </c>
      <c r="R281" s="41"/>
      <c r="S281" s="85">
        <f t="shared" si="35"/>
        <v>36.579999999999984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33"/>
        <v>Carrosserie[...]</v>
      </c>
      <c r="B282" s="11" t="s">
        <v>94</v>
      </c>
      <c r="C282" s="102" t="s">
        <v>19</v>
      </c>
      <c r="D282" s="81"/>
      <c r="E282" s="13"/>
      <c r="F282" s="30">
        <f>+SUM(START:END!F282)</f>
        <v>0</v>
      </c>
      <c r="G282" s="83"/>
      <c r="H282" s="13"/>
      <c r="I282" s="30">
        <f>+SUM(START:END!I282)</f>
        <v>0</v>
      </c>
      <c r="J282" s="41"/>
      <c r="K282" s="13"/>
      <c r="L282" s="33">
        <f>+SUM(START:END!L282)</f>
        <v>0</v>
      </c>
      <c r="M282" s="41"/>
      <c r="N282" s="59">
        <f t="shared" si="34"/>
        <v>0</v>
      </c>
      <c r="O282" s="41"/>
      <c r="P282" s="13"/>
      <c r="Q282" s="33">
        <f>+SUM(START:END!Q282)</f>
        <v>0</v>
      </c>
      <c r="R282" s="41"/>
      <c r="S282" s="85">
        <f t="shared" si="35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33"/>
        <v>Carrosserie[...]</v>
      </c>
      <c r="B283" s="11" t="s">
        <v>94</v>
      </c>
      <c r="C283" s="102" t="s">
        <v>19</v>
      </c>
      <c r="D283" s="81"/>
      <c r="E283" s="13"/>
      <c r="F283" s="30">
        <f>+SUM(START:END!F283)</f>
        <v>0</v>
      </c>
      <c r="G283" s="83"/>
      <c r="H283" s="13"/>
      <c r="I283" s="30">
        <f>+SUM(START:END!I283)</f>
        <v>0</v>
      </c>
      <c r="J283" s="41"/>
      <c r="K283" s="13"/>
      <c r="L283" s="33">
        <f>+SUM(START:END!L283)</f>
        <v>0</v>
      </c>
      <c r="M283" s="41"/>
      <c r="N283" s="59">
        <f t="shared" si="34"/>
        <v>0</v>
      </c>
      <c r="O283" s="41"/>
      <c r="P283" s="13"/>
      <c r="Q283" s="33">
        <f>+SUM(START:END!Q283)</f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33"/>
        <v>Carrosserie[...]</v>
      </c>
      <c r="B284" s="11" t="s">
        <v>94</v>
      </c>
      <c r="C284" s="102" t="s">
        <v>19</v>
      </c>
      <c r="D284" s="81"/>
      <c r="E284" s="13"/>
      <c r="F284" s="30">
        <f>+SUM(START:END!F284)</f>
        <v>0</v>
      </c>
      <c r="G284" s="83"/>
      <c r="H284" s="13"/>
      <c r="I284" s="30">
        <f>+SUM(START:END!I284)</f>
        <v>0</v>
      </c>
      <c r="J284" s="41"/>
      <c r="K284" s="13"/>
      <c r="L284" s="33">
        <f>+SUM(START:END!L284)</f>
        <v>0</v>
      </c>
      <c r="M284" s="41"/>
      <c r="N284" s="59">
        <f t="shared" si="34"/>
        <v>0</v>
      </c>
      <c r="O284" s="41"/>
      <c r="P284" s="13"/>
      <c r="Q284" s="33">
        <f>+SUM(START:END!Q284)</f>
        <v>0</v>
      </c>
      <c r="R284" s="41"/>
      <c r="S284" s="85">
        <f t="shared" si="35"/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>
        <f>F285/F$250</f>
        <v>0.46562259947665063</v>
      </c>
      <c r="F285" s="96">
        <f>+SUM(F267:F284)</f>
        <v>2440.5002717720695</v>
      </c>
      <c r="G285" s="97" t="s">
        <v>38</v>
      </c>
      <c r="H285" s="95" t="e">
        <f>I285/I$250</f>
        <v>#DIV/0!</v>
      </c>
      <c r="I285" s="96">
        <f>+SUM(I267:I284)</f>
        <v>0</v>
      </c>
      <c r="J285" s="97" t="s">
        <v>38</v>
      </c>
      <c r="K285" s="95">
        <f>L285/L$250</f>
        <v>1.5751270591842268</v>
      </c>
      <c r="L285" s="96">
        <f>+SUM(L267:L284)</f>
        <v>2671.51</v>
      </c>
      <c r="M285" s="100"/>
      <c r="N285" s="96">
        <f>+SUM(N267:N284)</f>
        <v>231.00972822793088</v>
      </c>
      <c r="O285" s="97" t="s">
        <v>38</v>
      </c>
      <c r="P285" s="95">
        <f>Q285/Q$250</f>
        <v>4.1145844409002592</v>
      </c>
      <c r="Q285" s="96">
        <f>+SUM(Q267:Q284)</f>
        <v>2321.8599999999997</v>
      </c>
      <c r="R285" s="100"/>
      <c r="S285" s="101">
        <f>L285-Q285</f>
        <v>349.65000000000055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>
        <f>F287/F$250</f>
        <v>1.0344576589827208</v>
      </c>
      <c r="F287" s="96">
        <f>F266+F285</f>
        <v>5421.9752235428778</v>
      </c>
      <c r="G287" s="97" t="s">
        <v>38</v>
      </c>
      <c r="H287" s="95" t="e">
        <f>I287/I$250</f>
        <v>#DIV/0!</v>
      </c>
      <c r="I287" s="96">
        <f>I266+I285</f>
        <v>0</v>
      </c>
      <c r="J287" s="97" t="s">
        <v>38</v>
      </c>
      <c r="K287" s="95">
        <f>L287/L$250</f>
        <v>3.3515972312300266</v>
      </c>
      <c r="L287" s="96">
        <f>L266+L285</f>
        <v>5684.51</v>
      </c>
      <c r="M287" s="100"/>
      <c r="N287" s="113">
        <f>L287-F287</f>
        <v>262.53477645712246</v>
      </c>
      <c r="O287" s="97" t="s">
        <v>38</v>
      </c>
      <c r="P287" s="95">
        <f>Q287/Q$250</f>
        <v>9.1791423001949948</v>
      </c>
      <c r="Q287" s="96">
        <f>Q266+Q285</f>
        <v>5179.7899999999991</v>
      </c>
      <c r="R287" s="100"/>
      <c r="S287" s="114">
        <f>L287-Q287</f>
        <v>504.72000000000116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-180.60533618101636</v>
      </c>
      <c r="G289" s="153"/>
      <c r="H289" s="125"/>
      <c r="I289" s="127">
        <f>I250-I287</f>
        <v>0</v>
      </c>
      <c r="J289" s="154"/>
      <c r="K289" s="126"/>
      <c r="L289" s="127">
        <f>L250-L287</f>
        <v>-3988.45</v>
      </c>
      <c r="M289" s="154"/>
      <c r="N289" s="127">
        <f>L289-F289</f>
        <v>-3807.8446638189835</v>
      </c>
      <c r="O289" s="154"/>
      <c r="P289" s="126"/>
      <c r="Q289" s="127">
        <f>Q250-Q287</f>
        <v>-4615.4900000000034</v>
      </c>
      <c r="R289" s="154"/>
      <c r="S289" s="129">
        <f>L289-Q289</f>
        <v>627.0400000000036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  Q4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96" t="s">
        <v>5</v>
      </c>
      <c r="E293" s="497"/>
      <c r="F293" s="498"/>
      <c r="G293" s="499" t="s">
        <v>71</v>
      </c>
      <c r="H293" s="497"/>
      <c r="I293" s="498"/>
      <c r="J293" s="499" t="s">
        <v>7</v>
      </c>
      <c r="K293" s="497"/>
      <c r="L293" s="498"/>
      <c r="M293" s="499" t="s">
        <v>213</v>
      </c>
      <c r="N293" s="498"/>
      <c r="O293" s="496" t="s">
        <v>8</v>
      </c>
      <c r="P293" s="497"/>
      <c r="Q293" s="498"/>
      <c r="R293" s="494" t="s">
        <v>214</v>
      </c>
      <c r="S293" s="49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8" si="36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 t="s">
        <v>79</v>
      </c>
      <c r="H294" s="80" t="s">
        <v>99</v>
      </c>
      <c r="I294" s="134" t="s">
        <v>12</v>
      </c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36"/>
        <v>PiècesPièces Ro Clients</v>
      </c>
      <c r="B295" s="11" t="s">
        <v>98</v>
      </c>
      <c r="C295" s="29" t="s">
        <v>100</v>
      </c>
      <c r="D295" s="82">
        <f>+SUM(START:END!D295)</f>
        <v>174547.19298367173</v>
      </c>
      <c r="E295" s="148">
        <f>IF(D295=0,0,F295/D295)</f>
        <v>0.41799999999999998</v>
      </c>
      <c r="F295" s="85">
        <f>+SUM(START:END!F295)</f>
        <v>72960.726667174778</v>
      </c>
      <c r="G295" s="82">
        <f>+SUM(START:END!G295)</f>
        <v>0</v>
      </c>
      <c r="H295" s="148">
        <f>IF(G295=0,0,I295/G295)</f>
        <v>0</v>
      </c>
      <c r="I295" s="85">
        <f>+SUM(START:END!I295)</f>
        <v>0</v>
      </c>
      <c r="J295" s="30">
        <f>+SUM(START:END!J295)</f>
        <v>169043.44999999998</v>
      </c>
      <c r="K295" s="148">
        <f>IF(J295=0,0,L295/J295)</f>
        <v>0.398553922083346</v>
      </c>
      <c r="L295" s="33">
        <f>+SUM(START:END!L295)</f>
        <v>67372.929999999993</v>
      </c>
      <c r="M295" s="157">
        <f t="shared" ref="M295:M301" si="37">(+J295-D295)/D295</f>
        <v>-3.1531546795980872E-2</v>
      </c>
      <c r="N295" s="59">
        <f t="shared" ref="N295:N304" si="38">L295-F295</f>
        <v>-5587.7966671747854</v>
      </c>
      <c r="O295" s="30">
        <f>+SUM(START:END!O295)</f>
        <v>165418.56</v>
      </c>
      <c r="P295" s="148">
        <f>IF(O295=0,0,Q295/O295)</f>
        <v>0.37240331435601903</v>
      </c>
      <c r="Q295" s="33">
        <f>+SUM(START:END!Q295)</f>
        <v>61602.42</v>
      </c>
      <c r="R295" s="157">
        <f>IF(O295=0,0,(J295-O295)/O295)</f>
        <v>2.1913441877380535E-2</v>
      </c>
      <c r="S295" s="85">
        <f t="shared" ref="S295:S300" si="39">L295-Q295</f>
        <v>5770.5099999999948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36"/>
        <v>PiècesPièces Ro Carrosserie</v>
      </c>
      <c r="B296" s="11" t="s">
        <v>98</v>
      </c>
      <c r="C296" s="29" t="s">
        <v>101</v>
      </c>
      <c r="D296" s="82">
        <f>+SUM(START:END!D296)</f>
        <v>2500</v>
      </c>
      <c r="E296" s="148">
        <f t="shared" ref="E296:E303" si="40">IF(D296=0,0,F296/D296)</f>
        <v>0.34</v>
      </c>
      <c r="F296" s="85">
        <f>+SUM(START:END!F296)</f>
        <v>850</v>
      </c>
      <c r="G296" s="82">
        <f>+SUM(START:END!G296)</f>
        <v>0</v>
      </c>
      <c r="H296" s="148">
        <f t="shared" ref="H296:H303" si="41">IF(G296=0,0,I296/G296)</f>
        <v>0</v>
      </c>
      <c r="I296" s="85">
        <f>+SUM(START:END!I296)</f>
        <v>0</v>
      </c>
      <c r="J296" s="30">
        <f>+SUM(START:END!J296)</f>
        <v>2761.9700000000003</v>
      </c>
      <c r="K296" s="148">
        <f t="shared" ref="K296:K303" si="42">IF(J296=0,0,L296/J296)</f>
        <v>0.38357042256070839</v>
      </c>
      <c r="L296" s="33">
        <f>+SUM(START:END!L296)</f>
        <v>1059.4099999999999</v>
      </c>
      <c r="M296" s="157">
        <f t="shared" si="37"/>
        <v>0.1047880000000001</v>
      </c>
      <c r="N296" s="59">
        <f t="shared" si="38"/>
        <v>209.40999999999985</v>
      </c>
      <c r="O296" s="30">
        <f>+SUM(START:END!O296)</f>
        <v>14687.23</v>
      </c>
      <c r="P296" s="148">
        <f t="shared" ref="P296:P303" si="43">IF(O296=0,0,Q296/O296)</f>
        <v>0.28571418844805935</v>
      </c>
      <c r="Q296" s="33">
        <f>+SUM(START:END!Q296)</f>
        <v>4196.3499999999904</v>
      </c>
      <c r="R296" s="157">
        <f t="shared" ref="R296:R303" si="44">IF(O296=0,0,(J296-O296)/O296)</f>
        <v>-0.81194752175869778</v>
      </c>
      <c r="S296" s="85">
        <f t="shared" si="39"/>
        <v>-3136.9399999999905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36"/>
        <v>PiècesP/A Garantie</v>
      </c>
      <c r="B297" s="11" t="s">
        <v>98</v>
      </c>
      <c r="C297" s="29" t="s">
        <v>102</v>
      </c>
      <c r="D297" s="82">
        <f>+SUM(START:END!D297)</f>
        <v>149151.85579657007</v>
      </c>
      <c r="E297" s="148">
        <f t="shared" si="40"/>
        <v>0.28799999999999992</v>
      </c>
      <c r="F297" s="85">
        <f>+SUM(START:END!F297)</f>
        <v>42955.734469412171</v>
      </c>
      <c r="G297" s="82">
        <f>+SUM(START:END!G297)</f>
        <v>0</v>
      </c>
      <c r="H297" s="148">
        <f t="shared" si="41"/>
        <v>0</v>
      </c>
      <c r="I297" s="85">
        <f>+SUM(START:END!I297)</f>
        <v>0</v>
      </c>
      <c r="J297" s="30">
        <f>+SUM(START:END!J297)</f>
        <v>210020.22999999998</v>
      </c>
      <c r="K297" s="148">
        <f t="shared" si="42"/>
        <v>0.28529613551989719</v>
      </c>
      <c r="L297" s="33">
        <f>+SUM(START:END!L297)</f>
        <v>59917.959999999977</v>
      </c>
      <c r="M297" s="157">
        <f t="shared" si="37"/>
        <v>0.40809666013441348</v>
      </c>
      <c r="N297" s="59">
        <f t="shared" si="38"/>
        <v>16962.225530587806</v>
      </c>
      <c r="O297" s="30">
        <f>+SUM(START:END!O297)</f>
        <v>111938.53</v>
      </c>
      <c r="P297" s="148">
        <f t="shared" si="43"/>
        <v>0.28537501787811576</v>
      </c>
      <c r="Q297" s="33">
        <f>+SUM(START:END!Q297)</f>
        <v>31944.46</v>
      </c>
      <c r="R297" s="157">
        <f t="shared" si="44"/>
        <v>0.87621036295545407</v>
      </c>
      <c r="S297" s="85">
        <f t="shared" si="39"/>
        <v>27973.499999999978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36"/>
        <v>PiècesVentes Internes</v>
      </c>
      <c r="B298" s="11" t="s">
        <v>98</v>
      </c>
      <c r="C298" s="29" t="s">
        <v>103</v>
      </c>
      <c r="D298" s="82">
        <f>+SUM(START:END!D298)</f>
        <v>69237.061604377624</v>
      </c>
      <c r="E298" s="148">
        <f t="shared" si="40"/>
        <v>0.38500000000000001</v>
      </c>
      <c r="F298" s="85">
        <f>+SUM(START:END!F298)</f>
        <v>26656.268717685387</v>
      </c>
      <c r="G298" s="82">
        <f>+SUM(START:END!G298)</f>
        <v>0</v>
      </c>
      <c r="H298" s="148">
        <f t="shared" si="41"/>
        <v>0</v>
      </c>
      <c r="I298" s="85">
        <f>+SUM(START:END!I298)</f>
        <v>0</v>
      </c>
      <c r="J298" s="30">
        <f>+SUM(START:END!J298)</f>
        <v>81098.010000000009</v>
      </c>
      <c r="K298" s="148">
        <f t="shared" si="42"/>
        <v>0.34577432911115819</v>
      </c>
      <c r="L298" s="33">
        <f>+SUM(START:END!L298)</f>
        <v>28041.61</v>
      </c>
      <c r="M298" s="157">
        <f t="shared" si="37"/>
        <v>0.17130923988941288</v>
      </c>
      <c r="N298" s="59">
        <f t="shared" si="38"/>
        <v>1385.3412823146136</v>
      </c>
      <c r="O298" s="30">
        <f>+SUM(START:END!O298)</f>
        <v>63683.749999999898</v>
      </c>
      <c r="P298" s="148">
        <f t="shared" si="43"/>
        <v>0.30496335407384173</v>
      </c>
      <c r="Q298" s="33">
        <f>+SUM(START:END!Q298)</f>
        <v>19421.209999999988</v>
      </c>
      <c r="R298" s="157">
        <f t="shared" si="44"/>
        <v>0.27344903527195147</v>
      </c>
      <c r="S298" s="85">
        <f t="shared" si="39"/>
        <v>8620.4000000000124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36"/>
        <v>PiècesVentes Détails</v>
      </c>
      <c r="B299" s="11" t="s">
        <v>98</v>
      </c>
      <c r="C299" s="29" t="s">
        <v>104</v>
      </c>
      <c r="D299" s="82">
        <f>+SUM(START:END!D299)</f>
        <v>71318.963103993301</v>
      </c>
      <c r="E299" s="148">
        <f t="shared" si="40"/>
        <v>0.31</v>
      </c>
      <c r="F299" s="85">
        <f>+SUM(START:END!F299)</f>
        <v>22108.878562237922</v>
      </c>
      <c r="G299" s="82">
        <f>+SUM(START:END!G299)</f>
        <v>0</v>
      </c>
      <c r="H299" s="148">
        <f t="shared" si="41"/>
        <v>0</v>
      </c>
      <c r="I299" s="85">
        <f>+SUM(START:END!I299)</f>
        <v>0</v>
      </c>
      <c r="J299" s="30">
        <f>+SUM(START:END!J299)</f>
        <v>85856.5</v>
      </c>
      <c r="K299" s="148">
        <f t="shared" si="42"/>
        <v>0.28516151951220925</v>
      </c>
      <c r="L299" s="33">
        <f>+SUM(START:END!L299)</f>
        <v>24482.969999999994</v>
      </c>
      <c r="M299" s="157">
        <f t="shared" si="37"/>
        <v>0.20383830980280632</v>
      </c>
      <c r="N299" s="59">
        <f t="shared" si="38"/>
        <v>2374.091437762072</v>
      </c>
      <c r="O299" s="30">
        <f>+SUM(START:END!O299)</f>
        <v>79831.62</v>
      </c>
      <c r="P299" s="148">
        <f t="shared" si="43"/>
        <v>0.26850338249430489</v>
      </c>
      <c r="Q299" s="33">
        <f>+SUM(START:END!Q299)</f>
        <v>21435.059999999998</v>
      </c>
      <c r="R299" s="157">
        <f t="shared" si="44"/>
        <v>7.5469845156593399E-2</v>
      </c>
      <c r="S299" s="85">
        <f t="shared" si="39"/>
        <v>3047.9099999999962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36"/>
        <v>PiècesVentes de Gros</v>
      </c>
      <c r="B300" s="11" t="s">
        <v>98</v>
      </c>
      <c r="C300" s="29" t="s">
        <v>105</v>
      </c>
      <c r="D300" s="82">
        <f>+SUM(START:END!D300)</f>
        <v>199300.89618213405</v>
      </c>
      <c r="E300" s="148">
        <f t="shared" si="40"/>
        <v>0.21300000000000002</v>
      </c>
      <c r="F300" s="85">
        <f>+SUM(START:END!F300)</f>
        <v>42451.090886794555</v>
      </c>
      <c r="G300" s="82">
        <f>+SUM(START:END!G300)</f>
        <v>0</v>
      </c>
      <c r="H300" s="148">
        <f t="shared" si="41"/>
        <v>0</v>
      </c>
      <c r="I300" s="85">
        <f>+SUM(START:END!I300)</f>
        <v>0</v>
      </c>
      <c r="J300" s="30">
        <f>+SUM(START:END!J300)</f>
        <v>107290.06</v>
      </c>
      <c r="K300" s="148">
        <f t="shared" si="42"/>
        <v>0.20026403191497893</v>
      </c>
      <c r="L300" s="33">
        <f>+SUM(START:END!L300)</f>
        <v>21486.340000000004</v>
      </c>
      <c r="M300" s="157">
        <f t="shared" si="37"/>
        <v>-0.46166795004297723</v>
      </c>
      <c r="N300" s="59">
        <f t="shared" si="38"/>
        <v>-20964.750886794551</v>
      </c>
      <c r="O300" s="30">
        <f>+SUM(START:END!O300)</f>
        <v>174166.31</v>
      </c>
      <c r="P300" s="148">
        <f t="shared" si="43"/>
        <v>0.19826882707683249</v>
      </c>
      <c r="Q300" s="33">
        <f>+SUM(START:END!Q300)</f>
        <v>34531.75</v>
      </c>
      <c r="R300" s="157">
        <f t="shared" si="44"/>
        <v>-0.38397925523024518</v>
      </c>
      <c r="S300" s="85">
        <f t="shared" si="39"/>
        <v>-13045.409999999996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 t="shared" si="36"/>
        <v>Pièces[...]</v>
      </c>
      <c r="B301" s="11" t="s">
        <v>98</v>
      </c>
      <c r="C301" s="29" t="s">
        <v>19</v>
      </c>
      <c r="D301" s="82">
        <f>+SUM(START:END!D301)</f>
        <v>0</v>
      </c>
      <c r="E301" s="148">
        <f t="shared" si="40"/>
        <v>0</v>
      </c>
      <c r="F301" s="85">
        <f>+SUM(START:END!F301)</f>
        <v>0</v>
      </c>
      <c r="G301" s="82">
        <f>+SUM(START:END!G301)</f>
        <v>0</v>
      </c>
      <c r="H301" s="148">
        <f t="shared" si="41"/>
        <v>0</v>
      </c>
      <c r="I301" s="85">
        <f>+SUM(START:END!I301)</f>
        <v>0</v>
      </c>
      <c r="J301" s="30">
        <f>+SUM(START:END!J301)</f>
        <v>0</v>
      </c>
      <c r="K301" s="148">
        <f t="shared" si="42"/>
        <v>0</v>
      </c>
      <c r="L301" s="33">
        <f>+SUM(START:END!L301)</f>
        <v>0</v>
      </c>
      <c r="M301" s="157" t="e">
        <f t="shared" si="37"/>
        <v>#DIV/0!</v>
      </c>
      <c r="N301" s="59">
        <f t="shared" si="38"/>
        <v>0</v>
      </c>
      <c r="O301" s="30">
        <f>+SUM(START:END!O301)</f>
        <v>0</v>
      </c>
      <c r="P301" s="148">
        <f t="shared" si="43"/>
        <v>0</v>
      </c>
      <c r="Q301" s="33">
        <f>+SUM(START:END!Q301)</f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si="36"/>
        <v>PiècesEscomptes</v>
      </c>
      <c r="B302" s="11" t="s">
        <v>98</v>
      </c>
      <c r="C302" s="29" t="s">
        <v>106</v>
      </c>
      <c r="D302" s="82">
        <f>+SUM(START:END!D302)</f>
        <v>0</v>
      </c>
      <c r="E302" s="148">
        <f t="shared" si="40"/>
        <v>0</v>
      </c>
      <c r="F302" s="85">
        <f>+SUM(START:END!F302)</f>
        <v>16560.075297115458</v>
      </c>
      <c r="G302" s="82">
        <f>+SUM(START:END!G302)</f>
        <v>0</v>
      </c>
      <c r="H302" s="148">
        <f t="shared" si="41"/>
        <v>0</v>
      </c>
      <c r="I302" s="85">
        <f>+SUM(START:END!I302)</f>
        <v>0</v>
      </c>
      <c r="J302" s="30">
        <f>+SUM(START:END!J302)</f>
        <v>0</v>
      </c>
      <c r="K302" s="148">
        <f t="shared" si="42"/>
        <v>0</v>
      </c>
      <c r="L302" s="33">
        <f>+SUM(START:END!L302)</f>
        <v>24868.199999999997</v>
      </c>
      <c r="M302" s="157"/>
      <c r="N302" s="59">
        <f t="shared" si="38"/>
        <v>8308.1247028845391</v>
      </c>
      <c r="O302" s="30">
        <f>+SUM(START:END!O302)</f>
        <v>0</v>
      </c>
      <c r="P302" s="148">
        <f t="shared" si="43"/>
        <v>0</v>
      </c>
      <c r="Q302" s="33">
        <f>+SUM(START:END!Q302)</f>
        <v>16523.7</v>
      </c>
      <c r="R302" s="157">
        <f t="shared" si="44"/>
        <v>0</v>
      </c>
      <c r="S302" s="85">
        <f>L302-Q302</f>
        <v>8344.4999999999964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36"/>
        <v>PiècesRectif. Inventaire</v>
      </c>
      <c r="B303" s="11" t="s">
        <v>98</v>
      </c>
      <c r="C303" s="86" t="s">
        <v>107</v>
      </c>
      <c r="D303" s="82">
        <f>+SUM(START:END!D303)</f>
        <v>0</v>
      </c>
      <c r="E303" s="148">
        <f t="shared" si="40"/>
        <v>0</v>
      </c>
      <c r="F303" s="85">
        <f>+SUM(START:END!F303)</f>
        <v>0</v>
      </c>
      <c r="G303" s="82">
        <f>+SUM(START:END!G303)</f>
        <v>0</v>
      </c>
      <c r="H303" s="148">
        <f t="shared" si="41"/>
        <v>0</v>
      </c>
      <c r="I303" s="85">
        <f>+SUM(START:END!I303)</f>
        <v>0</v>
      </c>
      <c r="J303" s="30">
        <f>+SUM(START:END!J303)</f>
        <v>0</v>
      </c>
      <c r="K303" s="148">
        <f t="shared" si="42"/>
        <v>0</v>
      </c>
      <c r="L303" s="33">
        <f>+SUM(START:END!L303)</f>
        <v>10385.1</v>
      </c>
      <c r="M303" s="157"/>
      <c r="N303" s="59">
        <f t="shared" si="38"/>
        <v>10385.1</v>
      </c>
      <c r="O303" s="30">
        <f>+SUM(START:END!O303)</f>
        <v>0</v>
      </c>
      <c r="P303" s="148">
        <f t="shared" si="43"/>
        <v>0</v>
      </c>
      <c r="Q303" s="33">
        <f>+SUM(START:END!Q303)</f>
        <v>20772.07</v>
      </c>
      <c r="R303" s="157">
        <f t="shared" si="44"/>
        <v>0</v>
      </c>
      <c r="S303" s="85">
        <f>L303-Q303</f>
        <v>-10386.969999999999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36"/>
        <v>PiècesSous-total Pièces</v>
      </c>
      <c r="B304" s="11" t="s">
        <v>98</v>
      </c>
      <c r="C304" s="53" t="s">
        <v>108</v>
      </c>
      <c r="D304" s="195">
        <f>SUM(D295:D303)</f>
        <v>666055.96967074682</v>
      </c>
      <c r="E304" s="213">
        <f>IF(D304&lt;=0,0,F304/D304)</f>
        <v>0.33712298188907319</v>
      </c>
      <c r="F304" s="199">
        <f>SUM(F295:F303)</f>
        <v>224542.77460042026</v>
      </c>
      <c r="G304" s="195">
        <f>SUM(G295:G303)</f>
        <v>0</v>
      </c>
      <c r="H304" s="213">
        <f>IF(G304&lt;=0,0,I304/G304)</f>
        <v>0</v>
      </c>
      <c r="I304" s="199">
        <f>SUM(I295:I303)</f>
        <v>0</v>
      </c>
      <c r="J304" s="195">
        <f>SUM(J295:J303)</f>
        <v>656070.22</v>
      </c>
      <c r="K304" s="213">
        <f>IF(J304&lt;=0,0,L304/J304)</f>
        <v>0.36217848754055626</v>
      </c>
      <c r="L304" s="197">
        <f>SUM(L295:L303)</f>
        <v>237614.52</v>
      </c>
      <c r="M304" s="214">
        <f>(+J304-D304)/D304</f>
        <v>-1.4992358188281285E-2</v>
      </c>
      <c r="N304" s="197">
        <f t="shared" si="38"/>
        <v>13071.745399579726</v>
      </c>
      <c r="O304" s="195">
        <f>SUM(O295:O303)</f>
        <v>609725.99999999988</v>
      </c>
      <c r="P304" s="213">
        <f>IF(O304&lt;=0,0,Q304/O304)</f>
        <v>0.34511734779228709</v>
      </c>
      <c r="Q304" s="197">
        <f>SUM(Q295:Q303)</f>
        <v>210427.02</v>
      </c>
      <c r="R304" s="214">
        <f>IF(O304=0,0,(J304-O304)/O304)</f>
        <v>7.6008272568334131E-2</v>
      </c>
      <c r="S304" s="199">
        <f>L304-Q304</f>
        <v>27187.5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36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5.8214945561446983E-2</v>
      </c>
      <c r="O305" s="41"/>
      <c r="P305" s="13"/>
      <c r="Q305" s="40"/>
      <c r="R305" s="41"/>
      <c r="S305" s="44">
        <f>IF(Q304=0,0,S304/Q304)</f>
        <v>0.12920156356346252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36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36"/>
        <v>PiècesVentes Pneus</v>
      </c>
      <c r="B307" s="11" t="s">
        <v>98</v>
      </c>
      <c r="C307" s="29" t="s">
        <v>109</v>
      </c>
      <c r="D307" s="82">
        <f>+SUM(START:END!D307)</f>
        <v>300324.06688692723</v>
      </c>
      <c r="E307" s="148">
        <f>IF(D307=0,0,F307/D307)</f>
        <v>0.25</v>
      </c>
      <c r="F307" s="110">
        <f>+SUM(START:END!F307)</f>
        <v>75081.016721731809</v>
      </c>
      <c r="G307" s="82">
        <f>+SUM(START:END!G307)</f>
        <v>0</v>
      </c>
      <c r="H307" s="148">
        <f>IF(G307=0,0,I307/G307)</f>
        <v>0</v>
      </c>
      <c r="I307" s="110">
        <f>+SUM(START:END!I307)</f>
        <v>0</v>
      </c>
      <c r="J307" s="30">
        <f>+SUM(START:END!J307)</f>
        <v>341524.52999999997</v>
      </c>
      <c r="K307" s="148">
        <f>IF(J307=0,0,L307/J307)</f>
        <v>0.2494662389257955</v>
      </c>
      <c r="L307" s="33">
        <f>+SUM(START:END!L307)</f>
        <v>85198.840000000011</v>
      </c>
      <c r="M307" s="157">
        <f>(+J307-D307)/D307</f>
        <v>0.13718668483729882</v>
      </c>
      <c r="N307" s="59">
        <f>L307-F307</f>
        <v>10117.823278268203</v>
      </c>
      <c r="O307" s="30">
        <f>+SUM(START:END!O307)</f>
        <v>313393.84999999998</v>
      </c>
      <c r="P307" s="148">
        <f>IF(O307=0,0,Q307/O307)</f>
        <v>0.25418561978800736</v>
      </c>
      <c r="Q307" s="33">
        <f>+SUM(START:END!Q307)</f>
        <v>79660.209999999803</v>
      </c>
      <c r="R307" s="157">
        <f>IF(O307=0,0,(J307-O307)/O307)</f>
        <v>8.9761429587721639E-2</v>
      </c>
      <c r="S307" s="85">
        <f>L307-Q307</f>
        <v>5538.6300000002084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36"/>
        <v>PiècesHuiles et Graisse</v>
      </c>
      <c r="B308" s="11" t="s">
        <v>98</v>
      </c>
      <c r="C308" s="86" t="s">
        <v>110</v>
      </c>
      <c r="D308" s="82">
        <f>+SUM(START:END!D308)</f>
        <v>32640.839454692599</v>
      </c>
      <c r="E308" s="148">
        <f>IF(D308=0,0,F308/D308)</f>
        <v>0.35</v>
      </c>
      <c r="F308" s="92">
        <f>+SUM(START:END!F308)</f>
        <v>11424.293809142409</v>
      </c>
      <c r="G308" s="82">
        <f>+SUM(START:END!G308)</f>
        <v>0</v>
      </c>
      <c r="H308" s="148">
        <f>IF(G308=0,0,I308/G308)</f>
        <v>0</v>
      </c>
      <c r="I308" s="92">
        <f>+SUM(START:END!I308)</f>
        <v>0</v>
      </c>
      <c r="J308" s="30">
        <f>+SUM(START:END!J308)</f>
        <v>36920.83</v>
      </c>
      <c r="K308" s="148">
        <f>IF(J308=0,0,L308/J308)</f>
        <v>0.35599037183075244</v>
      </c>
      <c r="L308" s="33">
        <f>+SUM(START:END!L308)</f>
        <v>13143.460000000001</v>
      </c>
      <c r="M308" s="157">
        <f>(+J308-D308)/D308</f>
        <v>0.13112378899593807</v>
      </c>
      <c r="N308" s="59">
        <f>L308-F308</f>
        <v>1719.1661908575916</v>
      </c>
      <c r="O308" s="30">
        <f>+SUM(START:END!O308)</f>
        <v>32097.949999999892</v>
      </c>
      <c r="P308" s="148">
        <f>IF(O308=0,0,Q308/O308)</f>
        <v>0.33854903506298745</v>
      </c>
      <c r="Q308" s="33">
        <f>+SUM(START:END!Q308)</f>
        <v>10866.729999999981</v>
      </c>
      <c r="R308" s="157">
        <f>IF(O308=0,0,(J308-O308)/O308)</f>
        <v>0.15025507859536594</v>
      </c>
      <c r="S308" s="85">
        <f>L308-Q308</f>
        <v>2276.7300000000196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36"/>
        <v>PiècesSous-total Pièces et Acc.</v>
      </c>
      <c r="B309" s="11" t="s">
        <v>98</v>
      </c>
      <c r="C309" s="53" t="s">
        <v>111</v>
      </c>
      <c r="D309" s="195">
        <f>D304+D307+D308</f>
        <v>999020.87601236661</v>
      </c>
      <c r="E309" s="213">
        <f>IF(D309&lt;=0,0,F309/D309)</f>
        <v>0.31135293826176674</v>
      </c>
      <c r="F309" s="197">
        <f>F304+F307+F308</f>
        <v>311048.0851312945</v>
      </c>
      <c r="G309" s="198">
        <f>G304+G307+G308</f>
        <v>0</v>
      </c>
      <c r="H309" s="213">
        <f>IF(G309&lt;=0,0,I309/G309)</f>
        <v>0</v>
      </c>
      <c r="I309" s="197">
        <f>I304+I307+I308</f>
        <v>0</v>
      </c>
      <c r="J309" s="198">
        <f>J304+J307+J308</f>
        <v>1034515.58</v>
      </c>
      <c r="K309" s="213">
        <f>IF(J309&lt;=0,0,L309/J309)</f>
        <v>0.32474795594668571</v>
      </c>
      <c r="L309" s="197">
        <f>L304+L307+L308</f>
        <v>335956.82</v>
      </c>
      <c r="M309" s="214">
        <f>(+J309-D309)/D309</f>
        <v>3.5529491765289162E-2</v>
      </c>
      <c r="N309" s="197">
        <f>L309-F309</f>
        <v>24908.734868705506</v>
      </c>
      <c r="O309" s="198">
        <f>O304+O307+O308</f>
        <v>955217.7999999997</v>
      </c>
      <c r="P309" s="213">
        <f>IF(O309&lt;=0,0,Q309/O309)</f>
        <v>0.31506318244907067</v>
      </c>
      <c r="Q309" s="197">
        <f>Q304+Q307+Q308</f>
        <v>300953.95999999979</v>
      </c>
      <c r="R309" s="214">
        <f>IF(O309=0,0,(J309-O309)/O309)</f>
        <v>8.3015391882354253E-2</v>
      </c>
      <c r="S309" s="199">
        <f>L309-Q309</f>
        <v>35002.860000000219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36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8.0080013539358202E-2</v>
      </c>
      <c r="O310" s="41"/>
      <c r="P310" s="13"/>
      <c r="Q310" s="40"/>
      <c r="R310" s="41"/>
      <c r="S310" s="44">
        <f>IF(Q309=0,0,S309/Q309)</f>
        <v>0.11630636127864954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36"/>
        <v>PiècesPièces recond. MCPA</v>
      </c>
      <c r="B311" s="11" t="s">
        <v>98</v>
      </c>
      <c r="C311" s="29" t="s">
        <v>190</v>
      </c>
      <c r="D311" s="13">
        <f>+SUM(START:END!D311)</f>
        <v>0</v>
      </c>
      <c r="E311" s="13">
        <f>IF(D311=0,0,F311/D311)</f>
        <v>0</v>
      </c>
      <c r="F311" s="40">
        <f>+SUM(START:END!F311)</f>
        <v>0</v>
      </c>
      <c r="G311" s="41">
        <f>+SUM(START:END!G311)</f>
        <v>0</v>
      </c>
      <c r="H311" s="13">
        <f>IF(G311=0,0,I311/G311)</f>
        <v>0</v>
      </c>
      <c r="I311" s="40">
        <f>+SUM(START:END!I311)</f>
        <v>0</v>
      </c>
      <c r="J311" s="41">
        <f>+SUM(START:END!J311)</f>
        <v>0</v>
      </c>
      <c r="K311" s="13">
        <f>IF(J311=0,0,L311/J311)</f>
        <v>0</v>
      </c>
      <c r="L311" s="40">
        <f>+SUM(START:END!L311)</f>
        <v>0</v>
      </c>
      <c r="M311" s="41"/>
      <c r="N311" s="43"/>
      <c r="O311" s="41">
        <f>+SUM(START:END!O311)</f>
        <v>0</v>
      </c>
      <c r="P311" s="13">
        <f>IF(O311=0,0,Q311/O311)</f>
        <v>0</v>
      </c>
      <c r="Q311" s="40">
        <f>+SUM(START:END!Q311)</f>
        <v>0</v>
      </c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36"/>
        <v>PiècesAutostock</v>
      </c>
      <c r="B312" s="11" t="s">
        <v>98</v>
      </c>
      <c r="C312" s="86" t="s">
        <v>112</v>
      </c>
      <c r="D312" s="90">
        <f>+SUM(START:END!D312)</f>
        <v>0</v>
      </c>
      <c r="E312" s="217">
        <f>IF(D312=0,0,F312/D312)</f>
        <v>0</v>
      </c>
      <c r="F312" s="146">
        <f>+SUM(START:END!F312)</f>
        <v>0</v>
      </c>
      <c r="G312" s="172">
        <f>+SUM(START:END!G312)</f>
        <v>0</v>
      </c>
      <c r="H312" s="217">
        <f>IF(G312=0,0,I312/G312)</f>
        <v>0</v>
      </c>
      <c r="I312" s="146">
        <f>+SUM(START:END!I312)</f>
        <v>0</v>
      </c>
      <c r="J312" s="46">
        <f>+SUM(START:END!J312)</f>
        <v>0</v>
      </c>
      <c r="K312" s="218">
        <f>IF(J312=0,0,L312/J312)</f>
        <v>0</v>
      </c>
      <c r="L312" s="22">
        <f>+SUM(START:END!L312)</f>
        <v>0</v>
      </c>
      <c r="M312" s="218">
        <f>IF(F312=0,0,(+L312-F312)/F312)</f>
        <v>0</v>
      </c>
      <c r="N312" s="91">
        <f>L312-F312</f>
        <v>0</v>
      </c>
      <c r="O312" s="46">
        <f>+SUM(START:END!O312)</f>
        <v>0</v>
      </c>
      <c r="P312" s="218">
        <f>IF(O312=0,0,Q312/O312)</f>
        <v>0</v>
      </c>
      <c r="Q312" s="22">
        <f>+SUM(START:END!Q312)</f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36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36"/>
        <v>PiècesTotal Dépt. Pièces</v>
      </c>
      <c r="B314" s="11" t="s">
        <v>98</v>
      </c>
      <c r="C314" s="62" t="s">
        <v>113</v>
      </c>
      <c r="D314" s="63">
        <f>D309+D312+D311</f>
        <v>999020.87601236661</v>
      </c>
      <c r="E314" s="219">
        <f>IF(D314&lt;=0,0,F314/D314)</f>
        <v>0.31135293826176674</v>
      </c>
      <c r="F314" s="65">
        <f>F309+F312+F311</f>
        <v>311048.0851312945</v>
      </c>
      <c r="G314" s="66">
        <f>G309+G312+G311</f>
        <v>0</v>
      </c>
      <c r="H314" s="219">
        <f>IF(G314&lt;=0,0,I314/G314)</f>
        <v>0</v>
      </c>
      <c r="I314" s="65">
        <f>I309+I312+I311</f>
        <v>0</v>
      </c>
      <c r="J314" s="66">
        <f>J309+J312+J311</f>
        <v>1034515.58</v>
      </c>
      <c r="K314" s="219">
        <f>IF(J314&lt;=0,0,L314/J314)</f>
        <v>0.32474795594668571</v>
      </c>
      <c r="L314" s="65">
        <f>L309+L312+L311</f>
        <v>335956.82</v>
      </c>
      <c r="M314" s="220">
        <f>(+J314-D314)/D314</f>
        <v>3.5529491765289162E-2</v>
      </c>
      <c r="N314" s="221">
        <f>L314-F314</f>
        <v>24908.734868705506</v>
      </c>
      <c r="O314" s="66">
        <f>O309+O312+O311</f>
        <v>955217.7999999997</v>
      </c>
      <c r="P314" s="219">
        <f>IF(O314&lt;=0,0,Q314/O314)</f>
        <v>0.31506318244907067</v>
      </c>
      <c r="Q314" s="65">
        <f>Q309+Q312+Q311</f>
        <v>300953.95999999979</v>
      </c>
      <c r="R314" s="220">
        <f>IF(O314=0,0,(J314-O314)/O314)</f>
        <v>8.3015391882354253E-2</v>
      </c>
      <c r="S314" s="222">
        <f>L314-Q314</f>
        <v>35002.860000000219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36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8.0080013539358202E-2</v>
      </c>
      <c r="O315" s="227"/>
      <c r="P315" s="225"/>
      <c r="Q315" s="226"/>
      <c r="R315" s="228"/>
      <c r="S315" s="75">
        <f>IF(Q314=0,0,S314/Q314)</f>
        <v>0.11630636127864954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36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36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36"/>
        <v>PiècesSalaires cadres</v>
      </c>
      <c r="B318" s="11" t="s">
        <v>98</v>
      </c>
      <c r="C318" s="102" t="s">
        <v>40</v>
      </c>
      <c r="D318" s="13"/>
      <c r="E318" s="13"/>
      <c r="F318" s="30">
        <f>+SUM(START:END!F318)</f>
        <v>12526.416793893131</v>
      </c>
      <c r="G318" s="41"/>
      <c r="H318" s="13"/>
      <c r="I318" s="30">
        <f>+SUM(START:END!I318)</f>
        <v>0</v>
      </c>
      <c r="J318" s="41"/>
      <c r="K318" s="13"/>
      <c r="L318" s="33">
        <f>+SUM(START:END!L318)</f>
        <v>7302.5999999999995</v>
      </c>
      <c r="M318" s="41"/>
      <c r="N318" s="59">
        <f t="shared" ref="N318:N348" si="45">L318-F318</f>
        <v>-5223.8167938931319</v>
      </c>
      <c r="O318" s="41"/>
      <c r="P318" s="13"/>
      <c r="Q318" s="33">
        <f>+SUM(START:END!Q318)</f>
        <v>10788.48</v>
      </c>
      <c r="R318" s="41"/>
      <c r="S318" s="85">
        <f t="shared" ref="S318:S343" si="46">L318-Q318</f>
        <v>-3485.88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36"/>
        <v>PiècesSalaires commis</v>
      </c>
      <c r="B319" s="11" t="s">
        <v>98</v>
      </c>
      <c r="C319" s="103" t="s">
        <v>41</v>
      </c>
      <c r="D319" s="81"/>
      <c r="E319" s="13"/>
      <c r="F319" s="22">
        <f>+SUM(START:END!F319)</f>
        <v>8319.8473282442756</v>
      </c>
      <c r="G319" s="83"/>
      <c r="H319" s="13"/>
      <c r="I319" s="22">
        <f>+SUM(START:END!I319)</f>
        <v>0</v>
      </c>
      <c r="J319" s="41"/>
      <c r="K319" s="13"/>
      <c r="L319" s="33">
        <f>+SUM(START:END!L319)</f>
        <v>8637.67</v>
      </c>
      <c r="M319" s="41"/>
      <c r="N319" s="59">
        <f t="shared" si="45"/>
        <v>317.82267175572451</v>
      </c>
      <c r="O319" s="41"/>
      <c r="P319" s="13"/>
      <c r="Q319" s="33">
        <f>+SUM(START:END!Q319)</f>
        <v>7587.1400000000012</v>
      </c>
      <c r="R319" s="41"/>
      <c r="S319" s="85">
        <f t="shared" si="46"/>
        <v>1050.5299999999988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36"/>
        <v>PiècesSalaires autres</v>
      </c>
      <c r="B320" s="11" t="s">
        <v>98</v>
      </c>
      <c r="C320" s="102" t="s">
        <v>42</v>
      </c>
      <c r="D320" s="104"/>
      <c r="E320" s="105"/>
      <c r="F320" s="30">
        <f>+SUM(START:END!F320)</f>
        <v>44290.305343511449</v>
      </c>
      <c r="G320" s="106"/>
      <c r="H320" s="105"/>
      <c r="I320" s="30">
        <f>+SUM(START:END!I320)</f>
        <v>0</v>
      </c>
      <c r="J320" s="107"/>
      <c r="K320" s="105"/>
      <c r="L320" s="108">
        <f>+SUM(START:END!L320)</f>
        <v>45702.979999999996</v>
      </c>
      <c r="M320" s="107"/>
      <c r="N320" s="109">
        <f t="shared" si="45"/>
        <v>1412.674656488547</v>
      </c>
      <c r="O320" s="107"/>
      <c r="P320" s="105"/>
      <c r="Q320" s="108">
        <f>+SUM(START:END!Q320)</f>
        <v>42239.46</v>
      </c>
      <c r="R320" s="107"/>
      <c r="S320" s="110">
        <f t="shared" si="46"/>
        <v>3463.5199999999968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36"/>
        <v>PiècesSalaires spécialistes</v>
      </c>
      <c r="B321" s="11" t="s">
        <v>98</v>
      </c>
      <c r="C321" s="102" t="s">
        <v>43</v>
      </c>
      <c r="D321" s="81"/>
      <c r="E321" s="13"/>
      <c r="F321" s="30">
        <f>+SUM(START:END!F321)</f>
        <v>0</v>
      </c>
      <c r="G321" s="83"/>
      <c r="H321" s="13"/>
      <c r="I321" s="30">
        <f>+SUM(START:END!I321)</f>
        <v>0</v>
      </c>
      <c r="J321" s="41"/>
      <c r="K321" s="13"/>
      <c r="L321" s="33">
        <f>+SUM(START:END!L321)</f>
        <v>0</v>
      </c>
      <c r="M321" s="41"/>
      <c r="N321" s="59">
        <f t="shared" si="45"/>
        <v>0</v>
      </c>
      <c r="O321" s="41"/>
      <c r="P321" s="13"/>
      <c r="Q321" s="33">
        <f>+SUM(START:END!Q321)</f>
        <v>0</v>
      </c>
      <c r="R321" s="41"/>
      <c r="S321" s="85">
        <f t="shared" si="46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36"/>
        <v>Pièces[...]</v>
      </c>
      <c r="B322" s="11" t="s">
        <v>98</v>
      </c>
      <c r="C322" s="229" t="s">
        <v>19</v>
      </c>
      <c r="D322" s="81"/>
      <c r="E322" s="13"/>
      <c r="F322" s="30">
        <f>+SUM(START:END!F322)</f>
        <v>0</v>
      </c>
      <c r="G322" s="83"/>
      <c r="H322" s="13"/>
      <c r="I322" s="30">
        <f>+SUM(START:END!I322)</f>
        <v>0</v>
      </c>
      <c r="J322" s="41"/>
      <c r="K322" s="13"/>
      <c r="L322" s="33">
        <f>+SUM(START:END!L322)</f>
        <v>0</v>
      </c>
      <c r="M322" s="41"/>
      <c r="N322" s="59">
        <f t="shared" si="45"/>
        <v>0</v>
      </c>
      <c r="O322" s="41"/>
      <c r="P322" s="13"/>
      <c r="Q322" s="33">
        <f>+SUM(START:END!Q322)</f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36"/>
        <v>Pièces[...]</v>
      </c>
      <c r="B323" s="11" t="s">
        <v>98</v>
      </c>
      <c r="C323" s="229" t="s">
        <v>19</v>
      </c>
      <c r="D323" s="81"/>
      <c r="E323" s="13"/>
      <c r="F323" s="30">
        <f>+SUM(START:END!F323)</f>
        <v>0</v>
      </c>
      <c r="G323" s="83"/>
      <c r="H323" s="13"/>
      <c r="I323" s="30">
        <f>+SUM(START:END!I323)</f>
        <v>0</v>
      </c>
      <c r="J323" s="41"/>
      <c r="K323" s="13"/>
      <c r="L323" s="33">
        <f>+SUM(START:END!L323)</f>
        <v>0</v>
      </c>
      <c r="M323" s="41"/>
      <c r="N323" s="59">
        <f t="shared" si="45"/>
        <v>0</v>
      </c>
      <c r="O323" s="41"/>
      <c r="P323" s="13"/>
      <c r="Q323" s="33">
        <f>+SUM(START:END!Q323)</f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36"/>
        <v>Pièces[...]</v>
      </c>
      <c r="B324" s="11" t="s">
        <v>98</v>
      </c>
      <c r="C324" s="229" t="s">
        <v>19</v>
      </c>
      <c r="D324" s="81"/>
      <c r="E324" s="13"/>
      <c r="F324" s="30">
        <f>+SUM(START:END!F324)</f>
        <v>0</v>
      </c>
      <c r="G324" s="83"/>
      <c r="H324" s="13"/>
      <c r="I324" s="30">
        <f>+SUM(START:END!I324)</f>
        <v>0</v>
      </c>
      <c r="J324" s="41"/>
      <c r="K324" s="13"/>
      <c r="L324" s="33">
        <f>+SUM(START:END!L324)</f>
        <v>0</v>
      </c>
      <c r="M324" s="41"/>
      <c r="N324" s="59">
        <f t="shared" si="45"/>
        <v>0</v>
      </c>
      <c r="O324" s="41"/>
      <c r="P324" s="13"/>
      <c r="Q324" s="33">
        <f>+SUM(START:END!Q324)</f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si="36"/>
        <v>PiècesSalaires en absences</v>
      </c>
      <c r="B325" s="11" t="s">
        <v>98</v>
      </c>
      <c r="C325" s="103" t="s">
        <v>44</v>
      </c>
      <c r="D325" s="81"/>
      <c r="E325" s="13"/>
      <c r="F325" s="22">
        <f>+SUM(START:END!F325)</f>
        <v>7598.7627485830053</v>
      </c>
      <c r="G325" s="83"/>
      <c r="H325" s="13"/>
      <c r="I325" s="22">
        <f>+SUM(START:END!I325)</f>
        <v>0</v>
      </c>
      <c r="J325" s="41"/>
      <c r="K325" s="13"/>
      <c r="L325" s="33">
        <f>+SUM(START:END!L325)</f>
        <v>5013.75</v>
      </c>
      <c r="M325" s="41"/>
      <c r="N325" s="59">
        <f t="shared" si="45"/>
        <v>-2585.0127485830053</v>
      </c>
      <c r="O325" s="41"/>
      <c r="P325" s="13"/>
      <c r="Q325" s="33">
        <f>+SUM(START:END!Q325)</f>
        <v>5550.1</v>
      </c>
      <c r="R325" s="41"/>
      <c r="S325" s="85">
        <f t="shared" si="46"/>
        <v>-536.35000000000036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36"/>
        <v>PiècesDéduction à la source</v>
      </c>
      <c r="B326" s="11" t="s">
        <v>98</v>
      </c>
      <c r="C326" s="102" t="s">
        <v>45</v>
      </c>
      <c r="D326" s="104"/>
      <c r="E326" s="105"/>
      <c r="F326" s="30">
        <f>+SUM(START:END!F326)</f>
        <v>9712.4665916153826</v>
      </c>
      <c r="G326" s="106"/>
      <c r="H326" s="105"/>
      <c r="I326" s="30">
        <f>+SUM(START:END!I326)</f>
        <v>0</v>
      </c>
      <c r="J326" s="107"/>
      <c r="K326" s="105"/>
      <c r="L326" s="108">
        <f>+SUM(START:END!L326)</f>
        <v>7529.46</v>
      </c>
      <c r="M326" s="107"/>
      <c r="N326" s="109">
        <f t="shared" si="45"/>
        <v>-2183.0065916153826</v>
      </c>
      <c r="O326" s="107"/>
      <c r="P326" s="105"/>
      <c r="Q326" s="108">
        <f>+SUM(START:END!Q326)</f>
        <v>8164</v>
      </c>
      <c r="R326" s="107"/>
      <c r="S326" s="110">
        <f t="shared" si="46"/>
        <v>-634.54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36"/>
        <v>PiècesBénéfices marginaux</v>
      </c>
      <c r="B327" s="11" t="s">
        <v>98</v>
      </c>
      <c r="C327" s="102" t="s">
        <v>46</v>
      </c>
      <c r="D327" s="81"/>
      <c r="E327" s="13"/>
      <c r="F327" s="30">
        <f>+SUM(START:END!F327)</f>
        <v>4599.6874969465653</v>
      </c>
      <c r="G327" s="83"/>
      <c r="H327" s="13"/>
      <c r="I327" s="30">
        <f>+SUM(START:END!I327)</f>
        <v>0</v>
      </c>
      <c r="J327" s="41"/>
      <c r="K327" s="13"/>
      <c r="L327" s="33">
        <f>+SUM(START:END!L327)</f>
        <v>4194.28</v>
      </c>
      <c r="M327" s="41"/>
      <c r="N327" s="59">
        <f t="shared" si="45"/>
        <v>-405.40749694656552</v>
      </c>
      <c r="O327" s="41"/>
      <c r="P327" s="13"/>
      <c r="Q327" s="33">
        <f>+SUM(START:END!Q327)</f>
        <v>4806.74</v>
      </c>
      <c r="R327" s="41"/>
      <c r="S327" s="85">
        <f t="shared" si="46"/>
        <v>-612.46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36"/>
        <v>PiècesCsst</v>
      </c>
      <c r="B328" s="11" t="s">
        <v>98</v>
      </c>
      <c r="C328" s="102" t="s">
        <v>47</v>
      </c>
      <c r="D328" s="81"/>
      <c r="E328" s="13"/>
      <c r="F328" s="30">
        <f>+SUM(START:END!F328)</f>
        <v>1038.6391122137406</v>
      </c>
      <c r="G328" s="83"/>
      <c r="H328" s="13"/>
      <c r="I328" s="30">
        <f>+SUM(START:END!I328)</f>
        <v>0</v>
      </c>
      <c r="J328" s="41"/>
      <c r="K328" s="13"/>
      <c r="L328" s="33">
        <f>+SUM(START:END!L328)</f>
        <v>752.31000000000006</v>
      </c>
      <c r="M328" s="467"/>
      <c r="N328" s="146">
        <f t="shared" si="45"/>
        <v>-286.32911221374059</v>
      </c>
      <c r="O328" s="41"/>
      <c r="P328" s="13"/>
      <c r="Q328" s="33">
        <f>+SUM(START:END!Q328)</f>
        <v>660.85</v>
      </c>
      <c r="R328" s="41"/>
      <c r="S328" s="85">
        <f t="shared" si="46"/>
        <v>91.460000000000036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36"/>
        <v>Pièces[...]</v>
      </c>
      <c r="B329" s="11" t="s">
        <v>98</v>
      </c>
      <c r="C329" s="229" t="s">
        <v>19</v>
      </c>
      <c r="D329" s="81"/>
      <c r="E329" s="13"/>
      <c r="F329" s="30">
        <f>+SUM(START:END!F329)</f>
        <v>0</v>
      </c>
      <c r="G329" s="83"/>
      <c r="H329" s="13"/>
      <c r="I329" s="30">
        <f>+SUM(START:END!I329)</f>
        <v>0</v>
      </c>
      <c r="J329" s="41"/>
      <c r="K329" s="13"/>
      <c r="L329" s="33">
        <f>+SUM(START:END!L329)</f>
        <v>0</v>
      </c>
      <c r="M329" s="41"/>
      <c r="N329" s="59">
        <f>L329-F329</f>
        <v>0</v>
      </c>
      <c r="O329" s="41"/>
      <c r="P329" s="13"/>
      <c r="Q329" s="33">
        <f>+SUM(START:END!Q329)</f>
        <v>0</v>
      </c>
      <c r="R329" s="41"/>
      <c r="S329" s="85">
        <f>L329-Q329</f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36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0.28319134444382155</v>
      </c>
      <c r="F330" s="96">
        <f>+SUM(F318:F329)</f>
        <v>88086.125415007555</v>
      </c>
      <c r="G330" s="97" t="s">
        <v>38</v>
      </c>
      <c r="H330" s="95" t="e">
        <f>I330/I$314</f>
        <v>#DIV/0!</v>
      </c>
      <c r="I330" s="96">
        <f>+SUM(I318:I329)</f>
        <v>0</v>
      </c>
      <c r="J330" s="97" t="s">
        <v>38</v>
      </c>
      <c r="K330" s="95">
        <f>L330/L$314</f>
        <v>0.23554530013708311</v>
      </c>
      <c r="L330" s="96">
        <f>+SUM(L318:L329)</f>
        <v>79133.05</v>
      </c>
      <c r="M330" s="147"/>
      <c r="N330" s="113">
        <f t="shared" si="45"/>
        <v>-8953.0754150075518</v>
      </c>
      <c r="O330" s="97" t="s">
        <v>38</v>
      </c>
      <c r="P330" s="95">
        <f>Q330/Q$314</f>
        <v>0.26514610407518835</v>
      </c>
      <c r="Q330" s="96">
        <f>+SUM(Q318:Q329)</f>
        <v>79796.770000000019</v>
      </c>
      <c r="R330" s="147"/>
      <c r="S330" s="114">
        <f t="shared" si="46"/>
        <v>-663.72000000001572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36"/>
        <v>PiècesPublicité 2</v>
      </c>
      <c r="B331" s="11" t="s">
        <v>98</v>
      </c>
      <c r="C331" s="211" t="s">
        <v>49</v>
      </c>
      <c r="D331" s="81"/>
      <c r="E331" s="13"/>
      <c r="F331" s="30">
        <f>+SUM(START:END!F331)</f>
        <v>9493.5644786485645</v>
      </c>
      <c r="G331" s="83"/>
      <c r="H331" s="13"/>
      <c r="I331" s="30">
        <f>+SUM(START:END!I331)</f>
        <v>0</v>
      </c>
      <c r="J331" s="41"/>
      <c r="K331" s="13"/>
      <c r="L331" s="33">
        <f>+SUM(START:END!L331)</f>
        <v>13061.749999999998</v>
      </c>
      <c r="M331" s="41"/>
      <c r="N331" s="59">
        <f t="shared" si="45"/>
        <v>3568.1855213514336</v>
      </c>
      <c r="O331" s="41"/>
      <c r="P331" s="13"/>
      <c r="Q331" s="33">
        <f>+SUM(START:END!Q331)</f>
        <v>10306.07</v>
      </c>
      <c r="R331" s="41"/>
      <c r="S331" s="85">
        <f t="shared" si="46"/>
        <v>2755.6799999999985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36"/>
        <v>PiècesService gratuit 2</v>
      </c>
      <c r="B332" s="11" t="s">
        <v>98</v>
      </c>
      <c r="C332" s="102" t="s">
        <v>50</v>
      </c>
      <c r="D332" s="81"/>
      <c r="E332" s="13"/>
      <c r="F332" s="30">
        <f>+SUM(START:END!F332)</f>
        <v>795</v>
      </c>
      <c r="G332" s="83"/>
      <c r="H332" s="13"/>
      <c r="I332" s="30">
        <f>+SUM(START:END!I332)</f>
        <v>0</v>
      </c>
      <c r="J332" s="41"/>
      <c r="K332" s="13"/>
      <c r="L332" s="59">
        <f>+SUM(START:END!L332)</f>
        <v>1355.48</v>
      </c>
      <c r="M332" s="41"/>
      <c r="N332" s="59">
        <f t="shared" si="45"/>
        <v>560.48</v>
      </c>
      <c r="O332" s="41"/>
      <c r="P332" s="13"/>
      <c r="Q332" s="33">
        <f>+SUM(START:END!Q332)</f>
        <v>2898.26999999999</v>
      </c>
      <c r="R332" s="41"/>
      <c r="S332" s="85">
        <f t="shared" si="46"/>
        <v>-1542.78999999999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36"/>
        <v>PiècesFrais véhicules de cie</v>
      </c>
      <c r="B333" s="11" t="s">
        <v>98</v>
      </c>
      <c r="C333" s="103" t="s">
        <v>51</v>
      </c>
      <c r="D333" s="87"/>
      <c r="E333" s="111"/>
      <c r="F333" s="22">
        <f>+SUM(START:END!F333)</f>
        <v>13270.000000000002</v>
      </c>
      <c r="G333" s="89"/>
      <c r="H333" s="111"/>
      <c r="I333" s="22">
        <f>+SUM(START:END!I333)</f>
        <v>0</v>
      </c>
      <c r="J333" s="23"/>
      <c r="K333" s="111"/>
      <c r="L333" s="91">
        <f>+SUM(START:END!L333)</f>
        <v>17199.59</v>
      </c>
      <c r="M333" s="23"/>
      <c r="N333" s="91">
        <f t="shared" si="45"/>
        <v>3929.5899999999983</v>
      </c>
      <c r="O333" s="23"/>
      <c r="P333" s="111"/>
      <c r="Q333" s="33">
        <f>+SUM(START:END!Q333)</f>
        <v>13938.08</v>
      </c>
      <c r="R333" s="23"/>
      <c r="S333" s="92">
        <f t="shared" si="46"/>
        <v>3261.51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36"/>
        <v>PiècesInformatique</v>
      </c>
      <c r="B334" s="11" t="s">
        <v>98</v>
      </c>
      <c r="C334" s="102" t="s">
        <v>52</v>
      </c>
      <c r="D334" s="81"/>
      <c r="E334" s="13"/>
      <c r="F334" s="30">
        <f>+SUM(START:END!F334)</f>
        <v>5741.4000000000005</v>
      </c>
      <c r="G334" s="83"/>
      <c r="H334" s="13"/>
      <c r="I334" s="30">
        <f>+SUM(START:END!I334)</f>
        <v>0</v>
      </c>
      <c r="J334" s="41"/>
      <c r="K334" s="13"/>
      <c r="L334" s="108">
        <f>+SUM(START:END!L334)</f>
        <v>5687.4299999999994</v>
      </c>
      <c r="M334" s="41"/>
      <c r="N334" s="59">
        <f t="shared" si="45"/>
        <v>-53.970000000001164</v>
      </c>
      <c r="O334" s="41"/>
      <c r="P334" s="13"/>
      <c r="Q334" s="108">
        <f>+SUM(START:END!Q334)</f>
        <v>5650.81</v>
      </c>
      <c r="R334" s="41"/>
      <c r="S334" s="85">
        <f t="shared" si="46"/>
        <v>36.619999999998981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36"/>
        <v>PiècesFrais de déplacement</v>
      </c>
      <c r="B335" s="11" t="s">
        <v>98</v>
      </c>
      <c r="C335" s="102" t="s">
        <v>53</v>
      </c>
      <c r="D335" s="81"/>
      <c r="E335" s="13"/>
      <c r="F335" s="30">
        <f>+SUM(START:END!F335)</f>
        <v>1096.8000000000002</v>
      </c>
      <c r="G335" s="83"/>
      <c r="H335" s="13"/>
      <c r="I335" s="30">
        <f>+SUM(START:END!I335)</f>
        <v>0</v>
      </c>
      <c r="J335" s="41"/>
      <c r="K335" s="13"/>
      <c r="L335" s="33">
        <f>+SUM(START:END!L335)</f>
        <v>582.45000000000005</v>
      </c>
      <c r="M335" s="41"/>
      <c r="N335" s="59">
        <f t="shared" si="45"/>
        <v>-514.35000000000014</v>
      </c>
      <c r="O335" s="41"/>
      <c r="P335" s="13"/>
      <c r="Q335" s="33">
        <f>+SUM(START:END!Q335)</f>
        <v>188.29999999999998</v>
      </c>
      <c r="R335" s="41"/>
      <c r="S335" s="85">
        <f t="shared" si="46"/>
        <v>394.15000000000009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36"/>
        <v>PiècesServices extérieurs</v>
      </c>
      <c r="B336" s="11" t="s">
        <v>98</v>
      </c>
      <c r="C336" s="230" t="s">
        <v>54</v>
      </c>
      <c r="D336" s="87"/>
      <c r="E336" s="111"/>
      <c r="F336" s="22">
        <f>+SUM(START:END!F336)</f>
        <v>5982.6</v>
      </c>
      <c r="G336" s="89"/>
      <c r="H336" s="111"/>
      <c r="I336" s="22">
        <f>+SUM(START:END!I336)</f>
        <v>0</v>
      </c>
      <c r="J336" s="23"/>
      <c r="K336" s="111"/>
      <c r="L336" s="48">
        <f>+SUM(START:END!L336)</f>
        <v>4848.6499999999996</v>
      </c>
      <c r="M336" s="23"/>
      <c r="N336" s="91">
        <f t="shared" si="45"/>
        <v>-1133.9500000000007</v>
      </c>
      <c r="O336" s="23"/>
      <c r="P336" s="111"/>
      <c r="Q336" s="48">
        <f>+SUM(START:END!Q336)</f>
        <v>4853.66</v>
      </c>
      <c r="R336" s="23"/>
      <c r="S336" s="92">
        <f t="shared" si="46"/>
        <v>-5.0100000000002183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36"/>
        <v>PiècesFournitures d'atelier</v>
      </c>
      <c r="B337" s="11" t="s">
        <v>98</v>
      </c>
      <c r="C337" s="102" t="s">
        <v>93</v>
      </c>
      <c r="D337" s="81"/>
      <c r="E337" s="13"/>
      <c r="F337" s="30">
        <f>+SUM(START:END!F337)</f>
        <v>0</v>
      </c>
      <c r="G337" s="83"/>
      <c r="H337" s="13"/>
      <c r="I337" s="30">
        <f>+SUM(START:END!I337)</f>
        <v>0</v>
      </c>
      <c r="J337" s="41"/>
      <c r="K337" s="13"/>
      <c r="L337" s="33">
        <f>+SUM(START:END!L337)</f>
        <v>0</v>
      </c>
      <c r="M337" s="41"/>
      <c r="N337" s="59">
        <f t="shared" si="45"/>
        <v>0</v>
      </c>
      <c r="O337" s="41"/>
      <c r="P337" s="13"/>
      <c r="Q337" s="33">
        <f>+SUM(START:END!Q337)</f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si="36"/>
        <v>PiècesFournitures autres</v>
      </c>
      <c r="B338" s="11" t="s">
        <v>98</v>
      </c>
      <c r="C338" s="102" t="s">
        <v>55</v>
      </c>
      <c r="D338" s="81"/>
      <c r="E338" s="13"/>
      <c r="F338" s="30">
        <f>+SUM(START:END!F338)</f>
        <v>84.337349397590359</v>
      </c>
      <c r="G338" s="83"/>
      <c r="H338" s="13"/>
      <c r="I338" s="30">
        <f>+SUM(START:END!I338)</f>
        <v>0</v>
      </c>
      <c r="J338" s="41"/>
      <c r="K338" s="13"/>
      <c r="L338" s="33">
        <f>+SUM(START:END!L338)</f>
        <v>288.56</v>
      </c>
      <c r="M338" s="41"/>
      <c r="N338" s="59">
        <f t="shared" si="45"/>
        <v>204.22265060240966</v>
      </c>
      <c r="O338" s="41"/>
      <c r="P338" s="13"/>
      <c r="Q338" s="33">
        <f>+SUM(START:END!Q338)</f>
        <v>7</v>
      </c>
      <c r="R338" s="41"/>
      <c r="S338" s="85">
        <f t="shared" si="46"/>
        <v>281.56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36"/>
        <v>PiècesUniformes</v>
      </c>
      <c r="B339" s="11" t="s">
        <v>98</v>
      </c>
      <c r="C339" s="102" t="s">
        <v>56</v>
      </c>
      <c r="D339" s="81"/>
      <c r="E339" s="13"/>
      <c r="F339" s="30">
        <f>+SUM(START:END!F339)</f>
        <v>99</v>
      </c>
      <c r="G339" s="83"/>
      <c r="H339" s="13"/>
      <c r="I339" s="30">
        <f>+SUM(START:END!I339)</f>
        <v>0</v>
      </c>
      <c r="J339" s="41"/>
      <c r="K339" s="13"/>
      <c r="L339" s="33">
        <f>+SUM(START:END!L339)</f>
        <v>0</v>
      </c>
      <c r="M339" s="41"/>
      <c r="N339" s="59">
        <f t="shared" si="45"/>
        <v>-99</v>
      </c>
      <c r="O339" s="41"/>
      <c r="P339" s="13"/>
      <c r="Q339" s="33">
        <f>+SUM(START:END!Q339)</f>
        <v>0</v>
      </c>
      <c r="R339" s="41"/>
      <c r="S339" s="85">
        <f t="shared" si="46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36"/>
        <v>PiècesPapeterie</v>
      </c>
      <c r="B340" s="11" t="s">
        <v>98</v>
      </c>
      <c r="C340" s="102" t="s">
        <v>57</v>
      </c>
      <c r="D340" s="81"/>
      <c r="E340" s="13"/>
      <c r="F340" s="30">
        <f>+SUM(START:END!F340)</f>
        <v>1050</v>
      </c>
      <c r="G340" s="83"/>
      <c r="H340" s="13"/>
      <c r="I340" s="30">
        <f>+SUM(START:END!I340)</f>
        <v>0</v>
      </c>
      <c r="J340" s="41"/>
      <c r="K340" s="13"/>
      <c r="L340" s="32">
        <f>+SUM(START:END!L340)</f>
        <v>823.51</v>
      </c>
      <c r="M340" s="41"/>
      <c r="N340" s="59">
        <f t="shared" si="45"/>
        <v>-226.49</v>
      </c>
      <c r="O340" s="41"/>
      <c r="P340" s="13"/>
      <c r="Q340" s="32">
        <f>+SUM(START:END!Q340)</f>
        <v>739.07999999999993</v>
      </c>
      <c r="R340" s="41"/>
      <c r="S340" s="85">
        <f t="shared" si="46"/>
        <v>84.430000000000064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36"/>
        <v>PiècesTéléphone</v>
      </c>
      <c r="B341" s="11" t="s">
        <v>98</v>
      </c>
      <c r="C341" s="102" t="s">
        <v>58</v>
      </c>
      <c r="D341" s="81"/>
      <c r="E341" s="13"/>
      <c r="F341" s="30">
        <f>+SUM(START:END!F341)</f>
        <v>355.20000000000005</v>
      </c>
      <c r="G341" s="83"/>
      <c r="H341" s="13"/>
      <c r="I341" s="30">
        <f>+SUM(START:END!I341)</f>
        <v>0</v>
      </c>
      <c r="J341" s="41"/>
      <c r="K341" s="13"/>
      <c r="L341" s="33">
        <f>+SUM(START:END!L341)</f>
        <v>390.6</v>
      </c>
      <c r="M341" s="41"/>
      <c r="N341" s="59">
        <f t="shared" si="45"/>
        <v>35.399999999999977</v>
      </c>
      <c r="O341" s="41"/>
      <c r="P341" s="13"/>
      <c r="Q341" s="33">
        <f>+SUM(START:END!Q341)</f>
        <v>329.39</v>
      </c>
      <c r="R341" s="41"/>
      <c r="S341" s="85">
        <f t="shared" si="46"/>
        <v>61.210000000000036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36"/>
        <v>PiècesFrais postaux</v>
      </c>
      <c r="B342" s="11" t="s">
        <v>98</v>
      </c>
      <c r="C342" s="102" t="s">
        <v>59</v>
      </c>
      <c r="D342" s="81"/>
      <c r="E342" s="13"/>
      <c r="F342" s="30">
        <f>+SUM(START:END!F342)</f>
        <v>1425</v>
      </c>
      <c r="G342" s="83"/>
      <c r="H342" s="13"/>
      <c r="I342" s="30">
        <f>+SUM(START:END!I342)</f>
        <v>0</v>
      </c>
      <c r="J342" s="41"/>
      <c r="K342" s="13"/>
      <c r="L342" s="33">
        <f>+SUM(START:END!L342)</f>
        <v>2176.2200000000003</v>
      </c>
      <c r="M342" s="41"/>
      <c r="N342" s="59">
        <f t="shared" si="45"/>
        <v>751.22000000000025</v>
      </c>
      <c r="O342" s="41"/>
      <c r="P342" s="13"/>
      <c r="Q342" s="33">
        <f>+SUM(START:END!Q342)</f>
        <v>2533.44</v>
      </c>
      <c r="R342" s="41"/>
      <c r="S342" s="85">
        <f t="shared" si="46"/>
        <v>-357.2199999999998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36"/>
        <v>PiècesDivers</v>
      </c>
      <c r="B343" s="11" t="s">
        <v>98</v>
      </c>
      <c r="C343" s="102" t="s">
        <v>60</v>
      </c>
      <c r="D343" s="81"/>
      <c r="E343" s="13"/>
      <c r="F343" s="30">
        <f>+SUM(START:END!F343)</f>
        <v>1114.8000000000002</v>
      </c>
      <c r="G343" s="83"/>
      <c r="H343" s="13"/>
      <c r="I343" s="30">
        <f>+SUM(START:END!I343)</f>
        <v>0</v>
      </c>
      <c r="J343" s="41"/>
      <c r="K343" s="13"/>
      <c r="L343" s="33">
        <f>+SUM(START:END!L343)</f>
        <v>944.19</v>
      </c>
      <c r="M343" s="41"/>
      <c r="N343" s="59">
        <f t="shared" si="45"/>
        <v>-170.61000000000013</v>
      </c>
      <c r="O343" s="41"/>
      <c r="P343" s="13"/>
      <c r="Q343" s="33">
        <f>+SUM(START:END!Q343)</f>
        <v>1057.4000000000001</v>
      </c>
      <c r="R343" s="41"/>
      <c r="S343" s="85">
        <f t="shared" si="46"/>
        <v>-113.21000000000004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36"/>
        <v>PiècesFormation</v>
      </c>
      <c r="B344" s="11" t="s">
        <v>98</v>
      </c>
      <c r="C344" s="102" t="s">
        <v>61</v>
      </c>
      <c r="D344" s="81"/>
      <c r="E344" s="13"/>
      <c r="F344" s="30">
        <f>+SUM(START:END!F344)</f>
        <v>723.4406399999998</v>
      </c>
      <c r="G344" s="83"/>
      <c r="H344" s="13"/>
      <c r="I344" s="30">
        <f>+SUM(START:END!I344)</f>
        <v>0</v>
      </c>
      <c r="J344" s="41"/>
      <c r="K344" s="13"/>
      <c r="L344" s="59">
        <f>+SUM(START:END!L344)</f>
        <v>318.07</v>
      </c>
      <c r="M344" s="41"/>
      <c r="N344" s="59">
        <f t="shared" si="45"/>
        <v>-405.37063999999981</v>
      </c>
      <c r="O344" s="41"/>
      <c r="P344" s="13"/>
      <c r="Q344" s="33">
        <f>+SUM(START:END!Q344)</f>
        <v>859.59</v>
      </c>
      <c r="R344" s="41"/>
      <c r="S344" s="85">
        <f>L344-Q344</f>
        <v>-541.52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36"/>
        <v>PiècesFrais bancaires</v>
      </c>
      <c r="B345" s="11" t="s">
        <v>98</v>
      </c>
      <c r="C345" s="102" t="s">
        <v>62</v>
      </c>
      <c r="D345" s="81"/>
      <c r="E345" s="13"/>
      <c r="F345" s="30">
        <f>+SUM(START:END!F345)</f>
        <v>2915.930208875347</v>
      </c>
      <c r="G345" s="83"/>
      <c r="H345" s="13"/>
      <c r="I345" s="30">
        <f>+SUM(START:END!I345)</f>
        <v>0</v>
      </c>
      <c r="J345" s="41"/>
      <c r="K345" s="13"/>
      <c r="L345" s="32">
        <f>+SUM(START:END!L345)</f>
        <v>5019.66</v>
      </c>
      <c r="M345" s="41"/>
      <c r="N345" s="59">
        <f t="shared" si="45"/>
        <v>2103.7297911246528</v>
      </c>
      <c r="O345" s="41"/>
      <c r="P345" s="13"/>
      <c r="Q345" s="33">
        <f>+SUM(START:END!Q345)</f>
        <v>3626.74</v>
      </c>
      <c r="R345" s="41"/>
      <c r="S345" s="85">
        <f>L345-Q345</f>
        <v>1392.92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 t="shared" si="36"/>
        <v>Pièces[...]</v>
      </c>
      <c r="B346" s="11" t="s">
        <v>98</v>
      </c>
      <c r="C346" s="102" t="s">
        <v>19</v>
      </c>
      <c r="D346" s="81"/>
      <c r="E346" s="13"/>
      <c r="F346" s="30">
        <f>+SUM(START:END!F346)</f>
        <v>0</v>
      </c>
      <c r="G346" s="83"/>
      <c r="H346" s="13"/>
      <c r="I346" s="30">
        <f>+SUM(START:END!I346)</f>
        <v>0</v>
      </c>
      <c r="J346" s="41"/>
      <c r="K346" s="13"/>
      <c r="L346" s="33">
        <f>+SUM(START:END!L346)</f>
        <v>0</v>
      </c>
      <c r="M346" s="41"/>
      <c r="N346" s="59">
        <f t="shared" si="45"/>
        <v>0</v>
      </c>
      <c r="O346" s="41"/>
      <c r="P346" s="13"/>
      <c r="Q346" s="33">
        <f>+SUM(START:END!Q346)</f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36"/>
        <v>Pièces[...]</v>
      </c>
      <c r="B347" s="11" t="s">
        <v>98</v>
      </c>
      <c r="C347" s="102" t="s">
        <v>19</v>
      </c>
      <c r="D347" s="81"/>
      <c r="E347" s="13"/>
      <c r="F347" s="30">
        <f>+SUM(START:END!F347)</f>
        <v>0</v>
      </c>
      <c r="G347" s="83"/>
      <c r="H347" s="13"/>
      <c r="I347" s="30">
        <f>+SUM(START:END!I347)</f>
        <v>0</v>
      </c>
      <c r="J347" s="41"/>
      <c r="K347" s="13"/>
      <c r="L347" s="33">
        <f>+SUM(START:END!L347)</f>
        <v>0</v>
      </c>
      <c r="M347" s="41"/>
      <c r="N347" s="59">
        <f t="shared" si="45"/>
        <v>0</v>
      </c>
      <c r="O347" s="41"/>
      <c r="P347" s="13"/>
      <c r="Q347" s="33">
        <f>+SUM(START:END!Q347)</f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36"/>
        <v>Pièces[...]</v>
      </c>
      <c r="B348" s="11" t="s">
        <v>98</v>
      </c>
      <c r="C348" s="102" t="s">
        <v>19</v>
      </c>
      <c r="D348" s="81"/>
      <c r="E348" s="13"/>
      <c r="F348" s="30">
        <f>+SUM(START:END!F348)</f>
        <v>0</v>
      </c>
      <c r="G348" s="83"/>
      <c r="H348" s="13"/>
      <c r="I348" s="30">
        <f>+SUM(START:END!I348)</f>
        <v>0</v>
      </c>
      <c r="J348" s="41"/>
      <c r="K348" s="13"/>
      <c r="L348" s="33">
        <f>+SUM(START:END!L348)</f>
        <v>0</v>
      </c>
      <c r="M348" s="41"/>
      <c r="N348" s="59">
        <f t="shared" si="45"/>
        <v>0</v>
      </c>
      <c r="O348" s="41"/>
      <c r="P348" s="13"/>
      <c r="Q348" s="33">
        <f>+SUM(START:END!Q348)</f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0.14193005772174058</v>
      </c>
      <c r="F349" s="96">
        <f>+SUM(F331:F348)</f>
        <v>44147.072676921503</v>
      </c>
      <c r="G349" s="97" t="s">
        <v>38</v>
      </c>
      <c r="H349" s="95" t="e">
        <f>I349/I$314</f>
        <v>#DIV/0!</v>
      </c>
      <c r="I349" s="96">
        <f>+SUM(I331:I348)</f>
        <v>0</v>
      </c>
      <c r="J349" s="97" t="s">
        <v>38</v>
      </c>
      <c r="K349" s="95">
        <f>L349/L$314</f>
        <v>0.15685396712589433</v>
      </c>
      <c r="L349" s="96">
        <f>+SUM(L331:L348)</f>
        <v>52696.160000000003</v>
      </c>
      <c r="M349" s="100"/>
      <c r="N349" s="96">
        <f>+SUM(N331:N348)</f>
        <v>8549.087323078491</v>
      </c>
      <c r="O349" s="97" t="s">
        <v>38</v>
      </c>
      <c r="P349" s="95">
        <f>Q349/Q$314</f>
        <v>0.15612962859834115</v>
      </c>
      <c r="Q349" s="96">
        <f>+SUM(Q331:Q348)</f>
        <v>46987.829999999987</v>
      </c>
      <c r="R349" s="100"/>
      <c r="S349" s="101">
        <f>+SUM(S331:S348)</f>
        <v>5708.330000000009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0.4251214021655621</v>
      </c>
      <c r="F351" s="96">
        <f>F330+F349</f>
        <v>132233.19809192905</v>
      </c>
      <c r="G351" s="97" t="s">
        <v>38</v>
      </c>
      <c r="H351" s="95" t="e">
        <f>I351/I$314</f>
        <v>#DIV/0!</v>
      </c>
      <c r="I351" s="96">
        <f>I330+I349</f>
        <v>0</v>
      </c>
      <c r="J351" s="97" t="s">
        <v>38</v>
      </c>
      <c r="K351" s="95">
        <f>L351/L$314</f>
        <v>0.39239926726297747</v>
      </c>
      <c r="L351" s="96">
        <f>L330+L349</f>
        <v>131829.21000000002</v>
      </c>
      <c r="M351" s="100"/>
      <c r="N351" s="113">
        <f>L351-F351</f>
        <v>-403.98809192902991</v>
      </c>
      <c r="O351" s="97" t="s">
        <v>38</v>
      </c>
      <c r="P351" s="95">
        <f>Q351/Q$314</f>
        <v>0.42127573267352952</v>
      </c>
      <c r="Q351" s="96">
        <f>Q330+Q349</f>
        <v>126784.6</v>
      </c>
      <c r="R351" s="100"/>
      <c r="S351" s="114">
        <f>L351-Q351</f>
        <v>5044.6100000000151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178814.88703936545</v>
      </c>
      <c r="G353" s="153"/>
      <c r="H353" s="125"/>
      <c r="I353" s="127">
        <f>I314-I351</f>
        <v>0</v>
      </c>
      <c r="J353" s="154"/>
      <c r="K353" s="126"/>
      <c r="L353" s="127">
        <f>L314-L351</f>
        <v>204127.61</v>
      </c>
      <c r="M353" s="154"/>
      <c r="N353" s="127">
        <f>L353-F353</f>
        <v>25312.722960634535</v>
      </c>
      <c r="O353" s="154"/>
      <c r="P353" s="126"/>
      <c r="Q353" s="127">
        <f>Q314-Q351</f>
        <v>174169.35999999978</v>
      </c>
      <c r="R353" s="154"/>
      <c r="S353" s="129">
        <f>L353-Q353</f>
        <v>29958.250000000204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  Q4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96" t="s">
        <v>5</v>
      </c>
      <c r="E358" s="497"/>
      <c r="F358" s="498"/>
      <c r="G358" s="499" t="s">
        <v>71</v>
      </c>
      <c r="H358" s="497"/>
      <c r="I358" s="498"/>
      <c r="J358" s="499" t="s">
        <v>7</v>
      </c>
      <c r="K358" s="497"/>
      <c r="L358" s="498"/>
      <c r="M358" s="499"/>
      <c r="N358" s="498"/>
      <c r="O358" s="496" t="s">
        <v>8</v>
      </c>
      <c r="P358" s="497"/>
      <c r="Q358" s="498"/>
      <c r="R358" s="499" t="s">
        <v>9</v>
      </c>
      <c r="S358" s="503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47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 t="s">
        <v>79</v>
      </c>
      <c r="H359" s="231" t="s">
        <v>99</v>
      </c>
      <c r="I359" s="232" t="s">
        <v>12</v>
      </c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47"/>
        <v>BoutiqueBoutique</v>
      </c>
      <c r="B360" s="11" t="s">
        <v>114</v>
      </c>
      <c r="C360" s="62" t="s">
        <v>114</v>
      </c>
      <c r="D360" s="234">
        <f>+SUM(START:END!D360)</f>
        <v>0</v>
      </c>
      <c r="E360" s="235">
        <f>IFERROR(F360/D360,0)</f>
        <v>0</v>
      </c>
      <c r="F360" s="236">
        <f>+SUM(START:END!F360)</f>
        <v>0</v>
      </c>
      <c r="G360" s="234">
        <f>+SUM(START:END!G360)</f>
        <v>0</v>
      </c>
      <c r="H360" s="235">
        <f>IFERROR(I360/G360,0)</f>
        <v>0</v>
      </c>
      <c r="I360" s="234">
        <f>+SUM(START:END!I360)</f>
        <v>0</v>
      </c>
      <c r="J360" s="237">
        <f>+SUM(START:END!J360)</f>
        <v>0</v>
      </c>
      <c r="K360" s="219">
        <f>IFERROR(L360/J360,0)</f>
        <v>0</v>
      </c>
      <c r="L360" s="238">
        <f>+SUM(START:END!L360)</f>
        <v>0</v>
      </c>
      <c r="M360" s="220"/>
      <c r="N360" s="221"/>
      <c r="O360" s="237">
        <f>+SUM(START:END!O360)</f>
        <v>0</v>
      </c>
      <c r="P360" s="219">
        <f>IFERROR(Q360/O360,0)</f>
        <v>0</v>
      </c>
      <c r="Q360" s="238">
        <f>+SUM(START:END!Q360)</f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47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47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>
        <f>+G360</f>
        <v>0</v>
      </c>
      <c r="H362" s="174">
        <f>IF(G362&lt;=0,0,I362/G362)</f>
        <v>0</v>
      </c>
      <c r="I362" s="176">
        <f>+I360</f>
        <v>0</v>
      </c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47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47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47"/>
        <v>BoutiqueSalaires cadres</v>
      </c>
      <c r="B365" s="11" t="s">
        <v>114</v>
      </c>
      <c r="C365" s="102" t="s">
        <v>40</v>
      </c>
      <c r="D365" s="13"/>
      <c r="E365" s="13"/>
      <c r="F365" s="30">
        <f>+SUM(START:END!F364)</f>
        <v>0</v>
      </c>
      <c r="G365" s="41"/>
      <c r="H365" s="13"/>
      <c r="I365" s="30">
        <f>+SUM(START:END!I364)</f>
        <v>0</v>
      </c>
      <c r="J365" s="41"/>
      <c r="K365" s="13"/>
      <c r="L365" s="33">
        <f>+SUM(START:END!L364)</f>
        <v>0</v>
      </c>
      <c r="M365" s="41"/>
      <c r="N365" s="40"/>
      <c r="O365" s="41"/>
      <c r="P365" s="13"/>
      <c r="Q365" s="33">
        <f>+SUM(START:END!Q364)</f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47"/>
        <v>BoutiqueSalaires commis</v>
      </c>
      <c r="B366" s="11" t="s">
        <v>114</v>
      </c>
      <c r="C366" s="103" t="s">
        <v>41</v>
      </c>
      <c r="D366" s="81"/>
      <c r="E366" s="13"/>
      <c r="F366" s="22">
        <f>+SUM(START:END!F365)</f>
        <v>0</v>
      </c>
      <c r="G366" s="83"/>
      <c r="H366" s="13"/>
      <c r="I366" s="22">
        <f>+SUM(START:END!I365)</f>
        <v>0</v>
      </c>
      <c r="J366" s="41"/>
      <c r="K366" s="13"/>
      <c r="L366" s="22">
        <f>+SUM(START:END!L365)</f>
        <v>0</v>
      </c>
      <c r="M366" s="41"/>
      <c r="N366" s="59"/>
      <c r="O366" s="41"/>
      <c r="P366" s="13"/>
      <c r="Q366" s="22">
        <f>+SUM(START:END!Q365)</f>
        <v>0</v>
      </c>
      <c r="R366" s="41"/>
      <c r="S366" s="85">
        <f t="shared" ref="S366:S394" si="4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47"/>
        <v>BoutiqueSalaires autres</v>
      </c>
      <c r="B367" s="11" t="s">
        <v>114</v>
      </c>
      <c r="C367" s="102" t="s">
        <v>42</v>
      </c>
      <c r="D367" s="104"/>
      <c r="E367" s="105"/>
      <c r="F367" s="30">
        <f>+SUM(START:END!F366)</f>
        <v>0</v>
      </c>
      <c r="G367" s="106"/>
      <c r="H367" s="105"/>
      <c r="I367" s="30">
        <f>+SUM(START:END!I366)</f>
        <v>0</v>
      </c>
      <c r="J367" s="107"/>
      <c r="K367" s="105"/>
      <c r="L367" s="33">
        <f>+SUM(START:END!L366)</f>
        <v>0</v>
      </c>
      <c r="M367" s="107"/>
      <c r="N367" s="109"/>
      <c r="O367" s="107"/>
      <c r="P367" s="105"/>
      <c r="Q367" s="33">
        <f>+SUM(START:END!Q366)</f>
        <v>0</v>
      </c>
      <c r="R367" s="107"/>
      <c r="S367" s="110">
        <f t="shared" si="4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47"/>
        <v>BoutiqueSalaires spécialistes</v>
      </c>
      <c r="B368" s="11" t="s">
        <v>114</v>
      </c>
      <c r="C368" s="102" t="s">
        <v>43</v>
      </c>
      <c r="D368" s="81"/>
      <c r="E368" s="13"/>
      <c r="F368" s="30">
        <f>+SUM(START:END!F367)</f>
        <v>0</v>
      </c>
      <c r="G368" s="83"/>
      <c r="H368" s="13"/>
      <c r="I368" s="30">
        <f>+SUM(START:END!I367)</f>
        <v>0</v>
      </c>
      <c r="J368" s="41"/>
      <c r="K368" s="13"/>
      <c r="L368" s="33">
        <f>+SUM(START:END!L367)</f>
        <v>0</v>
      </c>
      <c r="M368" s="41"/>
      <c r="N368" s="59"/>
      <c r="O368" s="41"/>
      <c r="P368" s="13"/>
      <c r="Q368" s="33">
        <f>+SUM(START:END!Q367)</f>
        <v>0</v>
      </c>
      <c r="R368" s="41"/>
      <c r="S368" s="85">
        <f t="shared" si="4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47"/>
        <v>Boutique[...]</v>
      </c>
      <c r="B369" s="11" t="s">
        <v>114</v>
      </c>
      <c r="C369" s="29" t="s">
        <v>19</v>
      </c>
      <c r="D369" s="81"/>
      <c r="E369" s="13"/>
      <c r="F369" s="30">
        <f>+SUM(START:END!F368)</f>
        <v>0</v>
      </c>
      <c r="G369" s="83"/>
      <c r="H369" s="13"/>
      <c r="I369" s="30">
        <f>+SUM(START:END!I368)</f>
        <v>0</v>
      </c>
      <c r="J369" s="41"/>
      <c r="K369" s="13"/>
      <c r="L369" s="33">
        <f>+SUM(START:END!L368)</f>
        <v>0</v>
      </c>
      <c r="M369" s="41"/>
      <c r="N369" s="59"/>
      <c r="O369" s="41"/>
      <c r="P369" s="13"/>
      <c r="Q369" s="33">
        <f>+SUM(START:END!Q368)</f>
        <v>0</v>
      </c>
      <c r="R369" s="41"/>
      <c r="S369" s="85">
        <f t="shared" si="4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47"/>
        <v>Boutique[...]</v>
      </c>
      <c r="B370" s="11" t="s">
        <v>114</v>
      </c>
      <c r="C370" s="29" t="s">
        <v>19</v>
      </c>
      <c r="D370" s="81"/>
      <c r="E370" s="13"/>
      <c r="F370" s="30">
        <f>+SUM(START:END!F369)</f>
        <v>0</v>
      </c>
      <c r="G370" s="83"/>
      <c r="H370" s="13"/>
      <c r="I370" s="30">
        <f>+SUM(START:END!I369)</f>
        <v>0</v>
      </c>
      <c r="J370" s="41"/>
      <c r="K370" s="13"/>
      <c r="L370" s="33">
        <f>+SUM(START:END!L369)</f>
        <v>0</v>
      </c>
      <c r="M370" s="41"/>
      <c r="N370" s="59"/>
      <c r="O370" s="41"/>
      <c r="P370" s="13"/>
      <c r="Q370" s="33">
        <f>+SUM(START:END!Q369)</f>
        <v>0</v>
      </c>
      <c r="R370" s="41"/>
      <c r="S370" s="85">
        <f t="shared" si="4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47"/>
        <v>Boutique[...]</v>
      </c>
      <c r="B371" s="11" t="s">
        <v>114</v>
      </c>
      <c r="C371" s="29" t="s">
        <v>19</v>
      </c>
      <c r="D371" s="81"/>
      <c r="E371" s="13"/>
      <c r="F371" s="30">
        <f>+SUM(START:END!F370)</f>
        <v>0</v>
      </c>
      <c r="G371" s="83"/>
      <c r="H371" s="13"/>
      <c r="I371" s="30">
        <f>+SUM(START:END!I370)</f>
        <v>0</v>
      </c>
      <c r="J371" s="41"/>
      <c r="K371" s="13"/>
      <c r="L371" s="33">
        <f>+SUM(START:END!L370)</f>
        <v>0</v>
      </c>
      <c r="M371" s="41"/>
      <c r="N371" s="59"/>
      <c r="O371" s="41"/>
      <c r="P371" s="13"/>
      <c r="Q371" s="33">
        <f>+SUM(START:END!Q370)</f>
        <v>0</v>
      </c>
      <c r="R371" s="41"/>
      <c r="S371" s="85">
        <f t="shared" si="4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47"/>
        <v>BoutiqueSalaires en absences</v>
      </c>
      <c r="B372" s="11" t="s">
        <v>114</v>
      </c>
      <c r="C372" s="103" t="s">
        <v>44</v>
      </c>
      <c r="D372" s="81"/>
      <c r="E372" s="13"/>
      <c r="F372" s="22">
        <f>+SUM(START:END!F371)</f>
        <v>0</v>
      </c>
      <c r="G372" s="83"/>
      <c r="H372" s="13"/>
      <c r="I372" s="22">
        <f>+SUM(START:END!I371)</f>
        <v>0</v>
      </c>
      <c r="J372" s="41"/>
      <c r="K372" s="13"/>
      <c r="L372" s="22">
        <f>+SUM(START:END!L371)</f>
        <v>0</v>
      </c>
      <c r="M372" s="41"/>
      <c r="N372" s="59"/>
      <c r="O372" s="41"/>
      <c r="P372" s="13"/>
      <c r="Q372" s="22">
        <f>+SUM(START:END!Q371)</f>
        <v>0</v>
      </c>
      <c r="R372" s="41"/>
      <c r="S372" s="85">
        <f t="shared" si="4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47"/>
        <v>BoutiqueDéduction à la source</v>
      </c>
      <c r="B373" s="11" t="s">
        <v>114</v>
      </c>
      <c r="C373" s="102" t="s">
        <v>45</v>
      </c>
      <c r="D373" s="104"/>
      <c r="E373" s="105"/>
      <c r="F373" s="30">
        <f>+SUM(START:END!F372)</f>
        <v>0</v>
      </c>
      <c r="G373" s="106"/>
      <c r="H373" s="105"/>
      <c r="I373" s="30">
        <f>+SUM(START:END!I372)</f>
        <v>0</v>
      </c>
      <c r="J373" s="107"/>
      <c r="K373" s="105"/>
      <c r="L373" s="33">
        <f>+SUM(START:END!L372)</f>
        <v>0</v>
      </c>
      <c r="M373" s="107"/>
      <c r="N373" s="109"/>
      <c r="O373" s="107"/>
      <c r="P373" s="105"/>
      <c r="Q373" s="33">
        <f>+SUM(START:END!Q372)</f>
        <v>0</v>
      </c>
      <c r="R373" s="107"/>
      <c r="S373" s="110">
        <f t="shared" si="4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47"/>
        <v>BoutiqueBénéfices marginaux</v>
      </c>
      <c r="B374" s="11" t="s">
        <v>114</v>
      </c>
      <c r="C374" s="102" t="s">
        <v>46</v>
      </c>
      <c r="D374" s="81"/>
      <c r="E374" s="13"/>
      <c r="F374" s="30">
        <f>+SUM(START:END!F373)</f>
        <v>0</v>
      </c>
      <c r="G374" s="83"/>
      <c r="H374" s="13"/>
      <c r="I374" s="30">
        <f>+SUM(START:END!I373)</f>
        <v>0</v>
      </c>
      <c r="J374" s="41"/>
      <c r="K374" s="13"/>
      <c r="L374" s="33">
        <f>+SUM(START:END!L373)</f>
        <v>0</v>
      </c>
      <c r="M374" s="41"/>
      <c r="N374" s="59"/>
      <c r="O374" s="41"/>
      <c r="P374" s="13"/>
      <c r="Q374" s="33">
        <f>+SUM(START:END!Q373)</f>
        <v>0</v>
      </c>
      <c r="R374" s="41"/>
      <c r="S374" s="85">
        <f t="shared" si="4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47"/>
        <v>BoutiqueCsst</v>
      </c>
      <c r="B375" s="11" t="s">
        <v>114</v>
      </c>
      <c r="C375" s="102" t="s">
        <v>47</v>
      </c>
      <c r="D375" s="81"/>
      <c r="E375" s="13"/>
      <c r="F375" s="30">
        <f>+SUM(START:END!F374)</f>
        <v>0</v>
      </c>
      <c r="G375" s="83"/>
      <c r="H375" s="13"/>
      <c r="I375" s="30">
        <f>+SUM(START:END!I374)</f>
        <v>0</v>
      </c>
      <c r="J375" s="41"/>
      <c r="K375" s="13"/>
      <c r="L375" s="33">
        <f>+SUM(START:END!L374)</f>
        <v>0</v>
      </c>
      <c r="M375" s="41"/>
      <c r="N375" s="59"/>
      <c r="O375" s="41"/>
      <c r="P375" s="13"/>
      <c r="Q375" s="33">
        <f>+SUM(START:END!Q374)</f>
        <v>0</v>
      </c>
      <c r="R375" s="41"/>
      <c r="S375" s="85">
        <f t="shared" si="4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47"/>
        <v>Boutique[...]</v>
      </c>
      <c r="B376" s="11" t="s">
        <v>114</v>
      </c>
      <c r="C376" s="29" t="s">
        <v>19</v>
      </c>
      <c r="D376" s="87"/>
      <c r="E376" s="111"/>
      <c r="F376" s="30">
        <f>+SUM(START:END!F375)</f>
        <v>0</v>
      </c>
      <c r="G376" s="89"/>
      <c r="H376" s="111"/>
      <c r="I376" s="30">
        <f>+SUM(START:END!I375)</f>
        <v>0</v>
      </c>
      <c r="J376" s="23"/>
      <c r="K376" s="111"/>
      <c r="L376" s="33">
        <f>+SUM(START:END!L375)</f>
        <v>0</v>
      </c>
      <c r="M376" s="23"/>
      <c r="N376" s="91"/>
      <c r="O376" s="23"/>
      <c r="P376" s="111"/>
      <c r="Q376" s="33">
        <f>+SUM(START:END!Q375)</f>
        <v>0</v>
      </c>
      <c r="R376" s="23"/>
      <c r="S376" s="92">
        <f t="shared" si="4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47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 t="s">
        <v>38</v>
      </c>
      <c r="H377" s="95">
        <f>IFERROR(I377/I$360,0)</f>
        <v>0</v>
      </c>
      <c r="I377" s="96">
        <f>+SUM(I365:I376)</f>
        <v>0</v>
      </c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4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47"/>
        <v>BoutiquePublicité 2</v>
      </c>
      <c r="B378" s="11" t="s">
        <v>114</v>
      </c>
      <c r="C378" s="211" t="s">
        <v>49</v>
      </c>
      <c r="D378" s="81"/>
      <c r="E378" s="13"/>
      <c r="F378" s="30">
        <f>+SUM(START:END!F377)</f>
        <v>0</v>
      </c>
      <c r="G378" s="83"/>
      <c r="H378" s="13"/>
      <c r="I378" s="30">
        <f>+SUM(START:END!I377)</f>
        <v>0</v>
      </c>
      <c r="J378" s="41"/>
      <c r="K378" s="13"/>
      <c r="L378" s="33">
        <f>+SUM(START:END!L377)</f>
        <v>0</v>
      </c>
      <c r="M378" s="41"/>
      <c r="N378" s="59"/>
      <c r="O378" s="41"/>
      <c r="P378" s="13"/>
      <c r="Q378" s="33">
        <f>+SUM(START:END!Q377)</f>
        <v>0</v>
      </c>
      <c r="R378" s="41"/>
      <c r="S378" s="85">
        <f t="shared" si="4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47"/>
        <v>BoutiqueService gratuit 2</v>
      </c>
      <c r="B379" s="11" t="s">
        <v>114</v>
      </c>
      <c r="C379" s="102" t="s">
        <v>50</v>
      </c>
      <c r="D379" s="81"/>
      <c r="E379" s="13"/>
      <c r="F379" s="30">
        <f>+SUM(START:END!F378)</f>
        <v>0</v>
      </c>
      <c r="G379" s="83"/>
      <c r="H379" s="13"/>
      <c r="I379" s="30">
        <f>+SUM(START:END!I378)</f>
        <v>0</v>
      </c>
      <c r="J379" s="41"/>
      <c r="K379" s="13"/>
      <c r="L379" s="33">
        <f>+SUM(START:END!L378)</f>
        <v>0</v>
      </c>
      <c r="M379" s="41"/>
      <c r="N379" s="59"/>
      <c r="O379" s="41"/>
      <c r="P379" s="13"/>
      <c r="Q379" s="33">
        <f>+SUM(START:END!Q378)</f>
        <v>0</v>
      </c>
      <c r="R379" s="41"/>
      <c r="S379" s="85">
        <f t="shared" si="4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47"/>
        <v>BoutiqueFrais véhicules de cie</v>
      </c>
      <c r="B380" s="11" t="s">
        <v>114</v>
      </c>
      <c r="C380" s="103" t="s">
        <v>51</v>
      </c>
      <c r="D380" s="87"/>
      <c r="E380" s="111"/>
      <c r="F380" s="22">
        <f>+SUM(START:END!F379)</f>
        <v>0</v>
      </c>
      <c r="G380" s="89"/>
      <c r="H380" s="111"/>
      <c r="I380" s="22">
        <f>+SUM(START:END!I379)</f>
        <v>0</v>
      </c>
      <c r="J380" s="23"/>
      <c r="K380" s="111"/>
      <c r="L380" s="22">
        <f>+SUM(START:END!L379)</f>
        <v>0</v>
      </c>
      <c r="M380" s="23"/>
      <c r="N380" s="91"/>
      <c r="O380" s="23"/>
      <c r="P380" s="111"/>
      <c r="Q380" s="22">
        <f>+SUM(START:END!Q379)</f>
        <v>0</v>
      </c>
      <c r="R380" s="23"/>
      <c r="S380" s="92">
        <f t="shared" si="4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47"/>
        <v>BoutiqueInformatique</v>
      </c>
      <c r="B381" s="11" t="s">
        <v>114</v>
      </c>
      <c r="C381" s="102" t="s">
        <v>52</v>
      </c>
      <c r="D381" s="81"/>
      <c r="E381" s="13"/>
      <c r="F381" s="30">
        <f>+SUM(START:END!F380)</f>
        <v>0</v>
      </c>
      <c r="G381" s="83"/>
      <c r="H381" s="13"/>
      <c r="I381" s="30">
        <f>+SUM(START:END!I380)</f>
        <v>0</v>
      </c>
      <c r="J381" s="41"/>
      <c r="K381" s="13"/>
      <c r="L381" s="33">
        <f>+SUM(START:END!L380)</f>
        <v>0</v>
      </c>
      <c r="M381" s="41"/>
      <c r="N381" s="59"/>
      <c r="O381" s="41"/>
      <c r="P381" s="13"/>
      <c r="Q381" s="33">
        <f>+SUM(START:END!Q380)</f>
        <v>0</v>
      </c>
      <c r="R381" s="41"/>
      <c r="S381" s="85">
        <f t="shared" si="4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47"/>
        <v>BoutiqueFrais de déplacement</v>
      </c>
      <c r="B382" s="11" t="s">
        <v>114</v>
      </c>
      <c r="C382" s="102" t="s">
        <v>53</v>
      </c>
      <c r="D382" s="81"/>
      <c r="E382" s="13"/>
      <c r="F382" s="30">
        <f>+SUM(START:END!F381)</f>
        <v>0</v>
      </c>
      <c r="G382" s="83"/>
      <c r="H382" s="13"/>
      <c r="I382" s="30">
        <f>+SUM(START:END!I381)</f>
        <v>0</v>
      </c>
      <c r="J382" s="41"/>
      <c r="K382" s="13"/>
      <c r="L382" s="33">
        <f>+SUM(START:END!L381)</f>
        <v>0</v>
      </c>
      <c r="M382" s="41"/>
      <c r="N382" s="59"/>
      <c r="O382" s="41"/>
      <c r="P382" s="13"/>
      <c r="Q382" s="33">
        <f>+SUM(START:END!Q381)</f>
        <v>0</v>
      </c>
      <c r="R382" s="41"/>
      <c r="S382" s="85">
        <f t="shared" si="4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47"/>
        <v>BoutiqueServices extérieurs</v>
      </c>
      <c r="B383" s="11" t="s">
        <v>114</v>
      </c>
      <c r="C383" s="102" t="s">
        <v>54</v>
      </c>
      <c r="D383" s="87"/>
      <c r="E383" s="111"/>
      <c r="F383" s="22">
        <f>+SUM(START:END!F382)</f>
        <v>0</v>
      </c>
      <c r="G383" s="89"/>
      <c r="H383" s="111"/>
      <c r="I383" s="22">
        <f>+SUM(START:END!I382)</f>
        <v>0</v>
      </c>
      <c r="J383" s="23"/>
      <c r="K383" s="111"/>
      <c r="L383" s="22">
        <f>+SUM(START:END!L382)</f>
        <v>0</v>
      </c>
      <c r="M383" s="23"/>
      <c r="N383" s="91"/>
      <c r="O383" s="23"/>
      <c r="P383" s="111"/>
      <c r="Q383" s="22">
        <f>+SUM(START:END!Q382)</f>
        <v>0</v>
      </c>
      <c r="R383" s="23"/>
      <c r="S383" s="92">
        <f t="shared" si="4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47"/>
        <v>BoutiqueFournitures autres</v>
      </c>
      <c r="B384" s="11" t="s">
        <v>114</v>
      </c>
      <c r="C384" s="211" t="s">
        <v>55</v>
      </c>
      <c r="D384" s="81"/>
      <c r="E384" s="13"/>
      <c r="F384" s="30">
        <f>+SUM(START:END!F383)</f>
        <v>0</v>
      </c>
      <c r="G384" s="83"/>
      <c r="H384" s="13"/>
      <c r="I384" s="30">
        <f>+SUM(START:END!I383)</f>
        <v>0</v>
      </c>
      <c r="J384" s="41"/>
      <c r="K384" s="13"/>
      <c r="L384" s="33">
        <f>+SUM(START:END!L383)</f>
        <v>0</v>
      </c>
      <c r="M384" s="41"/>
      <c r="N384" s="59"/>
      <c r="O384" s="41"/>
      <c r="P384" s="13"/>
      <c r="Q384" s="33">
        <f>+SUM(START:END!Q383)</f>
        <v>0</v>
      </c>
      <c r="R384" s="41"/>
      <c r="S384" s="85">
        <f t="shared" si="4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47"/>
        <v>BoutiqueUniformes</v>
      </c>
      <c r="B385" s="11" t="s">
        <v>114</v>
      </c>
      <c r="C385" s="102" t="s">
        <v>56</v>
      </c>
      <c r="D385" s="81"/>
      <c r="E385" s="13"/>
      <c r="F385" s="30">
        <f>+SUM(START:END!F384)</f>
        <v>0</v>
      </c>
      <c r="G385" s="83"/>
      <c r="H385" s="13"/>
      <c r="I385" s="30">
        <f>+SUM(START:END!I384)</f>
        <v>0</v>
      </c>
      <c r="J385" s="41"/>
      <c r="K385" s="13"/>
      <c r="L385" s="33">
        <f>+SUM(START:END!L384)</f>
        <v>0</v>
      </c>
      <c r="M385" s="41"/>
      <c r="N385" s="59"/>
      <c r="O385" s="41"/>
      <c r="P385" s="13"/>
      <c r="Q385" s="33">
        <f>+SUM(START:END!Q384)</f>
        <v>0</v>
      </c>
      <c r="R385" s="41"/>
      <c r="S385" s="85">
        <f t="shared" si="4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47"/>
        <v>BoutiquePapeterie</v>
      </c>
      <c r="B386" s="11" t="s">
        <v>114</v>
      </c>
      <c r="C386" s="102" t="s">
        <v>57</v>
      </c>
      <c r="D386" s="81"/>
      <c r="E386" s="13"/>
      <c r="F386" s="30">
        <f>+SUM(START:END!F385)</f>
        <v>0</v>
      </c>
      <c r="G386" s="83"/>
      <c r="H386" s="13"/>
      <c r="I386" s="30">
        <f>+SUM(START:END!I385)</f>
        <v>0</v>
      </c>
      <c r="J386" s="41"/>
      <c r="K386" s="13"/>
      <c r="L386" s="33">
        <f>+SUM(START:END!L385)</f>
        <v>0</v>
      </c>
      <c r="M386" s="41"/>
      <c r="N386" s="59"/>
      <c r="O386" s="41"/>
      <c r="P386" s="13"/>
      <c r="Q386" s="33">
        <f>+SUM(START:END!Q385)</f>
        <v>0</v>
      </c>
      <c r="R386" s="41"/>
      <c r="S386" s="85">
        <f t="shared" si="4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47"/>
        <v>BoutiqueTéléphone</v>
      </c>
      <c r="B387" s="11" t="s">
        <v>114</v>
      </c>
      <c r="C387" s="102" t="s">
        <v>58</v>
      </c>
      <c r="D387" s="81"/>
      <c r="E387" s="13"/>
      <c r="F387" s="30">
        <f>+SUM(START:END!F386)</f>
        <v>0</v>
      </c>
      <c r="G387" s="83"/>
      <c r="H387" s="13"/>
      <c r="I387" s="30">
        <f>+SUM(START:END!I386)</f>
        <v>0</v>
      </c>
      <c r="J387" s="41"/>
      <c r="K387" s="13"/>
      <c r="L387" s="33">
        <f>+SUM(START:END!L386)</f>
        <v>0</v>
      </c>
      <c r="M387" s="41"/>
      <c r="N387" s="59"/>
      <c r="O387" s="41"/>
      <c r="P387" s="13"/>
      <c r="Q387" s="33">
        <f>+SUM(START:END!Q386)</f>
        <v>0</v>
      </c>
      <c r="R387" s="41"/>
      <c r="S387" s="85">
        <f t="shared" si="4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47"/>
        <v>BoutiqueFrais postaux</v>
      </c>
      <c r="B388" s="11" t="s">
        <v>114</v>
      </c>
      <c r="C388" s="102" t="s">
        <v>59</v>
      </c>
      <c r="D388" s="81"/>
      <c r="E388" s="13"/>
      <c r="F388" s="30">
        <f>+SUM(START:END!F387)</f>
        <v>0</v>
      </c>
      <c r="G388" s="83"/>
      <c r="H388" s="13"/>
      <c r="I388" s="30">
        <f>+SUM(START:END!I387)</f>
        <v>0</v>
      </c>
      <c r="J388" s="41"/>
      <c r="K388" s="13"/>
      <c r="L388" s="33">
        <f>+SUM(START:END!L387)</f>
        <v>0</v>
      </c>
      <c r="M388" s="41"/>
      <c r="N388" s="59"/>
      <c r="O388" s="41"/>
      <c r="P388" s="13"/>
      <c r="Q388" s="33">
        <f>+SUM(START:END!Q387)</f>
        <v>0</v>
      </c>
      <c r="R388" s="41"/>
      <c r="S388" s="85">
        <f t="shared" si="4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47"/>
        <v>BoutiqueDivers</v>
      </c>
      <c r="B389" s="11" t="s">
        <v>114</v>
      </c>
      <c r="C389" s="102" t="s">
        <v>60</v>
      </c>
      <c r="D389" s="81"/>
      <c r="E389" s="13"/>
      <c r="F389" s="30">
        <f>+SUM(START:END!F388)</f>
        <v>0</v>
      </c>
      <c r="G389" s="83"/>
      <c r="H389" s="13"/>
      <c r="I389" s="30">
        <f>+SUM(START:END!I388)</f>
        <v>0</v>
      </c>
      <c r="J389" s="41"/>
      <c r="K389" s="13"/>
      <c r="L389" s="33">
        <f>+SUM(START:END!L388)</f>
        <v>0</v>
      </c>
      <c r="M389" s="41"/>
      <c r="N389" s="59"/>
      <c r="O389" s="41"/>
      <c r="P389" s="13"/>
      <c r="Q389" s="33">
        <f>+SUM(START:END!Q388)</f>
        <v>0</v>
      </c>
      <c r="R389" s="41"/>
      <c r="S389" s="85">
        <f t="shared" si="4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47"/>
        <v>BoutiqueFormation</v>
      </c>
      <c r="B390" s="11" t="s">
        <v>114</v>
      </c>
      <c r="C390" s="102" t="s">
        <v>61</v>
      </c>
      <c r="D390" s="81"/>
      <c r="E390" s="13"/>
      <c r="F390" s="30">
        <f>+SUM(START:END!F389)</f>
        <v>0</v>
      </c>
      <c r="G390" s="83"/>
      <c r="H390" s="13"/>
      <c r="I390" s="30">
        <f>+SUM(START:END!I389)</f>
        <v>0</v>
      </c>
      <c r="J390" s="41"/>
      <c r="K390" s="13"/>
      <c r="L390" s="33">
        <f>+SUM(START:END!L389)</f>
        <v>0</v>
      </c>
      <c r="M390" s="41"/>
      <c r="N390" s="59"/>
      <c r="O390" s="41"/>
      <c r="P390" s="13"/>
      <c r="Q390" s="33">
        <f>+SUM(START:END!Q389)</f>
        <v>0</v>
      </c>
      <c r="R390" s="41"/>
      <c r="S390" s="85">
        <f t="shared" si="4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47"/>
        <v>BoutiqueFrais bancaires</v>
      </c>
      <c r="B391" s="11" t="s">
        <v>114</v>
      </c>
      <c r="C391" s="102" t="s">
        <v>62</v>
      </c>
      <c r="D391" s="81"/>
      <c r="E391" s="13"/>
      <c r="F391" s="30">
        <f>+SUM(START:END!F390)</f>
        <v>0</v>
      </c>
      <c r="G391" s="83"/>
      <c r="H391" s="13"/>
      <c r="I391" s="30">
        <f>+SUM(START:END!I390)</f>
        <v>0</v>
      </c>
      <c r="J391" s="41"/>
      <c r="K391" s="13"/>
      <c r="L391" s="33">
        <f>+SUM(START:END!L390)</f>
        <v>0</v>
      </c>
      <c r="M391" s="41"/>
      <c r="N391" s="59"/>
      <c r="O391" s="41"/>
      <c r="P391" s="13"/>
      <c r="Q391" s="33">
        <f>+SUM(START:END!Q390)</f>
        <v>0</v>
      </c>
      <c r="R391" s="41"/>
      <c r="S391" s="85">
        <f t="shared" si="4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47"/>
        <v>Boutique[...]</v>
      </c>
      <c r="B392" s="11" t="s">
        <v>114</v>
      </c>
      <c r="C392" s="102" t="s">
        <v>19</v>
      </c>
      <c r="D392" s="81"/>
      <c r="E392" s="13"/>
      <c r="F392" s="30">
        <f>+SUM(START:END!F391)</f>
        <v>0</v>
      </c>
      <c r="G392" s="83"/>
      <c r="H392" s="13"/>
      <c r="I392" s="30">
        <f>+SUM(START:END!I391)</f>
        <v>0</v>
      </c>
      <c r="J392" s="41"/>
      <c r="K392" s="13"/>
      <c r="L392" s="33">
        <f>+SUM(START:END!L391)</f>
        <v>0</v>
      </c>
      <c r="M392" s="41"/>
      <c r="N392" s="59"/>
      <c r="O392" s="41"/>
      <c r="P392" s="13"/>
      <c r="Q392" s="33">
        <f>+SUM(START:END!Q391)</f>
        <v>0</v>
      </c>
      <c r="R392" s="41"/>
      <c r="S392" s="85">
        <f t="shared" si="4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47"/>
        <v>Boutique[...]</v>
      </c>
      <c r="B393" s="11" t="s">
        <v>114</v>
      </c>
      <c r="C393" s="102" t="s">
        <v>19</v>
      </c>
      <c r="D393" s="81"/>
      <c r="E393" s="13"/>
      <c r="F393" s="30">
        <f>+SUM(START:END!F392)</f>
        <v>0</v>
      </c>
      <c r="G393" s="83"/>
      <c r="H393" s="13"/>
      <c r="I393" s="30">
        <f>+SUM(START:END!I392)</f>
        <v>0</v>
      </c>
      <c r="J393" s="41"/>
      <c r="K393" s="13"/>
      <c r="L393" s="33">
        <f>+SUM(START:END!L392)</f>
        <v>0</v>
      </c>
      <c r="M393" s="41"/>
      <c r="N393" s="59"/>
      <c r="O393" s="41"/>
      <c r="P393" s="13"/>
      <c r="Q393" s="33">
        <f>+SUM(START:END!Q392)</f>
        <v>0</v>
      </c>
      <c r="R393" s="41"/>
      <c r="S393" s="85">
        <f t="shared" si="4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47"/>
        <v>Boutique[...]</v>
      </c>
      <c r="B394" s="11" t="s">
        <v>114</v>
      </c>
      <c r="C394" s="102" t="s">
        <v>19</v>
      </c>
      <c r="D394" s="87"/>
      <c r="E394" s="111"/>
      <c r="F394" s="30">
        <f>+SUM(START:END!F393)</f>
        <v>0</v>
      </c>
      <c r="G394" s="89"/>
      <c r="H394" s="111"/>
      <c r="I394" s="30">
        <f>+SUM(START:END!I393)</f>
        <v>0</v>
      </c>
      <c r="J394" s="23"/>
      <c r="K394" s="111"/>
      <c r="L394" s="33">
        <f>+SUM(START:END!L393)</f>
        <v>0</v>
      </c>
      <c r="M394" s="23"/>
      <c r="N394" s="91"/>
      <c r="O394" s="23"/>
      <c r="P394" s="111"/>
      <c r="Q394" s="33">
        <f>+SUM(START:END!Q393)</f>
        <v>0</v>
      </c>
      <c r="R394" s="23"/>
      <c r="S394" s="92">
        <f t="shared" si="4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 t="s">
        <v>38</v>
      </c>
      <c r="H395" s="95">
        <f>IFERROR(I395/I$360,0)</f>
        <v>0</v>
      </c>
      <c r="I395" s="96">
        <f>+SUM(I378:I394)</f>
        <v>0</v>
      </c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 t="s">
        <v>38</v>
      </c>
      <c r="H397" s="95">
        <f>IFERROR(I397/I$360,0)</f>
        <v>0</v>
      </c>
      <c r="I397" s="96">
        <f>I377+I395</f>
        <v>0</v>
      </c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>
        <f>I362-I397</f>
        <v>0</v>
      </c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/>
      <c r="G401" s="13"/>
      <c r="H401" s="13"/>
      <c r="I401" s="13"/>
      <c r="J401" s="13"/>
      <c r="K401" s="13"/>
      <c r="L401" s="82"/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  Q4 2024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04" t="s">
        <v>117</v>
      </c>
      <c r="Y404" s="501"/>
      <c r="Z404" s="505"/>
      <c r="AA404" s="500" t="s">
        <v>71</v>
      </c>
      <c r="AB404" s="501"/>
      <c r="AC404" s="505"/>
      <c r="AD404" s="500" t="s">
        <v>7</v>
      </c>
      <c r="AE404" s="501"/>
      <c r="AF404" s="505"/>
      <c r="AG404" s="500" t="s">
        <v>213</v>
      </c>
      <c r="AH404" s="501"/>
      <c r="AI404" s="505"/>
      <c r="AJ404" s="500" t="s">
        <v>118</v>
      </c>
      <c r="AK404" s="501"/>
      <c r="AL404" s="501"/>
      <c r="AM404" s="500" t="s">
        <v>119</v>
      </c>
      <c r="AN404" s="501"/>
      <c r="AO404" s="502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4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 t="s">
        <v>121</v>
      </c>
      <c r="AB405" s="259" t="s">
        <v>122</v>
      </c>
      <c r="AC405" s="260" t="s">
        <v>123</v>
      </c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4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9655398.0426335987</v>
      </c>
      <c r="AA406" s="263"/>
      <c r="AB406" s="263"/>
      <c r="AC406" s="264">
        <f>I5+I93+H194+H250+G314+G362</f>
        <v>0</v>
      </c>
      <c r="AD406" s="265"/>
      <c r="AE406" s="266"/>
      <c r="AF406" s="266">
        <f>L5+L93+K194+K250+J314+J362</f>
        <v>13192702.289999997</v>
      </c>
      <c r="AG406" s="265"/>
      <c r="AH406" s="266"/>
      <c r="AI406" s="267"/>
      <c r="AJ406" s="265"/>
      <c r="AK406" s="266"/>
      <c r="AL406" s="266">
        <f>Q5+Q93+P194+P250+O314+O362</f>
        <v>31390596.829999994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4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1185815.5816570171</v>
      </c>
      <c r="AA407" s="271"/>
      <c r="AB407" s="271"/>
      <c r="AC407" s="272">
        <f>I27+I108+I194+I250+I314+I362</f>
        <v>0</v>
      </c>
      <c r="AD407" s="273"/>
      <c r="AE407" s="274"/>
      <c r="AF407" s="274">
        <f>L27+L108+L194+L250+L314+L362</f>
        <v>1338894.8100000003</v>
      </c>
      <c r="AG407" s="273"/>
      <c r="AH407" s="274">
        <f>AF407-Z407</f>
        <v>153079.22834298317</v>
      </c>
      <c r="AI407" s="275">
        <f>AH407/Z407</f>
        <v>0.1290919352982996</v>
      </c>
      <c r="AJ407" s="273"/>
      <c r="AK407" s="274"/>
      <c r="AL407" s="274">
        <f>Q27+Q108+Q194+Q250+Q314+Q362</f>
        <v>1114466.5499999993</v>
      </c>
      <c r="AM407" s="276"/>
      <c r="AN407" s="274">
        <f>AF407-AL407</f>
        <v>224428.26000000094</v>
      </c>
      <c r="AO407" s="277">
        <f>IF(AL407=0,0,AN407/AL407)</f>
        <v>0.20137729571156807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4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4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>Z409/(D$13+D$97)</f>
        <v>1278.9295494004452</v>
      </c>
      <c r="Z409" s="280">
        <f>+SUM(START:END!Z409)</f>
        <v>115103.65944604008</v>
      </c>
      <c r="AA409" s="279"/>
      <c r="AB409" s="287">
        <f>IF(AC409=0,0,AC409/(G$13+G$97))</f>
        <v>0</v>
      </c>
      <c r="AC409" s="280">
        <f>+SUM(START:END!AC409)</f>
        <v>0</v>
      </c>
      <c r="AD409" s="288"/>
      <c r="AE409" s="287">
        <f>IF(AF409=0,0,AF409/(J$13+J$97))</f>
        <v>1237.9199999999998</v>
      </c>
      <c r="AF409" s="280">
        <f>+SUM(START:END!AF409)</f>
        <v>138647.03999999998</v>
      </c>
      <c r="AG409" s="281">
        <f t="shared" ref="AG409:AH424" si="50">AE409-Y409</f>
        <v>-41.009549400445394</v>
      </c>
      <c r="AH409" s="282">
        <f t="shared" si="50"/>
        <v>23543.380553959898</v>
      </c>
      <c r="AI409" s="283">
        <f t="shared" ref="AI409:AI418" si="51">IF(Z409=0,0,AH409/Z409)</f>
        <v>0.20454067809196716</v>
      </c>
      <c r="AJ409" s="288"/>
      <c r="AK409" s="282">
        <f>AL409/(O$13+O$97)</f>
        <v>1293.9804950495052</v>
      </c>
      <c r="AL409" s="280">
        <f>+SUMIF($C:$C,$V409,Q:Q)</f>
        <v>130692.03000000001</v>
      </c>
      <c r="AM409" s="284">
        <f t="shared" ref="AM409:AM414" si="52">AE409-Y409</f>
        <v>-41.009549400445394</v>
      </c>
      <c r="AN409" s="282">
        <f t="shared" ref="AN409:AN414" si="53">AF409-AL409</f>
        <v>7955.0099999999657</v>
      </c>
      <c r="AO409" s="289">
        <f t="shared" ref="AO409:AO431" si="54">IF(AL409=0,0,AN409/AL409)</f>
        <v>6.0868363587281989E-2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4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ref="Y410:Y415" si="55">Z410/(D$13+D$97)</f>
        <v>427.77777777777777</v>
      </c>
      <c r="Z410" s="264">
        <f>+SUM(START:END!Z410)</f>
        <v>38500</v>
      </c>
      <c r="AA410" s="263"/>
      <c r="AB410" s="291">
        <f t="shared" ref="AB410:AB415" si="56">IF(AC410=0,0,AC410/(G$13+G$97))</f>
        <v>0</v>
      </c>
      <c r="AC410" s="264">
        <f>+SUM(START:END!AC410)</f>
        <v>0</v>
      </c>
      <c r="AD410" s="292"/>
      <c r="AE410" s="291">
        <f t="shared" ref="AE410:AE415" si="57">IF(AF410=0,0,AF410/(J$13+J$97))</f>
        <v>574.69705357142846</v>
      </c>
      <c r="AF410" s="264">
        <f>+SUM(START:END!AF410)</f>
        <v>64366.069999999992</v>
      </c>
      <c r="AG410" s="265">
        <f t="shared" si="50"/>
        <v>146.91927579365068</v>
      </c>
      <c r="AH410" s="266">
        <f t="shared" si="50"/>
        <v>25866.069999999992</v>
      </c>
      <c r="AI410" s="293">
        <f t="shared" si="51"/>
        <v>0.67184597402597379</v>
      </c>
      <c r="AJ410" s="292"/>
      <c r="AK410" s="266">
        <f t="shared" ref="AK410:AK415" si="58">AL410/(O$13+O$97)</f>
        <v>355.45554455445546</v>
      </c>
      <c r="AL410" s="264">
        <f t="shared" ref="AL410:AL415" si="59">+SUMIF($C:$C,$V410,Q:Q)</f>
        <v>35901.01</v>
      </c>
      <c r="AM410" s="268">
        <f t="shared" si="52"/>
        <v>146.91927579365068</v>
      </c>
      <c r="AN410" s="266">
        <f t="shared" si="53"/>
        <v>28465.05999999999</v>
      </c>
      <c r="AO410" s="294">
        <f t="shared" si="54"/>
        <v>0.79287630069460413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4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55"/>
        <v>110</v>
      </c>
      <c r="Z411" s="280">
        <f>+SUM(START:END!Z411)</f>
        <v>9900</v>
      </c>
      <c r="AA411" s="279"/>
      <c r="AB411" s="287">
        <f t="shared" si="56"/>
        <v>0</v>
      </c>
      <c r="AC411" s="280">
        <f>+SUM(START:END!AC411)</f>
        <v>0</v>
      </c>
      <c r="AD411" s="288"/>
      <c r="AE411" s="287">
        <f t="shared" si="57"/>
        <v>101.1417857142857</v>
      </c>
      <c r="AF411" s="280">
        <f>+SUM(START:END!AF411)</f>
        <v>11327.88</v>
      </c>
      <c r="AG411" s="281">
        <f t="shared" si="50"/>
        <v>-8.8582142857142969</v>
      </c>
      <c r="AH411" s="282">
        <f t="shared" si="50"/>
        <v>1427.8799999999992</v>
      </c>
      <c r="AI411" s="283">
        <f t="shared" si="51"/>
        <v>0.14423030303030296</v>
      </c>
      <c r="AJ411" s="288"/>
      <c r="AK411" s="282">
        <f t="shared" si="58"/>
        <v>106.76415841584159</v>
      </c>
      <c r="AL411" s="280">
        <f t="shared" si="59"/>
        <v>10783.18</v>
      </c>
      <c r="AM411" s="284">
        <f t="shared" si="52"/>
        <v>-8.8582142857142969</v>
      </c>
      <c r="AN411" s="282">
        <f t="shared" si="53"/>
        <v>544.69999999999891</v>
      </c>
      <c r="AO411" s="289">
        <f t="shared" si="54"/>
        <v>5.0513855838444588E-2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4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132</v>
      </c>
      <c r="X412" s="279"/>
      <c r="Y412" s="287">
        <f t="shared" si="55"/>
        <v>67.5</v>
      </c>
      <c r="Z412" s="280">
        <f>+SUM(START:END!Z412)</f>
        <v>6075</v>
      </c>
      <c r="AA412" s="279"/>
      <c r="AB412" s="287">
        <f t="shared" si="56"/>
        <v>0</v>
      </c>
      <c r="AC412" s="280">
        <f>+SUM(START:END!AC412)</f>
        <v>0</v>
      </c>
      <c r="AD412" s="288"/>
      <c r="AE412" s="287">
        <f t="shared" si="57"/>
        <v>77.826339285714283</v>
      </c>
      <c r="AF412" s="280">
        <f>+SUM(START:END!AF412)</f>
        <v>8716.5499999999993</v>
      </c>
      <c r="AG412" s="281">
        <f t="shared" si="50"/>
        <v>10.326339285714283</v>
      </c>
      <c r="AH412" s="282">
        <f t="shared" si="50"/>
        <v>2641.5499999999993</v>
      </c>
      <c r="AI412" s="283">
        <f t="shared" si="51"/>
        <v>0.43482304526748961</v>
      </c>
      <c r="AJ412" s="288"/>
      <c r="AK412" s="282">
        <f t="shared" si="58"/>
        <v>32.592079207920797</v>
      </c>
      <c r="AL412" s="280">
        <f t="shared" si="59"/>
        <v>3291.8</v>
      </c>
      <c r="AM412" s="284">
        <f t="shared" si="52"/>
        <v>10.326339285714283</v>
      </c>
      <c r="AN412" s="282">
        <f t="shared" si="53"/>
        <v>5424.7499999999991</v>
      </c>
      <c r="AO412" s="295">
        <f t="shared" si="54"/>
        <v>1.6479585637037484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4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/>
      <c r="X413" s="263"/>
      <c r="Y413" s="291">
        <f t="shared" si="55"/>
        <v>93.888888888888886</v>
      </c>
      <c r="Z413" s="264">
        <f>+SUM(START:END!Z413)</f>
        <v>8450</v>
      </c>
      <c r="AA413" s="263"/>
      <c r="AB413" s="291">
        <f t="shared" si="56"/>
        <v>0</v>
      </c>
      <c r="AC413" s="264">
        <f>+SUM(START:END!AC413)</f>
        <v>0</v>
      </c>
      <c r="AD413" s="292"/>
      <c r="AE413" s="291">
        <f t="shared" si="57"/>
        <v>104.38330357142857</v>
      </c>
      <c r="AF413" s="264">
        <f>+SUM(START:END!AF413)</f>
        <v>11690.93</v>
      </c>
      <c r="AG413" s="265">
        <f t="shared" si="50"/>
        <v>10.494414682539684</v>
      </c>
      <c r="AH413" s="266">
        <f t="shared" si="50"/>
        <v>3240.9300000000003</v>
      </c>
      <c r="AI413" s="293">
        <f t="shared" si="51"/>
        <v>0.38354201183431957</v>
      </c>
      <c r="AJ413" s="292"/>
      <c r="AK413" s="266">
        <f t="shared" si="58"/>
        <v>86.070198019801978</v>
      </c>
      <c r="AL413" s="264">
        <f t="shared" si="59"/>
        <v>8693.09</v>
      </c>
      <c r="AM413" s="268">
        <f t="shared" si="52"/>
        <v>10.494414682539684</v>
      </c>
      <c r="AN413" s="266">
        <f t="shared" si="53"/>
        <v>2997.84</v>
      </c>
      <c r="AO413" s="294">
        <f t="shared" si="54"/>
        <v>0.34485321099862076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4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133</v>
      </c>
      <c r="X414" s="283"/>
      <c r="Y414" s="287">
        <f t="shared" si="55"/>
        <v>540.2418402777779</v>
      </c>
      <c r="Z414" s="280">
        <f>+SUM(START:END!Z414)</f>
        <v>48621.765625000007</v>
      </c>
      <c r="AA414" s="283"/>
      <c r="AB414" s="287">
        <f t="shared" si="56"/>
        <v>0</v>
      </c>
      <c r="AC414" s="280">
        <f>+SUM(START:END!AC414)</f>
        <v>0</v>
      </c>
      <c r="AD414" s="288"/>
      <c r="AE414" s="287">
        <f t="shared" si="57"/>
        <v>697.56767857142847</v>
      </c>
      <c r="AF414" s="280">
        <f>+SUM(START:END!AF414)</f>
        <v>78127.579999999987</v>
      </c>
      <c r="AG414" s="281">
        <f t="shared" si="50"/>
        <v>157.32583829365058</v>
      </c>
      <c r="AH414" s="282">
        <f t="shared" si="50"/>
        <v>29505.81437499998</v>
      </c>
      <c r="AI414" s="283">
        <f t="shared" si="51"/>
        <v>0.60684374571187683</v>
      </c>
      <c r="AJ414" s="288"/>
      <c r="AK414" s="282">
        <f t="shared" si="58"/>
        <v>640.36960396039603</v>
      </c>
      <c r="AL414" s="280">
        <f t="shared" si="59"/>
        <v>64677.33</v>
      </c>
      <c r="AM414" s="284">
        <f t="shared" si="52"/>
        <v>157.32583829365058</v>
      </c>
      <c r="AN414" s="282">
        <f t="shared" si="53"/>
        <v>13450.249999999985</v>
      </c>
      <c r="AO414" s="289">
        <f t="shared" si="54"/>
        <v>0.20795926486142804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4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134</v>
      </c>
      <c r="X415" s="279"/>
      <c r="Y415" s="287">
        <f t="shared" si="55"/>
        <v>1065.639834691166</v>
      </c>
      <c r="Z415" s="280">
        <f>+SUM(START:END!Z415)</f>
        <v>95907.585122204939</v>
      </c>
      <c r="AA415" s="279"/>
      <c r="AB415" s="287">
        <f t="shared" si="56"/>
        <v>0</v>
      </c>
      <c r="AC415" s="280">
        <f>+SUM(START:END!AC415)</f>
        <v>0</v>
      </c>
      <c r="AD415" s="288"/>
      <c r="AE415" s="287">
        <f t="shared" si="57"/>
        <v>832.61955357142858</v>
      </c>
      <c r="AF415" s="280">
        <f>+SUM(START:END!AF415)</f>
        <v>93253.39</v>
      </c>
      <c r="AG415" s="281">
        <f t="shared" si="50"/>
        <v>-233.02028111973743</v>
      </c>
      <c r="AH415" s="282">
        <f t="shared" si="50"/>
        <v>-2654.1951222049393</v>
      </c>
      <c r="AI415" s="283">
        <f t="shared" si="51"/>
        <v>-2.767450685806527E-2</v>
      </c>
      <c r="AJ415" s="288"/>
      <c r="AK415" s="282">
        <f t="shared" si="58"/>
        <v>637.46782178217825</v>
      </c>
      <c r="AL415" s="280">
        <f t="shared" si="59"/>
        <v>64384.25</v>
      </c>
      <c r="AM415" s="284">
        <f>AE415-Y415</f>
        <v>-233.02028111973743</v>
      </c>
      <c r="AN415" s="282">
        <f>AF415-AL415</f>
        <v>28869.14</v>
      </c>
      <c r="AO415" s="289">
        <f t="shared" si="54"/>
        <v>0.44838823159390689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4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>Z416/(D$13+D$97)</f>
        <v>0</v>
      </c>
      <c r="Z416" s="280">
        <f>+SUM(START:END!Z416)</f>
        <v>0</v>
      </c>
      <c r="AA416" s="279"/>
      <c r="AB416" s="287">
        <f>IF(AC416=0,0,AC416/(G$13+G$97))</f>
        <v>0</v>
      </c>
      <c r="AC416" s="280">
        <f>+SUM(START:END!AC416)</f>
        <v>0</v>
      </c>
      <c r="AD416" s="288"/>
      <c r="AE416" s="287">
        <f>IF(AF416=0,0,AF416/(J$13+J$97))</f>
        <v>0</v>
      </c>
      <c r="AF416" s="280">
        <f>+SUM(START:END!AF416)</f>
        <v>0</v>
      </c>
      <c r="AG416" s="281">
        <f t="shared" si="50"/>
        <v>0</v>
      </c>
      <c r="AH416" s="282">
        <f t="shared" si="50"/>
        <v>0</v>
      </c>
      <c r="AI416" s="283">
        <f t="shared" si="51"/>
        <v>0</v>
      </c>
      <c r="AJ416" s="288"/>
      <c r="AK416" s="282">
        <f>AL416/(O$13+O$97)</f>
        <v>0</v>
      </c>
      <c r="AL416" s="280"/>
      <c r="AM416" s="284">
        <f>AE416-Y416</f>
        <v>0</v>
      </c>
      <c r="AN416" s="282">
        <f>AF416-AL416</f>
        <v>0</v>
      </c>
      <c r="AO416" s="289">
        <f t="shared" si="54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4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>Z417/(D$13+D$97)</f>
        <v>0</v>
      </c>
      <c r="Z417" s="280">
        <f>+SUM(START:END!Z417)</f>
        <v>0</v>
      </c>
      <c r="AA417" s="279"/>
      <c r="AB417" s="287">
        <f>IF(AC417=0,0,AC417/(G$13+G$97))</f>
        <v>0</v>
      </c>
      <c r="AC417" s="280">
        <f>+SUM(START:END!AC417)</f>
        <v>0</v>
      </c>
      <c r="AD417" s="288"/>
      <c r="AE417" s="287">
        <f>IF(AF417=0,0,AF417/(J$13+J$97))</f>
        <v>0</v>
      </c>
      <c r="AF417" s="280">
        <f>+SUM(START:END!AF417)</f>
        <v>0</v>
      </c>
      <c r="AG417" s="281">
        <f t="shared" si="50"/>
        <v>0</v>
      </c>
      <c r="AH417" s="282">
        <f t="shared" si="50"/>
        <v>0</v>
      </c>
      <c r="AI417" s="283">
        <f t="shared" si="51"/>
        <v>0</v>
      </c>
      <c r="AJ417" s="288"/>
      <c r="AK417" s="282">
        <f>AL417/(O$13+O$97)</f>
        <v>0</v>
      </c>
      <c r="AL417" s="280"/>
      <c r="AM417" s="284">
        <f>AE417-Y417</f>
        <v>0</v>
      </c>
      <c r="AN417" s="282">
        <f>AF417-AL417</f>
        <v>0</v>
      </c>
      <c r="AO417" s="289">
        <f t="shared" si="54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4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/>
      <c r="X418" s="279"/>
      <c r="Y418" s="287">
        <f>Z418/(D$13+D$97)</f>
        <v>0</v>
      </c>
      <c r="Z418" s="280">
        <f>+SUM(START:END!Z418)</f>
        <v>0</v>
      </c>
      <c r="AA418" s="279"/>
      <c r="AB418" s="287">
        <f>IF(AC418=0,0,AC418/(G$13+G$97))</f>
        <v>0</v>
      </c>
      <c r="AC418" s="280">
        <f>+SUM(START:END!AC418)</f>
        <v>0</v>
      </c>
      <c r="AD418" s="288"/>
      <c r="AE418" s="287">
        <f>IF(AF418=0,0,AF418/(J$13+J$97))</f>
        <v>0</v>
      </c>
      <c r="AF418" s="280">
        <f>+SUM(START:END!AF418)</f>
        <v>0</v>
      </c>
      <c r="AG418" s="281">
        <f t="shared" si="50"/>
        <v>0</v>
      </c>
      <c r="AH418" s="282">
        <f t="shared" si="50"/>
        <v>0</v>
      </c>
      <c r="AI418" s="283">
        <f t="shared" si="51"/>
        <v>0</v>
      </c>
      <c r="AJ418" s="288"/>
      <c r="AK418" s="282">
        <f>AL418/(O$13+O$97)</f>
        <v>0</v>
      </c>
      <c r="AL418" s="280"/>
      <c r="AM418" s="284">
        <f>AE418-Y418</f>
        <v>0</v>
      </c>
      <c r="AN418" s="282">
        <f>AF418-AL418</f>
        <v>0</v>
      </c>
      <c r="AO418" s="289">
        <f t="shared" si="54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4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0.27201363785632987</v>
      </c>
      <c r="Y419" s="297"/>
      <c r="Z419" s="299">
        <f>SUM(Z409:Z418)</f>
        <v>322558.01019324502</v>
      </c>
      <c r="AA419" s="298" t="e">
        <f>AC419/AC407</f>
        <v>#DIV/0!</v>
      </c>
      <c r="AB419" s="297"/>
      <c r="AC419" s="299">
        <f>SUM(AC409:AC418)</f>
        <v>0</v>
      </c>
      <c r="AD419" s="300">
        <f>AF419/AF407</f>
        <v>0.30333185024445636</v>
      </c>
      <c r="AE419" s="297"/>
      <c r="AF419" s="299">
        <f>SUM(AF409:AF418)</f>
        <v>406129.43999999994</v>
      </c>
      <c r="AG419" s="301"/>
      <c r="AH419" s="302">
        <f t="shared" si="50"/>
        <v>83571.429806754924</v>
      </c>
      <c r="AI419" s="298">
        <f>AH419/Z419</f>
        <v>0.25908961230473598</v>
      </c>
      <c r="AJ419" s="300">
        <f>IF($AL$407=0,0,AL419/$AL$407)</f>
        <v>0.2857175838969776</v>
      </c>
      <c r="AK419" s="297"/>
      <c r="AL419" s="299">
        <f>SUM(AL409:AL418)</f>
        <v>318422.69</v>
      </c>
      <c r="AM419" s="303"/>
      <c r="AN419" s="302">
        <f t="shared" ref="AN419:AN431" si="60">AF419-AL419</f>
        <v>87706.749999999942</v>
      </c>
      <c r="AO419" s="277">
        <f t="shared" si="54"/>
        <v>0.27544126959043008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4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136</v>
      </c>
      <c r="X420" s="279"/>
      <c r="Y420" s="279"/>
      <c r="Z420" s="280">
        <f>+SUM(START:END!Z420)</f>
        <v>45259.692748091606</v>
      </c>
      <c r="AA420" s="279"/>
      <c r="AB420" s="279">
        <f t="shared" ref="AB420:AB430" si="61">IF(AC420=0,0,AC420/(G$13+G$97))</f>
        <v>0</v>
      </c>
      <c r="AC420" s="280">
        <f>+SUM(START:END!AC420)</f>
        <v>0</v>
      </c>
      <c r="AD420" s="288"/>
      <c r="AE420" s="287"/>
      <c r="AF420" s="280">
        <f>+SUM(START:END!AF420)</f>
        <v>43169.69</v>
      </c>
      <c r="AG420" s="281"/>
      <c r="AH420" s="282">
        <f t="shared" si="50"/>
        <v>-2090.0027480916033</v>
      </c>
      <c r="AI420" s="283">
        <f t="shared" ref="AI420:AI432" si="62">IF(Z420=0,0,AH420/Z420)</f>
        <v>-4.6178014502312972E-2</v>
      </c>
      <c r="AJ420" s="288"/>
      <c r="AK420" s="279"/>
      <c r="AL420" s="280">
        <f>+SUM(START:END!AL420)</f>
        <v>41288.160000000003</v>
      </c>
      <c r="AM420" s="284"/>
      <c r="AN420" s="282">
        <f t="shared" si="60"/>
        <v>1881.5299999999988</v>
      </c>
      <c r="AO420" s="289">
        <f t="shared" si="54"/>
        <v>4.5570691452464791E-2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4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137</v>
      </c>
      <c r="X421" s="279"/>
      <c r="Y421" s="279"/>
      <c r="Z421" s="280">
        <f>+SUM(START:END!Z421)</f>
        <v>95284.755725190844</v>
      </c>
      <c r="AA421" s="279"/>
      <c r="AB421" s="279">
        <f t="shared" si="61"/>
        <v>0</v>
      </c>
      <c r="AC421" s="280">
        <f>+SUM(START:END!AC421)</f>
        <v>0</v>
      </c>
      <c r="AD421" s="288"/>
      <c r="AE421" s="287"/>
      <c r="AF421" s="280">
        <f>+SUM(START:END!AF421)</f>
        <v>93361.23000000001</v>
      </c>
      <c r="AG421" s="281"/>
      <c r="AH421" s="282">
        <f t="shared" si="50"/>
        <v>-1923.5257251908333</v>
      </c>
      <c r="AI421" s="283">
        <f t="shared" si="62"/>
        <v>-2.0187129730787592E-2</v>
      </c>
      <c r="AJ421" s="288"/>
      <c r="AK421" s="279"/>
      <c r="AL421" s="280">
        <f t="shared" ref="AL421:AL430" si="63">+SUMIF($C:$C,$V421,Q:Q)</f>
        <v>87616.62</v>
      </c>
      <c r="AM421" s="284"/>
      <c r="AN421" s="282">
        <f t="shared" si="60"/>
        <v>5744.6100000000151</v>
      </c>
      <c r="AO421" s="289">
        <f t="shared" si="54"/>
        <v>6.5565300282069944E-2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4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>+SUM(START:END!Z422)</f>
        <v>58922.402671755714</v>
      </c>
      <c r="AA422" s="263"/>
      <c r="AB422" s="263">
        <f t="shared" si="61"/>
        <v>0</v>
      </c>
      <c r="AC422" s="264">
        <f>+SUM(START:END!AC422)</f>
        <v>0</v>
      </c>
      <c r="AD422" s="292"/>
      <c r="AE422" s="291"/>
      <c r="AF422" s="264">
        <f>+SUM(START:END!AF422)</f>
        <v>67880.200000000012</v>
      </c>
      <c r="AG422" s="265"/>
      <c r="AH422" s="266">
        <f t="shared" si="50"/>
        <v>8957.7973282442981</v>
      </c>
      <c r="AI422" s="293">
        <f t="shared" si="62"/>
        <v>0.15202702065878573</v>
      </c>
      <c r="AJ422" s="292"/>
      <c r="AK422" s="263"/>
      <c r="AL422" s="264">
        <f t="shared" si="63"/>
        <v>54774.899999999994</v>
      </c>
      <c r="AM422" s="268"/>
      <c r="AN422" s="266">
        <f t="shared" si="60"/>
        <v>13105.300000000017</v>
      </c>
      <c r="AO422" s="269">
        <f t="shared" si="54"/>
        <v>0.23925739709246424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4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>+SUM(START:END!Z423)</f>
        <v>74916.832061068708</v>
      </c>
      <c r="AA423" s="279"/>
      <c r="AB423" s="279">
        <f t="shared" si="61"/>
        <v>0</v>
      </c>
      <c r="AC423" s="280">
        <f>+SUM(START:END!AC423)</f>
        <v>0</v>
      </c>
      <c r="AD423" s="288"/>
      <c r="AE423" s="287"/>
      <c r="AF423" s="280">
        <f>+SUM(START:END!AF423)</f>
        <v>78469.899999999994</v>
      </c>
      <c r="AG423" s="281"/>
      <c r="AH423" s="282">
        <f t="shared" si="50"/>
        <v>3553.0679389312863</v>
      </c>
      <c r="AI423" s="283">
        <f t="shared" si="62"/>
        <v>4.7426831076292586E-2</v>
      </c>
      <c r="AJ423" s="288"/>
      <c r="AK423" s="279"/>
      <c r="AL423" s="280">
        <f t="shared" si="63"/>
        <v>69720.3</v>
      </c>
      <c r="AM423" s="284"/>
      <c r="AN423" s="282">
        <f t="shared" si="60"/>
        <v>8749.5999999999913</v>
      </c>
      <c r="AO423" s="289">
        <f t="shared" si="54"/>
        <v>0.12549573079863385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4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140</v>
      </c>
      <c r="X424" s="279"/>
      <c r="Y424" s="279"/>
      <c r="Z424" s="280">
        <f>+SUM(START:END!Z424)</f>
        <v>33949.4206868498</v>
      </c>
      <c r="AA424" s="279"/>
      <c r="AB424" s="279">
        <f t="shared" si="61"/>
        <v>0</v>
      </c>
      <c r="AC424" s="280">
        <f>+SUM(START:END!AC424)</f>
        <v>0</v>
      </c>
      <c r="AD424" s="288"/>
      <c r="AE424" s="287"/>
      <c r="AF424" s="280">
        <f>+SUM(START:END!AF424)</f>
        <v>47811.03</v>
      </c>
      <c r="AG424" s="281"/>
      <c r="AH424" s="282">
        <f t="shared" si="50"/>
        <v>13861.609313150198</v>
      </c>
      <c r="AI424" s="283">
        <f t="shared" si="62"/>
        <v>0.40830179227533764</v>
      </c>
      <c r="AJ424" s="288"/>
      <c r="AK424" s="279"/>
      <c r="AL424" s="280">
        <f t="shared" si="63"/>
        <v>30809.18</v>
      </c>
      <c r="AM424" s="284"/>
      <c r="AN424" s="282">
        <f t="shared" si="60"/>
        <v>17001.849999999999</v>
      </c>
      <c r="AO424" s="289">
        <f t="shared" si="54"/>
        <v>0.55184363881154896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4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>+SUM(START:END!Z425)</f>
        <v>0</v>
      </c>
      <c r="AA425" s="279"/>
      <c r="AB425" s="279">
        <f t="shared" si="61"/>
        <v>0</v>
      </c>
      <c r="AC425" s="282">
        <f>+SUM(START:END!AC425)</f>
        <v>0</v>
      </c>
      <c r="AD425" s="288"/>
      <c r="AE425" s="287"/>
      <c r="AF425" s="280">
        <f>+SUM(START:END!AF425)</f>
        <v>0</v>
      </c>
      <c r="AG425" s="281"/>
      <c r="AH425" s="282">
        <f t="shared" ref="AH425:AH451" si="64">AF425-Z425</f>
        <v>0</v>
      </c>
      <c r="AI425" s="283">
        <f t="shared" si="62"/>
        <v>0</v>
      </c>
      <c r="AJ425" s="288"/>
      <c r="AK425" s="279"/>
      <c r="AL425" s="280"/>
      <c r="AM425" s="284"/>
      <c r="AN425" s="282">
        <f t="shared" si="60"/>
        <v>0</v>
      </c>
      <c r="AO425" s="289">
        <f t="shared" si="54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4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>+SUM(START:END!Z426)</f>
        <v>0</v>
      </c>
      <c r="AA426" s="279"/>
      <c r="AB426" s="279">
        <f t="shared" si="61"/>
        <v>0</v>
      </c>
      <c r="AC426" s="282">
        <f>+SUM(START:END!AC426)</f>
        <v>0</v>
      </c>
      <c r="AD426" s="288"/>
      <c r="AE426" s="287"/>
      <c r="AF426" s="280">
        <f>+SUM(START:END!AF426)</f>
        <v>0</v>
      </c>
      <c r="AG426" s="281"/>
      <c r="AH426" s="282">
        <f t="shared" si="64"/>
        <v>0</v>
      </c>
      <c r="AI426" s="283">
        <f t="shared" si="62"/>
        <v>0</v>
      </c>
      <c r="AJ426" s="288"/>
      <c r="AK426" s="279"/>
      <c r="AL426" s="280"/>
      <c r="AM426" s="284"/>
      <c r="AN426" s="282">
        <f t="shared" si="60"/>
        <v>0</v>
      </c>
      <c r="AO426" s="289">
        <f t="shared" si="54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4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>+SUM(START:END!Z427)</f>
        <v>0</v>
      </c>
      <c r="AA427" s="279"/>
      <c r="AB427" s="279">
        <f t="shared" si="61"/>
        <v>0</v>
      </c>
      <c r="AC427" s="282">
        <f>+SUM(START:END!AC427)</f>
        <v>0</v>
      </c>
      <c r="AD427" s="288"/>
      <c r="AE427" s="287"/>
      <c r="AF427" s="280">
        <f>+SUM(START:END!AF427)</f>
        <v>0</v>
      </c>
      <c r="AG427" s="281"/>
      <c r="AH427" s="282">
        <f t="shared" si="64"/>
        <v>0</v>
      </c>
      <c r="AI427" s="283">
        <f t="shared" si="62"/>
        <v>0</v>
      </c>
      <c r="AJ427" s="288"/>
      <c r="AK427" s="279"/>
      <c r="AL427" s="280"/>
      <c r="AM427" s="284"/>
      <c r="AN427" s="282">
        <f t="shared" si="60"/>
        <v>0</v>
      </c>
      <c r="AO427" s="289">
        <f t="shared" si="54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4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>+SUM(START:END!Z428)</f>
        <v>57703.167420049293</v>
      </c>
      <c r="AA428" s="263"/>
      <c r="AB428" s="263">
        <f t="shared" si="61"/>
        <v>0</v>
      </c>
      <c r="AC428" s="264">
        <f>+SUM(START:END!AC428)</f>
        <v>0</v>
      </c>
      <c r="AD428" s="292"/>
      <c r="AE428" s="291"/>
      <c r="AF428" s="264">
        <f>+SUM(START:END!AF428)</f>
        <v>73682.92</v>
      </c>
      <c r="AG428" s="265"/>
      <c r="AH428" s="266">
        <f t="shared" si="64"/>
        <v>15979.752579950706</v>
      </c>
      <c r="AI428" s="293">
        <f t="shared" si="62"/>
        <v>0.27693025000909138</v>
      </c>
      <c r="AJ428" s="292"/>
      <c r="AK428" s="263"/>
      <c r="AL428" s="264">
        <f t="shared" si="63"/>
        <v>65677.55</v>
      </c>
      <c r="AM428" s="268"/>
      <c r="AN428" s="266">
        <f t="shared" si="60"/>
        <v>8005.3699999999953</v>
      </c>
      <c r="AO428" s="294">
        <f t="shared" si="54"/>
        <v>0.12188898641925582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4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>+SUM(START:END!Z429)</f>
        <v>74150.137738596881</v>
      </c>
      <c r="AA429" s="279"/>
      <c r="AB429" s="279">
        <f t="shared" si="61"/>
        <v>0</v>
      </c>
      <c r="AC429" s="280">
        <f>+SUM(START:END!AC429)</f>
        <v>0</v>
      </c>
      <c r="AD429" s="288"/>
      <c r="AE429" s="287"/>
      <c r="AF429" s="280">
        <f>+SUM(START:END!AF429)</f>
        <v>66552.23</v>
      </c>
      <c r="AG429" s="281"/>
      <c r="AH429" s="282">
        <f t="shared" si="64"/>
        <v>-7597.9077385968849</v>
      </c>
      <c r="AI429" s="283">
        <f t="shared" si="62"/>
        <v>-0.10246653573836852</v>
      </c>
      <c r="AJ429" s="288"/>
      <c r="AK429" s="279"/>
      <c r="AL429" s="280">
        <f t="shared" si="63"/>
        <v>63523.34</v>
      </c>
      <c r="AM429" s="284"/>
      <c r="AN429" s="282">
        <f t="shared" si="60"/>
        <v>3028.8899999999994</v>
      </c>
      <c r="AO429" s="289">
        <f t="shared" si="54"/>
        <v>4.7681529340239344E-2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4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143</v>
      </c>
      <c r="X430" s="279"/>
      <c r="Y430" s="279"/>
      <c r="Z430" s="280">
        <f>+SUM(START:END!Z430)</f>
        <v>35100.608343703512</v>
      </c>
      <c r="AA430" s="279"/>
      <c r="AB430" s="279">
        <f t="shared" si="61"/>
        <v>0</v>
      </c>
      <c r="AC430" s="280">
        <f>+SUM(START:END!AC430)</f>
        <v>0</v>
      </c>
      <c r="AD430" s="288"/>
      <c r="AE430" s="287"/>
      <c r="AF430" s="280">
        <f>+SUM(START:END!AF430)</f>
        <v>38266.090000000004</v>
      </c>
      <c r="AG430" s="281"/>
      <c r="AH430" s="282">
        <f t="shared" si="64"/>
        <v>3165.4816562964916</v>
      </c>
      <c r="AI430" s="283">
        <f t="shared" si="62"/>
        <v>9.0183099543467843E-2</v>
      </c>
      <c r="AJ430" s="288"/>
      <c r="AK430" s="279"/>
      <c r="AL430" s="280">
        <f t="shared" si="63"/>
        <v>35523.43</v>
      </c>
      <c r="AM430" s="284"/>
      <c r="AN430" s="282">
        <f t="shared" si="60"/>
        <v>2742.6600000000035</v>
      </c>
      <c r="AO430" s="289">
        <f t="shared" si="54"/>
        <v>7.7207071501822974E-2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4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/>
      <c r="X431" s="279"/>
      <c r="Y431" s="279"/>
      <c r="Z431" s="280">
        <f>+SUM(START:END!Z431)</f>
        <v>7925.9438195459543</v>
      </c>
      <c r="AA431" s="279"/>
      <c r="AB431" s="279">
        <f>IF(AC431=0,0,AC431/(G$13+G$97))</f>
        <v>0</v>
      </c>
      <c r="AC431" s="280">
        <f>+SUM(START:END!AC431)</f>
        <v>0</v>
      </c>
      <c r="AD431" s="288"/>
      <c r="AE431" s="287"/>
      <c r="AF431" s="280">
        <f>+SUM(START:END!AF431)</f>
        <v>5718.56</v>
      </c>
      <c r="AG431" s="281"/>
      <c r="AH431" s="282">
        <f t="shared" si="64"/>
        <v>-2207.3838195459539</v>
      </c>
      <c r="AI431" s="306">
        <f t="shared" si="62"/>
        <v>-0.27850106811284542</v>
      </c>
      <c r="AJ431" s="288"/>
      <c r="AK431" s="279"/>
      <c r="AL431" s="280">
        <f>+SUMIF($C:$C,$V431,Q:Q)</f>
        <v>4580.2699999999995</v>
      </c>
      <c r="AM431" s="284"/>
      <c r="AN431" s="282">
        <f t="shared" si="60"/>
        <v>1138.2900000000009</v>
      </c>
      <c r="AO431" s="294">
        <f t="shared" si="54"/>
        <v>0.24852028373873178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 customHeight="1">
      <c r="A432" t="str">
        <f t="shared" si="4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+SUM(START:END!Z432)</f>
        <v>0</v>
      </c>
      <c r="AA432" s="279"/>
      <c r="AB432" s="279">
        <f>IF(AC432=0,0,AC432/(G$13+G$97))</f>
        <v>0</v>
      </c>
      <c r="AC432" s="282">
        <f>+SUM(START:END!AC432)</f>
        <v>0</v>
      </c>
      <c r="AD432" s="288"/>
      <c r="AE432" s="287"/>
      <c r="AF432" s="280">
        <f>+SUM(START:END!AF432)</f>
        <v>0</v>
      </c>
      <c r="AG432" s="281"/>
      <c r="AH432" s="282">
        <f t="shared" si="64"/>
        <v>0</v>
      </c>
      <c r="AI432" s="283">
        <f t="shared" si="62"/>
        <v>0</v>
      </c>
      <c r="AJ432" s="288"/>
      <c r="AK432" s="279">
        <f>AL432/(O$13+O$97)</f>
        <v>0</v>
      </c>
      <c r="AL432" s="280"/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4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0.40749419107786344</v>
      </c>
      <c r="Y433" s="297"/>
      <c r="Z433" s="299">
        <f>SUM(Z420:Z432)</f>
        <v>483212.96121485234</v>
      </c>
      <c r="AA433" s="298" t="e">
        <f>AC433/AC407</f>
        <v>#DIV/0!</v>
      </c>
      <c r="AB433" s="297"/>
      <c r="AC433" s="299">
        <f>SUM(AC420:AC432)</f>
        <v>0</v>
      </c>
      <c r="AD433" s="300">
        <f>AF433/AF407</f>
        <v>0.38457976396218901</v>
      </c>
      <c r="AE433" s="307"/>
      <c r="AF433" s="299">
        <f>SUM(AF420:AF432)</f>
        <v>514911.85000000003</v>
      </c>
      <c r="AG433" s="308"/>
      <c r="AH433" s="302">
        <f t="shared" si="64"/>
        <v>31698.88878514769</v>
      </c>
      <c r="AI433" s="298">
        <f>AH433/Z433</f>
        <v>6.5600245294441348E-2</v>
      </c>
      <c r="AJ433" s="300">
        <f>IF($AL$407=0,0,AL433/$AL$407)</f>
        <v>0.40693347862257528</v>
      </c>
      <c r="AK433" s="297"/>
      <c r="AL433" s="299">
        <f>SUM(AL420:AL432)</f>
        <v>453513.74999999994</v>
      </c>
      <c r="AM433" s="309"/>
      <c r="AN433" s="302">
        <f t="shared" ref="AN433:AN447" si="65">AF433-AL433</f>
        <v>61398.100000000093</v>
      </c>
      <c r="AO433" s="277">
        <f>IF(AL433=0,0,AN433/AL433)</f>
        <v>0.13538310580439974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4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133</v>
      </c>
      <c r="X434" s="312"/>
      <c r="Y434" s="312"/>
      <c r="Z434" s="313">
        <f>+SUM(START:END!Z434)</f>
        <v>27124.469938995899</v>
      </c>
      <c r="AA434" s="312"/>
      <c r="AB434" s="312">
        <f t="shared" ref="AB434:AB451" si="66">IF(AC434=0,0,AC434/(G$13+G$97))</f>
        <v>0</v>
      </c>
      <c r="AC434" s="313">
        <f>+SUM(START:END!AC434)</f>
        <v>0</v>
      </c>
      <c r="AD434" s="314"/>
      <c r="AE434" s="315"/>
      <c r="AF434" s="313">
        <f>+SUM(START:END!AF434)</f>
        <v>38232.649999999994</v>
      </c>
      <c r="AG434" s="314"/>
      <c r="AH434" s="316">
        <f t="shared" si="64"/>
        <v>11108.180061004095</v>
      </c>
      <c r="AI434" s="317">
        <f t="shared" ref="AI434:AI451" si="67">IF(Z434=0,0,AH434/Z434)</f>
        <v>0.40952616165355016</v>
      </c>
      <c r="AJ434" s="314"/>
      <c r="AK434" s="312"/>
      <c r="AL434" s="313">
        <f t="shared" ref="AL434:AL449" si="68">+SUMIF($C:$C,$V434,Q:Q)</f>
        <v>30860.49</v>
      </c>
      <c r="AM434" s="318"/>
      <c r="AN434" s="316">
        <f t="shared" si="65"/>
        <v>7372.1599999999926</v>
      </c>
      <c r="AO434" s="285">
        <f t="shared" ref="AO434:AO447" si="69">IF(AL434=0,0,AN434/AL434)</f>
        <v>0.2388866800235509</v>
      </c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4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144</v>
      </c>
      <c r="X435" s="279"/>
      <c r="Y435" s="279"/>
      <c r="Z435" s="280">
        <f>+SUM(START:END!Z435)</f>
        <v>11895</v>
      </c>
      <c r="AA435" s="279"/>
      <c r="AB435" s="279">
        <f t="shared" si="66"/>
        <v>0</v>
      </c>
      <c r="AC435" s="280">
        <f>+SUM(START:END!AC435)</f>
        <v>0</v>
      </c>
      <c r="AD435" s="288"/>
      <c r="AE435" s="287"/>
      <c r="AF435" s="280">
        <f>+SUM(START:END!AF435)</f>
        <v>9941.8900000000012</v>
      </c>
      <c r="AG435" s="281"/>
      <c r="AH435" s="282">
        <f t="shared" si="64"/>
        <v>-1953.1099999999988</v>
      </c>
      <c r="AI435" s="283">
        <f t="shared" si="67"/>
        <v>-0.16419588062211002</v>
      </c>
      <c r="AJ435" s="288"/>
      <c r="AK435" s="279"/>
      <c r="AL435" s="280">
        <f t="shared" si="68"/>
        <v>11455.029999999979</v>
      </c>
      <c r="AM435" s="284"/>
      <c r="AN435" s="282">
        <f t="shared" si="65"/>
        <v>-1513.1399999999776</v>
      </c>
      <c r="AO435" s="289">
        <f t="shared" si="69"/>
        <v>-0.13209393602635527</v>
      </c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4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145</v>
      </c>
      <c r="X436" s="263"/>
      <c r="Y436" s="263"/>
      <c r="Z436" s="264">
        <f>+SUM(START:END!Z436)</f>
        <v>45910</v>
      </c>
      <c r="AA436" s="263"/>
      <c r="AB436" s="263">
        <f t="shared" si="66"/>
        <v>0</v>
      </c>
      <c r="AC436" s="264">
        <f>+SUM(START:END!AC436)</f>
        <v>0</v>
      </c>
      <c r="AD436" s="292"/>
      <c r="AE436" s="291"/>
      <c r="AF436" s="264">
        <f>+SUM(START:END!AF436)</f>
        <v>67295.209999999992</v>
      </c>
      <c r="AG436" s="265"/>
      <c r="AH436" s="266">
        <f t="shared" si="64"/>
        <v>21385.209999999992</v>
      </c>
      <c r="AI436" s="293">
        <f t="shared" si="67"/>
        <v>0.46580723153996934</v>
      </c>
      <c r="AJ436" s="292"/>
      <c r="AK436" s="263"/>
      <c r="AL436" s="264">
        <f t="shared" si="68"/>
        <v>50828.00999999998</v>
      </c>
      <c r="AM436" s="268"/>
      <c r="AN436" s="266">
        <f t="shared" si="65"/>
        <v>16467.200000000012</v>
      </c>
      <c r="AO436" s="269">
        <f t="shared" si="69"/>
        <v>0.32397884552238065</v>
      </c>
      <c r="AP436" s="246"/>
      <c r="AQ436" s="246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4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146</v>
      </c>
      <c r="X437" s="279"/>
      <c r="Y437" s="279"/>
      <c r="Z437" s="280">
        <f>+SUM(START:END!Z437)</f>
        <v>42279</v>
      </c>
      <c r="AA437" s="279"/>
      <c r="AB437" s="279">
        <f t="shared" si="66"/>
        <v>0</v>
      </c>
      <c r="AC437" s="280">
        <f>+SUM(START:END!AC437)</f>
        <v>0</v>
      </c>
      <c r="AD437" s="288"/>
      <c r="AE437" s="287"/>
      <c r="AF437" s="280">
        <f>+SUM(START:END!AF437)</f>
        <v>43183.33</v>
      </c>
      <c r="AG437" s="281"/>
      <c r="AH437" s="282">
        <f>AF437-Z437</f>
        <v>904.33000000000175</v>
      </c>
      <c r="AI437" s="283">
        <f t="shared" si="67"/>
        <v>2.1389578750680049E-2</v>
      </c>
      <c r="AJ437" s="288"/>
      <c r="AK437" s="279"/>
      <c r="AL437" s="280">
        <f t="shared" si="68"/>
        <v>43196.789999999994</v>
      </c>
      <c r="AM437" s="284"/>
      <c r="AN437" s="282">
        <f t="shared" si="65"/>
        <v>-13.459999999991851</v>
      </c>
      <c r="AO437" s="289">
        <f t="shared" si="69"/>
        <v>-3.1159722747898291E-4</v>
      </c>
      <c r="AP437" s="485"/>
      <c r="AQ437" s="246"/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4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147</v>
      </c>
      <c r="X438" s="279"/>
      <c r="Y438" s="279"/>
      <c r="Z438" s="280">
        <f>+SUM(START:END!Z438)</f>
        <v>5484</v>
      </c>
      <c r="AA438" s="279"/>
      <c r="AB438" s="279">
        <f t="shared" si="66"/>
        <v>0</v>
      </c>
      <c r="AC438" s="280">
        <f>+SUM(START:END!AC438)</f>
        <v>0</v>
      </c>
      <c r="AD438" s="288"/>
      <c r="AE438" s="287"/>
      <c r="AF438" s="280">
        <f>+SUM(START:END!AF438)</f>
        <v>5984.7300000000014</v>
      </c>
      <c r="AG438" s="281"/>
      <c r="AH438" s="282">
        <f t="shared" si="64"/>
        <v>500.73000000000138</v>
      </c>
      <c r="AI438" s="283">
        <f t="shared" si="67"/>
        <v>9.1307439824945547E-2</v>
      </c>
      <c r="AJ438" s="288"/>
      <c r="AK438" s="279"/>
      <c r="AL438" s="280">
        <f t="shared" si="68"/>
        <v>6954.3300000000008</v>
      </c>
      <c r="AM438" s="284"/>
      <c r="AN438" s="282">
        <f t="shared" si="65"/>
        <v>-969.59999999999945</v>
      </c>
      <c r="AO438" s="289">
        <f t="shared" si="69"/>
        <v>-0.13942392725107944</v>
      </c>
      <c r="AP438" s="485"/>
      <c r="AQ438" s="246"/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4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148</v>
      </c>
      <c r="X439" s="279"/>
      <c r="Y439" s="279"/>
      <c r="Z439" s="280">
        <f>+SUM(START:END!Z439)</f>
        <v>32898.000000000007</v>
      </c>
      <c r="AA439" s="279"/>
      <c r="AB439" s="279">
        <f t="shared" si="66"/>
        <v>0</v>
      </c>
      <c r="AC439" s="280">
        <f>+SUM(START:END!AC439)</f>
        <v>0</v>
      </c>
      <c r="AD439" s="288"/>
      <c r="AE439" s="287"/>
      <c r="AF439" s="280">
        <f>+SUM(START:END!AF439)</f>
        <v>38270.849999999991</v>
      </c>
      <c r="AG439" s="281"/>
      <c r="AH439" s="282">
        <f t="shared" si="64"/>
        <v>5372.849999999984</v>
      </c>
      <c r="AI439" s="283">
        <f t="shared" si="67"/>
        <v>0.16331843881086944</v>
      </c>
      <c r="AJ439" s="288"/>
      <c r="AK439" s="279"/>
      <c r="AL439" s="280">
        <f t="shared" si="68"/>
        <v>32000.34</v>
      </c>
      <c r="AM439" s="284"/>
      <c r="AN439" s="282">
        <f t="shared" si="65"/>
        <v>6270.5099999999911</v>
      </c>
      <c r="AO439" s="289">
        <f t="shared" si="69"/>
        <v>0.19595135551684736</v>
      </c>
      <c r="AP439" s="246"/>
      <c r="AQ439" s="246"/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>+SUM(START:END!Z440)</f>
        <v>0</v>
      </c>
      <c r="AA440" s="320"/>
      <c r="AB440" s="320">
        <f t="shared" si="66"/>
        <v>0</v>
      </c>
      <c r="AC440" s="321">
        <f>+SUM(START:END!AC440)</f>
        <v>0</v>
      </c>
      <c r="AD440" s="322"/>
      <c r="AE440" s="323"/>
      <c r="AF440" s="321">
        <f>+SUM(START:END!AF440)</f>
        <v>0</v>
      </c>
      <c r="AG440" s="324"/>
      <c r="AH440" s="325">
        <f t="shared" si="64"/>
        <v>0</v>
      </c>
      <c r="AI440" s="326">
        <f t="shared" si="67"/>
        <v>0</v>
      </c>
      <c r="AJ440" s="322"/>
      <c r="AK440" s="320"/>
      <c r="AL440" s="321">
        <f t="shared" si="68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4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>+SUM(START:END!Z441)</f>
        <v>3869.7488483345142</v>
      </c>
      <c r="AA441" s="279"/>
      <c r="AB441" s="287">
        <f t="shared" si="66"/>
        <v>0</v>
      </c>
      <c r="AC441" s="280">
        <f>+SUM(START:END!AC441)</f>
        <v>0</v>
      </c>
      <c r="AD441" s="288"/>
      <c r="AE441" s="287"/>
      <c r="AF441" s="280">
        <f>+SUM(START:END!AF441)</f>
        <v>7189.83</v>
      </c>
      <c r="AG441" s="281"/>
      <c r="AH441" s="282">
        <f t="shared" si="64"/>
        <v>3320.0811516654858</v>
      </c>
      <c r="AI441" s="283">
        <f t="shared" si="67"/>
        <v>0.85795778532097822</v>
      </c>
      <c r="AJ441" s="288"/>
      <c r="AK441" s="279"/>
      <c r="AL441" s="280">
        <f t="shared" si="68"/>
        <v>8770.94</v>
      </c>
      <c r="AM441" s="284"/>
      <c r="AN441" s="282">
        <f t="shared" si="65"/>
        <v>-1581.1100000000006</v>
      </c>
      <c r="AO441" s="289">
        <f t="shared" si="69"/>
        <v>-0.18026688131488763</v>
      </c>
      <c r="AP441" s="246"/>
      <c r="AQ441" s="246"/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4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150</v>
      </c>
      <c r="X442" s="279"/>
      <c r="Y442" s="279"/>
      <c r="Z442" s="280">
        <f>+SUM(START:END!Z442)</f>
        <v>3009</v>
      </c>
      <c r="AA442" s="279"/>
      <c r="AB442" s="279">
        <f t="shared" si="66"/>
        <v>0</v>
      </c>
      <c r="AC442" s="280">
        <f>+SUM(START:END!AC442)</f>
        <v>0</v>
      </c>
      <c r="AD442" s="288"/>
      <c r="AE442" s="287"/>
      <c r="AF442" s="280">
        <f>+SUM(START:END!AF442)</f>
        <v>4008.66</v>
      </c>
      <c r="AG442" s="281"/>
      <c r="AH442" s="282">
        <f t="shared" si="64"/>
        <v>999.65999999999985</v>
      </c>
      <c r="AI442" s="306">
        <f t="shared" si="67"/>
        <v>0.33222333000997006</v>
      </c>
      <c r="AJ442" s="288"/>
      <c r="AK442" s="279"/>
      <c r="AL442" s="280">
        <f t="shared" si="68"/>
        <v>3734.0299999999997</v>
      </c>
      <c r="AM442" s="284"/>
      <c r="AN442" s="282">
        <f t="shared" si="65"/>
        <v>274.63000000000011</v>
      </c>
      <c r="AO442" s="289">
        <f t="shared" si="69"/>
        <v>7.3547882582625235E-2</v>
      </c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4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>+SUM(START:END!Z443)</f>
        <v>5250</v>
      </c>
      <c r="AA443" s="279"/>
      <c r="AB443" s="279">
        <f t="shared" si="66"/>
        <v>0</v>
      </c>
      <c r="AC443" s="280">
        <f>+SUM(START:END!AC443)</f>
        <v>0</v>
      </c>
      <c r="AD443" s="288"/>
      <c r="AE443" s="287"/>
      <c r="AF443" s="280">
        <f>+SUM(START:END!AF443)</f>
        <v>4622.3600000000006</v>
      </c>
      <c r="AG443" s="281"/>
      <c r="AH443" s="282">
        <f t="shared" si="64"/>
        <v>-627.63999999999942</v>
      </c>
      <c r="AI443" s="283">
        <f t="shared" si="67"/>
        <v>-0.11955047619047608</v>
      </c>
      <c r="AJ443" s="288"/>
      <c r="AK443" s="279"/>
      <c r="AL443" s="280">
        <f t="shared" si="68"/>
        <v>3949.29</v>
      </c>
      <c r="AM443" s="284"/>
      <c r="AN443" s="282">
        <f t="shared" si="65"/>
        <v>673.07000000000062</v>
      </c>
      <c r="AO443" s="289">
        <f t="shared" si="69"/>
        <v>0.1704281022664835</v>
      </c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4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152</v>
      </c>
      <c r="X444" s="279"/>
      <c r="Y444" s="279"/>
      <c r="Z444" s="280">
        <f>+SUM(START:END!Z444)</f>
        <v>1536</v>
      </c>
      <c r="AA444" s="279"/>
      <c r="AB444" s="279">
        <f t="shared" si="66"/>
        <v>0</v>
      </c>
      <c r="AC444" s="280">
        <f>+SUM(START:END!AC444)</f>
        <v>0</v>
      </c>
      <c r="AD444" s="288"/>
      <c r="AE444" s="287"/>
      <c r="AF444" s="280">
        <f>+SUM(START:END!AF444)</f>
        <v>1934.54</v>
      </c>
      <c r="AG444" s="281"/>
      <c r="AH444" s="282">
        <f t="shared" si="64"/>
        <v>398.53999999999996</v>
      </c>
      <c r="AI444" s="306">
        <f t="shared" si="67"/>
        <v>0.25946614583333333</v>
      </c>
      <c r="AJ444" s="288"/>
      <c r="AK444" s="279"/>
      <c r="AL444" s="280">
        <f t="shared" si="68"/>
        <v>1526.75</v>
      </c>
      <c r="AM444" s="284"/>
      <c r="AN444" s="282">
        <f t="shared" si="65"/>
        <v>407.78999999999996</v>
      </c>
      <c r="AO444" s="289">
        <f t="shared" si="69"/>
        <v>0.26709677419354838</v>
      </c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4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153</v>
      </c>
      <c r="X445" s="279"/>
      <c r="Y445" s="279"/>
      <c r="Z445" s="280">
        <f>+SUM(START:END!Z445)</f>
        <v>2625</v>
      </c>
      <c r="AA445" s="279"/>
      <c r="AB445" s="279">
        <f t="shared" si="66"/>
        <v>0</v>
      </c>
      <c r="AC445" s="280">
        <f>+SUM(START:END!AC445)</f>
        <v>0</v>
      </c>
      <c r="AD445" s="288"/>
      <c r="AE445" s="287"/>
      <c r="AF445" s="280">
        <f>+SUM(START:END!AF445)</f>
        <v>3659.6</v>
      </c>
      <c r="AG445" s="281"/>
      <c r="AH445" s="282">
        <f t="shared" si="64"/>
        <v>1034.5999999999999</v>
      </c>
      <c r="AI445" s="283">
        <f t="shared" si="67"/>
        <v>0.39413333333333328</v>
      </c>
      <c r="AJ445" s="288"/>
      <c r="AK445" s="279"/>
      <c r="AL445" s="280">
        <f t="shared" si="68"/>
        <v>4723.76</v>
      </c>
      <c r="AM445" s="284"/>
      <c r="AN445" s="282">
        <f t="shared" si="65"/>
        <v>-1064.1600000000003</v>
      </c>
      <c r="AO445" s="289">
        <f t="shared" si="69"/>
        <v>-0.22527816823886063</v>
      </c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4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154</v>
      </c>
      <c r="X446" s="279"/>
      <c r="Y446" s="287"/>
      <c r="Z446" s="280">
        <f>+SUM(START:END!Z446)</f>
        <v>5574</v>
      </c>
      <c r="AA446" s="279"/>
      <c r="AB446" s="287">
        <f t="shared" si="66"/>
        <v>0</v>
      </c>
      <c r="AC446" s="280">
        <f>+SUM(START:END!AC446)</f>
        <v>0</v>
      </c>
      <c r="AD446" s="288"/>
      <c r="AE446" s="287"/>
      <c r="AF446" s="280">
        <f>+SUM(START:END!AF446)</f>
        <v>4720.99</v>
      </c>
      <c r="AG446" s="281"/>
      <c r="AH446" s="282">
        <f t="shared" si="64"/>
        <v>-853.01000000000022</v>
      </c>
      <c r="AI446" s="306">
        <f t="shared" si="67"/>
        <v>-0.15303372802296381</v>
      </c>
      <c r="AJ446" s="288"/>
      <c r="AK446" s="279"/>
      <c r="AL446" s="280">
        <f t="shared" si="68"/>
        <v>5712.01</v>
      </c>
      <c r="AM446" s="284"/>
      <c r="AN446" s="282">
        <f t="shared" si="65"/>
        <v>-991.02000000000044</v>
      </c>
      <c r="AO446" s="289">
        <f t="shared" si="69"/>
        <v>-0.17349759541737503</v>
      </c>
      <c r="AP446" s="246"/>
      <c r="AQ446" s="246"/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4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155</v>
      </c>
      <c r="X447" s="279"/>
      <c r="Y447" s="287"/>
      <c r="Z447" s="280">
        <f>+SUM(START:END!Z447)</f>
        <v>7829.703199999999</v>
      </c>
      <c r="AA447" s="279"/>
      <c r="AB447" s="287">
        <f t="shared" si="66"/>
        <v>0</v>
      </c>
      <c r="AC447" s="280">
        <f>+SUM(START:END!AC447)</f>
        <v>0</v>
      </c>
      <c r="AD447" s="288"/>
      <c r="AE447" s="287"/>
      <c r="AF447" s="280">
        <f>+SUM(START:END!AF447)</f>
        <v>5812.4499999999989</v>
      </c>
      <c r="AG447" s="281"/>
      <c r="AH447" s="282">
        <f t="shared" si="64"/>
        <v>-2017.2532000000001</v>
      </c>
      <c r="AI447" s="283">
        <f t="shared" si="67"/>
        <v>-0.25764108146525916</v>
      </c>
      <c r="AJ447" s="288"/>
      <c r="AK447" s="279"/>
      <c r="AL447" s="280">
        <f t="shared" si="68"/>
        <v>10381.17</v>
      </c>
      <c r="AM447" s="284"/>
      <c r="AN447" s="282">
        <f t="shared" si="65"/>
        <v>-4568.7200000000012</v>
      </c>
      <c r="AO447" s="289">
        <f t="shared" si="69"/>
        <v>-0.44009682916280163</v>
      </c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4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156</v>
      </c>
      <c r="X448" s="279"/>
      <c r="Y448" s="287"/>
      <c r="Z448" s="280">
        <f>+SUM(START:END!Z448)</f>
        <v>14579.651044376735</v>
      </c>
      <c r="AA448" s="279"/>
      <c r="AB448" s="287">
        <f t="shared" si="66"/>
        <v>0</v>
      </c>
      <c r="AC448" s="280">
        <f>+SUM(START:END!AC448)</f>
        <v>0</v>
      </c>
      <c r="AD448" s="288"/>
      <c r="AE448" s="287"/>
      <c r="AF448" s="280">
        <f>+SUM(START:END!AF448)</f>
        <v>25098.25</v>
      </c>
      <c r="AG448" s="281"/>
      <c r="AH448" s="282">
        <f t="shared" si="64"/>
        <v>10518.598955623265</v>
      </c>
      <c r="AI448" s="283">
        <f t="shared" si="67"/>
        <v>0.72145752484797721</v>
      </c>
      <c r="AJ448" s="288"/>
      <c r="AK448" s="279"/>
      <c r="AL448" s="280">
        <f>+SUM(START:END!AL448)</f>
        <v>18133.72</v>
      </c>
      <c r="AM448" s="284"/>
      <c r="AN448" s="282">
        <f>AF448-AL448</f>
        <v>6964.5299999999988</v>
      </c>
      <c r="AO448" s="289">
        <f>IF(AL448=0,0,AN448/AL448)</f>
        <v>0.38406515596358598</v>
      </c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49"/>
        <v>Mitsubishi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202</v>
      </c>
      <c r="W449" s="286"/>
      <c r="X449" s="279"/>
      <c r="Y449" s="287"/>
      <c r="Z449" s="282">
        <f>+SUM(START:END!Z449)</f>
        <v>0</v>
      </c>
      <c r="AA449" s="279"/>
      <c r="AB449" s="279">
        <f t="shared" si="66"/>
        <v>0</v>
      </c>
      <c r="AC449" s="282">
        <f>+SUM(START:END!AC449)</f>
        <v>0</v>
      </c>
      <c r="AD449" s="288"/>
      <c r="AE449" s="287"/>
      <c r="AF449" s="280">
        <f>+SUM(START:END!AF449)</f>
        <v>0</v>
      </c>
      <c r="AG449" s="281"/>
      <c r="AH449" s="282">
        <f t="shared" si="64"/>
        <v>0</v>
      </c>
      <c r="AI449" s="283">
        <f t="shared" si="67"/>
        <v>0</v>
      </c>
      <c r="AJ449" s="288"/>
      <c r="AK449" s="279"/>
      <c r="AL449" s="280">
        <f t="shared" si="68"/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4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+SUM(START:END!Z450)</f>
        <v>0</v>
      </c>
      <c r="AA450" s="279"/>
      <c r="AB450" s="279">
        <f t="shared" si="66"/>
        <v>0</v>
      </c>
      <c r="AC450" s="282">
        <f>+SUM(START:END!AC450)</f>
        <v>0</v>
      </c>
      <c r="AD450" s="288"/>
      <c r="AE450" s="287"/>
      <c r="AF450" s="280">
        <f>+SUM(START:END!AF450)</f>
        <v>0</v>
      </c>
      <c r="AG450" s="281"/>
      <c r="AH450" s="282">
        <f t="shared" si="64"/>
        <v>0</v>
      </c>
      <c r="AI450" s="283">
        <f t="shared" si="67"/>
        <v>0</v>
      </c>
      <c r="AJ450" s="288"/>
      <c r="AK450" s="279"/>
      <c r="AL450" s="280"/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4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+SUM(START:END!Z451)</f>
        <v>0</v>
      </c>
      <c r="AA451" s="279"/>
      <c r="AB451" s="279">
        <f t="shared" si="66"/>
        <v>0</v>
      </c>
      <c r="AC451" s="282">
        <f>+SUM(START:END!AC451)</f>
        <v>0</v>
      </c>
      <c r="AD451" s="288"/>
      <c r="AE451" s="287"/>
      <c r="AF451" s="280">
        <f>+SUM(START:END!AF451)</f>
        <v>0</v>
      </c>
      <c r="AG451" s="281"/>
      <c r="AH451" s="282">
        <f t="shared" si="64"/>
        <v>0</v>
      </c>
      <c r="AI451" s="283">
        <f t="shared" si="67"/>
        <v>0</v>
      </c>
      <c r="AJ451" s="288"/>
      <c r="AK451" s="279"/>
      <c r="AL451" s="280"/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4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0.17697825553822724</v>
      </c>
      <c r="Y452" s="297"/>
      <c r="Z452" s="299">
        <f>+SUM(Z434:Z451)</f>
        <v>209863.57303170714</v>
      </c>
      <c r="AA452" s="298" t="e">
        <f>AC452/+AC407</f>
        <v>#DIV/0!</v>
      </c>
      <c r="AB452" s="297"/>
      <c r="AC452" s="299">
        <f>+SUM(START:END!AC451)</f>
        <v>0</v>
      </c>
      <c r="AD452" s="300">
        <f>AF452/AF407</f>
        <v>0.19415665671300938</v>
      </c>
      <c r="AE452" s="297"/>
      <c r="AF452" s="299">
        <f>+SUM(AF434:AF451)</f>
        <v>259955.33999999997</v>
      </c>
      <c r="AG452" s="308"/>
      <c r="AH452" s="302">
        <f>+SUM(AH434:AH451)</f>
        <v>50091.766968292824</v>
      </c>
      <c r="AI452" s="298">
        <f>AH452/Z452</f>
        <v>0.23868728738705278</v>
      </c>
      <c r="AJ452" s="300">
        <f>IF($AL$407=0,0,AL452/$AL$407)</f>
        <v>0.20837472421222522</v>
      </c>
      <c r="AK452" s="298"/>
      <c r="AL452" s="299">
        <f>+SUM(AL434:AL451)</f>
        <v>232226.65999999997</v>
      </c>
      <c r="AM452" s="309"/>
      <c r="AN452" s="302">
        <f>+SUM(AN434:AN451)</f>
        <v>27728.680000000026</v>
      </c>
      <c r="AO452" s="331">
        <f>IF(AL452=0,0,AN452/AL452)</f>
        <v>0.11940351723613486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4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f>+SUM(START:END!Z453)</f>
        <v>150000</v>
      </c>
      <c r="AA453" s="279"/>
      <c r="AB453" s="287">
        <f t="shared" ref="AB453:AB462" si="70">IF(AC453=0,0,AC453/(G$13+G$97))</f>
        <v>0</v>
      </c>
      <c r="AC453" s="280">
        <f>+SUM(START:END!AC453)</f>
        <v>0</v>
      </c>
      <c r="AD453" s="288"/>
      <c r="AE453" s="287"/>
      <c r="AF453" s="280">
        <f>+SUM(START:END!AF453)</f>
        <v>150000</v>
      </c>
      <c r="AG453" s="281"/>
      <c r="AH453" s="282">
        <f t="shared" ref="AH453:AH461" si="71">AF453-Z453</f>
        <v>0</v>
      </c>
      <c r="AI453" s="283">
        <f t="shared" ref="AI453:AI461" si="72">IF(Z453=0,0,AH453/Z453)</f>
        <v>0</v>
      </c>
      <c r="AJ453" s="288"/>
      <c r="AK453" s="279"/>
      <c r="AL453" s="280">
        <f>+SUM(START:END!AL453)</f>
        <v>150000</v>
      </c>
      <c r="AM453" s="284"/>
      <c r="AN453" s="282">
        <f>AF453-AL453</f>
        <v>0</v>
      </c>
      <c r="AO453" s="289">
        <f t="shared" ref="AO453:AO461" si="73">IF(AL453=0,0,AN453/AL453)</f>
        <v>0</v>
      </c>
      <c r="AP453" s="246"/>
      <c r="AQ453" s="48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4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f>+SUM(START:END!Z454)</f>
        <v>17616.420000000002</v>
      </c>
      <c r="AA454" s="279"/>
      <c r="AB454" s="287">
        <f t="shared" si="70"/>
        <v>0</v>
      </c>
      <c r="AC454" s="280">
        <f>+SUM(START:END!AC454)</f>
        <v>0</v>
      </c>
      <c r="AD454" s="288"/>
      <c r="AE454" s="287"/>
      <c r="AF454" s="280">
        <f>+SUM(START:END!AF454)</f>
        <v>16606.53</v>
      </c>
      <c r="AG454" s="281"/>
      <c r="AH454" s="282">
        <f t="shared" si="71"/>
        <v>-1009.8900000000031</v>
      </c>
      <c r="AI454" s="283">
        <f t="shared" si="72"/>
        <v>-5.7326630495867094E-2</v>
      </c>
      <c r="AJ454" s="288"/>
      <c r="AK454" s="279"/>
      <c r="AL454" s="280">
        <f>+SUM(START:END!AL454)</f>
        <v>16858.98</v>
      </c>
      <c r="AM454" s="284"/>
      <c r="AN454" s="282">
        <f t="shared" ref="AN454:AN461" si="74">AF454-AL454</f>
        <v>-252.45000000000073</v>
      </c>
      <c r="AO454" s="289">
        <f t="shared" si="73"/>
        <v>-1.4974215521935534E-2</v>
      </c>
      <c r="AP454" s="246"/>
      <c r="AQ454" s="48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4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f>+SUM(START:END!Z455)</f>
        <v>7549.89</v>
      </c>
      <c r="AA455" s="263"/>
      <c r="AB455" s="291">
        <f t="shared" si="70"/>
        <v>0</v>
      </c>
      <c r="AC455" s="264">
        <f>+SUM(START:END!AC455)</f>
        <v>0</v>
      </c>
      <c r="AD455" s="292"/>
      <c r="AE455" s="291"/>
      <c r="AF455" s="264">
        <f>+SUM(START:END!AF455)</f>
        <v>7117.07</v>
      </c>
      <c r="AG455" s="265"/>
      <c r="AH455" s="266">
        <f t="shared" si="71"/>
        <v>-432.82000000000062</v>
      </c>
      <c r="AI455" s="293">
        <f t="shared" si="72"/>
        <v>-5.7327987560083733E-2</v>
      </c>
      <c r="AJ455" s="292"/>
      <c r="AK455" s="263"/>
      <c r="AL455" s="264">
        <f>+SUM(START:END!AL455)</f>
        <v>7225.2899999999991</v>
      </c>
      <c r="AM455" s="268"/>
      <c r="AN455" s="266">
        <f t="shared" si="74"/>
        <v>-108.21999999999935</v>
      </c>
      <c r="AO455" s="269">
        <f t="shared" si="73"/>
        <v>-1.4977945521909758E-2</v>
      </c>
      <c r="AP455" s="246"/>
      <c r="AQ455" s="48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4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f>+SUM(START:END!Z456)</f>
        <v>0</v>
      </c>
      <c r="AA456" s="279"/>
      <c r="AB456" s="287">
        <f t="shared" si="70"/>
        <v>0</v>
      </c>
      <c r="AC456" s="280">
        <f>+SUM(START:END!AC456)</f>
        <v>0</v>
      </c>
      <c r="AD456" s="288"/>
      <c r="AE456" s="287"/>
      <c r="AF456" s="280">
        <f>+SUM(START:END!AF456)</f>
        <v>0</v>
      </c>
      <c r="AG456" s="281"/>
      <c r="AH456" s="282">
        <f t="shared" si="71"/>
        <v>0</v>
      </c>
      <c r="AI456" s="283">
        <f t="shared" si="72"/>
        <v>0</v>
      </c>
      <c r="AJ456" s="288"/>
      <c r="AK456" s="279"/>
      <c r="AL456" s="280">
        <f>+SUM(START:END!AL456)</f>
        <v>0</v>
      </c>
      <c r="AM456" s="284"/>
      <c r="AN456" s="282">
        <f t="shared" si="74"/>
        <v>0</v>
      </c>
      <c r="AO456" s="289">
        <f t="shared" si="7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4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f>+SUM(START:END!Z457)</f>
        <v>13049.25</v>
      </c>
      <c r="AA457" s="263"/>
      <c r="AB457" s="291">
        <f t="shared" si="70"/>
        <v>0</v>
      </c>
      <c r="AC457" s="264">
        <f>+SUM(START:END!AC457)</f>
        <v>0</v>
      </c>
      <c r="AD457" s="292"/>
      <c r="AE457" s="291"/>
      <c r="AF457" s="264">
        <f>+SUM(START:END!AF457)</f>
        <v>13049.25</v>
      </c>
      <c r="AG457" s="265"/>
      <c r="AH457" s="266">
        <f t="shared" si="71"/>
        <v>0</v>
      </c>
      <c r="AI457" s="293">
        <f t="shared" si="72"/>
        <v>0</v>
      </c>
      <c r="AJ457" s="292"/>
      <c r="AK457" s="263"/>
      <c r="AL457" s="264">
        <f>+SUM(START:END!AL457)</f>
        <v>14316</v>
      </c>
      <c r="AM457" s="268"/>
      <c r="AN457" s="266">
        <f t="shared" si="74"/>
        <v>-1266.75</v>
      </c>
      <c r="AO457" s="269">
        <f t="shared" si="73"/>
        <v>-8.8484911986588435E-2</v>
      </c>
      <c r="AP457" s="246"/>
      <c r="AQ457" s="48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4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f>+SUM(START:END!Z458)</f>
        <v>13800</v>
      </c>
      <c r="AA458" s="332"/>
      <c r="AB458" s="333">
        <f t="shared" si="70"/>
        <v>0</v>
      </c>
      <c r="AC458" s="280">
        <f>+SUM(START:END!AC458)</f>
        <v>0</v>
      </c>
      <c r="AD458" s="288"/>
      <c r="AE458" s="287"/>
      <c r="AF458" s="280">
        <f>+SUM(START:END!AF458)</f>
        <v>13343.539999999999</v>
      </c>
      <c r="AG458" s="281"/>
      <c r="AH458" s="282">
        <f t="shared" si="71"/>
        <v>-456.46000000000095</v>
      </c>
      <c r="AI458" s="283">
        <f t="shared" si="72"/>
        <v>-3.3076811594202969E-2</v>
      </c>
      <c r="AJ458" s="288"/>
      <c r="AK458" s="279"/>
      <c r="AL458" s="280">
        <f>+SUM(START:END!AL458)</f>
        <v>13720.3</v>
      </c>
      <c r="AM458" s="284"/>
      <c r="AN458" s="282">
        <f t="shared" si="74"/>
        <v>-376.76000000000022</v>
      </c>
      <c r="AO458" s="289">
        <f t="shared" si="73"/>
        <v>-2.746004096120349E-2</v>
      </c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4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169</v>
      </c>
      <c r="X459" s="279"/>
      <c r="Y459" s="287"/>
      <c r="Z459" s="280">
        <f>+SUM(START:END!Z459)</f>
        <v>19929</v>
      </c>
      <c r="AA459" s="279"/>
      <c r="AB459" s="287">
        <f t="shared" si="70"/>
        <v>0</v>
      </c>
      <c r="AC459" s="280">
        <f>+SUM(START:END!AC459)</f>
        <v>0</v>
      </c>
      <c r="AD459" s="288"/>
      <c r="AE459" s="287"/>
      <c r="AF459" s="280">
        <f>+SUM(START:END!AF459)</f>
        <v>18921.989999999998</v>
      </c>
      <c r="AG459" s="281"/>
      <c r="AH459" s="282">
        <f t="shared" si="71"/>
        <v>-1007.010000000002</v>
      </c>
      <c r="AI459" s="283">
        <f t="shared" si="72"/>
        <v>-5.0529881077826383E-2</v>
      </c>
      <c r="AJ459" s="288"/>
      <c r="AK459" s="279"/>
      <c r="AL459" s="280">
        <f>+SUM(START:END!AL459)</f>
        <v>19017.129999999997</v>
      </c>
      <c r="AM459" s="284"/>
      <c r="AN459" s="282">
        <f t="shared" si="74"/>
        <v>-95.139999999999418</v>
      </c>
      <c r="AO459" s="289">
        <f t="shared" si="73"/>
        <v>-5.0028579496485242E-3</v>
      </c>
      <c r="AP459" s="246"/>
      <c r="AQ459" s="48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4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171</v>
      </c>
      <c r="X460" s="263"/>
      <c r="Y460" s="291"/>
      <c r="Z460" s="264">
        <f>+SUM(START:END!Z460)</f>
        <v>1500</v>
      </c>
      <c r="AA460" s="263"/>
      <c r="AB460" s="291">
        <f t="shared" si="70"/>
        <v>0</v>
      </c>
      <c r="AC460" s="264">
        <f>+SUM(START:END!AC460)</f>
        <v>0</v>
      </c>
      <c r="AD460" s="292"/>
      <c r="AE460" s="291"/>
      <c r="AF460" s="264">
        <f>+SUM(START:END!AF460)</f>
        <v>493.57</v>
      </c>
      <c r="AG460" s="265"/>
      <c r="AH460" s="266">
        <f t="shared" si="71"/>
        <v>-1006.4300000000001</v>
      </c>
      <c r="AI460" s="293">
        <f t="shared" si="72"/>
        <v>-0.6709533333333334</v>
      </c>
      <c r="AJ460" s="292"/>
      <c r="AK460" s="263"/>
      <c r="AL460" s="264">
        <f>+SUM(START:END!AL460)</f>
        <v>0</v>
      </c>
      <c r="AM460" s="268"/>
      <c r="AN460" s="266">
        <f t="shared" si="74"/>
        <v>493.57</v>
      </c>
      <c r="AO460" s="269">
        <f t="shared" si="73"/>
        <v>0</v>
      </c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4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f>+SUM(START:END!Z461)</f>
        <v>825</v>
      </c>
      <c r="AA461" s="279"/>
      <c r="AB461" s="287">
        <f t="shared" si="70"/>
        <v>0</v>
      </c>
      <c r="AC461" s="280">
        <f>+SUM(START:END!AC461)</f>
        <v>0</v>
      </c>
      <c r="AD461" s="288"/>
      <c r="AE461" s="287"/>
      <c r="AF461" s="280">
        <f>+SUM(START:END!AF461)</f>
        <v>1322.14</v>
      </c>
      <c r="AG461" s="281"/>
      <c r="AH461" s="282">
        <f t="shared" si="71"/>
        <v>497.1400000000001</v>
      </c>
      <c r="AI461" s="335">
        <f t="shared" si="72"/>
        <v>0.60259393939393957</v>
      </c>
      <c r="AJ461" s="279"/>
      <c r="AK461" s="279"/>
      <c r="AL461" s="280">
        <f>+SUM(START:END!AL461)</f>
        <v>1015.399999999997</v>
      </c>
      <c r="AM461" s="284"/>
      <c r="AN461" s="282">
        <f t="shared" si="74"/>
        <v>306.74000000000308</v>
      </c>
      <c r="AO461" s="289">
        <f t="shared" si="73"/>
        <v>0.30208784715383491</v>
      </c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4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f>+SUM(START:END!Z462)</f>
        <v>0</v>
      </c>
      <c r="AA462" s="279"/>
      <c r="AB462" s="287">
        <f t="shared" si="70"/>
        <v>0</v>
      </c>
      <c r="AC462" s="280">
        <f>+SUM(START:END!AC462)</f>
        <v>0</v>
      </c>
      <c r="AD462" s="288"/>
      <c r="AE462" s="287"/>
      <c r="AF462" s="280">
        <f>+SUM(START:END!AF462)</f>
        <v>0</v>
      </c>
      <c r="AG462" s="281"/>
      <c r="AH462" s="282">
        <v>0</v>
      </c>
      <c r="AI462" s="306">
        <v>0</v>
      </c>
      <c r="AJ462" s="279"/>
      <c r="AK462" s="279"/>
      <c r="AL462" s="280">
        <f>+SUM(START:END!AL462)</f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4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+SUM(START:END!Z462)</f>
        <v>0</v>
      </c>
      <c r="AA463" s="279"/>
      <c r="AB463" s="279"/>
      <c r="AC463" s="282">
        <f>+SUM(START:END!AC462)</f>
        <v>0</v>
      </c>
      <c r="AD463" s="288"/>
      <c r="AE463" s="287"/>
      <c r="AF463" s="280">
        <f>+SUM(START:END!AF462)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+SUM(START:END!AL463)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4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+SUM(START:END!Z463)</f>
        <v>0</v>
      </c>
      <c r="AA464" s="279"/>
      <c r="AB464" s="279"/>
      <c r="AC464" s="282">
        <f>+SUM(START:END!AC463)</f>
        <v>0</v>
      </c>
      <c r="AD464" s="288"/>
      <c r="AE464" s="287"/>
      <c r="AF464" s="280">
        <f>+SUM(START:END!AF463)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+SUM(START:END!AL464)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4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+SUM(START:END!Z464)</f>
        <v>0</v>
      </c>
      <c r="AA465" s="279"/>
      <c r="AB465" s="279"/>
      <c r="AC465" s="282">
        <f>+SUM(START:END!AC464)</f>
        <v>0</v>
      </c>
      <c r="AD465" s="288"/>
      <c r="AE465" s="287"/>
      <c r="AF465" s="280">
        <f>+SUM(START:END!AF464)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+SUM(START:END!AL465)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4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0.18912684524402487</v>
      </c>
      <c r="Y466" s="297"/>
      <c r="Z466" s="299">
        <f>SUM(Z453:Z465)</f>
        <v>224269.56000000003</v>
      </c>
      <c r="AA466" s="298" t="e">
        <f>AC466/+AC407</f>
        <v>#DIV/0!</v>
      </c>
      <c r="AB466" s="297"/>
      <c r="AC466" s="299">
        <f>SUM(AC453:AC465)</f>
        <v>0</v>
      </c>
      <c r="AD466" s="300">
        <f>AF466/AF407</f>
        <v>0.16495253275348792</v>
      </c>
      <c r="AE466" s="297"/>
      <c r="AF466" s="299">
        <f>SUM(AF453:AF465)</f>
        <v>220854.09000000003</v>
      </c>
      <c r="AG466" s="308"/>
      <c r="AH466" s="302">
        <f>SUM(AH453:AH465)</f>
        <v>-3415.4700000000066</v>
      </c>
      <c r="AI466" s="298">
        <f>IF(Z466=0,0,AH466/Z466)</f>
        <v>-1.5229307089201076E-2</v>
      </c>
      <c r="AJ466" s="300">
        <f>IF($AL$407=0,0,AL466/$AL$407)</f>
        <v>0.19933581676363471</v>
      </c>
      <c r="AK466" s="298"/>
      <c r="AL466" s="299">
        <f>SUM(AL453:AL465)</f>
        <v>222153.1</v>
      </c>
      <c r="AM466" s="309"/>
      <c r="AN466" s="302">
        <f>SUM(AN453:AN465)</f>
        <v>-1299.0099999999966</v>
      </c>
      <c r="AO466" s="331">
        <f t="shared" ref="AO466:AO483" si="75">IF(AL466=0,0,AN466/AL466)</f>
        <v>-5.8473638225169785E-3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4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76">AF467-Z467</f>
        <v>0</v>
      </c>
      <c r="AI467" s="283"/>
      <c r="AJ467" s="288"/>
      <c r="AK467" s="279"/>
      <c r="AL467" s="336"/>
      <c r="AM467" s="337"/>
      <c r="AN467" s="282">
        <f t="shared" ref="AN467:AN483" si="77">AF467-AL467</f>
        <v>0</v>
      </c>
      <c r="AO467" s="338">
        <f t="shared" si="7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4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1.0456129297164456</v>
      </c>
      <c r="Y468" s="297"/>
      <c r="Z468" s="299">
        <f>Z419+Z433+Z452+Z466</f>
        <v>1239904.1044398046</v>
      </c>
      <c r="AA468" s="298" t="e">
        <f>AC468/+AC407</f>
        <v>#DIV/0!</v>
      </c>
      <c r="AB468" s="297"/>
      <c r="AC468" s="299">
        <f>AC419+AC433+AC452+AC466</f>
        <v>0</v>
      </c>
      <c r="AD468" s="300">
        <f>AF468/AF407</f>
        <v>1.0470208036731428</v>
      </c>
      <c r="AE468" s="297"/>
      <c r="AF468" s="299">
        <f>AF419+AF433+AF452+AF466</f>
        <v>1401850.72</v>
      </c>
      <c r="AG468" s="308"/>
      <c r="AH468" s="302">
        <f t="shared" si="76"/>
        <v>161946.61556019541</v>
      </c>
      <c r="AI468" s="298">
        <f>AH468/Z468</f>
        <v>0.13061221023489053</v>
      </c>
      <c r="AJ468" s="300">
        <f>IF($AL$407=0,0,AL468/$AL$407)</f>
        <v>1.1003616034954129</v>
      </c>
      <c r="AK468" s="298"/>
      <c r="AL468" s="299">
        <f>AL419+AL433+AL452+AL466</f>
        <v>1226316.2</v>
      </c>
      <c r="AM468" s="309"/>
      <c r="AN468" s="302">
        <f t="shared" si="77"/>
        <v>175534.52000000002</v>
      </c>
      <c r="AO468" s="277">
        <f t="shared" si="75"/>
        <v>0.14313968942104821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4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f>+SUM(START:END!Z469)</f>
        <v>2700</v>
      </c>
      <c r="AA469" s="339"/>
      <c r="AB469" s="340">
        <f t="shared" ref="AB469:AB477" si="78">IF(AC469=0,0,AC469/(G$13+G$97))</f>
        <v>0</v>
      </c>
      <c r="AC469" s="313">
        <f>+SUM(START:END!AC469)</f>
        <v>0</v>
      </c>
      <c r="AD469" s="341"/>
      <c r="AE469" s="340"/>
      <c r="AF469" s="280">
        <f>+SUM(START:END!AF469)</f>
        <v>3623.05</v>
      </c>
      <c r="AG469" s="342"/>
      <c r="AH469" s="282">
        <f t="shared" si="76"/>
        <v>923.05000000000018</v>
      </c>
      <c r="AI469" s="335">
        <f>IF(AH469=0,0,AH469/Z469)</f>
        <v>0.34187037037037044</v>
      </c>
      <c r="AJ469" s="341"/>
      <c r="AK469" s="339"/>
      <c r="AL469" s="343">
        <f>+SUM(START:END!AL469)</f>
        <v>3985.3199999999988</v>
      </c>
      <c r="AM469" s="344"/>
      <c r="AN469" s="282">
        <f t="shared" si="77"/>
        <v>-362.26999999999862</v>
      </c>
      <c r="AO469" s="289">
        <f t="shared" si="75"/>
        <v>-9.0901107062920594E-2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4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+SUM(START:END!Z470)</f>
        <v>91522.775384615408</v>
      </c>
      <c r="AA470" s="332"/>
      <c r="AB470" s="333">
        <f t="shared" si="78"/>
        <v>0</v>
      </c>
      <c r="AC470" s="280">
        <f>+SUM(START:END!AC470)</f>
        <v>0</v>
      </c>
      <c r="AD470" s="345"/>
      <c r="AE470" s="333"/>
      <c r="AF470" s="280">
        <f>+SUM(START:END!AF470)</f>
        <v>156388.6</v>
      </c>
      <c r="AG470" s="346"/>
      <c r="AH470" s="282">
        <f t="shared" si="76"/>
        <v>64865.824615384598</v>
      </c>
      <c r="AI470" s="306">
        <f>IF(Z470=0,0,AH470/Z470)</f>
        <v>0.70873970268922015</v>
      </c>
      <c r="AJ470" s="345"/>
      <c r="AK470" s="332"/>
      <c r="AL470" s="347">
        <f>+SUM(START:END!AL470)</f>
        <v>98013.200000000012</v>
      </c>
      <c r="AM470" s="348"/>
      <c r="AN470" s="282">
        <f t="shared" si="77"/>
        <v>58375.399999999994</v>
      </c>
      <c r="AO470" s="289">
        <f t="shared" si="75"/>
        <v>0.59558712499948974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4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>+SUM(START:END!Z471)</f>
        <v>80082.428461538497</v>
      </c>
      <c r="AA471" s="332"/>
      <c r="AB471" s="333">
        <f t="shared" si="78"/>
        <v>0</v>
      </c>
      <c r="AC471" s="280">
        <f>+SUM(START:END!AC471)</f>
        <v>0</v>
      </c>
      <c r="AD471" s="345"/>
      <c r="AE471" s="333"/>
      <c r="AF471" s="280">
        <f>+SUM(START:END!AF471)</f>
        <v>131386.59</v>
      </c>
      <c r="AG471" s="346"/>
      <c r="AH471" s="282">
        <f t="shared" si="76"/>
        <v>51304.1615384615</v>
      </c>
      <c r="AI471" s="306">
        <f t="shared" ref="AI471:AI480" si="79">IF(AH471=0,0,AH471/Z471)</f>
        <v>0.64064193012205606</v>
      </c>
      <c r="AJ471" s="345"/>
      <c r="AK471" s="332"/>
      <c r="AL471" s="347">
        <f>+SUM(START:END!AL471)</f>
        <v>100778.19</v>
      </c>
      <c r="AM471" s="348"/>
      <c r="AN471" s="282">
        <f t="shared" si="77"/>
        <v>30608.399999999994</v>
      </c>
      <c r="AO471" s="289">
        <f t="shared" si="75"/>
        <v>0.30372047761524584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4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+SUM(START:END!Z472)</f>
        <v>0</v>
      </c>
      <c r="AA472" s="332"/>
      <c r="AB472" s="333">
        <f t="shared" si="78"/>
        <v>0</v>
      </c>
      <c r="AC472" s="280">
        <f>+SUM(START:END!AC472)</f>
        <v>0</v>
      </c>
      <c r="AD472" s="345"/>
      <c r="AE472" s="333"/>
      <c r="AF472" s="280">
        <f>+SUM(START:END!AF472)</f>
        <v>0</v>
      </c>
      <c r="AG472" s="346"/>
      <c r="AH472" s="282">
        <f t="shared" si="76"/>
        <v>0</v>
      </c>
      <c r="AI472" s="306">
        <f t="shared" si="79"/>
        <v>0</v>
      </c>
      <c r="AJ472" s="345"/>
      <c r="AK472" s="332"/>
      <c r="AL472" s="347">
        <f>+SUM(START:END!AL472)</f>
        <v>0</v>
      </c>
      <c r="AM472" s="348"/>
      <c r="AN472" s="282">
        <f t="shared" si="77"/>
        <v>0</v>
      </c>
      <c r="AO472" s="289">
        <f t="shared" si="7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4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+SUM(START:END!Z473)</f>
        <v>0</v>
      </c>
      <c r="AA473" s="332"/>
      <c r="AB473" s="333">
        <f t="shared" si="78"/>
        <v>0</v>
      </c>
      <c r="AC473" s="280">
        <f>+SUM(START:END!AC473)</f>
        <v>0</v>
      </c>
      <c r="AD473" s="345"/>
      <c r="AE473" s="333"/>
      <c r="AF473" s="280">
        <f>+SUM(START:END!AF473)</f>
        <v>0</v>
      </c>
      <c r="AG473" s="346"/>
      <c r="AH473" s="282">
        <f t="shared" si="76"/>
        <v>0</v>
      </c>
      <c r="AI473" s="306">
        <f t="shared" si="79"/>
        <v>0</v>
      </c>
      <c r="AJ473" s="345"/>
      <c r="AK473" s="332"/>
      <c r="AL473" s="347">
        <f>+SUM(START:END!AL473)</f>
        <v>0</v>
      </c>
      <c r="AM473" s="348"/>
      <c r="AN473" s="282">
        <f t="shared" si="77"/>
        <v>0</v>
      </c>
      <c r="AO473" s="289">
        <f t="shared" si="7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4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>+SUM(START:END!Z474)</f>
        <v>4875</v>
      </c>
      <c r="AA474" s="332"/>
      <c r="AB474" s="333">
        <f t="shared" si="78"/>
        <v>0</v>
      </c>
      <c r="AC474" s="280">
        <f>+SUM(START:END!AC474)</f>
        <v>0</v>
      </c>
      <c r="AD474" s="345"/>
      <c r="AE474" s="333"/>
      <c r="AF474" s="280">
        <f>+SUM(START:END!AF474)</f>
        <v>3000</v>
      </c>
      <c r="AG474" s="346"/>
      <c r="AH474" s="282">
        <f t="shared" si="76"/>
        <v>-1875</v>
      </c>
      <c r="AI474" s="306">
        <f t="shared" si="79"/>
        <v>-0.38461538461538464</v>
      </c>
      <c r="AJ474" s="345"/>
      <c r="AK474" s="332"/>
      <c r="AL474" s="347">
        <f>+SUM(START:END!AL474)</f>
        <v>4125</v>
      </c>
      <c r="AM474" s="348"/>
      <c r="AN474" s="282">
        <f t="shared" si="77"/>
        <v>-1125</v>
      </c>
      <c r="AO474" s="289">
        <f t="shared" si="75"/>
        <v>-0.27272727272727271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4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+SUM(START:END!Z475)</f>
        <v>3470.588235294118</v>
      </c>
      <c r="AA475" s="332"/>
      <c r="AB475" s="333">
        <f t="shared" si="78"/>
        <v>0</v>
      </c>
      <c r="AC475" s="280">
        <f>+SUM(START:END!AC475)</f>
        <v>0</v>
      </c>
      <c r="AD475" s="345"/>
      <c r="AE475" s="333"/>
      <c r="AF475" s="280">
        <f>+SUM(START:END!AF475)</f>
        <v>-1450</v>
      </c>
      <c r="AG475" s="346"/>
      <c r="AH475" s="282">
        <f t="shared" si="76"/>
        <v>-4920.588235294118</v>
      </c>
      <c r="AI475" s="306">
        <f t="shared" si="79"/>
        <v>-1.4177966101694914</v>
      </c>
      <c r="AJ475" s="345"/>
      <c r="AK475" s="332"/>
      <c r="AL475" s="347">
        <f>+SUM(START:END!AL475)</f>
        <v>3625</v>
      </c>
      <c r="AM475" s="348"/>
      <c r="AN475" s="282">
        <f t="shared" si="77"/>
        <v>-5075</v>
      </c>
      <c r="AO475" s="289">
        <f t="shared" si="75"/>
        <v>-1.4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4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+SUM(START:END!Z476)</f>
        <v>0</v>
      </c>
      <c r="AA476" s="332"/>
      <c r="AB476" s="333">
        <f t="shared" si="78"/>
        <v>0</v>
      </c>
      <c r="AC476" s="280">
        <f>+SUM(START:END!AC476)</f>
        <v>0</v>
      </c>
      <c r="AD476" s="345"/>
      <c r="AE476" s="333"/>
      <c r="AF476" s="280">
        <f>+SUM(START:END!AF476)</f>
        <v>0</v>
      </c>
      <c r="AG476" s="346"/>
      <c r="AH476" s="282">
        <f t="shared" si="76"/>
        <v>0</v>
      </c>
      <c r="AI476" s="306">
        <f t="shared" si="79"/>
        <v>0</v>
      </c>
      <c r="AJ476" s="345"/>
      <c r="AK476" s="332"/>
      <c r="AL476" s="347">
        <f>+SUM(START:END!AL476)</f>
        <v>0</v>
      </c>
      <c r="AM476" s="348"/>
      <c r="AN476" s="282">
        <f t="shared" si="77"/>
        <v>0</v>
      </c>
      <c r="AO476" s="289">
        <f t="shared" si="7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4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f>+SUM(START:END!Z477)</f>
        <v>48049.457076923092</v>
      </c>
      <c r="AA477" s="332"/>
      <c r="AB477" s="333">
        <f t="shared" si="78"/>
        <v>0</v>
      </c>
      <c r="AC477" s="280">
        <f>+SUM(START:END!AC477)</f>
        <v>0</v>
      </c>
      <c r="AD477" s="345"/>
      <c r="AE477" s="333"/>
      <c r="AF477" s="280">
        <f>+SUM(START:END!AF477)</f>
        <v>68020.47</v>
      </c>
      <c r="AG477" s="346"/>
      <c r="AH477" s="282">
        <f t="shared" si="76"/>
        <v>19971.012923076909</v>
      </c>
      <c r="AI477" s="306">
        <f t="shared" si="79"/>
        <v>0.41563451780745442</v>
      </c>
      <c r="AJ477" s="345"/>
      <c r="AK477" s="332"/>
      <c r="AL477" s="347">
        <f>+SUM(START:END!AL477)</f>
        <v>55524.06</v>
      </c>
      <c r="AM477" s="348"/>
      <c r="AN477" s="282">
        <f t="shared" si="77"/>
        <v>12496.410000000003</v>
      </c>
      <c r="AO477" s="289">
        <f t="shared" si="75"/>
        <v>0.22506297270048342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4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+SUM(START:END!Z478)</f>
        <v>0</v>
      </c>
      <c r="AA478" s="279"/>
      <c r="AB478" s="279">
        <f>IF(AC478=0,0,AC478/(G$13+G$97))</f>
        <v>0</v>
      </c>
      <c r="AC478" s="282">
        <f>+SUM(START:END!AC478)</f>
        <v>0</v>
      </c>
      <c r="AD478" s="288"/>
      <c r="AE478" s="287"/>
      <c r="AF478" s="280">
        <f>+SUM(START:END!AF478)</f>
        <v>0</v>
      </c>
      <c r="AG478" s="281"/>
      <c r="AH478" s="282">
        <f t="shared" si="76"/>
        <v>0</v>
      </c>
      <c r="AI478" s="283">
        <f t="shared" si="79"/>
        <v>0</v>
      </c>
      <c r="AJ478" s="288"/>
      <c r="AK478" s="279"/>
      <c r="AL478" s="280">
        <f>+SUM(START:END!AL478)</f>
        <v>0</v>
      </c>
      <c r="AM478" s="348"/>
      <c r="AN478" s="282">
        <f t="shared" si="77"/>
        <v>0</v>
      </c>
      <c r="AO478" s="289">
        <f t="shared" si="7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4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+SUM(START:END!Z479)</f>
        <v>0</v>
      </c>
      <c r="AA479" s="279"/>
      <c r="AB479" s="279">
        <f>IF(AC479=0,0,AC479/(G$13+G$97))</f>
        <v>0</v>
      </c>
      <c r="AC479" s="282">
        <f>+SUM(START:END!AC479)</f>
        <v>0</v>
      </c>
      <c r="AD479" s="288"/>
      <c r="AE479" s="287"/>
      <c r="AF479" s="280">
        <f>+SUM(START:END!AF479)</f>
        <v>0</v>
      </c>
      <c r="AG479" s="281"/>
      <c r="AH479" s="282">
        <f t="shared" si="76"/>
        <v>0</v>
      </c>
      <c r="AI479" s="283">
        <f t="shared" si="79"/>
        <v>0</v>
      </c>
      <c r="AJ479" s="288"/>
      <c r="AK479" s="279"/>
      <c r="AL479" s="280">
        <f>+SUM(START:END!AL479)</f>
        <v>0</v>
      </c>
      <c r="AM479" s="348"/>
      <c r="AN479" s="282">
        <f t="shared" si="77"/>
        <v>0</v>
      </c>
      <c r="AO479" s="289">
        <f t="shared" si="7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4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+SUM(START:END!Z480)</f>
        <v>52627.75</v>
      </c>
      <c r="AA480" s="332"/>
      <c r="AB480" s="333">
        <f>IF(AC480=0,0,AC480/(G$13+G$97))</f>
        <v>0</v>
      </c>
      <c r="AC480" s="280">
        <f>+SUM(START:END!AC480)</f>
        <v>0</v>
      </c>
      <c r="AD480" s="345"/>
      <c r="AE480" s="333"/>
      <c r="AF480" s="280">
        <f>+SUM(START:END!AF480)</f>
        <v>67235</v>
      </c>
      <c r="AG480" s="346"/>
      <c r="AH480" s="282">
        <f t="shared" si="76"/>
        <v>14607.25</v>
      </c>
      <c r="AI480" s="306">
        <f t="shared" si="79"/>
        <v>0.27755794234030523</v>
      </c>
      <c r="AJ480" s="345"/>
      <c r="AK480" s="332"/>
      <c r="AL480" s="347">
        <f>+SUM(START:END!AL480)</f>
        <v>57120</v>
      </c>
      <c r="AM480" s="348"/>
      <c r="AN480" s="282">
        <f t="shared" si="77"/>
        <v>10115</v>
      </c>
      <c r="AO480" s="289">
        <f t="shared" si="75"/>
        <v>0.17708333333333334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4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0.23893091264870928</v>
      </c>
      <c r="Y481" s="330"/>
      <c r="Z481" s="299">
        <f>SUM(Z469:Z480)</f>
        <v>283327.99915837112</v>
      </c>
      <c r="AA481" s="298" t="e">
        <f>AC481/+AC407</f>
        <v>#DIV/0!</v>
      </c>
      <c r="AB481" s="330"/>
      <c r="AC481" s="299">
        <f>SUM(AC469:AC480)</f>
        <v>0</v>
      </c>
      <c r="AD481" s="298">
        <f>AF481/+AF407</f>
        <v>0.31981878397153535</v>
      </c>
      <c r="AE481" s="330"/>
      <c r="AF481" s="299">
        <f>SUM(AF469:AF480)</f>
        <v>428203.70999999996</v>
      </c>
      <c r="AG481" s="308"/>
      <c r="AH481" s="302">
        <f t="shared" si="76"/>
        <v>144875.71084162884</v>
      </c>
      <c r="AI481" s="298">
        <f>AH481/Z481</f>
        <v>0.51133566492539995</v>
      </c>
      <c r="AJ481" s="349"/>
      <c r="AK481" s="350"/>
      <c r="AL481" s="299">
        <f>SUM(AL469:AL480)</f>
        <v>323170.77</v>
      </c>
      <c r="AM481" s="351"/>
      <c r="AN481" s="302">
        <f t="shared" si="77"/>
        <v>105032.93999999994</v>
      </c>
      <c r="AO481" s="331">
        <f t="shared" si="75"/>
        <v>0.32500754941419963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4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77"/>
        <v>0</v>
      </c>
      <c r="AO482" s="364">
        <f t="shared" si="7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4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2.3742105231019196E-2</v>
      </c>
      <c r="Z483" s="369">
        <f>Z407-Z468+Z481</f>
        <v>229239.47637558368</v>
      </c>
      <c r="AA483" s="367" t="s">
        <v>180</v>
      </c>
      <c r="AB483" s="368" t="e">
        <f>AC483/AC406</f>
        <v>#DIV/0!</v>
      </c>
      <c r="AC483" s="369">
        <f>AC407-AC468+AC481</f>
        <v>0</v>
      </c>
      <c r="AD483" s="367" t="s">
        <v>180</v>
      </c>
      <c r="AE483" s="368">
        <f>AF483/AF406</f>
        <v>2.7685594048222881E-2</v>
      </c>
      <c r="AF483" s="370">
        <f>AF407-AF468+AF481</f>
        <v>365247.80000000028</v>
      </c>
      <c r="AG483" s="371"/>
      <c r="AH483" s="370">
        <f>AF483-Z483</f>
        <v>136008.3236244166</v>
      </c>
      <c r="AI483" s="487">
        <f>AH483/Z483</f>
        <v>0.59330236560819005</v>
      </c>
      <c r="AJ483" s="373" t="s">
        <v>180</v>
      </c>
      <c r="AK483" s="368">
        <f>IF($AL$406=0,0,AL483/$AL$406)</f>
        <v>6.7319879626512808E-3</v>
      </c>
      <c r="AL483" s="370">
        <f>AL407-AL468+AL481</f>
        <v>211321.11999999941</v>
      </c>
      <c r="AM483" s="374"/>
      <c r="AN483" s="370">
        <f t="shared" si="77"/>
        <v>153926.68000000087</v>
      </c>
      <c r="AO483" s="375">
        <f t="shared" si="75"/>
        <v>0.7284017801912146</v>
      </c>
      <c r="AP483" s="246"/>
      <c r="AQ483" s="246"/>
      <c r="AR483" s="310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4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9" si="8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  Q4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8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8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str">
        <f t="shared" si="80"/>
        <v>BAIIA Corpo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3.3675158710401727E-2</v>
      </c>
      <c r="Z488" s="449">
        <f>+Z489+Z415</f>
        <v>325147.06149778864</v>
      </c>
      <c r="AA488" s="446"/>
      <c r="AB488" s="447"/>
      <c r="AC488" s="448"/>
      <c r="AD488" s="446" t="s">
        <v>180</v>
      </c>
      <c r="AE488" s="447">
        <f>AF488/AF406</f>
        <v>3.4754152706647667E-2</v>
      </c>
      <c r="AF488" s="449">
        <f>+AF489+AF415</f>
        <v>458501.19000000029</v>
      </c>
      <c r="AG488" s="450"/>
      <c r="AH488" s="450">
        <f>AF488-Z488</f>
        <v>133354.12850221165</v>
      </c>
      <c r="AI488" s="451">
        <f>AH488/Z488</f>
        <v>0.41013481065434326</v>
      </c>
      <c r="AJ488" s="446" t="s">
        <v>180</v>
      </c>
      <c r="AK488" s="447">
        <f>AL488/AL406</f>
        <v>8.7830560053738065E-3</v>
      </c>
      <c r="AL488" s="449">
        <f>+AL489+AL415</f>
        <v>275705.36999999941</v>
      </c>
      <c r="AM488" s="452"/>
      <c r="AN488" s="449">
        <f>AF488-AL488</f>
        <v>182795.82000000088</v>
      </c>
      <c r="AO488" s="453">
        <f>IF(AL488=0,0,AN488/AL488)</f>
        <v>0.66301146038614067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customHeight="1" thickTop="1" thickBot="1">
      <c r="A489" t="str">
        <f t="shared" si="8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2.3742105231019196E-2</v>
      </c>
      <c r="Z489" s="381">
        <f>Z483</f>
        <v>229239.47637558368</v>
      </c>
      <c r="AA489" s="379" t="s">
        <v>180</v>
      </c>
      <c r="AB489" s="380" t="e">
        <f>AC489/AC406</f>
        <v>#DIV/0!</v>
      </c>
      <c r="AC489" s="381">
        <f>AC483</f>
        <v>0</v>
      </c>
      <c r="AD489" s="379" t="s">
        <v>180</v>
      </c>
      <c r="AE489" s="380">
        <f>AF489/AF406</f>
        <v>2.7685594048222881E-2</v>
      </c>
      <c r="AF489" s="381">
        <f>AF483</f>
        <v>365247.80000000028</v>
      </c>
      <c r="AG489" s="382"/>
      <c r="AH489" s="370">
        <f>AF489-Z489</f>
        <v>136008.3236244166</v>
      </c>
      <c r="AI489" s="487">
        <f>AH489/Z489</f>
        <v>0.59330236560819005</v>
      </c>
      <c r="AJ489" s="379" t="s">
        <v>180</v>
      </c>
      <c r="AK489" s="380">
        <f>IF($AL$406=0,0,AL489/$AL$406)</f>
        <v>6.7319879626512808E-3</v>
      </c>
      <c r="AL489" s="383">
        <f>AL483</f>
        <v>211321.11999999941</v>
      </c>
      <c r="AM489" s="384"/>
      <c r="AN489" s="385">
        <f>AF489-AL489</f>
        <v>153926.68000000087</v>
      </c>
      <c r="AO489" s="386">
        <f>IF(AL489=0,0,AN489/AL489)</f>
        <v>0.7284017801912146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8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8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f>+SUM(START:END!Z491)</f>
        <v>62910</v>
      </c>
      <c r="AA491" s="279"/>
      <c r="AB491" s="287">
        <f t="shared" ref="AB491:AB497" si="81">IF(AC491=0,0,AC491/(G$13+G$97))</f>
        <v>0</v>
      </c>
      <c r="AC491" s="280">
        <f>+SUM(START:END!AC491)</f>
        <v>0</v>
      </c>
      <c r="AD491" s="279"/>
      <c r="AE491" s="287"/>
      <c r="AF491" s="280">
        <f>+SUM(START:END!AF491)</f>
        <v>62910</v>
      </c>
      <c r="AG491" s="279"/>
      <c r="AH491" s="282">
        <f t="shared" ref="AH491:AH498" si="82">AF491-Z491</f>
        <v>0</v>
      </c>
      <c r="AI491" s="306">
        <f t="shared" ref="AI491:AI497" si="83">IF(Z491=0,0,AH491/Z491)</f>
        <v>0</v>
      </c>
      <c r="AJ491" s="279"/>
      <c r="AK491" s="279"/>
      <c r="AL491" s="280">
        <f>+SUM(START:END!AL491)</f>
        <v>58560</v>
      </c>
      <c r="AM491" s="284"/>
      <c r="AN491" s="282">
        <f t="shared" ref="AN491:AN498" si="84">AF491-AL491</f>
        <v>4350</v>
      </c>
      <c r="AO491" s="289">
        <f t="shared" ref="AO491:AO498" si="85">IF(AL491=0,0,AN491/AL491)</f>
        <v>7.4282786885245908E-2</v>
      </c>
      <c r="AP491" s="246"/>
      <c r="AQ491" s="48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8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f>+SUM(START:END!Z492)</f>
        <v>0</v>
      </c>
      <c r="AA492" s="10"/>
      <c r="AB492" s="10">
        <f t="shared" si="81"/>
        <v>0</v>
      </c>
      <c r="AC492" s="280">
        <f>+SUM(START:END!AC492)</f>
        <v>0</v>
      </c>
      <c r="AD492" s="10"/>
      <c r="AE492" s="13"/>
      <c r="AF492" s="280">
        <f>+SUM(START:END!AF492)</f>
        <v>0</v>
      </c>
      <c r="AG492" s="10"/>
      <c r="AH492" s="282">
        <f t="shared" si="82"/>
        <v>0</v>
      </c>
      <c r="AI492" s="306">
        <f t="shared" si="83"/>
        <v>0</v>
      </c>
      <c r="AJ492" s="10"/>
      <c r="AK492" s="10"/>
      <c r="AL492" s="280">
        <f>+SUM(START:END!AL492)</f>
        <v>0</v>
      </c>
      <c r="AM492" s="393"/>
      <c r="AN492" s="282">
        <f t="shared" si="84"/>
        <v>0</v>
      </c>
      <c r="AO492" s="289">
        <f t="shared" si="85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8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f>+SUM(START:END!Z493)</f>
        <v>0</v>
      </c>
      <c r="AA493" s="10"/>
      <c r="AB493" s="10">
        <f t="shared" si="81"/>
        <v>0</v>
      </c>
      <c r="AC493" s="280">
        <f>+SUM(START:END!AC493)</f>
        <v>0</v>
      </c>
      <c r="AD493" s="10"/>
      <c r="AE493" s="13"/>
      <c r="AF493" s="280">
        <f>+SUM(START:END!AF493)</f>
        <v>0</v>
      </c>
      <c r="AG493" s="10"/>
      <c r="AH493" s="282">
        <f t="shared" si="82"/>
        <v>0</v>
      </c>
      <c r="AI493" s="306">
        <f t="shared" si="83"/>
        <v>0</v>
      </c>
      <c r="AJ493" s="10"/>
      <c r="AK493" s="10"/>
      <c r="AL493" s="280">
        <f>+SUM(START:END!AL493)</f>
        <v>0</v>
      </c>
      <c r="AM493" s="393"/>
      <c r="AN493" s="282">
        <f t="shared" si="84"/>
        <v>0</v>
      </c>
      <c r="AO493" s="289">
        <f t="shared" si="85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8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f>+SUM(START:END!Z494)</f>
        <v>0</v>
      </c>
      <c r="AA494" s="10"/>
      <c r="AB494" s="10">
        <f t="shared" si="81"/>
        <v>0</v>
      </c>
      <c r="AC494" s="280">
        <f>+SUM(START:END!AC494)</f>
        <v>0</v>
      </c>
      <c r="AD494" s="10"/>
      <c r="AE494" s="13"/>
      <c r="AF494" s="280">
        <f>+SUM(START:END!AF494)</f>
        <v>0</v>
      </c>
      <c r="AG494" s="10"/>
      <c r="AH494" s="282">
        <f t="shared" si="82"/>
        <v>0</v>
      </c>
      <c r="AI494" s="306">
        <f t="shared" si="83"/>
        <v>0</v>
      </c>
      <c r="AJ494" s="10"/>
      <c r="AK494" s="10"/>
      <c r="AL494" s="280">
        <f>+SUM(START:END!AL494)</f>
        <v>0</v>
      </c>
      <c r="AM494" s="393"/>
      <c r="AN494" s="282">
        <f t="shared" si="84"/>
        <v>0</v>
      </c>
      <c r="AO494" s="289">
        <f t="shared" si="85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8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+SUM(START:END!Z495)</f>
        <v>0</v>
      </c>
      <c r="AA495" s="279"/>
      <c r="AB495" s="279">
        <f t="shared" si="81"/>
        <v>0</v>
      </c>
      <c r="AC495" s="282">
        <f>+SUM(START:END!AC495)</f>
        <v>0</v>
      </c>
      <c r="AD495" s="288"/>
      <c r="AE495" s="287"/>
      <c r="AF495" s="280">
        <f>+SUM(START:END!AF495)</f>
        <v>0</v>
      </c>
      <c r="AG495" s="281"/>
      <c r="AH495" s="282">
        <f t="shared" si="82"/>
        <v>0</v>
      </c>
      <c r="AI495" s="283">
        <f t="shared" si="83"/>
        <v>0</v>
      </c>
      <c r="AJ495" s="288"/>
      <c r="AK495" s="279"/>
      <c r="AL495" s="280">
        <f>+SUM(START:END!AL495)</f>
        <v>0</v>
      </c>
      <c r="AM495" s="393"/>
      <c r="AN495" s="282">
        <f t="shared" si="84"/>
        <v>0</v>
      </c>
      <c r="AO495" s="289">
        <f t="shared" si="85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8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f>+SUM(START:END!Z496)</f>
        <v>-27273.224043715851</v>
      </c>
      <c r="AA496" s="279"/>
      <c r="AB496" s="279">
        <f>IF(AC496=0,0,AC496/(G$13+G$97))</f>
        <v>0</v>
      </c>
      <c r="AC496" s="282">
        <f>+SUM(START:END!AC496)</f>
        <v>0</v>
      </c>
      <c r="AD496" s="288"/>
      <c r="AE496" s="287"/>
      <c r="AF496" s="280">
        <f>+SUM(START:END!AF496)</f>
        <v>-11331.69</v>
      </c>
      <c r="AG496" s="281"/>
      <c r="AH496" s="282">
        <f t="shared" si="82"/>
        <v>15941.53404371585</v>
      </c>
      <c r="AI496" s="283">
        <f t="shared" si="83"/>
        <v>-0.58451226808254864</v>
      </c>
      <c r="AJ496" s="288"/>
      <c r="AK496" s="279"/>
      <c r="AL496" s="280">
        <f>+SUM(START:END!AL496)</f>
        <v>0</v>
      </c>
      <c r="AM496" s="393"/>
      <c r="AN496" s="282">
        <f t="shared" si="84"/>
        <v>-11331.69</v>
      </c>
      <c r="AO496" s="289">
        <f t="shared" si="85"/>
        <v>0</v>
      </c>
      <c r="AP496" s="246"/>
      <c r="AQ496" s="246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8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+SUM(START:END!Z497)</f>
        <v>0</v>
      </c>
      <c r="AA497" s="279"/>
      <c r="AB497" s="279">
        <f t="shared" si="81"/>
        <v>0</v>
      </c>
      <c r="AC497" s="282">
        <f>+SUM(START:END!AC497)</f>
        <v>0</v>
      </c>
      <c r="AD497" s="288"/>
      <c r="AE497" s="287">
        <f>IF(AF497=0,0,AF497/(J$13+J$97))</f>
        <v>0</v>
      </c>
      <c r="AF497" s="280">
        <f>+SUM(START:END!AF497)</f>
        <v>0</v>
      </c>
      <c r="AG497" s="281"/>
      <c r="AH497" s="282">
        <f t="shared" si="82"/>
        <v>0</v>
      </c>
      <c r="AI497" s="283">
        <f t="shared" si="83"/>
        <v>0</v>
      </c>
      <c r="AJ497" s="288"/>
      <c r="AK497" s="279">
        <f>AL497/(O$13+O$97)</f>
        <v>0</v>
      </c>
      <c r="AL497" s="280">
        <f>+SUM(START:END!AL497)</f>
        <v>0</v>
      </c>
      <c r="AM497" s="393"/>
      <c r="AN497" s="282">
        <f t="shared" si="84"/>
        <v>0</v>
      </c>
      <c r="AO497" s="289">
        <f t="shared" si="85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8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2.0051239686281502E-2</v>
      </c>
      <c r="Z498" s="369">
        <f>Z489-Z491-Z492-Z493-Z497-Z494-Z495-Z496-Z497</f>
        <v>193602.70041929954</v>
      </c>
      <c r="AA498" s="367" t="s">
        <v>180</v>
      </c>
      <c r="AB498" s="368" t="e">
        <f>AC498/AC406</f>
        <v>#DIV/0!</v>
      </c>
      <c r="AC498" s="369">
        <f>AC489-AC491-AC492-AC493-AC497-AC494-AC495</f>
        <v>0</v>
      </c>
      <c r="AD498" s="367" t="s">
        <v>180</v>
      </c>
      <c r="AE498" s="368">
        <f>AF498/AF406</f>
        <v>2.3775984866857808E-2</v>
      </c>
      <c r="AF498" s="370">
        <f>AF489-AF491-AF492-AF493-AF497-AF494-AF495-AF496-AF497</f>
        <v>313669.49000000028</v>
      </c>
      <c r="AG498" s="371"/>
      <c r="AH498" s="370">
        <f t="shared" si="82"/>
        <v>120066.78958070074</v>
      </c>
      <c r="AI498" s="487">
        <f>AH498/Z498</f>
        <v>0.62017104782455679</v>
      </c>
      <c r="AJ498" s="373" t="s">
        <v>180</v>
      </c>
      <c r="AK498" s="368">
        <f>IF($AL$406=0,0,AL498/$AL$406)</f>
        <v>4.8664611516403408E-3</v>
      </c>
      <c r="AL498" s="370">
        <f>AL489-AL491-AL492-AL493-AL497-AL494-AL495-AL496-AL497</f>
        <v>152761.11999999941</v>
      </c>
      <c r="AM498" s="374"/>
      <c r="AN498" s="370">
        <f t="shared" si="84"/>
        <v>160908.37000000087</v>
      </c>
      <c r="AO498" s="394">
        <f t="shared" si="85"/>
        <v>1.053333269617305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 t="shared" si="80"/>
        <v/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/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/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/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/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24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phoneticPr fontId="31" type="noConversion"/>
  <conditionalFormatting sqref="D31:D32">
    <cfRule type="expression" dxfId="564" priority="17" stopIfTrue="1">
      <formula>"esterreur(reference)"</formula>
    </cfRule>
  </conditionalFormatting>
  <conditionalFormatting sqref="D112:D113">
    <cfRule type="expression" dxfId="563" priority="12" stopIfTrue="1">
      <formula>"esterreur(reference)"</formula>
    </cfRule>
  </conditionalFormatting>
  <conditionalFormatting sqref="F5">
    <cfRule type="expression" dxfId="562" priority="78" stopIfTrue="1">
      <formula>"esterreur(reference)"</formula>
    </cfRule>
  </conditionalFormatting>
  <conditionalFormatting sqref="F184">
    <cfRule type="expression" dxfId="561" priority="88" stopIfTrue="1">
      <formula>"esterreur(reference)"</formula>
    </cfRule>
  </conditionalFormatting>
  <conditionalFormatting sqref="G31:G32">
    <cfRule type="expression" dxfId="560" priority="16" stopIfTrue="1">
      <formula>"esterreur(reference)"</formula>
    </cfRule>
  </conditionalFormatting>
  <conditionalFormatting sqref="G112:G113">
    <cfRule type="expression" dxfId="559" priority="13" stopIfTrue="1">
      <formula>"esterreur(reference)"</formula>
    </cfRule>
  </conditionalFormatting>
  <conditionalFormatting sqref="H136:H152">
    <cfRule type="expression" dxfId="558" priority="42" stopIfTrue="1">
      <formula>"esterreur(reference)"</formula>
    </cfRule>
  </conditionalFormatting>
  <conditionalFormatting sqref="H360">
    <cfRule type="expression" dxfId="557" priority="121" stopIfTrue="1">
      <formula>"esterreur(reference)"</formula>
    </cfRule>
  </conditionalFormatting>
  <conditionalFormatting sqref="H197:L197">
    <cfRule type="expression" dxfId="556" priority="123" stopIfTrue="1">
      <formula>"esterreur(reference)"</formula>
    </cfRule>
  </conditionalFormatting>
  <conditionalFormatting sqref="H396:L399">
    <cfRule type="expression" dxfId="555" priority="119" stopIfTrue="1">
      <formula>"esterreur(reference)"</formula>
    </cfRule>
  </conditionalFormatting>
  <conditionalFormatting sqref="I377:L377 H378:H395">
    <cfRule type="expression" dxfId="554" priority="120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553" priority="113" stopIfTrue="1">
      <formula>"esterreur(reference)"</formula>
    </cfRule>
  </conditionalFormatting>
  <conditionalFormatting sqref="J55:K71">
    <cfRule type="expression" dxfId="552" priority="124" stopIfTrue="1">
      <formula>"esterreur(reference)"</formula>
    </cfRule>
  </conditionalFormatting>
  <conditionalFormatting sqref="J102:L104">
    <cfRule type="expression" dxfId="551" priority="109" stopIfTrue="1">
      <formula>"esterreur(reference)"</formula>
    </cfRule>
  </conditionalFormatting>
  <conditionalFormatting sqref="J149:L152">
    <cfRule type="expression" dxfId="550" priority="41" stopIfTrue="1">
      <formula>"esterreur(reference)"</formula>
    </cfRule>
  </conditionalFormatting>
  <conditionalFormatting sqref="J295:L303">
    <cfRule type="expression" dxfId="549" priority="105" stopIfTrue="1">
      <formula>"esterreur(reference)"</formula>
    </cfRule>
  </conditionalFormatting>
  <conditionalFormatting sqref="J307:L308">
    <cfRule type="expression" dxfId="548" priority="95" stopIfTrue="1">
      <formula>"esterreur(reference)"</formula>
    </cfRule>
  </conditionalFormatting>
  <conditionalFormatting sqref="J360:L360">
    <cfRule type="expression" dxfId="547" priority="87" stopIfTrue="1">
      <formula>"esterreur(reference)"</formula>
    </cfRule>
  </conditionalFormatting>
  <conditionalFormatting sqref="J365:L376">
    <cfRule type="expression" dxfId="546" priority="92" stopIfTrue="1">
      <formula>"esterreur(reference)"</formula>
    </cfRule>
  </conditionalFormatting>
  <conditionalFormatting sqref="J378:L394">
    <cfRule type="expression" dxfId="545" priority="91" stopIfTrue="1">
      <formula>"esterreur(reference)"</formula>
    </cfRule>
  </conditionalFormatting>
  <conditionalFormatting sqref="J312:M312">
    <cfRule type="expression" dxfId="544" priority="93" stopIfTrue="1">
      <formula>"esterreur(reference)"</formula>
    </cfRule>
  </conditionalFormatting>
  <conditionalFormatting sqref="J112:Q121">
    <cfRule type="expression" dxfId="543" priority="14" stopIfTrue="1">
      <formula>"esterreur(reference)"</formula>
    </cfRule>
  </conditionalFormatting>
  <conditionalFormatting sqref="J123:Q134">
    <cfRule type="expression" dxfId="542" priority="68" stopIfTrue="1">
      <formula>"esterreur(reference)"</formula>
    </cfRule>
  </conditionalFormatting>
  <conditionalFormatting sqref="K5">
    <cfRule type="expression" dxfId="541" priority="102" stopIfTrue="1">
      <formula>"esterreur(reference)"</formula>
    </cfRule>
  </conditionalFormatting>
  <conditionalFormatting sqref="K175">
    <cfRule type="expression" dxfId="540" priority="99" stopIfTrue="1">
      <formula>"esterreur(reference)"</formula>
    </cfRule>
  </conditionalFormatting>
  <conditionalFormatting sqref="K183:K184">
    <cfRule type="expression" dxfId="539" priority="101" stopIfTrue="1">
      <formula>"esterreur(reference)"</formula>
    </cfRule>
  </conditionalFormatting>
  <conditionalFormatting sqref="K287">
    <cfRule type="expression" dxfId="538" priority="85" stopIfTrue="1">
      <formula>"esterreur(reference)"</formula>
    </cfRule>
  </conditionalFormatting>
  <conditionalFormatting sqref="K395">
    <cfRule type="expression" dxfId="537" priority="122" stopIfTrue="1">
      <formula>"esterreur(reference)"</formula>
    </cfRule>
  </conditionalFormatting>
  <conditionalFormatting sqref="K93:L96">
    <cfRule type="expression" dxfId="536" priority="90" stopIfTrue="1">
      <formula>"esterreur(reference)"</formula>
    </cfRule>
  </conditionalFormatting>
  <conditionalFormatting sqref="K99:L100">
    <cfRule type="expression" dxfId="535" priority="110" stopIfTrue="1">
      <formula>"esterreur(reference)"</formula>
    </cfRule>
  </conditionalFormatting>
  <conditionalFormatting sqref="K171:L173">
    <cfRule type="expression" dxfId="534" priority="100" stopIfTrue="1">
      <formula>"esterreur(reference)"</formula>
    </cfRule>
  </conditionalFormatting>
  <conditionalFormatting sqref="K176:L182">
    <cfRule type="expression" dxfId="533" priority="98" stopIfTrue="1">
      <formula>"esterreur(reference)"</formula>
    </cfRule>
  </conditionalFormatting>
  <conditionalFormatting sqref="K185:L196">
    <cfRule type="expression" dxfId="532" priority="94" stopIfTrue="1">
      <formula>"esterreur(reference)"</formula>
    </cfRule>
  </conditionalFormatting>
  <conditionalFormatting sqref="K239:L241">
    <cfRule type="expression" dxfId="531" priority="89" stopIfTrue="1">
      <formula>"esterreur(reference)"</formula>
    </cfRule>
  </conditionalFormatting>
  <conditionalFormatting sqref="K244:L244">
    <cfRule type="expression" dxfId="530" priority="97" stopIfTrue="1">
      <formula>"esterreur(reference)"</formula>
    </cfRule>
  </conditionalFormatting>
  <conditionalFormatting sqref="K247:L247">
    <cfRule type="expression" dxfId="529" priority="96" stopIfTrue="1">
      <formula>"esterreur(reference)"</formula>
    </cfRule>
  </conditionalFormatting>
  <conditionalFormatting sqref="L16:L24">
    <cfRule type="expression" dxfId="528" priority="112" stopIfTrue="1">
      <formula>"esterreur(reference)"</formula>
    </cfRule>
  </conditionalFormatting>
  <conditionalFormatting sqref="L42:L48">
    <cfRule type="expression" dxfId="527" priority="111" stopIfTrue="1">
      <formula>"esterreur(reference)"</formula>
    </cfRule>
  </conditionalFormatting>
  <conditionalFormatting sqref="L55:L66">
    <cfRule type="expression" dxfId="526" priority="79" stopIfTrue="1">
      <formula>"esterreur(reference)"</formula>
    </cfRule>
  </conditionalFormatting>
  <conditionalFormatting sqref="L68:L71">
    <cfRule type="expression" dxfId="525" priority="43" stopIfTrue="1">
      <formula>"esterreur(reference)"</formula>
    </cfRule>
  </conditionalFormatting>
  <conditionalFormatting sqref="L75:L82">
    <cfRule type="expression" dxfId="524" priority="80" stopIfTrue="1">
      <formula>"esterreur(reference)"</formula>
    </cfRule>
  </conditionalFormatting>
  <conditionalFormatting sqref="L136:L147">
    <cfRule type="expression" dxfId="523" priority="84" stopIfTrue="1">
      <formula>"esterreur(reference)"</formula>
    </cfRule>
  </conditionalFormatting>
  <conditionalFormatting sqref="L174:L175">
    <cfRule type="expression" dxfId="522" priority="108" stopIfTrue="1">
      <formula>"esterreur(reference)"</formula>
    </cfRule>
  </conditionalFormatting>
  <conditionalFormatting sqref="L198:L209">
    <cfRule type="expression" dxfId="521" priority="107" stopIfTrue="1">
      <formula>"esterreur(reference)"</formula>
    </cfRule>
  </conditionalFormatting>
  <conditionalFormatting sqref="L211:L228">
    <cfRule type="expression" dxfId="520" priority="83" stopIfTrue="1">
      <formula>"esterreur(reference)"</formula>
    </cfRule>
  </conditionalFormatting>
  <conditionalFormatting sqref="L254:L265">
    <cfRule type="expression" dxfId="519" priority="106" stopIfTrue="1">
      <formula>"esterreur(reference)"</formula>
    </cfRule>
  </conditionalFormatting>
  <conditionalFormatting sqref="L267:L284">
    <cfRule type="expression" dxfId="518" priority="82" stopIfTrue="1">
      <formula>"esterreur(reference)"</formula>
    </cfRule>
  </conditionalFormatting>
  <conditionalFormatting sqref="L318:L329">
    <cfRule type="expression" dxfId="517" priority="104" stopIfTrue="1">
      <formula>"esterreur(reference)"</formula>
    </cfRule>
  </conditionalFormatting>
  <conditionalFormatting sqref="L331">
    <cfRule type="expression" dxfId="516" priority="81" stopIfTrue="1">
      <formula>"esterreur(reference)"</formula>
    </cfRule>
  </conditionalFormatting>
  <conditionalFormatting sqref="L334:L343 L345:L348">
    <cfRule type="expression" dxfId="515" priority="103" stopIfTrue="1">
      <formula>"esterreur(reference)"</formula>
    </cfRule>
  </conditionalFormatting>
  <conditionalFormatting sqref="L356:L357 H357:I357 K357 J357:J358 H359:L359">
    <cfRule type="expression" dxfId="514" priority="118" stopIfTrue="1">
      <formula>"esterreur(reference)"</formula>
    </cfRule>
  </conditionalFormatting>
  <conditionalFormatting sqref="L5:Q14">
    <cfRule type="expression" dxfId="513" priority="73" stopIfTrue="1">
      <formula>"esterreur(reference)"</formula>
    </cfRule>
  </conditionalFormatting>
  <conditionalFormatting sqref="L156:Q162">
    <cfRule type="expression" dxfId="512" priority="39" stopIfTrue="1">
      <formula>"esterreur(reference)"</formula>
    </cfRule>
  </conditionalFormatting>
  <conditionalFormatting sqref="M95:M97">
    <cfRule type="expression" dxfId="511" priority="114" stopIfTrue="1">
      <formula>"esterreur(reference)"</formula>
    </cfRule>
  </conditionalFormatting>
  <conditionalFormatting sqref="O13:O14 O16 O18:O24 O83:Q85">
    <cfRule type="expression" dxfId="510" priority="77" stopIfTrue="1">
      <formula>"esterreur(reference)"</formula>
    </cfRule>
  </conditionalFormatting>
  <conditionalFormatting sqref="O172:O196 Q183 O198:P229 O232:Q232 O233:P233">
    <cfRule type="expression" dxfId="509" priority="66" stopIfTrue="1">
      <formula>"esterreur(reference)"</formula>
    </cfRule>
  </conditionalFormatting>
  <conditionalFormatting sqref="O318:P348 O349:Q349 O352:Q352 O353:P353">
    <cfRule type="expression" dxfId="508" priority="50" stopIfTrue="1">
      <formula>"esterreur(reference)"</formula>
    </cfRule>
  </conditionalFormatting>
  <conditionalFormatting sqref="O25:Q72">
    <cfRule type="expression" dxfId="507" priority="15" stopIfTrue="1">
      <formula>"esterreur(reference)"</formula>
    </cfRule>
  </conditionalFormatting>
  <conditionalFormatting sqref="O97:Q98 O122:Q122 O156:P157 O164:Q164 O165:P165">
    <cfRule type="expression" dxfId="506" priority="72" stopIfTrue="1">
      <formula>"esterreur(reference)"</formula>
    </cfRule>
  </conditionalFormatting>
  <conditionalFormatting sqref="O101:Q111">
    <cfRule type="expression" dxfId="505" priority="70" stopIfTrue="1">
      <formula>"esterreur(reference)"</formula>
    </cfRule>
  </conditionalFormatting>
  <conditionalFormatting sqref="O135:Q153">
    <cfRule type="expression" dxfId="504" priority="40" stopIfTrue="1">
      <formula>"esterreur(reference)"</formula>
    </cfRule>
  </conditionalFormatting>
  <conditionalFormatting sqref="O197:Q197">
    <cfRule type="expression" dxfId="503" priority="67" stopIfTrue="1">
      <formula>"esterreur(reference)"</formula>
    </cfRule>
  </conditionalFormatting>
  <conditionalFormatting sqref="O243:Q243 O252:Q253 O254:P284 O285:Q285 O288:Q288 O289:P289">
    <cfRule type="expression" dxfId="502" priority="57" stopIfTrue="1">
      <formula>"esterreur(reference)"</formula>
    </cfRule>
  </conditionalFormatting>
  <conditionalFormatting sqref="O295:Q317">
    <cfRule type="expression" dxfId="501" priority="48" stopIfTrue="1">
      <formula>"esterreur(reference)"</formula>
    </cfRule>
  </conditionalFormatting>
  <conditionalFormatting sqref="O359:Q394">
    <cfRule type="expression" dxfId="500" priority="44" stopIfTrue="1">
      <formula>"esterreur(reference)"</formula>
    </cfRule>
  </conditionalFormatting>
  <conditionalFormatting sqref="O396:Q399">
    <cfRule type="expression" dxfId="499" priority="45" stopIfTrue="1">
      <formula>"esterreur(reference)"</formula>
    </cfRule>
  </conditionalFormatting>
  <conditionalFormatting sqref="P5">
    <cfRule type="expression" dxfId="498" priority="74" stopIfTrue="1">
      <formula>"esterreur(reference)"</formula>
    </cfRule>
  </conditionalFormatting>
  <conditionalFormatting sqref="P175">
    <cfRule type="expression" dxfId="497" priority="61" stopIfTrue="1">
      <formula>"esterreur(reference)"</formula>
    </cfRule>
  </conditionalFormatting>
  <conditionalFormatting sqref="P183:P184">
    <cfRule type="expression" dxfId="496" priority="63" stopIfTrue="1">
      <formula>"esterreur(reference)"</formula>
    </cfRule>
  </conditionalFormatting>
  <conditionalFormatting sqref="P287">
    <cfRule type="expression" dxfId="495" priority="52" stopIfTrue="1">
      <formula>"esterreur(reference)"</formula>
    </cfRule>
  </conditionalFormatting>
  <conditionalFormatting sqref="P395">
    <cfRule type="expression" dxfId="494" priority="46" stopIfTrue="1">
      <formula>"esterreur(reference)"</formula>
    </cfRule>
  </conditionalFormatting>
  <conditionalFormatting sqref="P93:Q96">
    <cfRule type="expression" dxfId="493" priority="69" stopIfTrue="1">
      <formula>"esterreur(reference)"</formula>
    </cfRule>
  </conditionalFormatting>
  <conditionalFormatting sqref="P99:Q100">
    <cfRule type="expression" dxfId="492" priority="71" stopIfTrue="1">
      <formula>"esterreur(reference)"</formula>
    </cfRule>
  </conditionalFormatting>
  <conditionalFormatting sqref="P172:Q173">
    <cfRule type="expression" dxfId="491" priority="62" stopIfTrue="1">
      <formula>"esterreur(reference)"</formula>
    </cfRule>
  </conditionalFormatting>
  <conditionalFormatting sqref="P176:Q182">
    <cfRule type="expression" dxfId="490" priority="60" stopIfTrue="1">
      <formula>"esterreur(reference)"</formula>
    </cfRule>
  </conditionalFormatting>
  <conditionalFormatting sqref="P185:Q196">
    <cfRule type="expression" dxfId="489" priority="59" stopIfTrue="1">
      <formula>"esterreur(reference)"</formula>
    </cfRule>
  </conditionalFormatting>
  <conditionalFormatting sqref="P241:Q241">
    <cfRule type="expression" dxfId="488" priority="53" stopIfTrue="1">
      <formula>"esterreur(reference)"</formula>
    </cfRule>
  </conditionalFormatting>
  <conditionalFormatting sqref="P244:Q244">
    <cfRule type="expression" dxfId="487" priority="55" stopIfTrue="1">
      <formula>"esterreur(reference)"</formula>
    </cfRule>
  </conditionalFormatting>
  <conditionalFormatting sqref="P247:Q247">
    <cfRule type="expression" dxfId="486" priority="54" stopIfTrue="1">
      <formula>"esterreur(reference)"</formula>
    </cfRule>
  </conditionalFormatting>
  <conditionalFormatting sqref="Q16:Q24">
    <cfRule type="expression" dxfId="485" priority="76" stopIfTrue="1">
      <formula>"esterreur(reference)"</formula>
    </cfRule>
  </conditionalFormatting>
  <conditionalFormatting sqref="Q75:Q82">
    <cfRule type="expression" dxfId="484" priority="75" stopIfTrue="1">
      <formula>"esterreur(reference)"</formula>
    </cfRule>
  </conditionalFormatting>
  <conditionalFormatting sqref="Q174:Q175">
    <cfRule type="expression" dxfId="483" priority="65" stopIfTrue="1">
      <formula>"esterreur(reference)"</formula>
    </cfRule>
  </conditionalFormatting>
  <conditionalFormatting sqref="Q198:Q209">
    <cfRule type="expression" dxfId="482" priority="64" stopIfTrue="1">
      <formula>"esterreur(reference)"</formula>
    </cfRule>
  </conditionalFormatting>
  <conditionalFormatting sqref="Q211:Q228">
    <cfRule type="expression" dxfId="481" priority="58" stopIfTrue="1">
      <formula>"esterreur(reference)"</formula>
    </cfRule>
  </conditionalFormatting>
  <conditionalFormatting sqref="Q254:Q265">
    <cfRule type="expression" dxfId="480" priority="56" stopIfTrue="1">
      <formula>"esterreur(reference)"</formula>
    </cfRule>
  </conditionalFormatting>
  <conditionalFormatting sqref="Q267:Q284">
    <cfRule type="expression" dxfId="479" priority="51" stopIfTrue="1">
      <formula>"esterreur(reference)"</formula>
    </cfRule>
  </conditionalFormatting>
  <conditionalFormatting sqref="Q318:Q329">
    <cfRule type="expression" dxfId="478" priority="49" stopIfTrue="1">
      <formula>"esterreur(reference)"</formula>
    </cfRule>
  </conditionalFormatting>
  <conditionalFormatting sqref="Q331:Q348">
    <cfRule type="expression" dxfId="477" priority="47" stopIfTrue="1">
      <formula>"esterreur(reference)"</formula>
    </cfRule>
  </conditionalFormatting>
  <conditionalFormatting sqref="R312">
    <cfRule type="expression" dxfId="476" priority="115" stopIfTrue="1">
      <formula>"esterreur(reference)"</formula>
    </cfRule>
  </conditionalFormatting>
  <conditionalFormatting sqref="S186">
    <cfRule type="expression" dxfId="475" priority="86" stopIfTrue="1">
      <formula>"esterreur(reference)"</formula>
    </cfRule>
  </conditionalFormatting>
  <conditionalFormatting sqref="Z425:Z427">
    <cfRule type="cellIs" dxfId="474" priority="35" operator="greaterThan">
      <formula>0</formula>
    </cfRule>
  </conditionalFormatting>
  <conditionalFormatting sqref="Z432">
    <cfRule type="cellIs" dxfId="473" priority="32" operator="greaterThan">
      <formula>0</formula>
    </cfRule>
  </conditionalFormatting>
  <conditionalFormatting sqref="Z449:Z451">
    <cfRule type="cellIs" dxfId="472" priority="28" operator="greaterThan">
      <formula>0</formula>
    </cfRule>
  </conditionalFormatting>
  <conditionalFormatting sqref="Z463:Z465">
    <cfRule type="cellIs" dxfId="471" priority="24" operator="greaterThan">
      <formula>0</formula>
    </cfRule>
  </conditionalFormatting>
  <conditionalFormatting sqref="Z478:Z479">
    <cfRule type="cellIs" dxfId="470" priority="21" operator="greaterThan">
      <formula>0</formula>
    </cfRule>
  </conditionalFormatting>
  <conditionalFormatting sqref="Z495:Z497">
    <cfRule type="cellIs" dxfId="469" priority="18" operator="greaterThan">
      <formula>0</formula>
    </cfRule>
  </conditionalFormatting>
  <conditionalFormatting sqref="AC425:AC427">
    <cfRule type="cellIs" dxfId="468" priority="36" operator="greaterThan">
      <formula>0</formula>
    </cfRule>
  </conditionalFormatting>
  <conditionalFormatting sqref="AC432">
    <cfRule type="cellIs" dxfId="467" priority="33" operator="greaterThan">
      <formula>0</formula>
    </cfRule>
  </conditionalFormatting>
  <conditionalFormatting sqref="AC449:AC451">
    <cfRule type="cellIs" dxfId="466" priority="29" operator="greaterThan">
      <formula>0</formula>
    </cfRule>
  </conditionalFormatting>
  <conditionalFormatting sqref="AC463:AC465">
    <cfRule type="cellIs" dxfId="465" priority="25" operator="greaterThan">
      <formula>0</formula>
    </cfRule>
  </conditionalFormatting>
  <conditionalFormatting sqref="AC478:AC479">
    <cfRule type="cellIs" dxfId="464" priority="22" operator="greaterThan">
      <formula>0</formula>
    </cfRule>
  </conditionalFormatting>
  <conditionalFormatting sqref="AC495:AC497">
    <cfRule type="cellIs" dxfId="463" priority="19" operator="greaterThan">
      <formula>0</formula>
    </cfRule>
  </conditionalFormatting>
  <conditionalFormatting sqref="AG409:AI418">
    <cfRule type="cellIs" dxfId="462" priority="9" operator="greaterThan">
      <formula>0</formula>
    </cfRule>
  </conditionalFormatting>
  <conditionalFormatting sqref="AH449:AH452">
    <cfRule type="cellIs" dxfId="461" priority="6" operator="greaterThan">
      <formula>0</formula>
    </cfRule>
  </conditionalFormatting>
  <conditionalFormatting sqref="AH461:AH466">
    <cfRule type="cellIs" dxfId="460" priority="4" operator="greaterThan">
      <formula>0</formula>
    </cfRule>
  </conditionalFormatting>
  <conditionalFormatting sqref="AH420:AI448">
    <cfRule type="cellIs" dxfId="459" priority="8" operator="greaterThan">
      <formula>0</formula>
    </cfRule>
  </conditionalFormatting>
  <conditionalFormatting sqref="AH453:AI460 AH467:AI468">
    <cfRule type="cellIs" dxfId="458" priority="10" operator="greaterThan">
      <formula>0</formula>
    </cfRule>
  </conditionalFormatting>
  <conditionalFormatting sqref="AH469:AI477 AH480:AI480">
    <cfRule type="cellIs" dxfId="457" priority="11" operator="lessThan">
      <formula>0</formula>
    </cfRule>
  </conditionalFormatting>
  <conditionalFormatting sqref="AH478:AI479">
    <cfRule type="cellIs" dxfId="456" priority="3" operator="greaterThan">
      <formula>0</formula>
    </cfRule>
  </conditionalFormatting>
  <conditionalFormatting sqref="AH491:AI497">
    <cfRule type="cellIs" dxfId="455" priority="2" operator="greaterThan">
      <formula>0</formula>
    </cfRule>
  </conditionalFormatting>
  <conditionalFormatting sqref="AI449:AI451">
    <cfRule type="cellIs" dxfId="454" priority="7" operator="greaterThan">
      <formula>0</formula>
    </cfRule>
  </conditionalFormatting>
  <conditionalFormatting sqref="AI463:AI465">
    <cfRule type="cellIs" dxfId="453" priority="5" operator="greaterThan">
      <formula>0</formula>
    </cfRule>
  </conditionalFormatting>
  <conditionalFormatting sqref="AO409:AO418">
    <cfRule type="cellIs" dxfId="452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02"/>
  <sheetViews>
    <sheetView topLeftCell="L469" zoomScale="60" zoomScaleNormal="60" workbookViewId="0">
      <selection activeCell="L469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279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496" t="s">
        <v>5</v>
      </c>
      <c r="E3" s="497"/>
      <c r="F3" s="498"/>
      <c r="G3" s="499"/>
      <c r="H3" s="497"/>
      <c r="I3" s="498"/>
      <c r="J3" s="499" t="s">
        <v>7</v>
      </c>
      <c r="K3" s="497"/>
      <c r="L3" s="498"/>
      <c r="M3" s="499" t="s">
        <v>213</v>
      </c>
      <c r="N3" s="498"/>
      <c r="O3" s="496" t="s">
        <v>8</v>
      </c>
      <c r="P3" s="497"/>
      <c r="Q3" s="498"/>
      <c r="R3" s="494" t="s">
        <v>214</v>
      </c>
      <c r="S3" s="495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 t="shared" ref="A5:A36" si="0">+B5&amp;C5</f>
        <v>Véhicules neufsVentes nettes</v>
      </c>
      <c r="B5" s="11" t="str">
        <f t="shared" ref="B5:B85" si="1">+$K$1</f>
        <v>Véhicules neufs</v>
      </c>
      <c r="C5" s="20" t="s">
        <v>14</v>
      </c>
      <c r="D5" s="21"/>
      <c r="E5" s="21"/>
      <c r="F5" s="22">
        <v>1708172.4229668381</v>
      </c>
      <c r="G5" s="23"/>
      <c r="H5" s="21"/>
      <c r="I5" s="24"/>
      <c r="J5" s="23"/>
      <c r="K5" s="25"/>
      <c r="L5" s="22">
        <v>2092480.4099999997</v>
      </c>
      <c r="M5" s="26"/>
      <c r="N5" s="27"/>
      <c r="O5" s="23"/>
      <c r="P5" s="25"/>
      <c r="Q5" s="22">
        <v>8285274.8799999999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si="0"/>
        <v>Véhicules neufsAutos détail</v>
      </c>
      <c r="B6" s="11" t="str">
        <f t="shared" si="1"/>
        <v>Véhicules neufs</v>
      </c>
      <c r="C6" s="29" t="s">
        <v>15</v>
      </c>
      <c r="D6" s="30">
        <v>6</v>
      </c>
      <c r="E6" s="30">
        <f>IF(D6=0,0,F6/D6)</f>
        <v>5144.9382716049386</v>
      </c>
      <c r="F6" s="30">
        <v>30869.629629629631</v>
      </c>
      <c r="G6" s="31"/>
      <c r="H6" s="30"/>
      <c r="I6" s="30"/>
      <c r="J6" s="31">
        <v>10</v>
      </c>
      <c r="K6" s="30">
        <f>IF(J6=0,0,L6/J6)</f>
        <v>5653.2790000000068</v>
      </c>
      <c r="L6" s="32">
        <v>56532.790000000066</v>
      </c>
      <c r="M6" s="31">
        <f t="shared" ref="M6:M12" si="2">J6-D6</f>
        <v>4</v>
      </c>
      <c r="N6" s="33">
        <f t="shared" ref="N6:N12" si="3">L6-F6</f>
        <v>25663.160370370435</v>
      </c>
      <c r="O6" s="31">
        <v>5</v>
      </c>
      <c r="P6" s="30">
        <f t="shared" ref="P6:P12" si="4">IF(O6=0,0,Q6/O6)</f>
        <v>4279.2780000000002</v>
      </c>
      <c r="Q6" s="32">
        <v>21396.39</v>
      </c>
      <c r="R6" s="31">
        <f>J6-O6</f>
        <v>5</v>
      </c>
      <c r="S6" s="34">
        <f>L6-Q6</f>
        <v>35136.400000000067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0"/>
        <v>Véhicules neufsCamions détail</v>
      </c>
      <c r="B7" s="11" t="str">
        <f t="shared" si="1"/>
        <v>Véhicules neufs</v>
      </c>
      <c r="C7" s="29" t="s">
        <v>16</v>
      </c>
      <c r="D7" s="30">
        <v>11</v>
      </c>
      <c r="E7" s="30">
        <f t="shared" ref="E7:E12" si="5">IF(D7=0,0,F7/D7)</f>
        <v>5386.4238410596026</v>
      </c>
      <c r="F7" s="30">
        <v>59250.662251655631</v>
      </c>
      <c r="G7" s="31"/>
      <c r="H7" s="30"/>
      <c r="I7" s="30"/>
      <c r="J7" s="31">
        <v>13</v>
      </c>
      <c r="K7" s="30">
        <f t="shared" ref="K7:K12" si="6">IF(J7=0,0,L7/J7)</f>
        <v>4282.3400000000074</v>
      </c>
      <c r="L7" s="32">
        <v>55670.4200000001</v>
      </c>
      <c r="M7" s="31">
        <f t="shared" si="2"/>
        <v>2</v>
      </c>
      <c r="N7" s="33">
        <f t="shared" si="3"/>
        <v>-3580.2422516555307</v>
      </c>
      <c r="O7" s="31">
        <v>13</v>
      </c>
      <c r="P7" s="30">
        <f t="shared" si="4"/>
        <v>4990.9961538461384</v>
      </c>
      <c r="Q7" s="32">
        <v>64882.949999999801</v>
      </c>
      <c r="R7" s="31">
        <f t="shared" ref="R7:R12" si="7">J7-O7</f>
        <v>0</v>
      </c>
      <c r="S7" s="34">
        <f t="shared" ref="S7:S12" si="8">L7-Q7</f>
        <v>-9212.5299999997005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0"/>
        <v>Véhicules neufsSprinter</v>
      </c>
      <c r="B8" s="11" t="str">
        <f t="shared" si="1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0"/>
        <v>Véhicules neufsMoto détail</v>
      </c>
      <c r="B9" s="11" t="str">
        <f t="shared" si="1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0"/>
        <v>Véhicules neufs[...]</v>
      </c>
      <c r="B10" s="11" t="str">
        <f t="shared" si="1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0"/>
        <v>Véhicules neufs[...]</v>
      </c>
      <c r="B11" s="11" t="str">
        <f t="shared" si="1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0"/>
        <v>Véhicules neufs[...]</v>
      </c>
      <c r="B12" s="11" t="str">
        <f t="shared" si="1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0"/>
        <v>Véhicules neufsTotal Neufs</v>
      </c>
      <c r="B13" s="11" t="str">
        <f t="shared" si="1"/>
        <v>Véhicules neufs</v>
      </c>
      <c r="C13" s="35" t="s">
        <v>20</v>
      </c>
      <c r="D13" s="36">
        <f>+SUM(D6:D12)</f>
        <v>17</v>
      </c>
      <c r="E13" s="36">
        <f>IF(D13&lt;=0,0,F13/D13)</f>
        <v>5301.1936400756031</v>
      </c>
      <c r="F13" s="37">
        <f>+SUM(F6:F12)</f>
        <v>90120.291881285259</v>
      </c>
      <c r="G13" s="38"/>
      <c r="H13" s="36"/>
      <c r="I13" s="37"/>
      <c r="J13" s="38">
        <f>+SUM(J6:J12)</f>
        <v>23</v>
      </c>
      <c r="K13" s="36">
        <f>IF(J13&lt;=0,0,L13/J13)</f>
        <v>4878.4004347826158</v>
      </c>
      <c r="L13" s="37">
        <f>+SUM(L6:L12)</f>
        <v>112203.21000000017</v>
      </c>
      <c r="M13" s="38">
        <f>+SUM(M6:M12)</f>
        <v>6</v>
      </c>
      <c r="N13" s="37">
        <f>+SUM(N6:N12)</f>
        <v>22082.918118714904</v>
      </c>
      <c r="O13" s="38">
        <f>+SUM(O6:O12)</f>
        <v>18</v>
      </c>
      <c r="P13" s="36">
        <f>IF(O13&lt;=0,0,Q13/O13)</f>
        <v>4793.2966666666553</v>
      </c>
      <c r="Q13" s="37">
        <f>+SUM(Q6:Q12)</f>
        <v>86279.339999999793</v>
      </c>
      <c r="R13" s="38">
        <f>+SUM(R6:R12)</f>
        <v>5</v>
      </c>
      <c r="S13" s="39">
        <f>+SUM(S6:S12)</f>
        <v>25923.870000000366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0"/>
        <v>Véhicules neufs</v>
      </c>
      <c r="B14" s="11" t="str">
        <f t="shared" si="1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0.35294117647058826</v>
      </c>
      <c r="N14" s="43">
        <f>IF(F13=0,0,N13/F13)</f>
        <v>0.24503824452548995</v>
      </c>
      <c r="O14" s="41"/>
      <c r="P14" s="30"/>
      <c r="Q14" s="40"/>
      <c r="R14" s="42">
        <f>R13/O13</f>
        <v>0.27777777777777779</v>
      </c>
      <c r="S14" s="44">
        <f>IF(Q13=0,0,(S13/Q13))</f>
        <v>0.30046439854547369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0"/>
        <v>Véhicules neufsEx-Démos et courtoisies</v>
      </c>
      <c r="B15" s="11" t="str">
        <f t="shared" si="1"/>
        <v>Véhicules neufs</v>
      </c>
      <c r="C15" s="45" t="s">
        <v>21</v>
      </c>
      <c r="D15" s="25">
        <v>2</v>
      </c>
      <c r="E15" s="25">
        <f>IF(D15=0,0,F15/D15)</f>
        <v>2500</v>
      </c>
      <c r="F15" s="22">
        <v>5000</v>
      </c>
      <c r="G15" s="46"/>
      <c r="H15" s="47"/>
      <c r="I15" s="48"/>
      <c r="J15" s="49">
        <v>0</v>
      </c>
      <c r="K15" s="50">
        <f>IF(J15=0,0,L15/J15)</f>
        <v>0</v>
      </c>
      <c r="L15" s="50">
        <v>0</v>
      </c>
      <c r="M15" s="51">
        <f>J15-D15</f>
        <v>-2</v>
      </c>
      <c r="N15" s="48">
        <f>L15-F15</f>
        <v>-5000</v>
      </c>
      <c r="O15" s="49">
        <v>4</v>
      </c>
      <c r="P15" s="50">
        <f>IF(O15=0,0,Q15/O15)</f>
        <v>3882.6524999999751</v>
      </c>
      <c r="Q15" s="50">
        <v>15530.609999999901</v>
      </c>
      <c r="R15" s="51">
        <f>J15-O15</f>
        <v>-4</v>
      </c>
      <c r="S15" s="52">
        <f>L15-Q15</f>
        <v>-15530.609999999901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0"/>
        <v>Véhicules neufs</v>
      </c>
      <c r="B16" s="11" t="str">
        <f t="shared" si="1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0"/>
        <v>Véhicules neufsFlottes</v>
      </c>
      <c r="B17" s="11" t="str">
        <f t="shared" si="1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1</v>
      </c>
      <c r="K17" s="30">
        <f>IF(J17=0,0,L17/J17)</f>
        <v>416.18000000000757</v>
      </c>
      <c r="L17" s="33">
        <v>416.18000000000757</v>
      </c>
      <c r="M17" s="51">
        <f>J17-D17</f>
        <v>1</v>
      </c>
      <c r="N17" s="33">
        <f>L17-F17</f>
        <v>416.18000000000757</v>
      </c>
      <c r="O17" s="51">
        <v>0</v>
      </c>
      <c r="P17" s="30">
        <f>IF(O17=0,0,Q17/O17)</f>
        <v>0</v>
      </c>
      <c r="Q17" s="33">
        <v>0</v>
      </c>
      <c r="R17" s="31">
        <f>J17-O17</f>
        <v>1</v>
      </c>
      <c r="S17" s="34">
        <f>L17-Q17</f>
        <v>416.18000000000757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0"/>
        <v>Véhicules neufs</v>
      </c>
      <c r="B18" s="11" t="str">
        <f t="shared" si="1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0"/>
        <v>Véhicules neufsRachat bail</v>
      </c>
      <c r="B19" s="11" t="str">
        <f t="shared" si="1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2165.8718619555571</v>
      </c>
      <c r="G19" s="31"/>
      <c r="H19" s="30"/>
      <c r="I19" s="30"/>
      <c r="J19" s="46"/>
      <c r="K19" s="30"/>
      <c r="L19" s="33">
        <v>3371.0100000000093</v>
      </c>
      <c r="M19" s="31"/>
      <c r="N19" s="33">
        <f>L19-F19</f>
        <v>1205.1381380444523</v>
      </c>
      <c r="O19" s="46"/>
      <c r="P19" s="30"/>
      <c r="Q19" s="33">
        <v>4995</v>
      </c>
      <c r="R19" s="31">
        <f>O19-K19</f>
        <v>0</v>
      </c>
      <c r="S19" s="34">
        <f>L19-Q19</f>
        <v>-1623.9899999999907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0"/>
        <v>Véhicules neufs</v>
      </c>
      <c r="B20" s="11" t="str">
        <f t="shared" si="1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0"/>
        <v>Véhicules neufsRev. Finances</v>
      </c>
      <c r="B21" s="11" t="str">
        <f t="shared" si="1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1615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-1615</v>
      </c>
      <c r="O21" s="31"/>
      <c r="P21" s="30"/>
      <c r="Q21" s="33">
        <v>0</v>
      </c>
      <c r="R21" s="31">
        <f>O21-K21</f>
        <v>0</v>
      </c>
      <c r="S21" s="34">
        <f>L21-Q21</f>
        <v>0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0"/>
        <v>Véhicules neufsRev. Protections</v>
      </c>
      <c r="B22" s="11" t="str">
        <f t="shared" si="1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19380</v>
      </c>
      <c r="G22" s="41"/>
      <c r="H22" s="30"/>
      <c r="I22" s="30"/>
      <c r="J22" s="31"/>
      <c r="K22" s="30">
        <f>IF(J13=0,0,L22/(J13+J15))</f>
        <v>854.43913043478256</v>
      </c>
      <c r="L22" s="33">
        <v>19652.099999999999</v>
      </c>
      <c r="M22" s="31"/>
      <c r="N22" s="33">
        <f>L22-F22</f>
        <v>272.09999999999854</v>
      </c>
      <c r="O22" s="31"/>
      <c r="P22" s="30"/>
      <c r="Q22" s="33">
        <v>23710</v>
      </c>
      <c r="R22" s="31">
        <f>O22-K22</f>
        <v>-854.43913043478256</v>
      </c>
      <c r="S22" s="34">
        <f>L22-Q22</f>
        <v>-4057.9000000000015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0"/>
        <v>Véhicules neufsRev. Autres</v>
      </c>
      <c r="B23" s="11" t="str">
        <f t="shared" si="1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9405</v>
      </c>
      <c r="G23" s="41"/>
      <c r="H23" s="30"/>
      <c r="I23" s="30"/>
      <c r="J23" s="31"/>
      <c r="K23" s="30">
        <f>IF(J13=0,0,L23/(J13+J15))</f>
        <v>416.13652173913039</v>
      </c>
      <c r="L23" s="33">
        <v>9571.14</v>
      </c>
      <c r="M23" s="51"/>
      <c r="N23" s="33">
        <f>L23-F23</f>
        <v>166.13999999999942</v>
      </c>
      <c r="O23" s="31"/>
      <c r="P23" s="30"/>
      <c r="Q23" s="33">
        <v>9363.09</v>
      </c>
      <c r="R23" s="31">
        <f>O23-K23</f>
        <v>-416.13652173913039</v>
      </c>
      <c r="S23" s="34">
        <f>L23-Q23</f>
        <v>208.04999999999927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0"/>
        <v>Véhicules neufsTotal F&amp;I</v>
      </c>
      <c r="B24" s="11" t="str">
        <f t="shared" si="1"/>
        <v>Véhicules neufs</v>
      </c>
      <c r="C24" s="35" t="s">
        <v>27</v>
      </c>
      <c r="D24" s="36">
        <f>+D15+D13</f>
        <v>19</v>
      </c>
      <c r="E24" s="36">
        <f>IF(D24&lt;=0,0,F24/D24)</f>
        <v>1600</v>
      </c>
      <c r="F24" s="37">
        <f>F21+F22+F23</f>
        <v>30400</v>
      </c>
      <c r="G24" s="38"/>
      <c r="H24" s="36"/>
      <c r="I24" s="37"/>
      <c r="J24" s="38">
        <f>+J15+J13</f>
        <v>23</v>
      </c>
      <c r="K24" s="36">
        <f>IF(J24&lt;=0,0,L24/J24)</f>
        <v>1270.5756521739129</v>
      </c>
      <c r="L24" s="37">
        <f>L21+L22+L23</f>
        <v>29223.239999999998</v>
      </c>
      <c r="M24" s="58">
        <f>J24-D24</f>
        <v>4</v>
      </c>
      <c r="N24" s="37">
        <f>L24-F24</f>
        <v>-1176.760000000002</v>
      </c>
      <c r="O24" s="38">
        <f>+O15+O13</f>
        <v>22</v>
      </c>
      <c r="P24" s="36">
        <f>IF(O24&lt;=0,0,Q24/O24)</f>
        <v>1503.3222727272725</v>
      </c>
      <c r="Q24" s="37">
        <f>Q21+Q22+Q23</f>
        <v>33073.089999999997</v>
      </c>
      <c r="R24" s="56"/>
      <c r="S24" s="39">
        <f>L24-Q24</f>
        <v>-3849.8499999999985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0"/>
        <v>Véhicules neufs</v>
      </c>
      <c r="B25" s="11" t="str">
        <f t="shared" si="1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-3.870921052631586E-2</v>
      </c>
      <c r="O25" s="41"/>
      <c r="P25" s="13"/>
      <c r="Q25" s="59"/>
      <c r="R25" s="60"/>
      <c r="S25" s="44">
        <f>IF(Q24=0,0,(S24/Q24))</f>
        <v>-0.11640430331728904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0"/>
        <v>Véhicules neufs</v>
      </c>
      <c r="B26" s="11" t="str">
        <f t="shared" si="1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0"/>
        <v>Véhicules neufsTotal Dépt. Neufs</v>
      </c>
      <c r="B27" s="11" t="str">
        <f t="shared" si="1"/>
        <v>Véhicules neufs</v>
      </c>
      <c r="C27" s="62" t="s">
        <v>28</v>
      </c>
      <c r="D27" s="63">
        <f>+D13+D15+D17</f>
        <v>19</v>
      </c>
      <c r="E27" s="64">
        <f>IF(D27&lt;=0,0,F27/D27)</f>
        <v>6720.3244075389903</v>
      </c>
      <c r="F27" s="65">
        <f>F13+F17+F24+F19+F15</f>
        <v>127686.16374324082</v>
      </c>
      <c r="G27" s="66"/>
      <c r="H27" s="67"/>
      <c r="I27" s="65"/>
      <c r="J27" s="66">
        <f>+J13+J15+J17</f>
        <v>24</v>
      </c>
      <c r="K27" s="67">
        <f>IF(J27&lt;=0,0,L27/J27)</f>
        <v>6050.5683333333409</v>
      </c>
      <c r="L27" s="65">
        <f>L13+L17+L24+L19+L15</f>
        <v>145213.64000000019</v>
      </c>
      <c r="M27" s="66">
        <f>J27-D27</f>
        <v>5</v>
      </c>
      <c r="N27" s="65">
        <f>L27-F27</f>
        <v>17527.476256759372</v>
      </c>
      <c r="O27" s="66">
        <f>+O13+O15+O17</f>
        <v>22</v>
      </c>
      <c r="P27" s="67">
        <f>IF(O27&lt;=0,0,Q27/O27)</f>
        <v>6358.0927272727131</v>
      </c>
      <c r="Q27" s="65">
        <f>Q13+Q17+Q24+Q19+Q15</f>
        <v>139878.03999999969</v>
      </c>
      <c r="R27" s="66">
        <f>J27-O27</f>
        <v>2</v>
      </c>
      <c r="S27" s="68">
        <f>L27-Q27</f>
        <v>5335.6000000005006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0"/>
        <v>Véhicules neufs</v>
      </c>
      <c r="B28" s="11" t="str">
        <f t="shared" si="1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0.26315789473684209</v>
      </c>
      <c r="N28" s="74">
        <f>N27/F27</f>
        <v>0.13726997305678865</v>
      </c>
      <c r="O28" s="72"/>
      <c r="P28" s="70"/>
      <c r="Q28" s="71"/>
      <c r="R28" s="73">
        <f>R27/O27</f>
        <v>9.0909090909090912E-2</v>
      </c>
      <c r="S28" s="75">
        <f>IF(Q27=0,0,S27/Q27)</f>
        <v>3.8144658017802598E-2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0"/>
        <v>Véhicules neufs</v>
      </c>
      <c r="B29" s="11" t="str">
        <f t="shared" si="1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0"/>
        <v>Véhicules neufsDEPENSES</v>
      </c>
      <c r="B30" s="11" t="str">
        <f t="shared" si="1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0"/>
        <v>Véhicules neufsComm. vendeurs</v>
      </c>
      <c r="B31" s="11" t="str">
        <f t="shared" si="1"/>
        <v>Véhicules neufs</v>
      </c>
      <c r="C31" s="29" t="s">
        <v>30</v>
      </c>
      <c r="D31" s="148">
        <f>F31/(F13+F15)</f>
        <v>0.29688638321660044</v>
      </c>
      <c r="E31" s="82">
        <f t="shared" ref="E31:E36" si="9">F31/D$24</f>
        <v>1486.3115487969549</v>
      </c>
      <c r="F31" s="30">
        <v>28239.919427142144</v>
      </c>
      <c r="G31" s="157"/>
      <c r="H31" s="82"/>
      <c r="I31" s="30"/>
      <c r="J31" s="157">
        <f>L31/(L13+L15)</f>
        <v>0.27481744951860071</v>
      </c>
      <c r="K31" s="82">
        <f t="shared" ref="K31:K36" si="10">IF(L31=0,0,L31/J$24)</f>
        <v>1340.6695652173914</v>
      </c>
      <c r="L31" s="30">
        <v>30835.4</v>
      </c>
      <c r="M31" s="41"/>
      <c r="N31" s="59">
        <f t="shared" ref="N31:N53" si="11">L31-F31</f>
        <v>2595.4805728578576</v>
      </c>
      <c r="O31" s="157">
        <f>Q31/(Q13+Q15+Q17)</f>
        <v>0.39350525169691292</v>
      </c>
      <c r="P31" s="82">
        <f t="shared" ref="P31:P40" si="12">Q31/O$24</f>
        <v>1821.034090909091</v>
      </c>
      <c r="Q31" s="33">
        <v>40062.75</v>
      </c>
      <c r="R31" s="41"/>
      <c r="S31" s="85">
        <f t="shared" ref="S31:S36" si="13">L31-Q31</f>
        <v>-9227.3499999999985</v>
      </c>
      <c r="T31" s="13"/>
      <c r="U31" s="13"/>
      <c r="V31" s="11" t="s">
        <v>245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0"/>
        <v>Véhicules neufsComm. F&amp;I</v>
      </c>
      <c r="B32" s="11" t="str">
        <f t="shared" si="1"/>
        <v>Véhicules neufs</v>
      </c>
      <c r="C32" s="86" t="s">
        <v>31</v>
      </c>
      <c r="D32" s="218">
        <f>F32/F24</f>
        <v>0.25</v>
      </c>
      <c r="E32" s="88">
        <f t="shared" si="9"/>
        <v>400</v>
      </c>
      <c r="F32" s="22">
        <v>7600</v>
      </c>
      <c r="G32" s="162"/>
      <c r="H32" s="90"/>
      <c r="I32" s="22"/>
      <c r="J32" s="162">
        <f>L32/L24</f>
        <v>0.27134705118255198</v>
      </c>
      <c r="K32" s="88">
        <f t="shared" si="10"/>
        <v>344.76695652173913</v>
      </c>
      <c r="L32" s="22">
        <v>7929.64</v>
      </c>
      <c r="M32" s="23"/>
      <c r="N32" s="91">
        <f t="shared" si="11"/>
        <v>329.64000000000033</v>
      </c>
      <c r="O32" s="162">
        <f>Q32/Q24</f>
        <v>0.24168500735794574</v>
      </c>
      <c r="P32" s="88">
        <f t="shared" si="12"/>
        <v>363.33045454545459</v>
      </c>
      <c r="Q32" s="22">
        <v>7993.27</v>
      </c>
      <c r="R32" s="23"/>
      <c r="S32" s="92">
        <f t="shared" si="13"/>
        <v>-63.630000000000109</v>
      </c>
      <c r="T32" s="13"/>
      <c r="U32" s="13"/>
      <c r="V32" s="11" t="s">
        <v>246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0"/>
        <v>Véhicules neufsFrais de livraison</v>
      </c>
      <c r="B33" s="11" t="str">
        <f t="shared" si="1"/>
        <v>Véhicules neufs</v>
      </c>
      <c r="C33" s="29" t="s">
        <v>32</v>
      </c>
      <c r="D33" s="81"/>
      <c r="E33" s="82">
        <f t="shared" si="9"/>
        <v>100</v>
      </c>
      <c r="F33" s="30">
        <v>1900</v>
      </c>
      <c r="G33" s="83"/>
      <c r="H33" s="82"/>
      <c r="I33" s="30"/>
      <c r="J33" s="41"/>
      <c r="K33" s="82">
        <f t="shared" si="10"/>
        <v>125.91260869565217</v>
      </c>
      <c r="L33" s="30">
        <v>2895.99</v>
      </c>
      <c r="M33" s="41"/>
      <c r="N33" s="59">
        <f t="shared" si="11"/>
        <v>995.98999999999978</v>
      </c>
      <c r="O33" s="41"/>
      <c r="P33" s="82">
        <f t="shared" si="12"/>
        <v>105.57727272727271</v>
      </c>
      <c r="Q33" s="33">
        <v>2322.6999999999998</v>
      </c>
      <c r="R33" s="41"/>
      <c r="S33" s="85">
        <f t="shared" si="13"/>
        <v>573.29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0"/>
        <v>Véhicules neufsService gratuit 1</v>
      </c>
      <c r="B34" s="11" t="str">
        <f t="shared" si="1"/>
        <v>Véhicules neufs</v>
      </c>
      <c r="C34" s="29" t="s">
        <v>33</v>
      </c>
      <c r="D34" s="81"/>
      <c r="E34" s="82">
        <f t="shared" si="9"/>
        <v>45</v>
      </c>
      <c r="F34" s="30">
        <v>855</v>
      </c>
      <c r="G34" s="83"/>
      <c r="H34" s="82"/>
      <c r="I34" s="30"/>
      <c r="J34" s="41"/>
      <c r="K34" s="82">
        <f t="shared" si="10"/>
        <v>30.17217391304348</v>
      </c>
      <c r="L34" s="30">
        <v>693.96</v>
      </c>
      <c r="M34" s="41"/>
      <c r="N34" s="59">
        <f t="shared" si="11"/>
        <v>-161.03999999999996</v>
      </c>
      <c r="O34" s="41"/>
      <c r="P34" s="82">
        <f t="shared" si="12"/>
        <v>27.948181818181819</v>
      </c>
      <c r="Q34" s="33">
        <v>614.86</v>
      </c>
      <c r="R34" s="41"/>
      <c r="S34" s="85">
        <f t="shared" si="13"/>
        <v>79.100000000000023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0"/>
        <v>Véhicules neufsEntretien stock</v>
      </c>
      <c r="B35" s="11" t="str">
        <f t="shared" si="1"/>
        <v>Véhicules neufs</v>
      </c>
      <c r="C35" s="86" t="s">
        <v>34</v>
      </c>
      <c r="D35" s="87"/>
      <c r="E35" s="88">
        <f t="shared" si="9"/>
        <v>47.89473684210526</v>
      </c>
      <c r="F35" s="22">
        <v>910</v>
      </c>
      <c r="G35" s="89"/>
      <c r="H35" s="90"/>
      <c r="I35" s="22"/>
      <c r="J35" s="23"/>
      <c r="K35" s="88">
        <f t="shared" si="10"/>
        <v>79.394347826086957</v>
      </c>
      <c r="L35" s="22">
        <v>1826.07</v>
      </c>
      <c r="M35" s="23"/>
      <c r="N35" s="91">
        <f t="shared" si="11"/>
        <v>916.06999999999994</v>
      </c>
      <c r="O35" s="23"/>
      <c r="P35" s="88">
        <f t="shared" si="12"/>
        <v>55.56818181818182</v>
      </c>
      <c r="Q35" s="33">
        <v>1222.5</v>
      </c>
      <c r="R35" s="23"/>
      <c r="S35" s="92">
        <f t="shared" si="13"/>
        <v>603.56999999999994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0"/>
        <v>Véhicules neufsPublicité 1</v>
      </c>
      <c r="B36" s="11" t="str">
        <f t="shared" si="1"/>
        <v>Véhicules neufs</v>
      </c>
      <c r="C36" s="29" t="s">
        <v>35</v>
      </c>
      <c r="D36" s="81"/>
      <c r="E36" s="82">
        <f t="shared" si="9"/>
        <v>496.609375</v>
      </c>
      <c r="F36" s="30">
        <v>9435.578125</v>
      </c>
      <c r="G36" s="83"/>
      <c r="H36" s="82"/>
      <c r="I36" s="30"/>
      <c r="J36" s="41"/>
      <c r="K36" s="82">
        <f t="shared" si="10"/>
        <v>956.57608695652175</v>
      </c>
      <c r="L36" s="459">
        <v>22001.25</v>
      </c>
      <c r="M36" s="13"/>
      <c r="N36" s="59">
        <f t="shared" si="11"/>
        <v>12565.671875</v>
      </c>
      <c r="O36" s="41"/>
      <c r="P36" s="82">
        <f t="shared" si="12"/>
        <v>466.17045454545456</v>
      </c>
      <c r="Q36" s="55">
        <v>10255.75</v>
      </c>
      <c r="R36" s="41"/>
      <c r="S36" s="85">
        <f t="shared" si="13"/>
        <v>11745.5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ref="A37:A68" si="14">+B37&amp;C37</f>
        <v>Véhicules neufsIntérêt de gros</v>
      </c>
      <c r="B37" s="11" t="str">
        <f t="shared" si="1"/>
        <v>Véhicules neufs</v>
      </c>
      <c r="C37" s="29" t="s">
        <v>36</v>
      </c>
      <c r="D37" s="81"/>
      <c r="E37" s="82">
        <f>F37/D$24</f>
        <v>1378.7716280779189</v>
      </c>
      <c r="F37" s="30">
        <v>26196.66093348046</v>
      </c>
      <c r="G37" s="83"/>
      <c r="H37" s="82"/>
      <c r="I37" s="30"/>
      <c r="J37" s="41"/>
      <c r="K37" s="82">
        <f>IF(L37=0,0,L37/J$24)</f>
        <v>801.96173913043469</v>
      </c>
      <c r="L37" s="460">
        <v>18445.12</v>
      </c>
      <c r="M37" s="13"/>
      <c r="N37" s="59">
        <f t="shared" si="11"/>
        <v>-7751.5409334804608</v>
      </c>
      <c r="O37" s="41"/>
      <c r="P37" s="82">
        <f t="shared" si="12"/>
        <v>631.93545454545449</v>
      </c>
      <c r="Q37" s="33">
        <v>13902.58</v>
      </c>
      <c r="R37" s="41"/>
      <c r="S37" s="85">
        <f>L37-Q37</f>
        <v>4542.5399999999991</v>
      </c>
      <c r="T37" s="13"/>
      <c r="U37" s="13"/>
      <c r="V37" s="458">
        <v>18445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4"/>
        <v>Véhicules neufs[...]</v>
      </c>
      <c r="B38" s="11" t="str">
        <f t="shared" si="1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1"/>
        <v>0</v>
      </c>
      <c r="O38" s="41"/>
      <c r="P38" s="82">
        <f t="shared" si="12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4"/>
        <v>Véhicules neufs[...]</v>
      </c>
      <c r="B39" s="11" t="str">
        <f t="shared" si="1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1"/>
        <v>0</v>
      </c>
      <c r="O39" s="41"/>
      <c r="P39" s="82">
        <f t="shared" si="12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4"/>
        <v>Véhicules neufs[...]</v>
      </c>
      <c r="B40" s="11" t="str">
        <f t="shared" si="1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1"/>
        <v>0</v>
      </c>
      <c r="O40" s="41"/>
      <c r="P40" s="82">
        <f t="shared" si="12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4"/>
        <v>Véhicules neufsTOTAL VARIABLES</v>
      </c>
      <c r="B41" s="11" t="str">
        <f t="shared" si="1"/>
        <v>Véhicules neufs</v>
      </c>
      <c r="C41" s="93" t="s">
        <v>37</v>
      </c>
      <c r="D41" s="94" t="s">
        <v>38</v>
      </c>
      <c r="E41" s="95">
        <f>F41/F$27</f>
        <v>0.58845184382477822</v>
      </c>
      <c r="F41" s="96">
        <f>SUM(F31:F40)</f>
        <v>75137.158485622611</v>
      </c>
      <c r="G41" s="97"/>
      <c r="H41" s="95"/>
      <c r="I41" s="96"/>
      <c r="J41" s="97" t="s">
        <v>38</v>
      </c>
      <c r="K41" s="95">
        <f>L41/L$27</f>
        <v>0.58277879405818822</v>
      </c>
      <c r="L41" s="96">
        <f>SUM(L31:L40)</f>
        <v>84627.43</v>
      </c>
      <c r="M41" s="98"/>
      <c r="N41" s="96">
        <f t="shared" si="11"/>
        <v>9490.2715143773821</v>
      </c>
      <c r="O41" s="97" t="s">
        <v>38</v>
      </c>
      <c r="P41" s="95">
        <f>Q41/Q$27</f>
        <v>0.54600715022887203</v>
      </c>
      <c r="Q41" s="99">
        <f>SUM(Q31:Q40)</f>
        <v>76374.41</v>
      </c>
      <c r="R41" s="100"/>
      <c r="S41" s="101">
        <f t="shared" ref="S41:S45" si="15">L41-Q41</f>
        <v>8253.0199999999895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4"/>
        <v>Véhicules neufsSalaires cadres</v>
      </c>
      <c r="B42" s="11" t="str">
        <f t="shared" si="1"/>
        <v>Véhicules neufs</v>
      </c>
      <c r="C42" s="102" t="s">
        <v>40</v>
      </c>
      <c r="D42" s="13"/>
      <c r="E42" s="13"/>
      <c r="F42" s="30">
        <v>12750.16882951654</v>
      </c>
      <c r="G42" s="41"/>
      <c r="H42" s="13"/>
      <c r="I42" s="30"/>
      <c r="J42" s="41"/>
      <c r="K42" s="13"/>
      <c r="L42" s="33">
        <v>13952.2</v>
      </c>
      <c r="M42" s="41"/>
      <c r="N42" s="59">
        <f t="shared" si="11"/>
        <v>1202.0311704834603</v>
      </c>
      <c r="O42" s="41"/>
      <c r="P42" s="13"/>
      <c r="Q42" s="33">
        <v>17915.84</v>
      </c>
      <c r="R42" s="41"/>
      <c r="S42" s="85">
        <f t="shared" si="15"/>
        <v>-3963.6399999999994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4"/>
        <v>Véhicules neufsSalaires commis</v>
      </c>
      <c r="B43" s="11" t="str">
        <f t="shared" si="1"/>
        <v>Véhicules neufs</v>
      </c>
      <c r="C43" s="103" t="s">
        <v>41</v>
      </c>
      <c r="D43" s="81"/>
      <c r="E43" s="13"/>
      <c r="F43" s="22">
        <v>9014.8377862595426</v>
      </c>
      <c r="G43" s="83"/>
      <c r="H43" s="13"/>
      <c r="I43" s="22"/>
      <c r="J43" s="41"/>
      <c r="K43" s="13"/>
      <c r="L43" s="33">
        <v>9673.2099999999991</v>
      </c>
      <c r="M43" s="41"/>
      <c r="N43" s="59">
        <f t="shared" si="11"/>
        <v>658.37221374045657</v>
      </c>
      <c r="O43" s="41"/>
      <c r="P43" s="13"/>
      <c r="Q43" s="33">
        <v>7314.42</v>
      </c>
      <c r="R43" s="41"/>
      <c r="S43" s="85">
        <f t="shared" si="15"/>
        <v>2358.7899999999991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4"/>
        <v>Véhicules neufsSalaires autres</v>
      </c>
      <c r="B44" s="11" t="str">
        <f t="shared" si="1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1"/>
        <v>0</v>
      </c>
      <c r="O44" s="107"/>
      <c r="P44" s="105"/>
      <c r="Q44" s="108">
        <v>342</v>
      </c>
      <c r="R44" s="107"/>
      <c r="S44" s="110">
        <f t="shared" si="15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4"/>
        <v>Véhicules neufsSalaires spécialistes</v>
      </c>
      <c r="B45" s="11" t="str">
        <f t="shared" si="1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1"/>
        <v>0</v>
      </c>
      <c r="O45" s="41"/>
      <c r="P45" s="13"/>
      <c r="Q45" s="33">
        <v>0</v>
      </c>
      <c r="R45" s="41"/>
      <c r="S45" s="85">
        <f t="shared" si="15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4"/>
        <v>Véhicules neufs[...]</v>
      </c>
      <c r="B46" s="11" t="str">
        <f t="shared" si="1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1"/>
        <v>0</v>
      </c>
      <c r="O46" s="41"/>
      <c r="P46" s="13"/>
      <c r="Q46" s="33">
        <v>0</v>
      </c>
      <c r="R46" s="41"/>
      <c r="S46" s="85">
        <f t="shared" ref="S46:S53" si="16"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4"/>
        <v>Véhicules neufs[...]</v>
      </c>
      <c r="B47" s="11" t="str">
        <f t="shared" si="1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1"/>
        <v>0</v>
      </c>
      <c r="O47" s="41"/>
      <c r="P47" s="13"/>
      <c r="Q47" s="33">
        <v>0</v>
      </c>
      <c r="R47" s="41"/>
      <c r="S47" s="85">
        <f t="shared" si="16"/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4"/>
        <v>Véhicules neufs[...]</v>
      </c>
      <c r="B48" s="11" t="str">
        <f t="shared" si="1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1"/>
        <v>0</v>
      </c>
      <c r="O48" s="41"/>
      <c r="P48" s="13"/>
      <c r="Q48" s="33">
        <v>0</v>
      </c>
      <c r="R48" s="41"/>
      <c r="S48" s="85">
        <f t="shared" si="16"/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4"/>
        <v>Véhicules neufsSalaires en absences</v>
      </c>
      <c r="B49" s="11" t="str">
        <f t="shared" si="1"/>
        <v>Véhicules neufs</v>
      </c>
      <c r="C49" s="103" t="s">
        <v>44</v>
      </c>
      <c r="D49" s="81"/>
      <c r="E49" s="13"/>
      <c r="F49" s="22">
        <v>6698.0431910222705</v>
      </c>
      <c r="G49" s="83"/>
      <c r="H49" s="13"/>
      <c r="I49" s="22"/>
      <c r="J49" s="41"/>
      <c r="K49" s="13"/>
      <c r="L49" s="22">
        <v>7007.4</v>
      </c>
      <c r="M49" s="41"/>
      <c r="N49" s="59">
        <f t="shared" si="11"/>
        <v>309.35680897772909</v>
      </c>
      <c r="O49" s="41"/>
      <c r="P49" s="13"/>
      <c r="Q49" s="22">
        <v>6363.86</v>
      </c>
      <c r="R49" s="41"/>
      <c r="S49" s="85">
        <f t="shared" si="16"/>
        <v>643.54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4"/>
        <v>Véhicules neufsDéduction à la source</v>
      </c>
      <c r="B50" s="11" t="str">
        <f t="shared" si="1"/>
        <v>Véhicules neufs</v>
      </c>
      <c r="C50" s="102" t="s">
        <v>45</v>
      </c>
      <c r="D50" s="104"/>
      <c r="E50" s="105"/>
      <c r="F50" s="30">
        <v>8556.6330044960159</v>
      </c>
      <c r="G50" s="106"/>
      <c r="H50" s="105"/>
      <c r="I50" s="30"/>
      <c r="J50" s="107"/>
      <c r="K50" s="105"/>
      <c r="L50" s="33">
        <v>7096.33</v>
      </c>
      <c r="M50" s="107"/>
      <c r="N50" s="109">
        <f t="shared" si="11"/>
        <v>-1460.303004496016</v>
      </c>
      <c r="O50" s="107"/>
      <c r="P50" s="105"/>
      <c r="Q50" s="33">
        <v>5961.27</v>
      </c>
      <c r="R50" s="107"/>
      <c r="S50" s="110">
        <f t="shared" si="16"/>
        <v>1135.0599999999995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4"/>
        <v>Véhicules neufsBénéfices marginaux</v>
      </c>
      <c r="B51" s="11" t="str">
        <f t="shared" si="1"/>
        <v>Véhicules neufs</v>
      </c>
      <c r="C51" s="102" t="s">
        <v>46</v>
      </c>
      <c r="D51" s="81"/>
      <c r="E51" s="13"/>
      <c r="F51" s="30">
        <v>4027.3202625616932</v>
      </c>
      <c r="G51" s="83"/>
      <c r="H51" s="13"/>
      <c r="I51" s="30"/>
      <c r="J51" s="41"/>
      <c r="K51" s="13"/>
      <c r="L51" s="33">
        <v>5643.58</v>
      </c>
      <c r="M51" s="41"/>
      <c r="N51" s="59">
        <f t="shared" si="11"/>
        <v>1616.2597374383067</v>
      </c>
      <c r="O51" s="41"/>
      <c r="P51" s="13"/>
      <c r="Q51" s="33">
        <v>3452.34</v>
      </c>
      <c r="R51" s="41"/>
      <c r="S51" s="85">
        <f t="shared" si="16"/>
        <v>2191.2399999999998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4"/>
        <v>Véhicules neufsCsst</v>
      </c>
      <c r="B52" s="11" t="str">
        <f t="shared" si="1"/>
        <v>Véhicules neufs</v>
      </c>
      <c r="C52" s="102" t="s">
        <v>47</v>
      </c>
      <c r="D52" s="81"/>
      <c r="E52" s="13"/>
      <c r="F52" s="30">
        <v>909.39489799780176</v>
      </c>
      <c r="G52" s="83"/>
      <c r="H52" s="13"/>
      <c r="I52" s="30"/>
      <c r="J52" s="41"/>
      <c r="K52" s="13"/>
      <c r="L52" s="33">
        <v>142.19999999999999</v>
      </c>
      <c r="M52" s="41"/>
      <c r="N52" s="59">
        <f t="shared" si="11"/>
        <v>-767.19489799780172</v>
      </c>
      <c r="O52" s="41"/>
      <c r="P52" s="13"/>
      <c r="Q52" s="33">
        <v>87.56</v>
      </c>
      <c r="R52" s="41"/>
      <c r="S52" s="85">
        <f t="shared" si="16"/>
        <v>54.639999999999986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4"/>
        <v>Véhicules neufs[...]</v>
      </c>
      <c r="B53" s="11" t="str">
        <f t="shared" si="1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1"/>
        <v>0</v>
      </c>
      <c r="O53" s="23"/>
      <c r="P53" s="111"/>
      <c r="Q53" s="33">
        <v>0</v>
      </c>
      <c r="R53" s="23"/>
      <c r="S53" s="92">
        <f t="shared" si="16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4"/>
        <v>Véhicules neufsTOTAL PERSONNEL</v>
      </c>
      <c r="B54" s="11" t="str">
        <f t="shared" si="1"/>
        <v>Véhicules neufs</v>
      </c>
      <c r="C54" s="93" t="s">
        <v>48</v>
      </c>
      <c r="D54" s="94" t="s">
        <v>38</v>
      </c>
      <c r="E54" s="95">
        <f>F54/F$27</f>
        <v>0.33126845330642146</v>
      </c>
      <c r="F54" s="96">
        <f>+SUM(F42:F53)</f>
        <v>42298.397971853854</v>
      </c>
      <c r="G54" s="97"/>
      <c r="H54" s="95"/>
      <c r="I54" s="96"/>
      <c r="J54" s="97" t="s">
        <v>38</v>
      </c>
      <c r="K54" s="95">
        <f>L54/L$27</f>
        <v>0.30201653233125991</v>
      </c>
      <c r="L54" s="96">
        <f>+SUM(L42:L53)</f>
        <v>43856.92</v>
      </c>
      <c r="M54" s="100"/>
      <c r="N54" s="96">
        <f>+SUM(N42:N53)</f>
        <v>1558.522028146135</v>
      </c>
      <c r="O54" s="97" t="s">
        <v>38</v>
      </c>
      <c r="P54" s="95">
        <f>Q54/Q$27</f>
        <v>0.29623870909257871</v>
      </c>
      <c r="Q54" s="96">
        <f>+SUM(Q42:Q53)</f>
        <v>41437.289999999994</v>
      </c>
      <c r="R54" s="100"/>
      <c r="S54" s="101">
        <f>+SUM(S42:S53)</f>
        <v>2419.6299999999987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4"/>
        <v>Véhicules neufsPublicité 2</v>
      </c>
      <c r="B55" s="11" t="str">
        <f t="shared" si="1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7">L55-F55</f>
        <v>0</v>
      </c>
      <c r="O55" s="41"/>
      <c r="P55" s="13"/>
      <c r="Q55" s="33">
        <v>0</v>
      </c>
      <c r="R55" s="41"/>
      <c r="S55" s="85">
        <f t="shared" ref="S55:S66" si="18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4"/>
        <v>Véhicules neufsService gratuit 2</v>
      </c>
      <c r="B56" s="11" t="str">
        <f t="shared" si="1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7"/>
        <v>0</v>
      </c>
      <c r="O56" s="41"/>
      <c r="P56" s="13"/>
      <c r="Q56" s="33">
        <v>0</v>
      </c>
      <c r="R56" s="41"/>
      <c r="S56" s="85">
        <f t="shared" si="18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4"/>
        <v>Véhicules neufsFrais véhicules de cie</v>
      </c>
      <c r="B57" s="11" t="str">
        <f t="shared" si="1"/>
        <v>Véhicules neufs</v>
      </c>
      <c r="C57" s="86" t="s">
        <v>51</v>
      </c>
      <c r="D57" s="87"/>
      <c r="E57" s="111"/>
      <c r="F57" s="22">
        <v>5080.0833333333339</v>
      </c>
      <c r="G57" s="89"/>
      <c r="H57" s="111"/>
      <c r="I57" s="22"/>
      <c r="J57" s="23"/>
      <c r="K57" s="111"/>
      <c r="L57" s="22">
        <v>8049.91</v>
      </c>
      <c r="M57" s="23"/>
      <c r="N57" s="91">
        <f t="shared" si="17"/>
        <v>2969.8266666666659</v>
      </c>
      <c r="O57" s="23"/>
      <c r="P57" s="111"/>
      <c r="Q57" s="22">
        <v>5945.3</v>
      </c>
      <c r="R57" s="23"/>
      <c r="S57" s="92">
        <f t="shared" si="18"/>
        <v>2104.6099999999997</v>
      </c>
      <c r="T57" s="112"/>
      <c r="U57" s="13"/>
      <c r="V57" s="11" t="s">
        <v>247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4"/>
        <v>Véhicules neufsInformatique</v>
      </c>
      <c r="B58" s="11" t="str">
        <f t="shared" si="1"/>
        <v>Véhicules neufs</v>
      </c>
      <c r="C58" s="29" t="s">
        <v>52</v>
      </c>
      <c r="D58" s="81"/>
      <c r="E58" s="13"/>
      <c r="F58" s="30">
        <v>4993.05</v>
      </c>
      <c r="G58" s="83"/>
      <c r="H58" s="13"/>
      <c r="I58" s="30"/>
      <c r="J58" s="41"/>
      <c r="K58" s="13"/>
      <c r="L58" s="33">
        <v>4885.13</v>
      </c>
      <c r="M58" s="41"/>
      <c r="N58" s="59">
        <f t="shared" si="17"/>
        <v>-107.92000000000007</v>
      </c>
      <c r="O58" s="41"/>
      <c r="P58" s="13"/>
      <c r="Q58" s="33">
        <v>4756.88</v>
      </c>
      <c r="R58" s="41"/>
      <c r="S58" s="85">
        <f t="shared" si="18"/>
        <v>128.25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4"/>
        <v>Véhicules neufsFrais de déplacement</v>
      </c>
      <c r="B59" s="11" t="str">
        <f t="shared" si="1"/>
        <v>Véhicules neufs</v>
      </c>
      <c r="C59" s="29" t="s">
        <v>53</v>
      </c>
      <c r="D59" s="81"/>
      <c r="E59" s="13"/>
      <c r="F59" s="30">
        <v>822.6</v>
      </c>
      <c r="G59" s="83"/>
      <c r="H59" s="13"/>
      <c r="I59" s="30"/>
      <c r="J59" s="41"/>
      <c r="K59" s="13"/>
      <c r="L59" s="33">
        <v>874.14</v>
      </c>
      <c r="M59" s="41"/>
      <c r="N59" s="59">
        <f t="shared" si="17"/>
        <v>51.539999999999964</v>
      </c>
      <c r="O59" s="41"/>
      <c r="P59" s="13"/>
      <c r="Q59" s="33">
        <v>544.79999999999995</v>
      </c>
      <c r="R59" s="41"/>
      <c r="S59" s="85">
        <f t="shared" si="18"/>
        <v>329.34000000000003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4"/>
        <v>Véhicules neufsServices extérieurs</v>
      </c>
      <c r="B60" s="11" t="str">
        <f t="shared" si="1"/>
        <v>Véhicules neufs</v>
      </c>
      <c r="C60" s="86" t="s">
        <v>54</v>
      </c>
      <c r="D60" s="87"/>
      <c r="E60" s="111"/>
      <c r="F60" s="22">
        <v>2754.4500000000003</v>
      </c>
      <c r="G60" s="89"/>
      <c r="H60" s="111"/>
      <c r="I60" s="22"/>
      <c r="J60" s="23"/>
      <c r="K60" s="111"/>
      <c r="L60" s="22">
        <v>3076.7</v>
      </c>
      <c r="M60" s="23"/>
      <c r="N60" s="91">
        <f t="shared" si="17"/>
        <v>322.24999999999955</v>
      </c>
      <c r="O60" s="23"/>
      <c r="P60" s="111"/>
      <c r="Q60" s="22">
        <v>2150.34</v>
      </c>
      <c r="R60" s="23"/>
      <c r="S60" s="92">
        <f t="shared" si="18"/>
        <v>926.35999999999967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4"/>
        <v>Véhicules neufsFournitures autres</v>
      </c>
      <c r="B61" s="11" t="str">
        <f t="shared" si="1"/>
        <v>Véhicules neufs</v>
      </c>
      <c r="C61" s="29" t="s">
        <v>55</v>
      </c>
      <c r="D61" s="81"/>
      <c r="E61" s="13"/>
      <c r="F61" s="30">
        <v>59.375</v>
      </c>
      <c r="G61" s="83"/>
      <c r="H61" s="13"/>
      <c r="I61" s="30"/>
      <c r="J61" s="41"/>
      <c r="K61" s="13"/>
      <c r="L61" s="33">
        <v>301.85000000000002</v>
      </c>
      <c r="M61" s="41"/>
      <c r="N61" s="59">
        <f t="shared" si="17"/>
        <v>242.47500000000002</v>
      </c>
      <c r="O61" s="41"/>
      <c r="P61" s="13"/>
      <c r="Q61" s="33">
        <v>0</v>
      </c>
      <c r="R61" s="41"/>
      <c r="S61" s="85">
        <f t="shared" si="18"/>
        <v>301.85000000000002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4"/>
        <v>Véhicules neufsUniformes</v>
      </c>
      <c r="B62" s="11" t="str">
        <f t="shared" si="1"/>
        <v>Véhicules neufs</v>
      </c>
      <c r="C62" s="29" t="s">
        <v>56</v>
      </c>
      <c r="D62" s="81"/>
      <c r="E62" s="13"/>
      <c r="F62" s="30">
        <v>15</v>
      </c>
      <c r="G62" s="83"/>
      <c r="H62" s="13"/>
      <c r="I62" s="30"/>
      <c r="J62" s="41"/>
      <c r="K62" s="13"/>
      <c r="L62" s="33">
        <v>0</v>
      </c>
      <c r="M62" s="41"/>
      <c r="N62" s="59">
        <f t="shared" si="17"/>
        <v>-15</v>
      </c>
      <c r="O62" s="41"/>
      <c r="P62" s="13"/>
      <c r="Q62" s="33">
        <v>0</v>
      </c>
      <c r="R62" s="41"/>
      <c r="S62" s="85">
        <f t="shared" si="18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4"/>
        <v>Véhicules neufsPapeterie</v>
      </c>
      <c r="B63" s="11" t="str">
        <f t="shared" si="1"/>
        <v>Véhicules neufs</v>
      </c>
      <c r="C63" s="29" t="s">
        <v>57</v>
      </c>
      <c r="D63" s="81"/>
      <c r="E63" s="13"/>
      <c r="F63" s="30">
        <v>787.5</v>
      </c>
      <c r="G63" s="83"/>
      <c r="H63" s="13"/>
      <c r="I63" s="30"/>
      <c r="J63" s="41"/>
      <c r="K63" s="13"/>
      <c r="L63" s="32">
        <v>856.73</v>
      </c>
      <c r="M63" s="41"/>
      <c r="N63" s="59">
        <f t="shared" si="17"/>
        <v>69.230000000000018</v>
      </c>
      <c r="O63" s="41"/>
      <c r="P63" s="13"/>
      <c r="Q63" s="32">
        <v>609.26</v>
      </c>
      <c r="R63" s="41"/>
      <c r="S63" s="85">
        <f t="shared" si="18"/>
        <v>247.47000000000003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4"/>
        <v>Véhicules neufsTéléphone</v>
      </c>
      <c r="B64" s="11" t="str">
        <f t="shared" si="1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213.35</v>
      </c>
      <c r="M64" s="41"/>
      <c r="N64" s="59">
        <f t="shared" si="17"/>
        <v>2.9499999999999886</v>
      </c>
      <c r="O64" s="41"/>
      <c r="P64" s="13"/>
      <c r="Q64" s="33">
        <v>206.26</v>
      </c>
      <c r="R64" s="41"/>
      <c r="S64" s="85">
        <f t="shared" si="18"/>
        <v>7.0900000000000034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4"/>
        <v>Véhicules neufsFrais postaux</v>
      </c>
      <c r="B65" s="11" t="str">
        <f t="shared" si="1"/>
        <v>Véhicules neufs</v>
      </c>
      <c r="C65" s="29" t="s">
        <v>59</v>
      </c>
      <c r="D65" s="81"/>
      <c r="E65" s="13"/>
      <c r="F65" s="30">
        <v>225</v>
      </c>
      <c r="G65" s="83"/>
      <c r="H65" s="13"/>
      <c r="I65" s="30"/>
      <c r="J65" s="41"/>
      <c r="K65" s="13"/>
      <c r="L65" s="33">
        <v>82.64</v>
      </c>
      <c r="M65" s="41"/>
      <c r="N65" s="59">
        <f t="shared" si="17"/>
        <v>-142.36000000000001</v>
      </c>
      <c r="O65" s="41"/>
      <c r="P65" s="13"/>
      <c r="Q65" s="33">
        <v>386.76</v>
      </c>
      <c r="R65" s="41"/>
      <c r="S65" s="85">
        <f t="shared" si="18"/>
        <v>-304.12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4"/>
        <v>Véhicules neufsDivers</v>
      </c>
      <c r="B66" s="11" t="str">
        <f t="shared" si="1"/>
        <v>Véhicules neufs</v>
      </c>
      <c r="C66" s="29" t="s">
        <v>60</v>
      </c>
      <c r="D66" s="81"/>
      <c r="E66" s="13"/>
      <c r="F66" s="30">
        <v>836.1</v>
      </c>
      <c r="G66" s="83"/>
      <c r="H66" s="13"/>
      <c r="I66" s="30"/>
      <c r="J66" s="41"/>
      <c r="K66" s="13"/>
      <c r="L66" s="33">
        <v>650.70000000000005</v>
      </c>
      <c r="M66" s="41"/>
      <c r="N66" s="59">
        <f t="shared" si="17"/>
        <v>-185.39999999999998</v>
      </c>
      <c r="O66" s="41"/>
      <c r="P66" s="13"/>
      <c r="Q66" s="33">
        <v>928.58</v>
      </c>
      <c r="R66" s="41"/>
      <c r="S66" s="85">
        <f t="shared" si="18"/>
        <v>-277.88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4"/>
        <v>Véhicules neufsFormation</v>
      </c>
      <c r="B67" s="11" t="str">
        <f t="shared" si="1"/>
        <v>Véhicules neufs</v>
      </c>
      <c r="C67" s="29" t="s">
        <v>61</v>
      </c>
      <c r="D67" s="81"/>
      <c r="E67" s="13"/>
      <c r="F67" s="30">
        <v>482.16381333333317</v>
      </c>
      <c r="G67" s="83"/>
      <c r="H67" s="13"/>
      <c r="I67" s="30"/>
      <c r="J67" s="41"/>
      <c r="K67" s="13"/>
      <c r="L67" s="59">
        <v>423.95</v>
      </c>
      <c r="M67" s="41"/>
      <c r="N67" s="59">
        <f t="shared" si="17"/>
        <v>-58.213813333333178</v>
      </c>
      <c r="O67" s="41"/>
      <c r="P67" s="13"/>
      <c r="Q67" s="33">
        <v>488.73</v>
      </c>
      <c r="R67" s="41"/>
      <c r="S67" s="85">
        <f>L67-Q67</f>
        <v>-64.78000000000003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4"/>
        <v>Véhicules neufsFrais bancaires</v>
      </c>
      <c r="B68" s="11" t="str">
        <f t="shared" si="1"/>
        <v>Véhicules neufs</v>
      </c>
      <c r="C68" s="29" t="s">
        <v>62</v>
      </c>
      <c r="D68" s="81"/>
      <c r="E68" s="13"/>
      <c r="F68" s="30">
        <v>2360.8114257210227</v>
      </c>
      <c r="G68" s="83"/>
      <c r="H68" s="13"/>
      <c r="I68" s="30"/>
      <c r="J68" s="41"/>
      <c r="K68" s="13"/>
      <c r="L68" s="32">
        <v>3948.54</v>
      </c>
      <c r="M68" s="41"/>
      <c r="N68" s="59">
        <f t="shared" si="17"/>
        <v>1587.7285742789772</v>
      </c>
      <c r="O68" s="41"/>
      <c r="P68" s="13"/>
      <c r="Q68" s="33">
        <v>3065.55</v>
      </c>
      <c r="R68" s="41"/>
      <c r="S68" s="85">
        <f>L68-Q68</f>
        <v>882.98999999999978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ref="A69:A100" si="19">+B69&amp;C69</f>
        <v>Véhicules neufs[...]</v>
      </c>
      <c r="B69" s="11" t="str">
        <f t="shared" si="1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7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9"/>
        <v>Véhicules neufs[...]</v>
      </c>
      <c r="B70" s="11" t="str">
        <f t="shared" si="1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7"/>
        <v>0</v>
      </c>
      <c r="O70" s="41"/>
      <c r="P70" s="13"/>
      <c r="Q70" s="33">
        <v>0</v>
      </c>
      <c r="R70" s="41"/>
      <c r="S70" s="85">
        <f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9"/>
        <v>Véhicules neufs[...]</v>
      </c>
      <c r="B71" s="11" t="str">
        <f t="shared" si="1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7"/>
        <v>0</v>
      </c>
      <c r="O71" s="41"/>
      <c r="P71" s="13"/>
      <c r="Q71" s="33">
        <v>0</v>
      </c>
      <c r="R71" s="41"/>
      <c r="S71" s="85">
        <f>L71-Q71</f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9"/>
        <v>Véhicules neufsTOTAL SEMI-FIXES</v>
      </c>
      <c r="B72" s="11" t="str">
        <f t="shared" si="1"/>
        <v>Véhicules neufs</v>
      </c>
      <c r="C72" s="93" t="s">
        <v>63</v>
      </c>
      <c r="D72" s="94" t="s">
        <v>38</v>
      </c>
      <c r="E72" s="95">
        <f>F72/F$27</f>
        <v>0.14587746257177145</v>
      </c>
      <c r="F72" s="96">
        <f>+SUM(F55:F71)</f>
        <v>18626.533572387692</v>
      </c>
      <c r="G72" s="97"/>
      <c r="H72" s="95"/>
      <c r="I72" s="96"/>
      <c r="J72" s="97" t="s">
        <v>38</v>
      </c>
      <c r="K72" s="95">
        <f>L72/L$27</f>
        <v>0.16089149752048065</v>
      </c>
      <c r="L72" s="96">
        <f>+SUM(L55:L71)</f>
        <v>23363.64</v>
      </c>
      <c r="M72" s="100"/>
      <c r="N72" s="96">
        <f>+SUM(N55:N71)</f>
        <v>4737.1064276123088</v>
      </c>
      <c r="O72" s="97" t="s">
        <v>38</v>
      </c>
      <c r="P72" s="95">
        <f>Q72/Q$27</f>
        <v>0.13642212887741378</v>
      </c>
      <c r="Q72" s="96">
        <f>+SUM(Q55:Q71)</f>
        <v>19082.46</v>
      </c>
      <c r="R72" s="100"/>
      <c r="S72" s="101">
        <f>+SUM(S55:S71)</f>
        <v>4281.1799999999985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9"/>
        <v>Véhicules neufs</v>
      </c>
      <c r="B73" s="11" t="str">
        <f t="shared" si="1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9"/>
        <v>Véhicules neufsTOTAL DES DÉPENSES</v>
      </c>
      <c r="B74" s="11" t="str">
        <f t="shared" si="1"/>
        <v>Véhicules neufs</v>
      </c>
      <c r="C74" s="93" t="s">
        <v>64</v>
      </c>
      <c r="D74" s="94" t="s">
        <v>38</v>
      </c>
      <c r="E74" s="95">
        <f>F74/F$27</f>
        <v>1.0655977597029713</v>
      </c>
      <c r="F74" s="96">
        <f>F41+F54+F72</f>
        <v>136062.09002986416</v>
      </c>
      <c r="G74" s="97"/>
      <c r="H74" s="95"/>
      <c r="I74" s="96"/>
      <c r="J74" s="97" t="s">
        <v>38</v>
      </c>
      <c r="K74" s="95">
        <f>L74/L$27</f>
        <v>1.0456868239099288</v>
      </c>
      <c r="L74" s="96">
        <f>L41+L54+L72</f>
        <v>151847.99</v>
      </c>
      <c r="M74" s="100"/>
      <c r="N74" s="113">
        <f t="shared" ref="N74:N82" si="20">L74-F74</f>
        <v>15785.899970135826</v>
      </c>
      <c r="O74" s="97" t="s">
        <v>38</v>
      </c>
      <c r="P74" s="95">
        <f>Q74/Q$27</f>
        <v>0.97866798819886458</v>
      </c>
      <c r="Q74" s="96">
        <f>Q41+Q54+Q72</f>
        <v>136894.16</v>
      </c>
      <c r="R74" s="100"/>
      <c r="S74" s="114">
        <f t="shared" ref="S74:S82" si="21">L74-Q74</f>
        <v>14953.829999999987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9"/>
        <v>Véhicules neufsRBSC neuf</v>
      </c>
      <c r="B75" s="11" t="str">
        <f t="shared" si="1"/>
        <v>Véhicules neufs</v>
      </c>
      <c r="C75" s="29" t="s">
        <v>216</v>
      </c>
      <c r="D75" s="81"/>
      <c r="E75" s="13"/>
      <c r="F75" s="30">
        <v>27664.838923076932</v>
      </c>
      <c r="G75" s="83"/>
      <c r="H75" s="13"/>
      <c r="I75" s="30"/>
      <c r="J75" s="41"/>
      <c r="K75" s="13"/>
      <c r="L75" s="32">
        <v>46412.76</v>
      </c>
      <c r="M75" s="41"/>
      <c r="N75" s="59">
        <f t="shared" si="20"/>
        <v>18747.92107692307</v>
      </c>
      <c r="O75" s="41"/>
      <c r="P75" s="13"/>
      <c r="Q75" s="32">
        <v>36701.35</v>
      </c>
      <c r="R75" s="41"/>
      <c r="S75" s="85">
        <f t="shared" si="21"/>
        <v>9711.4100000000035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9"/>
        <v>Véhicules neufsProgramme neuf 2</v>
      </c>
      <c r="B76" s="11" t="str">
        <f t="shared" si="1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0"/>
        <v>0</v>
      </c>
      <c r="O76" s="41"/>
      <c r="P76" s="13"/>
      <c r="Q76" s="32">
        <v>0</v>
      </c>
      <c r="R76" s="41"/>
      <c r="S76" s="85">
        <f t="shared" si="21"/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9"/>
        <v>Véhicules neufsProgramme neuf 3</v>
      </c>
      <c r="B77" s="11" t="str">
        <f t="shared" si="1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0"/>
        <v>0</v>
      </c>
      <c r="O77" s="41"/>
      <c r="P77" s="13"/>
      <c r="Q77" s="32">
        <v>0</v>
      </c>
      <c r="R77" s="41"/>
      <c r="S77" s="85">
        <f t="shared" si="21"/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9"/>
        <v>Véhicules neufsHoldbacks</v>
      </c>
      <c r="B78" s="11" t="str">
        <f t="shared" si="1"/>
        <v>Véhicules neufs</v>
      </c>
      <c r="C78" s="29" t="s">
        <v>66</v>
      </c>
      <c r="D78" s="81"/>
      <c r="E78" s="13"/>
      <c r="F78" s="30">
        <v>31616.95876923078</v>
      </c>
      <c r="G78" s="83"/>
      <c r="H78" s="13"/>
      <c r="I78" s="30"/>
      <c r="J78" s="41"/>
      <c r="K78" s="13"/>
      <c r="L78" s="33">
        <v>35867.599999999999</v>
      </c>
      <c r="M78" s="41"/>
      <c r="N78" s="59">
        <f t="shared" si="20"/>
        <v>4250.641230769219</v>
      </c>
      <c r="O78" s="41"/>
      <c r="P78" s="13"/>
      <c r="Q78" s="32">
        <v>33506.300000000003</v>
      </c>
      <c r="R78" s="41"/>
      <c r="S78" s="85">
        <f t="shared" si="21"/>
        <v>2361.2999999999956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9"/>
        <v>Véhicules neufs[...]</v>
      </c>
      <c r="B79" s="11" t="str">
        <f t="shared" si="1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0"/>
        <v>0</v>
      </c>
      <c r="O79" s="41"/>
      <c r="P79" s="13"/>
      <c r="Q79" s="32">
        <v>0</v>
      </c>
      <c r="R79" s="41"/>
      <c r="S79" s="85">
        <f t="shared" si="21"/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9"/>
        <v>Véhicules neufs[...]</v>
      </c>
      <c r="B80" s="11" t="str">
        <f t="shared" si="1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0"/>
        <v>0</v>
      </c>
      <c r="O80" s="41"/>
      <c r="P80" s="13"/>
      <c r="Q80" s="32">
        <v>0</v>
      </c>
      <c r="R80" s="41"/>
      <c r="S80" s="85">
        <f t="shared" si="21"/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9"/>
        <v>Véhicules neufs[...]</v>
      </c>
      <c r="B81" s="11" t="str">
        <f t="shared" si="1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0"/>
        <v>0</v>
      </c>
      <c r="O81" s="41"/>
      <c r="P81" s="13"/>
      <c r="Q81" s="32">
        <v>0</v>
      </c>
      <c r="R81" s="41"/>
      <c r="S81" s="85">
        <f t="shared" si="21"/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9"/>
        <v>Véhicules neufsFrais administration</v>
      </c>
      <c r="B82" s="11" t="str">
        <f t="shared" si="1"/>
        <v>Véhicules neufs</v>
      </c>
      <c r="C82" s="29" t="s">
        <v>67</v>
      </c>
      <c r="D82" s="81"/>
      <c r="E82" s="13"/>
      <c r="F82" s="30">
        <v>11191.95</v>
      </c>
      <c r="G82" s="83"/>
      <c r="H82" s="13"/>
      <c r="I82" s="30"/>
      <c r="J82" s="41"/>
      <c r="K82" s="13"/>
      <c r="L82" s="32">
        <v>13685</v>
      </c>
      <c r="M82" s="41"/>
      <c r="N82" s="59">
        <f t="shared" si="20"/>
        <v>2493.0499999999993</v>
      </c>
      <c r="O82" s="41"/>
      <c r="P82" s="13"/>
      <c r="Q82" s="32">
        <v>12495</v>
      </c>
      <c r="R82" s="41"/>
      <c r="S82" s="85">
        <f t="shared" si="21"/>
        <v>1190</v>
      </c>
      <c r="T82" s="13"/>
      <c r="U82" s="13"/>
      <c r="V82" s="11">
        <f>L82/595</f>
        <v>23</v>
      </c>
      <c r="W82" s="489">
        <f>V82/J27</f>
        <v>0.95833333333333337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9"/>
        <v>Véhicules neufsAUTRES REVENUS</v>
      </c>
      <c r="B83" s="11" t="str">
        <f t="shared" si="1"/>
        <v>Véhicules neufs</v>
      </c>
      <c r="C83" s="93" t="s">
        <v>68</v>
      </c>
      <c r="D83" s="94"/>
      <c r="E83" s="95"/>
      <c r="F83" s="96">
        <f>+SUM(F75:F82)</f>
        <v>70473.747692307705</v>
      </c>
      <c r="G83" s="97"/>
      <c r="H83" s="95"/>
      <c r="I83" s="96"/>
      <c r="J83" s="97"/>
      <c r="K83" s="95"/>
      <c r="L83" s="96">
        <f>+SUM(L75:L82)</f>
        <v>95965.36</v>
      </c>
      <c r="M83" s="100"/>
      <c r="N83" s="96">
        <f>+SUM(N75:N82)</f>
        <v>25491.612307692289</v>
      </c>
      <c r="O83" s="97"/>
      <c r="P83" s="95"/>
      <c r="Q83" s="96">
        <f>+SUM(Q75:Q82)</f>
        <v>82702.649999999994</v>
      </c>
      <c r="R83" s="100"/>
      <c r="S83" s="101">
        <f>+SUM(S75:S82)</f>
        <v>13262.71</v>
      </c>
      <c r="T83" s="13"/>
      <c r="U83" s="13"/>
      <c r="V83" s="11"/>
      <c r="W83" s="11" t="s">
        <v>242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9"/>
        <v>Véhicules neufs</v>
      </c>
      <c r="B84" s="11" t="str">
        <f t="shared" si="1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9"/>
        <v>Véhicules neufsPROFIT DÉPARTEMENTAL</v>
      </c>
      <c r="B85" s="11" t="str">
        <f t="shared" si="1"/>
        <v>Véhicules neufs</v>
      </c>
      <c r="C85" s="124" t="s">
        <v>69</v>
      </c>
      <c r="D85" s="125"/>
      <c r="E85" s="126"/>
      <c r="F85" s="127">
        <f>F27-F74+F83</f>
        <v>62097.821405684357</v>
      </c>
      <c r="G85" s="128"/>
      <c r="H85" s="126"/>
      <c r="I85" s="127"/>
      <c r="J85" s="128"/>
      <c r="K85" s="125"/>
      <c r="L85" s="127">
        <f>L27-L74+L83</f>
        <v>89331.010000000198</v>
      </c>
      <c r="M85" s="128"/>
      <c r="N85" s="127">
        <f>N27-N41-N54-N72+N83</f>
        <v>27233.188594315834</v>
      </c>
      <c r="O85" s="128"/>
      <c r="P85" s="125"/>
      <c r="Q85" s="127">
        <f>Q27-Q74+Q83</f>
        <v>85686.529999999679</v>
      </c>
      <c r="R85" s="128"/>
      <c r="S85" s="129">
        <f>S27-S41-S54-S72+S83</f>
        <v>3644.4800000005125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Octobre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96" t="s">
        <v>5</v>
      </c>
      <c r="E91" s="497"/>
      <c r="F91" s="498"/>
      <c r="G91" s="499"/>
      <c r="H91" s="497"/>
      <c r="I91" s="498"/>
      <c r="J91" s="499" t="s">
        <v>7</v>
      </c>
      <c r="K91" s="497"/>
      <c r="L91" s="498"/>
      <c r="M91" s="499" t="s">
        <v>213</v>
      </c>
      <c r="N91" s="498"/>
      <c r="O91" s="496" t="s">
        <v>8</v>
      </c>
      <c r="P91" s="497"/>
      <c r="Q91" s="498"/>
      <c r="R91" s="494" t="s">
        <v>214</v>
      </c>
      <c r="S91" s="495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24" si="22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1241517.2413793104</v>
      </c>
      <c r="G93" s="46"/>
      <c r="H93" s="25"/>
      <c r="I93" s="22"/>
      <c r="J93" s="23"/>
      <c r="K93" s="25"/>
      <c r="L93" s="22">
        <v>1387184.8099999998</v>
      </c>
      <c r="M93" s="137"/>
      <c r="N93" s="138"/>
      <c r="O93" s="23"/>
      <c r="P93" s="25"/>
      <c r="Q93" s="22">
        <v>1429683.96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2"/>
        <v>Véhicules usagésCertifié</v>
      </c>
      <c r="B94" s="11" t="s">
        <v>70</v>
      </c>
      <c r="C94" s="29" t="s">
        <v>72</v>
      </c>
      <c r="D94" s="30">
        <v>5</v>
      </c>
      <c r="E94" s="30">
        <f>IF(D94=0,0,F94/D94)</f>
        <v>3000</v>
      </c>
      <c r="F94" s="30">
        <v>15000</v>
      </c>
      <c r="G94" s="31"/>
      <c r="H94" s="30"/>
      <c r="I94" s="30"/>
      <c r="J94" s="31">
        <v>5</v>
      </c>
      <c r="K94" s="30">
        <f>IF(J94=0,0,L94/J94)</f>
        <v>2141.4540000000015</v>
      </c>
      <c r="L94" s="33">
        <v>10707.270000000008</v>
      </c>
      <c r="M94" s="31">
        <f>J94-D94</f>
        <v>0</v>
      </c>
      <c r="N94" s="33">
        <f>L94-F94</f>
        <v>-4292.7299999999923</v>
      </c>
      <c r="O94" s="31">
        <v>8</v>
      </c>
      <c r="P94" s="30">
        <f>IF(O94=0,0,Q94/O94)</f>
        <v>2241.9812499999998</v>
      </c>
      <c r="Q94" s="33">
        <v>17935.849999999999</v>
      </c>
      <c r="R94" s="31">
        <f>J94-O94</f>
        <v>-3</v>
      </c>
      <c r="S94" s="34">
        <f>L94-Q94</f>
        <v>-7228.5799999999908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2"/>
        <v>Véhicules usagésNon Certifié</v>
      </c>
      <c r="B95" s="11" t="s">
        <v>70</v>
      </c>
      <c r="C95" s="29" t="s">
        <v>73</v>
      </c>
      <c r="D95" s="30">
        <v>4</v>
      </c>
      <c r="E95" s="30">
        <f>IF(D95=0,0,F95/D95)</f>
        <v>2200</v>
      </c>
      <c r="F95" s="30">
        <v>8800</v>
      </c>
      <c r="G95" s="31"/>
      <c r="H95" s="30"/>
      <c r="I95" s="30"/>
      <c r="J95" s="31">
        <v>5</v>
      </c>
      <c r="K95" s="30">
        <f>IF(J95=0,0,L95/J95)</f>
        <v>4364.800000000002</v>
      </c>
      <c r="L95" s="32">
        <v>21824.000000000011</v>
      </c>
      <c r="M95" s="31">
        <f>J95-D95</f>
        <v>1</v>
      </c>
      <c r="N95" s="33">
        <f>L95-F95</f>
        <v>13024.000000000011</v>
      </c>
      <c r="O95" s="31">
        <v>11</v>
      </c>
      <c r="P95" s="30">
        <f>IF(O95=0,0,Q95/O95)</f>
        <v>2755.0963636363545</v>
      </c>
      <c r="Q95" s="32">
        <v>30306.059999999899</v>
      </c>
      <c r="R95" s="31">
        <f>J95-O95</f>
        <v>-6</v>
      </c>
      <c r="S95" s="34">
        <f>L95-Q95</f>
        <v>-8482.0599999998885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2"/>
        <v>Véhicules usagésAutres marques</v>
      </c>
      <c r="B96" s="11" t="s">
        <v>70</v>
      </c>
      <c r="C96" s="29" t="s">
        <v>207</v>
      </c>
      <c r="D96" s="30">
        <v>7</v>
      </c>
      <c r="E96" s="25">
        <f>IF(D96=0,0,F96/D96)</f>
        <v>1850</v>
      </c>
      <c r="F96" s="30">
        <v>12950</v>
      </c>
      <c r="G96" s="31"/>
      <c r="H96" s="30"/>
      <c r="I96" s="30"/>
      <c r="J96" s="31">
        <v>4</v>
      </c>
      <c r="K96" s="30">
        <f>IF(J96=0,0,L96/J96)</f>
        <v>1300.2549999999994</v>
      </c>
      <c r="L96" s="32">
        <v>5201.0199999999977</v>
      </c>
      <c r="M96" s="31">
        <f>J96-D96</f>
        <v>-3</v>
      </c>
      <c r="N96" s="33">
        <f>L96-F96</f>
        <v>-7748.9800000000023</v>
      </c>
      <c r="O96" s="31">
        <v>0</v>
      </c>
      <c r="P96" s="30">
        <f>IF(O96=0,0,Q96/O96)</f>
        <v>0</v>
      </c>
      <c r="Q96" s="32">
        <v>0</v>
      </c>
      <c r="R96" s="31">
        <f>J96-O96</f>
        <v>4</v>
      </c>
      <c r="S96" s="34">
        <f>L96-Q96</f>
        <v>5201.0199999999977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2"/>
        <v>Véhicules usagésTotal Usagés</v>
      </c>
      <c r="B97" s="11" t="s">
        <v>70</v>
      </c>
      <c r="C97" s="35" t="s">
        <v>74</v>
      </c>
      <c r="D97" s="36">
        <f>+D95+D94+D96</f>
        <v>16</v>
      </c>
      <c r="E97" s="30">
        <f>IF(D97=0,0,F97/D97)</f>
        <v>2296.875</v>
      </c>
      <c r="F97" s="37">
        <f>+F94+F95+F96</f>
        <v>36750</v>
      </c>
      <c r="G97" s="38"/>
      <c r="H97" s="36"/>
      <c r="I97" s="37"/>
      <c r="J97" s="38">
        <f>+J94+J95+J96</f>
        <v>14</v>
      </c>
      <c r="K97" s="36">
        <f>IF(J97&lt;=0,0,L97/J97)</f>
        <v>2695.1635714285726</v>
      </c>
      <c r="L97" s="37">
        <f>+L94+L95+L96</f>
        <v>37732.290000000015</v>
      </c>
      <c r="M97" s="38">
        <f>J97-D97</f>
        <v>-2</v>
      </c>
      <c r="N97" s="37">
        <f>L97-F97</f>
        <v>982.29000000001543</v>
      </c>
      <c r="O97" s="38">
        <f>+O95+O94+O96</f>
        <v>19</v>
      </c>
      <c r="P97" s="36">
        <f>IF(O97=0,0,Q97/O97)</f>
        <v>2539.047894736837</v>
      </c>
      <c r="Q97" s="37">
        <f>+Q94+Q95+Q96</f>
        <v>48241.909999999902</v>
      </c>
      <c r="R97" s="38">
        <f>R94+R95</f>
        <v>-9</v>
      </c>
      <c r="S97" s="39">
        <f>S94+S95</f>
        <v>-15710.639999999879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2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-0.125</v>
      </c>
      <c r="N98" s="43">
        <f>N97/F97</f>
        <v>2.6728979591837156E-2</v>
      </c>
      <c r="O98" s="41"/>
      <c r="P98" s="13"/>
      <c r="Q98" s="40"/>
      <c r="R98" s="42">
        <f>R97/O97</f>
        <v>-0.47368421052631576</v>
      </c>
      <c r="S98" s="44">
        <f>IF(Q97=0,0,(S97/Q97))</f>
        <v>-0.32566372268427829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2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2"/>
        <v>Véhicules usagésVentes au Gros</v>
      </c>
      <c r="B100" s="11" t="s">
        <v>70</v>
      </c>
      <c r="C100" s="29" t="s">
        <v>75</v>
      </c>
      <c r="D100" s="30">
        <v>17</v>
      </c>
      <c r="E100" s="30">
        <f>IF(D100=0,0,F100/D100)</f>
        <v>375</v>
      </c>
      <c r="F100" s="30">
        <v>6375</v>
      </c>
      <c r="G100" s="31"/>
      <c r="H100" s="30"/>
      <c r="I100" s="30"/>
      <c r="J100" s="31">
        <v>20</v>
      </c>
      <c r="K100" s="30">
        <f>IF(J100=0,0,L100/J100)</f>
        <v>614.64799999999525</v>
      </c>
      <c r="L100" s="33">
        <v>12292.959999999905</v>
      </c>
      <c r="M100" s="31">
        <f>J100-D100</f>
        <v>3</v>
      </c>
      <c r="N100" s="33">
        <f>L100-F100</f>
        <v>5917.9599999999045</v>
      </c>
      <c r="O100" s="31">
        <v>19</v>
      </c>
      <c r="P100" s="30">
        <f>IF(O100=0,0,Q100/O100)</f>
        <v>812.57684210526315</v>
      </c>
      <c r="Q100" s="33">
        <v>15438.96</v>
      </c>
      <c r="R100" s="31">
        <f>J100-O100</f>
        <v>1</v>
      </c>
      <c r="S100" s="34">
        <f>L100-Q100</f>
        <v>-3146.0000000000946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2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2"/>
        <v>Véhicules usagésRev. Finances</v>
      </c>
      <c r="B102" s="11" t="s">
        <v>70</v>
      </c>
      <c r="C102" s="29" t="s">
        <v>24</v>
      </c>
      <c r="D102" s="30">
        <v>0</v>
      </c>
      <c r="E102" s="30">
        <f>IF(D102=0,0,F102/D102)</f>
        <v>0</v>
      </c>
      <c r="F102" s="33">
        <v>9600</v>
      </c>
      <c r="G102" s="31"/>
      <c r="H102" s="30"/>
      <c r="I102" s="30"/>
      <c r="J102" s="31"/>
      <c r="K102" s="30">
        <f>IF(J97=0,0,L102/J97)</f>
        <v>533.38785714285711</v>
      </c>
      <c r="L102" s="33">
        <v>7467.43</v>
      </c>
      <c r="M102" s="31"/>
      <c r="N102" s="33">
        <f>L102-F102</f>
        <v>-2132.5699999999997</v>
      </c>
      <c r="O102" s="31"/>
      <c r="P102" s="30"/>
      <c r="Q102" s="33">
        <v>7926.0899999999901</v>
      </c>
      <c r="R102" s="31">
        <f>O102-K102</f>
        <v>-533.38785714285711</v>
      </c>
      <c r="S102" s="34">
        <f>L102-Q102</f>
        <v>-458.65999999998985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2"/>
        <v>Véhicules usagésRev. Protections</v>
      </c>
      <c r="B103" s="11" t="s">
        <v>70</v>
      </c>
      <c r="C103" s="29" t="s">
        <v>25</v>
      </c>
      <c r="D103" s="30">
        <v>0</v>
      </c>
      <c r="E103" s="30">
        <f>IF(D103=0,0,F103/D103)</f>
        <v>0</v>
      </c>
      <c r="F103" s="33">
        <v>14080</v>
      </c>
      <c r="G103" s="31"/>
      <c r="H103" s="30"/>
      <c r="I103" s="30"/>
      <c r="J103" s="31"/>
      <c r="K103" s="30">
        <f>IF(J97=0,0,L103/J97)</f>
        <v>720.94285714285718</v>
      </c>
      <c r="L103" s="33">
        <v>10093.200000000001</v>
      </c>
      <c r="M103" s="31"/>
      <c r="N103" s="33">
        <f>L103-F103</f>
        <v>-3986.7999999999993</v>
      </c>
      <c r="O103" s="31"/>
      <c r="P103" s="30"/>
      <c r="Q103" s="33">
        <v>8802</v>
      </c>
      <c r="R103" s="31">
        <f>O103-K103</f>
        <v>-720.94285714285718</v>
      </c>
      <c r="S103" s="34">
        <f>L103-Q103</f>
        <v>1291.2000000000007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2"/>
        <v>Véhicules usagésRev. Autres</v>
      </c>
      <c r="B104" s="11" t="s">
        <v>70</v>
      </c>
      <c r="C104" s="29" t="s">
        <v>26</v>
      </c>
      <c r="D104" s="30">
        <v>0</v>
      </c>
      <c r="E104" s="25">
        <f>IF(D104=0,0,F104/D104)</f>
        <v>0</v>
      </c>
      <c r="F104" s="33">
        <v>2720</v>
      </c>
      <c r="G104" s="31"/>
      <c r="H104" s="47"/>
      <c r="I104" s="30"/>
      <c r="J104" s="31"/>
      <c r="K104" s="47">
        <f>IF(J97=0,0,L104/J97)</f>
        <v>141</v>
      </c>
      <c r="L104" s="33">
        <v>1974</v>
      </c>
      <c r="M104" s="51"/>
      <c r="N104" s="33">
        <f>L104-F104</f>
        <v>-746</v>
      </c>
      <c r="O104" s="31"/>
      <c r="P104" s="47"/>
      <c r="Q104" s="33">
        <v>3290</v>
      </c>
      <c r="R104" s="31">
        <f>O104-K104</f>
        <v>-141</v>
      </c>
      <c r="S104" s="34">
        <f>L104-Q104</f>
        <v>-1316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2"/>
        <v>Véhicules usagésTotal F&amp;I</v>
      </c>
      <c r="B105" s="11" t="s">
        <v>70</v>
      </c>
      <c r="C105" s="35" t="s">
        <v>27</v>
      </c>
      <c r="D105" s="36">
        <f>D97</f>
        <v>16</v>
      </c>
      <c r="E105" s="30">
        <f>IF(D105=0,0,F105/D105)</f>
        <v>1650</v>
      </c>
      <c r="F105" s="37">
        <f>F102+F103+F104</f>
        <v>26400</v>
      </c>
      <c r="G105" s="38"/>
      <c r="H105" s="36"/>
      <c r="I105" s="37"/>
      <c r="J105" s="38">
        <f>J97</f>
        <v>14</v>
      </c>
      <c r="K105" s="36">
        <f>IF(J105&lt;=0,0,L105/J105)</f>
        <v>1395.3307142857143</v>
      </c>
      <c r="L105" s="37">
        <f>L102+L103+L104</f>
        <v>19534.63</v>
      </c>
      <c r="M105" s="31">
        <f>J105-D105</f>
        <v>-2</v>
      </c>
      <c r="N105" s="37">
        <f>L105-F105</f>
        <v>-6865.369999999999</v>
      </c>
      <c r="O105" s="38">
        <f>O97</f>
        <v>19</v>
      </c>
      <c r="P105" s="36">
        <f>IF(O105=0,0,Q105/O105)</f>
        <v>1053.5836842105257</v>
      </c>
      <c r="Q105" s="37">
        <f>Q102+Q103+Q104</f>
        <v>20018.089999999989</v>
      </c>
      <c r="R105" s="56"/>
      <c r="S105" s="39">
        <f>L105-Q105</f>
        <v>-483.45999999998821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2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-0.26005189393939387</v>
      </c>
      <c r="O106" s="41"/>
      <c r="P106" s="13"/>
      <c r="Q106" s="59"/>
      <c r="R106" s="60"/>
      <c r="S106" s="44">
        <f>IF(Q105=0,0,(S105/Q105))</f>
        <v>-2.415115528004862E-2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2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2"/>
        <v>Véhicules usagésTotal Dépt. Usagés</v>
      </c>
      <c r="B108" s="11" t="s">
        <v>70</v>
      </c>
      <c r="C108" s="62" t="s">
        <v>76</v>
      </c>
      <c r="D108" s="63">
        <f>D97+D100</f>
        <v>33</v>
      </c>
      <c r="E108" s="67">
        <f>IF(D108&lt;=0,0,F108/D108)</f>
        <v>2106.818181818182</v>
      </c>
      <c r="F108" s="65">
        <f>F97+F105+F100</f>
        <v>69525</v>
      </c>
      <c r="G108" s="66"/>
      <c r="H108" s="67"/>
      <c r="I108" s="65"/>
      <c r="J108" s="66">
        <f>J97+J100</f>
        <v>34</v>
      </c>
      <c r="K108" s="67">
        <f>IF(J108&lt;=0,0,L108/J108)</f>
        <v>2045.8788235294094</v>
      </c>
      <c r="L108" s="65">
        <f>L97+L105+L100</f>
        <v>69559.879999999917</v>
      </c>
      <c r="M108" s="66">
        <f>J108-D108</f>
        <v>1</v>
      </c>
      <c r="N108" s="65">
        <f>L108-F108</f>
        <v>34.879999999917345</v>
      </c>
      <c r="O108" s="66">
        <f>O97+O100</f>
        <v>38</v>
      </c>
      <c r="P108" s="67">
        <f>IF(O108&lt;=0,0,Q108/O108)</f>
        <v>2202.6042105263127</v>
      </c>
      <c r="Q108" s="65">
        <f>Q97+Q105+Q100</f>
        <v>83698.959999999875</v>
      </c>
      <c r="R108" s="66">
        <f>J108-O108</f>
        <v>-4</v>
      </c>
      <c r="S108" s="68">
        <f>L108-Q108</f>
        <v>-14139.079999999958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2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3.0303030303030304E-2</v>
      </c>
      <c r="N109" s="74">
        <f>N108/F108</f>
        <v>5.0169003955292837E-4</v>
      </c>
      <c r="O109" s="72"/>
      <c r="P109" s="70"/>
      <c r="Q109" s="71"/>
      <c r="R109" s="73">
        <f>O108/R108</f>
        <v>-9.5</v>
      </c>
      <c r="S109" s="145">
        <f>IF(Q108=0,0,(S108/Q108))</f>
        <v>-0.16892778596054214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2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2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2"/>
        <v>Véhicules usagésComm. vendeurs</v>
      </c>
      <c r="B112" s="11" t="s">
        <v>70</v>
      </c>
      <c r="C112" s="29" t="s">
        <v>30</v>
      </c>
      <c r="D112" s="148">
        <f>F112/(F97+F105)</f>
        <v>0.19988455936126875</v>
      </c>
      <c r="E112" s="82">
        <f t="shared" ref="E112:E121" si="23">F112/D$97</f>
        <v>788.91937022900765</v>
      </c>
      <c r="F112" s="30">
        <v>12622.709923664122</v>
      </c>
      <c r="G112" s="157"/>
      <c r="H112" s="82"/>
      <c r="I112" s="30"/>
      <c r="J112" s="157">
        <f>L112/L97</f>
        <v>0.24522550844382879</v>
      </c>
      <c r="K112" s="82">
        <f>IF($J$97=0,0,L112/(J$94+J$95+J96))</f>
        <v>660.9228571428572</v>
      </c>
      <c r="L112" s="33">
        <v>9252.92</v>
      </c>
      <c r="M112" s="41"/>
      <c r="N112" s="59">
        <f t="shared" ref="N112:N153" si="24">L112-F112</f>
        <v>-3369.7899236641224</v>
      </c>
      <c r="O112" s="157">
        <f>Q112/Q97</f>
        <v>0.35317134002364409</v>
      </c>
      <c r="P112" s="82">
        <f t="shared" ref="P112:P121" si="25">Q112/O$97</f>
        <v>896.71894736842103</v>
      </c>
      <c r="Q112" s="33">
        <v>17037.66</v>
      </c>
      <c r="R112" s="41"/>
      <c r="S112" s="85">
        <f t="shared" ref="S112:S117" si="26">L112-Q112</f>
        <v>-7784.74</v>
      </c>
      <c r="T112" s="13"/>
      <c r="U112" s="13"/>
      <c r="V112" s="11" t="s">
        <v>248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2"/>
        <v>Véhicules usagésComm. F&amp;I</v>
      </c>
      <c r="B113" s="11" t="s">
        <v>70</v>
      </c>
      <c r="C113" s="86" t="s">
        <v>31</v>
      </c>
      <c r="D113" s="218">
        <f>F113/(F105+F19)</f>
        <v>0.23104493473521373</v>
      </c>
      <c r="E113" s="88">
        <f t="shared" si="23"/>
        <v>412.5</v>
      </c>
      <c r="F113" s="22">
        <v>6600</v>
      </c>
      <c r="G113" s="162"/>
      <c r="H113" s="88"/>
      <c r="I113" s="22"/>
      <c r="J113" s="162">
        <f>L113/L105</f>
        <v>0.28421628666629467</v>
      </c>
      <c r="K113" s="88">
        <f>IF($J$97=0,0,L113/(J$94+J$95+J96))</f>
        <v>396.5757142857143</v>
      </c>
      <c r="L113" s="33">
        <v>5552.06</v>
      </c>
      <c r="M113" s="23"/>
      <c r="N113" s="91">
        <f t="shared" si="24"/>
        <v>-1047.9399999999996</v>
      </c>
      <c r="O113" s="162">
        <f>Q113/(Q105+Q19)</f>
        <v>0.18945200293126527</v>
      </c>
      <c r="P113" s="88">
        <f t="shared" si="25"/>
        <v>249.40947368421052</v>
      </c>
      <c r="Q113" s="33">
        <v>4738.78</v>
      </c>
      <c r="R113" s="23"/>
      <c r="S113" s="92">
        <f t="shared" si="26"/>
        <v>813.28000000000065</v>
      </c>
      <c r="T113" s="13"/>
      <c r="U113" s="13"/>
      <c r="V113" s="11" t="s">
        <v>249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2"/>
        <v>Véhicules usagésFrais de livraison</v>
      </c>
      <c r="B114" s="11" t="s">
        <v>70</v>
      </c>
      <c r="C114" s="29" t="s">
        <v>32</v>
      </c>
      <c r="D114" s="81"/>
      <c r="E114" s="82">
        <f t="shared" si="23"/>
        <v>110</v>
      </c>
      <c r="F114" s="30">
        <v>1760</v>
      </c>
      <c r="G114" s="83"/>
      <c r="H114" s="82"/>
      <c r="I114" s="30"/>
      <c r="J114" s="41"/>
      <c r="K114" s="82">
        <f>IF($J$97=0,0,L114/(J$94+J$95+J96))</f>
        <v>96.957857142857151</v>
      </c>
      <c r="L114" s="108">
        <v>1357.41</v>
      </c>
      <c r="M114" s="41"/>
      <c r="N114" s="59">
        <f t="shared" si="24"/>
        <v>-402.58999999999992</v>
      </c>
      <c r="O114" s="41"/>
      <c r="P114" s="82">
        <f t="shared" si="25"/>
        <v>79.408947368421053</v>
      </c>
      <c r="Q114" s="108">
        <v>1508.77</v>
      </c>
      <c r="R114" s="41"/>
      <c r="S114" s="85">
        <f t="shared" si="26"/>
        <v>-151.3599999999999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2"/>
        <v>Véhicules usagésService gratuit 1</v>
      </c>
      <c r="B115" s="11" t="s">
        <v>70</v>
      </c>
      <c r="C115" s="29" t="s">
        <v>33</v>
      </c>
      <c r="D115" s="81"/>
      <c r="E115" s="82">
        <f t="shared" si="23"/>
        <v>90</v>
      </c>
      <c r="F115" s="30">
        <v>1440</v>
      </c>
      <c r="G115" s="83"/>
      <c r="H115" s="82"/>
      <c r="I115" s="30"/>
      <c r="J115" s="41"/>
      <c r="K115" s="82">
        <f>IF($J$97=0,0,L115/(J$94+J$95+J96))</f>
        <v>85.892142857142858</v>
      </c>
      <c r="L115" s="33">
        <v>1202.49</v>
      </c>
      <c r="M115" s="41"/>
      <c r="N115" s="59">
        <f t="shared" si="24"/>
        <v>-237.51</v>
      </c>
      <c r="O115" s="41"/>
      <c r="P115" s="82">
        <f t="shared" si="25"/>
        <v>1.8421052631578947</v>
      </c>
      <c r="Q115" s="33">
        <v>35</v>
      </c>
      <c r="R115" s="41"/>
      <c r="S115" s="85">
        <f t="shared" si="26"/>
        <v>1167.49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2"/>
        <v>Véhicules usagésEntretien stock</v>
      </c>
      <c r="B116" s="11" t="s">
        <v>70</v>
      </c>
      <c r="C116" s="86" t="s">
        <v>34</v>
      </c>
      <c r="D116" s="87"/>
      <c r="E116" s="88">
        <f t="shared" si="23"/>
        <v>125</v>
      </c>
      <c r="F116" s="22">
        <v>2000</v>
      </c>
      <c r="G116" s="89"/>
      <c r="H116" s="88"/>
      <c r="I116" s="22"/>
      <c r="J116" s="23"/>
      <c r="K116" s="88">
        <f>IF($J$97=0,0,L116/(J$94+J$95+J96))</f>
        <v>125.94785714285715</v>
      </c>
      <c r="L116" s="48">
        <v>1763.27</v>
      </c>
      <c r="M116" s="23"/>
      <c r="N116" s="91">
        <f t="shared" si="24"/>
        <v>-236.73000000000002</v>
      </c>
      <c r="O116" s="23"/>
      <c r="P116" s="88">
        <f t="shared" si="25"/>
        <v>84.151578947368421</v>
      </c>
      <c r="Q116" s="48">
        <v>1598.88</v>
      </c>
      <c r="R116" s="23"/>
      <c r="S116" s="92">
        <f t="shared" si="26"/>
        <v>164.38999999999987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2"/>
        <v>Véhicules usagésPublicité 1</v>
      </c>
      <c r="B117" s="11" t="s">
        <v>70</v>
      </c>
      <c r="C117" s="29" t="s">
        <v>35</v>
      </c>
      <c r="D117" s="81"/>
      <c r="E117" s="82">
        <f t="shared" si="23"/>
        <v>427.25520833333337</v>
      </c>
      <c r="F117" s="30">
        <v>6836.0833333333339</v>
      </c>
      <c r="G117" s="83"/>
      <c r="H117" s="82"/>
      <c r="I117" s="30"/>
      <c r="J117" s="41"/>
      <c r="K117" s="82">
        <f>IF($J$97=0,0,L117/(J$94+J$95+J96))</f>
        <v>646.4507142857143</v>
      </c>
      <c r="L117" s="33">
        <v>9050.31</v>
      </c>
      <c r="M117" s="41"/>
      <c r="N117" s="59">
        <f t="shared" si="24"/>
        <v>2214.2266666666656</v>
      </c>
      <c r="O117" s="41"/>
      <c r="P117" s="82">
        <f t="shared" si="25"/>
        <v>446.68</v>
      </c>
      <c r="Q117" s="33">
        <v>8486.92</v>
      </c>
      <c r="R117" s="41"/>
      <c r="S117" s="85">
        <f t="shared" si="26"/>
        <v>563.38999999999942</v>
      </c>
      <c r="T117" s="13"/>
      <c r="U117" s="13"/>
      <c r="V117" s="13">
        <f>13817-4767</f>
        <v>9050</v>
      </c>
      <c r="W117" s="13" t="s">
        <v>243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22"/>
        <v>Véhicules usagésIntérêt de gros</v>
      </c>
      <c r="B118" s="11" t="s">
        <v>70</v>
      </c>
      <c r="C118" s="29" t="s">
        <v>36</v>
      </c>
      <c r="D118" s="81"/>
      <c r="E118" s="82">
        <f t="shared" si="23"/>
        <v>487.93620461333438</v>
      </c>
      <c r="F118" s="30">
        <v>7806.9792738133501</v>
      </c>
      <c r="G118" s="83"/>
      <c r="H118" s="82"/>
      <c r="I118" s="30"/>
      <c r="J118" s="41"/>
      <c r="K118" s="82">
        <f>IF($J$97=0,0,L118/(J$94+J$95+J96))</f>
        <v>349.82785714285717</v>
      </c>
      <c r="L118" s="33">
        <v>4897.59</v>
      </c>
      <c r="M118" s="41"/>
      <c r="N118" s="59">
        <f t="shared" si="24"/>
        <v>-2909.38927381335</v>
      </c>
      <c r="O118" s="41"/>
      <c r="P118" s="82">
        <f t="shared" si="25"/>
        <v>312.49894736842106</v>
      </c>
      <c r="Q118" s="33">
        <v>5937.48</v>
      </c>
      <c r="R118" s="41"/>
      <c r="S118" s="85">
        <f>L118-Q118</f>
        <v>-1039.8899999999994</v>
      </c>
      <c r="T118" s="13"/>
      <c r="U118" s="13"/>
      <c r="V118" s="13">
        <v>4898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 t="shared" si="22"/>
        <v>Véhicules usagés[...]</v>
      </c>
      <c r="B119" s="11" t="s">
        <v>70</v>
      </c>
      <c r="C119" s="29" t="s">
        <v>19</v>
      </c>
      <c r="D119" s="81"/>
      <c r="E119" s="82">
        <f t="shared" si="23"/>
        <v>0</v>
      </c>
      <c r="F119" s="30">
        <v>0</v>
      </c>
      <c r="G119" s="83"/>
      <c r="H119" s="82"/>
      <c r="I119" s="30"/>
      <c r="J119" s="41"/>
      <c r="K119" s="82">
        <f>IF($J$97=0,0,L119/(J$94+J$95))</f>
        <v>0</v>
      </c>
      <c r="L119" s="33">
        <v>0</v>
      </c>
      <c r="M119" s="41"/>
      <c r="N119" s="59">
        <f t="shared" si="24"/>
        <v>0</v>
      </c>
      <c r="O119" s="41"/>
      <c r="P119" s="82">
        <f t="shared" si="25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si="22"/>
        <v>Véhicules usagés[...]</v>
      </c>
      <c r="B120" s="11" t="s">
        <v>70</v>
      </c>
      <c r="C120" s="29" t="s">
        <v>19</v>
      </c>
      <c r="D120" s="81"/>
      <c r="E120" s="82">
        <f t="shared" si="23"/>
        <v>0</v>
      </c>
      <c r="F120" s="30">
        <v>0</v>
      </c>
      <c r="G120" s="83"/>
      <c r="H120" s="82"/>
      <c r="I120" s="30"/>
      <c r="J120" s="41"/>
      <c r="K120" s="82">
        <f>IF($J$97=0,0,L120/(J$94+J$95))</f>
        <v>0</v>
      </c>
      <c r="L120" s="33">
        <v>0</v>
      </c>
      <c r="M120" s="41"/>
      <c r="N120" s="59">
        <f t="shared" si="24"/>
        <v>0</v>
      </c>
      <c r="O120" s="41"/>
      <c r="P120" s="82">
        <f t="shared" si="25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si="22"/>
        <v>Véhicules usagés[...]</v>
      </c>
      <c r="B121" s="11" t="s">
        <v>70</v>
      </c>
      <c r="C121" s="29" t="s">
        <v>19</v>
      </c>
      <c r="D121" s="81"/>
      <c r="E121" s="82">
        <f t="shared" si="23"/>
        <v>0</v>
      </c>
      <c r="F121" s="30">
        <v>0</v>
      </c>
      <c r="G121" s="83"/>
      <c r="H121" s="82"/>
      <c r="I121" s="30"/>
      <c r="J121" s="41"/>
      <c r="K121" s="82">
        <f>IF($J$97=0,0,L121/(J$94+J$95))</f>
        <v>0</v>
      </c>
      <c r="L121" s="33">
        <v>0</v>
      </c>
      <c r="M121" s="41"/>
      <c r="N121" s="59">
        <f t="shared" si="24"/>
        <v>0</v>
      </c>
      <c r="O121" s="41"/>
      <c r="P121" s="82">
        <f t="shared" si="25"/>
        <v>0</v>
      </c>
      <c r="Q121" s="33">
        <v>0</v>
      </c>
      <c r="R121" s="41"/>
      <c r="S121" s="85">
        <f t="shared" ref="S121:S126" si="2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si="22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0.56189532586567137</v>
      </c>
      <c r="F122" s="96">
        <f>SUM(F112:F121)</f>
        <v>39065.772530810806</v>
      </c>
      <c r="G122" s="97"/>
      <c r="H122" s="95"/>
      <c r="I122" s="96"/>
      <c r="J122" s="97" t="s">
        <v>38</v>
      </c>
      <c r="K122" s="95">
        <f>L122/L$108</f>
        <v>0.47550470184824989</v>
      </c>
      <c r="L122" s="96">
        <f>SUM(L112:L121)</f>
        <v>33076.050000000003</v>
      </c>
      <c r="M122" s="100"/>
      <c r="N122" s="96">
        <f t="shared" si="24"/>
        <v>-5989.7225308108027</v>
      </c>
      <c r="O122" s="97" t="s">
        <v>38</v>
      </c>
      <c r="P122" s="95">
        <f>Q122/Q$108</f>
        <v>0.47005948461008434</v>
      </c>
      <c r="Q122" s="96">
        <f>SUM(Q112:Q121)</f>
        <v>39343.490000000005</v>
      </c>
      <c r="R122" s="100"/>
      <c r="S122" s="101">
        <f t="shared" si="27"/>
        <v>-6267.4400000000023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22"/>
        <v>Véhicules usagésSalaires cadres</v>
      </c>
      <c r="B123" s="11" t="s">
        <v>70</v>
      </c>
      <c r="C123" s="102" t="s">
        <v>40</v>
      </c>
      <c r="D123" s="13"/>
      <c r="E123" s="13"/>
      <c r="F123" s="30">
        <v>5133.4486005089057</v>
      </c>
      <c r="G123" s="41"/>
      <c r="H123" s="13"/>
      <c r="I123" s="30"/>
      <c r="J123" s="41"/>
      <c r="K123" s="13"/>
      <c r="L123" s="33">
        <v>5053.7700000000004</v>
      </c>
      <c r="M123" s="41"/>
      <c r="N123" s="59">
        <f t="shared" si="24"/>
        <v>-79.67860050890522</v>
      </c>
      <c r="O123" s="41"/>
      <c r="P123" s="13"/>
      <c r="Q123" s="33">
        <v>1917.1</v>
      </c>
      <c r="R123" s="41"/>
      <c r="S123" s="85">
        <f t="shared" si="27"/>
        <v>3136.6700000000005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22"/>
        <v>Véhicules usagésSalaires commis</v>
      </c>
      <c r="B124" s="11" t="s">
        <v>70</v>
      </c>
      <c r="C124" s="103" t="s">
        <v>41</v>
      </c>
      <c r="D124" s="81"/>
      <c r="E124" s="13"/>
      <c r="F124" s="22">
        <v>2825.1366412213742</v>
      </c>
      <c r="G124" s="83"/>
      <c r="H124" s="13"/>
      <c r="I124" s="22"/>
      <c r="J124" s="41"/>
      <c r="K124" s="13"/>
      <c r="L124" s="22">
        <v>3054.3</v>
      </c>
      <c r="M124" s="41"/>
      <c r="N124" s="59">
        <f t="shared" si="24"/>
        <v>229.16335877862593</v>
      </c>
      <c r="O124" s="41"/>
      <c r="P124" s="13"/>
      <c r="Q124" s="22">
        <v>4874.12</v>
      </c>
      <c r="R124" s="41"/>
      <c r="S124" s="85">
        <f t="shared" si="27"/>
        <v>-1819.8199999999997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ref="A125:A156" si="28">+B125&amp;C125</f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24"/>
        <v>0</v>
      </c>
      <c r="O125" s="107"/>
      <c r="P125" s="105"/>
      <c r="Q125" s="33">
        <v>2809</v>
      </c>
      <c r="R125" s="107"/>
      <c r="S125" s="110">
        <f t="shared" si="27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2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24"/>
        <v>0</v>
      </c>
      <c r="O126" s="41"/>
      <c r="P126" s="13"/>
      <c r="Q126" s="33">
        <v>0</v>
      </c>
      <c r="R126" s="41"/>
      <c r="S126" s="85">
        <f t="shared" si="27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28"/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24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si="28"/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24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si="28"/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24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si="28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3253.0882928924448</v>
      </c>
      <c r="G130" s="83"/>
      <c r="H130" s="13"/>
      <c r="I130" s="30"/>
      <c r="J130" s="41"/>
      <c r="K130" s="13"/>
      <c r="L130" s="33">
        <v>3482.38</v>
      </c>
      <c r="M130" s="41"/>
      <c r="N130" s="59">
        <f t="shared" si="24"/>
        <v>229.29170710755534</v>
      </c>
      <c r="O130" s="41"/>
      <c r="P130" s="13"/>
      <c r="Q130" s="33">
        <v>4624.4799999999996</v>
      </c>
      <c r="R130" s="41"/>
      <c r="S130" s="85">
        <f>L130-Q130</f>
        <v>-1142.0999999999995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28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4155.7633863592309</v>
      </c>
      <c r="G131" s="106"/>
      <c r="H131" s="105"/>
      <c r="I131" s="54"/>
      <c r="J131" s="107"/>
      <c r="K131" s="105"/>
      <c r="L131" s="55">
        <v>2573.73</v>
      </c>
      <c r="M131" s="107"/>
      <c r="N131" s="109">
        <f t="shared" si="24"/>
        <v>-1582.0333863592309</v>
      </c>
      <c r="O131" s="107"/>
      <c r="P131" s="105"/>
      <c r="Q131" s="55">
        <v>2625.4</v>
      </c>
      <c r="R131" s="107"/>
      <c r="S131" s="110">
        <f t="shared" ref="S131:S148" si="29">L131-Q131</f>
        <v>-51.670000000000073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28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1955.9784886768448</v>
      </c>
      <c r="G132" s="83"/>
      <c r="H132" s="13"/>
      <c r="I132" s="30"/>
      <c r="J132" s="41"/>
      <c r="K132" s="13"/>
      <c r="L132" s="33">
        <v>2765.28</v>
      </c>
      <c r="M132" s="41"/>
      <c r="N132" s="59">
        <f t="shared" si="24"/>
        <v>809.30151132315541</v>
      </c>
      <c r="O132" s="41"/>
      <c r="P132" s="13"/>
      <c r="Q132" s="33">
        <v>1607.52</v>
      </c>
      <c r="R132" s="41"/>
      <c r="S132" s="85">
        <f t="shared" si="29"/>
        <v>1157.7600000000002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28"/>
        <v>Véhicules usagésCsst</v>
      </c>
      <c r="B133" s="11" t="s">
        <v>70</v>
      </c>
      <c r="C133" s="102" t="s">
        <v>47</v>
      </c>
      <c r="D133" s="81"/>
      <c r="E133" s="13"/>
      <c r="F133" s="30">
        <v>441.67256195928752</v>
      </c>
      <c r="G133" s="83"/>
      <c r="H133" s="13"/>
      <c r="I133" s="30"/>
      <c r="J133" s="41"/>
      <c r="K133" s="13"/>
      <c r="L133" s="33">
        <v>48.92</v>
      </c>
      <c r="M133" s="41"/>
      <c r="N133" s="59">
        <f t="shared" si="24"/>
        <v>-392.7525619592875</v>
      </c>
      <c r="O133" s="41"/>
      <c r="P133" s="13"/>
      <c r="Q133" s="33">
        <v>75.319999999999993</v>
      </c>
      <c r="R133" s="41"/>
      <c r="S133" s="85">
        <f t="shared" si="29"/>
        <v>-26.399999999999991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28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24"/>
        <v>0</v>
      </c>
      <c r="O134" s="23"/>
      <c r="P134" s="111"/>
      <c r="Q134" s="33">
        <v>0</v>
      </c>
      <c r="R134" s="23"/>
      <c r="S134" s="92">
        <f t="shared" si="29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28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0.29592359542061258</v>
      </c>
      <c r="F135" s="96">
        <f>+SUM(F123:F134)</f>
        <v>20574.08797161809</v>
      </c>
      <c r="G135" s="97"/>
      <c r="H135" s="95"/>
      <c r="I135" s="96"/>
      <c r="J135" s="97" t="s">
        <v>38</v>
      </c>
      <c r="K135" s="95">
        <f>L135/L$108</f>
        <v>0.28446541310882106</v>
      </c>
      <c r="L135" s="96">
        <f>SUM(L123:L134)</f>
        <v>19787.379999999997</v>
      </c>
      <c r="M135" s="463"/>
      <c r="N135" s="464">
        <f t="shared" si="24"/>
        <v>-786.70797161809242</v>
      </c>
      <c r="O135" s="97" t="s">
        <v>38</v>
      </c>
      <c r="P135" s="95">
        <f>Q135/Q$108</f>
        <v>0.22142377874229294</v>
      </c>
      <c r="Q135" s="96">
        <f>+SUM(Q123:Q134)</f>
        <v>18532.939999999999</v>
      </c>
      <c r="R135" s="147"/>
      <c r="S135" s="114">
        <f t="shared" si="29"/>
        <v>1254.4399999999987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28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24"/>
        <v>0</v>
      </c>
      <c r="O136" s="41"/>
      <c r="P136" s="13"/>
      <c r="Q136" s="33">
        <v>0</v>
      </c>
      <c r="R136" s="41"/>
      <c r="S136" s="85">
        <f t="shared" si="29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28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24"/>
        <v>0</v>
      </c>
      <c r="O137" s="41"/>
      <c r="P137" s="13"/>
      <c r="Q137" s="33">
        <v>0</v>
      </c>
      <c r="R137" s="41"/>
      <c r="S137" s="85">
        <f t="shared" si="29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28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857.83333333333326</v>
      </c>
      <c r="G138" s="89"/>
      <c r="H138" s="111"/>
      <c r="I138" s="22"/>
      <c r="J138" s="23"/>
      <c r="K138" s="111"/>
      <c r="L138" s="22">
        <v>1075.23</v>
      </c>
      <c r="M138" s="23"/>
      <c r="N138" s="91">
        <f t="shared" si="24"/>
        <v>217.39666666666676</v>
      </c>
      <c r="O138" s="23"/>
      <c r="P138" s="111"/>
      <c r="Q138" s="22">
        <v>768.79</v>
      </c>
      <c r="R138" s="23"/>
      <c r="S138" s="92">
        <f t="shared" si="29"/>
        <v>306.44000000000005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28"/>
        <v>Véhicules usagésInformatique</v>
      </c>
      <c r="B139" s="11" t="s">
        <v>70</v>
      </c>
      <c r="C139" s="29" t="s">
        <v>52</v>
      </c>
      <c r="D139" s="81"/>
      <c r="E139" s="13"/>
      <c r="F139" s="30">
        <v>1419.9</v>
      </c>
      <c r="G139" s="83"/>
      <c r="H139" s="13"/>
      <c r="I139" s="30"/>
      <c r="J139" s="41"/>
      <c r="K139" s="13"/>
      <c r="L139" s="33">
        <v>1689.63</v>
      </c>
      <c r="M139" s="41"/>
      <c r="N139" s="59">
        <f t="shared" si="24"/>
        <v>269.73</v>
      </c>
      <c r="O139" s="41"/>
      <c r="P139" s="13"/>
      <c r="Q139" s="33">
        <v>1421.96</v>
      </c>
      <c r="R139" s="41"/>
      <c r="S139" s="85">
        <f t="shared" si="29"/>
        <v>267.67000000000007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28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182.8</v>
      </c>
      <c r="G140" s="83"/>
      <c r="H140" s="13"/>
      <c r="I140" s="30"/>
      <c r="J140" s="41"/>
      <c r="K140" s="13"/>
      <c r="L140" s="33">
        <v>224.01</v>
      </c>
      <c r="M140" s="41"/>
      <c r="N140" s="59">
        <f t="shared" si="24"/>
        <v>41.20999999999998</v>
      </c>
      <c r="O140" s="41"/>
      <c r="P140" s="13"/>
      <c r="Q140" s="33">
        <v>486.32</v>
      </c>
      <c r="R140" s="41"/>
      <c r="S140" s="85">
        <f t="shared" si="29"/>
        <v>-262.31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28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612.1</v>
      </c>
      <c r="G141" s="89"/>
      <c r="H141" s="111"/>
      <c r="I141" s="22"/>
      <c r="J141" s="23"/>
      <c r="K141" s="111"/>
      <c r="L141" s="22">
        <v>896.26</v>
      </c>
      <c r="M141" s="23"/>
      <c r="N141" s="91">
        <f t="shared" si="24"/>
        <v>284.15999999999997</v>
      </c>
      <c r="O141" s="23"/>
      <c r="P141" s="111"/>
      <c r="Q141" s="22">
        <v>554.71</v>
      </c>
      <c r="R141" s="23"/>
      <c r="S141" s="92">
        <f t="shared" si="29"/>
        <v>341.54999999999995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28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35.294117647058826</v>
      </c>
      <c r="G142" s="83"/>
      <c r="H142" s="13"/>
      <c r="I142" s="30"/>
      <c r="J142" s="41"/>
      <c r="K142" s="13"/>
      <c r="L142" s="33">
        <v>167.94</v>
      </c>
      <c r="M142" s="41"/>
      <c r="N142" s="59">
        <f t="shared" si="24"/>
        <v>132.64588235294116</v>
      </c>
      <c r="O142" s="41"/>
      <c r="P142" s="13"/>
      <c r="Q142" s="33">
        <v>0</v>
      </c>
      <c r="R142" s="41"/>
      <c r="S142" s="85">
        <f t="shared" si="29"/>
        <v>167.94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28"/>
        <v>Véhicules usagésUniformes</v>
      </c>
      <c r="B143" s="11" t="s">
        <v>70</v>
      </c>
      <c r="C143" s="29" t="s">
        <v>56</v>
      </c>
      <c r="D143" s="81"/>
      <c r="E143" s="13"/>
      <c r="F143" s="30">
        <v>5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24"/>
        <v>-5</v>
      </c>
      <c r="O143" s="41"/>
      <c r="P143" s="13"/>
      <c r="Q143" s="33">
        <v>0</v>
      </c>
      <c r="R143" s="41"/>
      <c r="S143" s="85">
        <f t="shared" si="29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28"/>
        <v>Véhicules usagésPapeterie</v>
      </c>
      <c r="B144" s="11" t="s">
        <v>70</v>
      </c>
      <c r="C144" s="29" t="s">
        <v>57</v>
      </c>
      <c r="D144" s="81"/>
      <c r="E144" s="13"/>
      <c r="F144" s="30">
        <v>175</v>
      </c>
      <c r="G144" s="83"/>
      <c r="H144" s="13"/>
      <c r="I144" s="30"/>
      <c r="J144" s="41"/>
      <c r="K144" s="13"/>
      <c r="L144" s="32">
        <v>190.39</v>
      </c>
      <c r="M144" s="41"/>
      <c r="N144" s="59">
        <f t="shared" si="24"/>
        <v>15.389999999999986</v>
      </c>
      <c r="O144" s="41"/>
      <c r="P144" s="13"/>
      <c r="Q144" s="32">
        <v>135.4</v>
      </c>
      <c r="R144" s="41"/>
      <c r="S144" s="85">
        <f t="shared" si="29"/>
        <v>54.989999999999981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28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76.97</v>
      </c>
      <c r="M145" s="41"/>
      <c r="N145" s="59">
        <f t="shared" si="24"/>
        <v>13.769999999999996</v>
      </c>
      <c r="O145" s="41"/>
      <c r="P145" s="13"/>
      <c r="Q145" s="33">
        <v>75.349999999999994</v>
      </c>
      <c r="R145" s="41"/>
      <c r="S145" s="85">
        <f t="shared" si="29"/>
        <v>1.6200000000000045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28"/>
        <v>Véhicules usagésFrais postaux</v>
      </c>
      <c r="B146" s="11" t="s">
        <v>70</v>
      </c>
      <c r="C146" s="29" t="s">
        <v>59</v>
      </c>
      <c r="D146" s="81"/>
      <c r="E146" s="13"/>
      <c r="F146" s="30">
        <v>50</v>
      </c>
      <c r="G146" s="83"/>
      <c r="H146" s="13"/>
      <c r="I146" s="30"/>
      <c r="J146" s="41"/>
      <c r="K146" s="13"/>
      <c r="L146" s="33">
        <v>135.56</v>
      </c>
      <c r="M146" s="41"/>
      <c r="N146" s="59">
        <f t="shared" si="24"/>
        <v>85.56</v>
      </c>
      <c r="O146" s="41"/>
      <c r="P146" s="13"/>
      <c r="Q146" s="33">
        <v>103.24</v>
      </c>
      <c r="R146" s="41"/>
      <c r="S146" s="85">
        <f t="shared" si="29"/>
        <v>32.320000000000007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28"/>
        <v>Véhicules usagésDivers</v>
      </c>
      <c r="B147" s="11" t="s">
        <v>70</v>
      </c>
      <c r="C147" s="29" t="s">
        <v>60</v>
      </c>
      <c r="D147" s="81"/>
      <c r="E147" s="13"/>
      <c r="F147" s="30">
        <v>185.8</v>
      </c>
      <c r="G147" s="83"/>
      <c r="H147" s="13"/>
      <c r="I147" s="30"/>
      <c r="J147" s="41"/>
      <c r="K147" s="13"/>
      <c r="L147" s="33">
        <v>144.6</v>
      </c>
      <c r="M147" s="41"/>
      <c r="N147" s="59">
        <f t="shared" si="24"/>
        <v>-41.200000000000017</v>
      </c>
      <c r="O147" s="41"/>
      <c r="P147" s="13"/>
      <c r="Q147" s="33">
        <v>206.35</v>
      </c>
      <c r="R147" s="41"/>
      <c r="S147" s="85">
        <f t="shared" si="29"/>
        <v>-61.75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28"/>
        <v>Véhicules usagésFormation</v>
      </c>
      <c r="B148" s="11" t="s">
        <v>70</v>
      </c>
      <c r="C148" s="29" t="s">
        <v>61</v>
      </c>
      <c r="D148" s="81"/>
      <c r="E148" s="13"/>
      <c r="F148" s="30">
        <v>137.24010666666663</v>
      </c>
      <c r="G148" s="83"/>
      <c r="H148" s="13"/>
      <c r="I148" s="30"/>
      <c r="J148" s="41"/>
      <c r="K148" s="13"/>
      <c r="L148" s="59">
        <v>59.02</v>
      </c>
      <c r="M148" s="41"/>
      <c r="N148" s="59">
        <f t="shared" si="24"/>
        <v>-78.220106666666624</v>
      </c>
      <c r="O148" s="41"/>
      <c r="P148" s="13"/>
      <c r="Q148" s="33">
        <v>834.61</v>
      </c>
      <c r="R148" s="41"/>
      <c r="S148" s="85">
        <f t="shared" si="29"/>
        <v>-775.59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28"/>
        <v>Véhicules usagésFrais bancaires</v>
      </c>
      <c r="B149" s="11" t="s">
        <v>70</v>
      </c>
      <c r="C149" s="29" t="s">
        <v>62</v>
      </c>
      <c r="D149" s="81"/>
      <c r="E149" s="13"/>
      <c r="F149" s="30">
        <v>524.62476127133846</v>
      </c>
      <c r="G149" s="83"/>
      <c r="H149" s="13"/>
      <c r="I149" s="30"/>
      <c r="J149" s="41"/>
      <c r="K149" s="13"/>
      <c r="L149" s="33">
        <v>877.44</v>
      </c>
      <c r="M149" s="41"/>
      <c r="N149" s="59">
        <f t="shared" si="24"/>
        <v>352.8152387286616</v>
      </c>
      <c r="O149" s="41"/>
      <c r="P149" s="13"/>
      <c r="Q149" s="33">
        <v>681.24</v>
      </c>
      <c r="R149" s="41"/>
      <c r="S149" s="85">
        <f>L149-Q149</f>
        <v>196.20000000000005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 t="shared" si="28"/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24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si="28"/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24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si="28"/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24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si="28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6.1111719797459871E-2</v>
      </c>
      <c r="F153" s="96">
        <f>+SUM(F136:F152)</f>
        <v>4248.7923189183975</v>
      </c>
      <c r="G153" s="97"/>
      <c r="H153" s="95"/>
      <c r="I153" s="96"/>
      <c r="J153" s="97" t="s">
        <v>38</v>
      </c>
      <c r="K153" s="95">
        <f>L153/L$108</f>
        <v>7.9601201152158504E-2</v>
      </c>
      <c r="L153" s="96">
        <f>+SUM(L136:L152)</f>
        <v>5537.0500000000011</v>
      </c>
      <c r="M153" s="100"/>
      <c r="N153" s="96">
        <f t="shared" si="24"/>
        <v>1288.2576810816036</v>
      </c>
      <c r="O153" s="97" t="s">
        <v>38</v>
      </c>
      <c r="P153" s="95">
        <f>Q153/Q$108</f>
        <v>6.2939491721283117E-2</v>
      </c>
      <c r="Q153" s="96">
        <f>+SUM(Q136:Q152)</f>
        <v>5267.9699999999993</v>
      </c>
      <c r="R153" s="100"/>
      <c r="S153" s="101">
        <f>L153-Q153</f>
        <v>269.08000000000175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28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28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0.918930641083744</v>
      </c>
      <c r="F155" s="96">
        <f>F122+F135+F153</f>
        <v>63888.652821347299</v>
      </c>
      <c r="G155" s="97"/>
      <c r="H155" s="95"/>
      <c r="I155" s="96"/>
      <c r="J155" s="97" t="s">
        <v>38</v>
      </c>
      <c r="K155" s="95">
        <f>L155/L$108</f>
        <v>0.83957131610922953</v>
      </c>
      <c r="L155" s="96">
        <f>L122+L135+L153</f>
        <v>58400.480000000003</v>
      </c>
      <c r="M155" s="100"/>
      <c r="N155" s="113">
        <f t="shared" ref="N155:N162" si="30">L155-F155</f>
        <v>-5488.1728213472961</v>
      </c>
      <c r="O155" s="97" t="s">
        <v>38</v>
      </c>
      <c r="P155" s="95">
        <f>Q155/Q$108</f>
        <v>0.75442275507366041</v>
      </c>
      <c r="Q155" s="96">
        <f>Q122+Q135+Q153</f>
        <v>63144.400000000009</v>
      </c>
      <c r="R155" s="100"/>
      <c r="S155" s="114">
        <f t="shared" ref="S155:S162" si="31">L155-Q155</f>
        <v>-4743.9200000000055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28"/>
        <v>Véhicules usagésRBSC used</v>
      </c>
      <c r="B156" s="11" t="s">
        <v>70</v>
      </c>
      <c r="C156" s="29" t="s">
        <v>218</v>
      </c>
      <c r="D156" s="149"/>
      <c r="E156" s="150"/>
      <c r="F156" s="30">
        <v>1875</v>
      </c>
      <c r="G156" s="151"/>
      <c r="H156" s="150"/>
      <c r="I156" s="30"/>
      <c r="J156" s="151"/>
      <c r="K156" s="150"/>
      <c r="L156" s="32">
        <v>3000</v>
      </c>
      <c r="M156" s="41"/>
      <c r="N156" s="59">
        <f t="shared" si="30"/>
        <v>1125</v>
      </c>
      <c r="O156" s="151"/>
      <c r="P156" s="150"/>
      <c r="Q156" s="33">
        <v>0</v>
      </c>
      <c r="R156" s="41"/>
      <c r="S156" s="85">
        <f t="shared" si="31"/>
        <v>3000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ref="A157:A188" si="32">+B157&amp;C157</f>
        <v>Véhicules usagésProgramme 360</v>
      </c>
      <c r="B157" s="11" t="s">
        <v>70</v>
      </c>
      <c r="C157" s="29" t="s">
        <v>219</v>
      </c>
      <c r="D157" s="149"/>
      <c r="E157" s="150"/>
      <c r="F157" s="30">
        <v>1388.2352941176473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30"/>
        <v>-1388.2352941176473</v>
      </c>
      <c r="O157" s="151"/>
      <c r="P157" s="150"/>
      <c r="Q157" s="33">
        <v>3625</v>
      </c>
      <c r="R157" s="41"/>
      <c r="S157" s="85">
        <f t="shared" si="31"/>
        <v>-3625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32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30"/>
        <v>0</v>
      </c>
      <c r="O158" s="41"/>
      <c r="P158" s="13"/>
      <c r="Q158" s="33">
        <v>0</v>
      </c>
      <c r="R158" s="41"/>
      <c r="S158" s="85">
        <f t="shared" si="31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 t="shared" si="32"/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8092</v>
      </c>
      <c r="G159" s="83"/>
      <c r="H159" s="13"/>
      <c r="I159" s="30"/>
      <c r="J159" s="41"/>
      <c r="K159" s="13"/>
      <c r="L159" s="32">
        <v>7140</v>
      </c>
      <c r="M159" s="41"/>
      <c r="N159" s="59">
        <f t="shared" si="30"/>
        <v>-952</v>
      </c>
      <c r="O159" s="41"/>
      <c r="P159" s="13"/>
      <c r="Q159" s="33">
        <v>9520</v>
      </c>
      <c r="R159" s="41"/>
      <c r="S159" s="85">
        <f t="shared" si="31"/>
        <v>-2380</v>
      </c>
      <c r="T159" s="112"/>
      <c r="U159" s="13"/>
      <c r="V159" s="13">
        <f>L159/595</f>
        <v>12</v>
      </c>
      <c r="W159" s="454">
        <f>V159/J97</f>
        <v>0.8571428571428571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 t="shared" si="32"/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30"/>
        <v>0</v>
      </c>
      <c r="O160" s="41"/>
      <c r="P160" s="13"/>
      <c r="Q160" s="33">
        <v>0</v>
      </c>
      <c r="R160" s="41"/>
      <c r="S160" s="85">
        <f t="shared" si="31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 t="shared" si="32"/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30"/>
        <v>0</v>
      </c>
      <c r="O161" s="41"/>
      <c r="P161" s="13"/>
      <c r="Q161" s="33">
        <v>0</v>
      </c>
      <c r="R161" s="41"/>
      <c r="S161" s="85">
        <f t="shared" si="31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 t="shared" si="32"/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30"/>
        <v>0</v>
      </c>
      <c r="O162" s="41"/>
      <c r="P162" s="13"/>
      <c r="Q162" s="33">
        <v>0</v>
      </c>
      <c r="R162" s="41"/>
      <c r="S162" s="85">
        <f t="shared" si="31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11355.235294117647</v>
      </c>
      <c r="G163" s="97"/>
      <c r="H163" s="95"/>
      <c r="I163" s="96"/>
      <c r="J163" s="97"/>
      <c r="K163" s="95"/>
      <c r="L163" s="96">
        <f>+SUM(L156:L162)</f>
        <v>10140</v>
      </c>
      <c r="M163" s="100"/>
      <c r="N163" s="96">
        <f>SUM(N156:N159)</f>
        <v>-1215.2352941176473</v>
      </c>
      <c r="O163" s="97"/>
      <c r="P163" s="95"/>
      <c r="Q163" s="96">
        <f>+SUM(Q156:Q162)</f>
        <v>13145</v>
      </c>
      <c r="R163" s="100"/>
      <c r="S163" s="101">
        <f>+SUM(S156:S162)</f>
        <v>-3005</v>
      </c>
      <c r="T163" s="112"/>
      <c r="U163" s="13"/>
      <c r="V163" s="13"/>
      <c r="W163" s="13" t="s">
        <v>242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16991.582472770348</v>
      </c>
      <c r="G165" s="153"/>
      <c r="H165" s="125"/>
      <c r="I165" s="127"/>
      <c r="J165" s="154"/>
      <c r="K165" s="126"/>
      <c r="L165" s="127">
        <f>L108-L155+L163</f>
        <v>21299.399999999914</v>
      </c>
      <c r="M165" s="154"/>
      <c r="N165" s="127">
        <f>L165-F165</f>
        <v>4307.8175272295666</v>
      </c>
      <c r="O165" s="154"/>
      <c r="P165" s="126"/>
      <c r="Q165" s="127">
        <f>Q108-Q155+Q163</f>
        <v>33699.559999999867</v>
      </c>
      <c r="R165" s="154"/>
      <c r="S165" s="129">
        <f>L165-Q165</f>
        <v>-12400.159999999953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Octobre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96" t="s">
        <v>5</v>
      </c>
      <c r="E170" s="497"/>
      <c r="F170" s="498"/>
      <c r="G170" s="499"/>
      <c r="H170" s="497"/>
      <c r="I170" s="498"/>
      <c r="J170" s="499" t="s">
        <v>7</v>
      </c>
      <c r="K170" s="497"/>
      <c r="L170" s="498"/>
      <c r="M170" s="499" t="s">
        <v>213</v>
      </c>
      <c r="N170" s="498"/>
      <c r="O170" s="496" t="s">
        <v>8</v>
      </c>
      <c r="P170" s="497"/>
      <c r="Q170" s="498"/>
      <c r="R170" s="494" t="s">
        <v>214</v>
      </c>
      <c r="S170" s="495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33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33"/>
        <v>ServiceM/O Client</v>
      </c>
      <c r="B172" s="11" t="s">
        <v>78</v>
      </c>
      <c r="C172" s="29" t="s">
        <v>81</v>
      </c>
      <c r="D172" s="13">
        <v>0</v>
      </c>
      <c r="E172" s="82">
        <v>87521.407456008339</v>
      </c>
      <c r="F172" s="82">
        <v>69667.040334982637</v>
      </c>
      <c r="G172" s="156"/>
      <c r="H172" s="82"/>
      <c r="I172" s="82"/>
      <c r="J172" s="60">
        <v>330</v>
      </c>
      <c r="K172" s="30">
        <v>89572.72</v>
      </c>
      <c r="L172" s="33">
        <v>71477.290000000008</v>
      </c>
      <c r="M172" s="157">
        <f>(K172-E172)/E172</f>
        <v>2.3437837708708369E-2</v>
      </c>
      <c r="N172" s="59">
        <f>L172-F172</f>
        <v>1810.2496650173707</v>
      </c>
      <c r="O172" s="60">
        <v>269</v>
      </c>
      <c r="P172" s="30">
        <v>78930.399999999994</v>
      </c>
      <c r="Q172" s="33">
        <v>63873.36</v>
      </c>
      <c r="R172" s="157">
        <f>IF(O172=0,0,J172/O172)</f>
        <v>1.2267657992565055</v>
      </c>
      <c r="S172" s="85">
        <f>L172-Q172</f>
        <v>7603.9300000000076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33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0.79600000000000004</v>
      </c>
      <c r="G173" s="41"/>
      <c r="H173" s="144"/>
      <c r="I173" s="158"/>
      <c r="J173" s="60"/>
      <c r="K173" s="13"/>
      <c r="L173" s="158">
        <f>IF(L172=0,0,L172/K172)</f>
        <v>0.79798056819085106</v>
      </c>
      <c r="M173" s="157"/>
      <c r="N173" s="59"/>
      <c r="O173" s="60"/>
      <c r="P173" s="13"/>
      <c r="Q173" s="158">
        <f>Q172/P172</f>
        <v>0.80923649189665836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33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/>
      <c r="I174" s="160"/>
      <c r="J174" s="161"/>
      <c r="K174" s="465">
        <f>IFERROR(K172/J172,0)</f>
        <v>271.43248484848488</v>
      </c>
      <c r="L174" s="160"/>
      <c r="M174" s="162"/>
      <c r="N174" s="91"/>
      <c r="O174" s="161"/>
      <c r="P174" s="465">
        <f>IFERROR(P172/O172,0)</f>
        <v>293.42156133828996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33"/>
        <v>ServiceM/O Garantie</v>
      </c>
      <c r="B175" s="11" t="s">
        <v>78</v>
      </c>
      <c r="C175" s="14" t="s">
        <v>83</v>
      </c>
      <c r="D175" s="163">
        <v>0</v>
      </c>
      <c r="E175" s="82">
        <v>30319.365826513371</v>
      </c>
      <c r="F175" s="82">
        <v>21860.262760916139</v>
      </c>
      <c r="G175" s="164"/>
      <c r="H175" s="82"/>
      <c r="I175" s="82"/>
      <c r="J175" s="164">
        <v>194</v>
      </c>
      <c r="K175" s="165">
        <v>32031.9</v>
      </c>
      <c r="L175" s="33">
        <v>22008.22</v>
      </c>
      <c r="M175" s="157">
        <f>(K175-E175)/E175</f>
        <v>5.6483179209146625E-2</v>
      </c>
      <c r="N175" s="109">
        <f>L175-F175</f>
        <v>147.95723908386208</v>
      </c>
      <c r="O175" s="164">
        <v>168</v>
      </c>
      <c r="P175" s="165">
        <v>24181.78</v>
      </c>
      <c r="Q175" s="33">
        <v>17422.2399999999</v>
      </c>
      <c r="R175" s="157">
        <f>IF(O175=0,0,J175/O175)</f>
        <v>1.1547619047619047</v>
      </c>
      <c r="S175" s="85">
        <f>L175-Q175</f>
        <v>4585.9800000001014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33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/>
      <c r="J176" s="41"/>
      <c r="K176" s="13"/>
      <c r="L176" s="158">
        <f>IF(L175=0,0,L175/K175)</f>
        <v>0.68707195014969458</v>
      </c>
      <c r="M176" s="42"/>
      <c r="N176" s="43"/>
      <c r="O176" s="41"/>
      <c r="P176" s="13"/>
      <c r="Q176" s="158">
        <f>Q175/P175</f>
        <v>0.72046970901231844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33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143.93916666666667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33"/>
        <v>ServiceM/O Interne</v>
      </c>
      <c r="B178" s="11" t="s">
        <v>78</v>
      </c>
      <c r="C178" s="29" t="s">
        <v>84</v>
      </c>
      <c r="D178" s="13">
        <v>0</v>
      </c>
      <c r="E178" s="82">
        <v>38221.307136367548</v>
      </c>
      <c r="F178" s="82">
        <v>23620.767810275145</v>
      </c>
      <c r="G178" s="41"/>
      <c r="H178" s="82"/>
      <c r="I178" s="82"/>
      <c r="J178" s="60">
        <v>172</v>
      </c>
      <c r="K178" s="165">
        <v>46200.43</v>
      </c>
      <c r="L178" s="33">
        <v>31253.35</v>
      </c>
      <c r="M178" s="157">
        <f>(K178-E178)/E178</f>
        <v>0.20876111942389125</v>
      </c>
      <c r="N178" s="59">
        <f>L178-F178</f>
        <v>7632.5821897248534</v>
      </c>
      <c r="O178" s="60">
        <v>195</v>
      </c>
      <c r="P178" s="165">
        <v>37578.199999999997</v>
      </c>
      <c r="Q178" s="33">
        <v>23765.06</v>
      </c>
      <c r="R178" s="157">
        <f>IF(O178=0,0,J178/O178)</f>
        <v>0.88205128205128203</v>
      </c>
      <c r="S178" s="85">
        <f>L178-Q178</f>
        <v>7488.2899999999972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33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/>
      <c r="J179" s="60"/>
      <c r="K179" s="144"/>
      <c r="L179" s="158">
        <f>IF(L178=0,0,L178/K178)</f>
        <v>0.67647314105085166</v>
      </c>
      <c r="M179" s="157"/>
      <c r="N179" s="59">
        <f>L179-F179</f>
        <v>5.8473141050851662E-2</v>
      </c>
      <c r="O179" s="60"/>
      <c r="P179" s="144"/>
      <c r="Q179" s="158">
        <f>Q178/P178</f>
        <v>0.63241613488671633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33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192.70871794871795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33"/>
        <v>ServiceM/O Esthétique</v>
      </c>
      <c r="B181" s="11" t="s">
        <v>78</v>
      </c>
      <c r="C181" s="14" t="s">
        <v>85</v>
      </c>
      <c r="D181" s="105">
        <v>0</v>
      </c>
      <c r="E181" s="82">
        <v>13288.953996823771</v>
      </c>
      <c r="F181" s="82">
        <v>5315.5815987295091</v>
      </c>
      <c r="G181" s="107"/>
      <c r="H181" s="82"/>
      <c r="I181" s="82"/>
      <c r="J181" s="164">
        <v>99</v>
      </c>
      <c r="K181" s="165">
        <v>17782.45</v>
      </c>
      <c r="L181" s="108">
        <v>6067.880000000001</v>
      </c>
      <c r="M181" s="173">
        <f>IF(E181=0,0,(K181-E181)/E181)</f>
        <v>0.33813767466199612</v>
      </c>
      <c r="N181" s="109">
        <f>L181-F181</f>
        <v>752.29840127049192</v>
      </c>
      <c r="O181" s="164">
        <v>72</v>
      </c>
      <c r="P181" s="165">
        <v>11630.56</v>
      </c>
      <c r="Q181" s="108">
        <v>4796.74</v>
      </c>
      <c r="R181" s="157">
        <f>IF(O181=0,0,J181/O181)</f>
        <v>1.375</v>
      </c>
      <c r="S181" s="110">
        <f>L181-Q181</f>
        <v>1271.1400000000012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33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0.34122857086621927</v>
      </c>
      <c r="M182" s="60">
        <f>J182-D182</f>
        <v>0</v>
      </c>
      <c r="N182" s="176"/>
      <c r="O182" s="175"/>
      <c r="P182" s="174"/>
      <c r="Q182" s="158">
        <f>IFERROR(Q181/P181,0)</f>
        <v>0.41242554098856804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33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161.53555555555556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33"/>
        <v>ServiceAjustement M/O</v>
      </c>
      <c r="B184" s="11" t="s">
        <v>78</v>
      </c>
      <c r="C184" s="29" t="s">
        <v>86</v>
      </c>
      <c r="D184" s="13"/>
      <c r="E184" s="13"/>
      <c r="F184" s="59">
        <v>-2444.36909554048</v>
      </c>
      <c r="G184" s="41"/>
      <c r="H184" s="82"/>
      <c r="I184" s="82"/>
      <c r="J184" s="60"/>
      <c r="K184" s="82"/>
      <c r="L184" s="82">
        <v>-2411.91</v>
      </c>
      <c r="M184" s="175"/>
      <c r="N184" s="59">
        <f>L184-F184</f>
        <v>32.459095540480121</v>
      </c>
      <c r="O184" s="60"/>
      <c r="P184" s="82"/>
      <c r="Q184" s="82">
        <v>-4381.91</v>
      </c>
      <c r="R184" s="184"/>
      <c r="S184" s="85">
        <f>L184-Q184</f>
        <v>1970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33"/>
        <v>ServiceSous-total M/O</v>
      </c>
      <c r="B185" s="11" t="s">
        <v>78</v>
      </c>
      <c r="C185" s="185" t="s">
        <v>87</v>
      </c>
      <c r="D185" s="186">
        <f>D172+D175+D178+D181+D184</f>
        <v>0</v>
      </c>
      <c r="E185" s="186">
        <f>E172+E175+E178+E181+E184</f>
        <v>169351.03441571305</v>
      </c>
      <c r="F185" s="187">
        <f>F172+F175+F178+F181+F184</f>
        <v>118019.28340936296</v>
      </c>
      <c r="G185" s="188"/>
      <c r="H185" s="186"/>
      <c r="I185" s="187"/>
      <c r="J185" s="188">
        <f>J172+J175+J178+J181+J184</f>
        <v>795</v>
      </c>
      <c r="K185" s="186">
        <f>K172+K175+K178+K181+K184</f>
        <v>185587.5</v>
      </c>
      <c r="L185" s="187">
        <f>L172+L175+L178+L181+L184</f>
        <v>128394.83000000002</v>
      </c>
      <c r="M185" s="189">
        <f>(K185-E185)/E185</f>
        <v>9.5874617124750622E-2</v>
      </c>
      <c r="N185" s="187">
        <f>L185-F185</f>
        <v>10375.546590637052</v>
      </c>
      <c r="O185" s="188">
        <f>O172+O175+O178+O181+O184</f>
        <v>704</v>
      </c>
      <c r="P185" s="186">
        <f>P172+P175+P178+P181+P184</f>
        <v>152320.94</v>
      </c>
      <c r="Q185" s="187">
        <f>Q172+Q175+Q178+Q181+Q184</f>
        <v>105475.4899999999</v>
      </c>
      <c r="R185" s="42">
        <f>IF(O185=0,0,J185/O185)</f>
        <v>1.1292613636363635</v>
      </c>
      <c r="S185" s="190">
        <f>L185-Q185</f>
        <v>22919.340000000113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33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0.6968914232886001</v>
      </c>
      <c r="G186" s="194"/>
      <c r="H186" s="192"/>
      <c r="I186" s="43"/>
      <c r="J186" s="194"/>
      <c r="K186" s="443">
        <f>IF(J185=0,0,K185/J185)</f>
        <v>233.4433962264151</v>
      </c>
      <c r="L186" s="43">
        <f>IF(L185=0,0,L185/K185)</f>
        <v>0.69182908331649495</v>
      </c>
      <c r="M186" s="194"/>
      <c r="N186" s="193">
        <f>N185/F185</f>
        <v>8.7913994144908664E-2</v>
      </c>
      <c r="O186" s="194"/>
      <c r="P186" s="443">
        <f>IF(O185=0,0,P185/O185)</f>
        <v>216.36497159090911</v>
      </c>
      <c r="Q186" s="43">
        <f>Q185/P185</f>
        <v>0.6924556137849458</v>
      </c>
      <c r="R186" s="194"/>
      <c r="S186" s="44">
        <f>IF(R185=0,0,S185/R185)</f>
        <v>20295.868377358591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33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33"/>
        <v>ServiceSous-traitement</v>
      </c>
      <c r="B188" s="11" t="s">
        <v>78</v>
      </c>
      <c r="C188" s="29" t="s">
        <v>89</v>
      </c>
      <c r="D188" s="82"/>
      <c r="E188" s="82">
        <v>3572.6947879141785</v>
      </c>
      <c r="F188" s="82">
        <v>610.93080873332462</v>
      </c>
      <c r="G188" s="60"/>
      <c r="H188" s="82"/>
      <c r="I188" s="82"/>
      <c r="J188" s="60"/>
      <c r="K188" s="30">
        <v>799.95</v>
      </c>
      <c r="L188" s="33">
        <v>74.950000000000045</v>
      </c>
      <c r="M188" s="84">
        <f>IF(E188=0,0,(K188-E188)/E188)</f>
        <v>-0.77609338398956007</v>
      </c>
      <c r="N188" s="59">
        <f>L188-F188</f>
        <v>-535.98080873332458</v>
      </c>
      <c r="O188" s="60"/>
      <c r="P188" s="30">
        <v>5367.8099999999904</v>
      </c>
      <c r="Q188" s="33">
        <v>74.949999999999804</v>
      </c>
      <c r="R188" s="157">
        <f>IF(O188=0,0,J188/O188)</f>
        <v>0</v>
      </c>
      <c r="S188" s="85">
        <f>L188-Q188</f>
        <v>2.4158453015843406E-13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33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0.17100000000000004</v>
      </c>
      <c r="G189" s="41"/>
      <c r="H189" s="144"/>
      <c r="I189" s="158"/>
      <c r="J189" s="175"/>
      <c r="K189" s="174"/>
      <c r="L189" s="158">
        <f>IF(L188=0,0,L188/K188)</f>
        <v>9.3693355834739728E-2</v>
      </c>
      <c r="M189" s="175"/>
      <c r="N189" s="176"/>
      <c r="O189" s="175"/>
      <c r="P189" s="174"/>
      <c r="Q189" s="158">
        <f>IFERROR(Q188/P188,0)</f>
        <v>1.3962863812243716E-2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33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33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33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33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33"/>
        <v>ServiceTotal Mécanique</v>
      </c>
      <c r="B194" s="11" t="s">
        <v>78</v>
      </c>
      <c r="C194" s="62" t="s">
        <v>91</v>
      </c>
      <c r="D194" s="63"/>
      <c r="E194" s="63">
        <f>E185+E188+E191</f>
        <v>172923.72920362721</v>
      </c>
      <c r="F194" s="65">
        <f>F185+F188+F191</f>
        <v>118630.21421809628</v>
      </c>
      <c r="G194" s="66"/>
      <c r="H194" s="63"/>
      <c r="I194" s="65"/>
      <c r="J194" s="66"/>
      <c r="K194" s="63">
        <f>K185+K188+K191</f>
        <v>186387.45</v>
      </c>
      <c r="L194" s="65">
        <f>L185+L188+L191</f>
        <v>128469.78000000001</v>
      </c>
      <c r="M194" s="206">
        <f>L195-F195</f>
        <v>3.235733666690721E-3</v>
      </c>
      <c r="N194" s="65">
        <f>L194-F194</f>
        <v>9839.5657819037297</v>
      </c>
      <c r="O194" s="66"/>
      <c r="P194" s="63">
        <f>P185+P188+P191</f>
        <v>157688.75</v>
      </c>
      <c r="Q194" s="65">
        <f>Q185+Q188+Q191</f>
        <v>105550.4399999999</v>
      </c>
      <c r="R194" s="206">
        <f>L195-Q195</f>
        <v>1.9902609735683918E-2</v>
      </c>
      <c r="S194" s="68">
        <f>L194-Q194</f>
        <v>22919.340000000113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33"/>
        <v>Service</v>
      </c>
      <c r="B195" s="11" t="s">
        <v>78</v>
      </c>
      <c r="C195" s="69"/>
      <c r="D195" s="70"/>
      <c r="E195" s="70"/>
      <c r="F195" s="74">
        <f>F194/E194</f>
        <v>0.68602623112761274</v>
      </c>
      <c r="G195" s="72"/>
      <c r="H195" s="70"/>
      <c r="I195" s="74"/>
      <c r="J195" s="72"/>
      <c r="K195" s="70"/>
      <c r="L195" s="74">
        <f>L194/K194</f>
        <v>0.68926196479430346</v>
      </c>
      <c r="M195" s="73"/>
      <c r="N195" s="74">
        <f>N194/F194</f>
        <v>8.2943167950570607E-2</v>
      </c>
      <c r="O195" s="72"/>
      <c r="P195" s="70"/>
      <c r="Q195" s="74">
        <f>Q194/P194</f>
        <v>0.66935935505861954</v>
      </c>
      <c r="R195" s="73"/>
      <c r="S195" s="75">
        <f>L194/S194</f>
        <v>5.6053001526221689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33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33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33"/>
        <v>ServiceSalaires cadres</v>
      </c>
      <c r="B198" s="11" t="s">
        <v>78</v>
      </c>
      <c r="C198" s="102" t="s">
        <v>40</v>
      </c>
      <c r="D198" s="13"/>
      <c r="E198" s="13"/>
      <c r="F198" s="30">
        <v>9894.0984096692118</v>
      </c>
      <c r="G198" s="41"/>
      <c r="H198" s="13"/>
      <c r="I198" s="30"/>
      <c r="J198" s="41"/>
      <c r="K198" s="13"/>
      <c r="L198" s="33">
        <v>13005.57</v>
      </c>
      <c r="M198" s="41"/>
      <c r="N198" s="59">
        <f t="shared" ref="N198:N229" si="34">L198-F198</f>
        <v>3111.4715903307879</v>
      </c>
      <c r="O198" s="41"/>
      <c r="P198" s="13"/>
      <c r="Q198" s="33">
        <v>7797.58</v>
      </c>
      <c r="R198" s="41"/>
      <c r="S198" s="85">
        <f t="shared" ref="S198:S229" si="35">L198-Q198</f>
        <v>5207.99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33"/>
        <v>ServiceSalaires commis</v>
      </c>
      <c r="B199" s="11" t="s">
        <v>78</v>
      </c>
      <c r="C199" s="103" t="s">
        <v>41</v>
      </c>
      <c r="D199" s="81"/>
      <c r="E199" s="13"/>
      <c r="F199" s="22">
        <v>5158.1075699745543</v>
      </c>
      <c r="G199" s="83"/>
      <c r="H199" s="13"/>
      <c r="I199" s="22"/>
      <c r="J199" s="41"/>
      <c r="K199" s="13"/>
      <c r="L199" s="33">
        <v>5058.6099999999997</v>
      </c>
      <c r="M199" s="41"/>
      <c r="N199" s="59">
        <f t="shared" si="34"/>
        <v>-99.497569974554608</v>
      </c>
      <c r="O199" s="41"/>
      <c r="P199" s="13"/>
      <c r="Q199" s="33">
        <v>4669.8</v>
      </c>
      <c r="R199" s="41"/>
      <c r="S199" s="85">
        <f t="shared" si="35"/>
        <v>388.80999999999949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33"/>
        <v>ServiceSalaires autres</v>
      </c>
      <c r="B200" s="11" t="s">
        <v>78</v>
      </c>
      <c r="C200" s="102" t="s">
        <v>42</v>
      </c>
      <c r="D200" s="104"/>
      <c r="E200" s="105"/>
      <c r="F200" s="30">
        <v>8647.2290076335885</v>
      </c>
      <c r="G200" s="106"/>
      <c r="H200" s="105"/>
      <c r="I200" s="30"/>
      <c r="J200" s="107"/>
      <c r="K200" s="105"/>
      <c r="L200" s="108">
        <v>9581.2000000000007</v>
      </c>
      <c r="M200" s="107"/>
      <c r="N200" s="109">
        <f t="shared" si="34"/>
        <v>933.97099236641225</v>
      </c>
      <c r="O200" s="107"/>
      <c r="P200" s="105"/>
      <c r="Q200" s="108">
        <v>4218.22</v>
      </c>
      <c r="R200" s="107"/>
      <c r="S200" s="110">
        <f t="shared" si="35"/>
        <v>5362.9800000000005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33"/>
        <v>ServiceSalaires spécialistes</v>
      </c>
      <c r="B201" s="11" t="s">
        <v>78</v>
      </c>
      <c r="C201" s="102" t="s">
        <v>43</v>
      </c>
      <c r="D201" s="81"/>
      <c r="E201" s="13"/>
      <c r="F201" s="30">
        <v>13843.692830312786</v>
      </c>
      <c r="G201" s="83"/>
      <c r="H201" s="13"/>
      <c r="I201" s="30"/>
      <c r="J201" s="41"/>
      <c r="K201" s="13"/>
      <c r="L201" s="33">
        <v>15814.28</v>
      </c>
      <c r="M201" s="41"/>
      <c r="N201" s="59">
        <f t="shared" si="34"/>
        <v>1970.5871696872146</v>
      </c>
      <c r="O201" s="41"/>
      <c r="P201" s="13"/>
      <c r="Q201" s="33">
        <v>11193.92</v>
      </c>
      <c r="R201" s="41"/>
      <c r="S201" s="85">
        <f t="shared" si="35"/>
        <v>4620.3600000000006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33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34"/>
        <v>0</v>
      </c>
      <c r="O202" s="41"/>
      <c r="P202" s="13"/>
      <c r="Q202" s="33">
        <v>0</v>
      </c>
      <c r="R202" s="41"/>
      <c r="S202" s="85">
        <f t="shared" si="35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33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34"/>
        <v>0</v>
      </c>
      <c r="O203" s="41"/>
      <c r="P203" s="13"/>
      <c r="Q203" s="33">
        <v>0</v>
      </c>
      <c r="R203" s="41"/>
      <c r="S203" s="85">
        <f t="shared" si="35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33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34"/>
        <v>0</v>
      </c>
      <c r="O204" s="41"/>
      <c r="P204" s="13"/>
      <c r="Q204" s="33">
        <v>0</v>
      </c>
      <c r="R204" s="41"/>
      <c r="S204" s="85">
        <f t="shared" si="35"/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33"/>
        <v>ServiceSalaires en absences</v>
      </c>
      <c r="B205" s="11" t="s">
        <v>78</v>
      </c>
      <c r="C205" s="103" t="s">
        <v>44</v>
      </c>
      <c r="D205" s="81"/>
      <c r="E205" s="13"/>
      <c r="F205" s="30">
        <v>8464.6679697891086</v>
      </c>
      <c r="G205" s="83"/>
      <c r="H205" s="13"/>
      <c r="I205" s="30"/>
      <c r="J205" s="41"/>
      <c r="K205" s="13"/>
      <c r="L205" s="33">
        <v>8709.2900000000009</v>
      </c>
      <c r="M205" s="41"/>
      <c r="N205" s="59">
        <f t="shared" si="34"/>
        <v>244.62203021089226</v>
      </c>
      <c r="O205" s="41"/>
      <c r="P205" s="13"/>
      <c r="Q205" s="33">
        <v>7766.5</v>
      </c>
      <c r="R205" s="41"/>
      <c r="S205" s="85">
        <f t="shared" si="35"/>
        <v>942.79000000000087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33"/>
        <v>ServiceDéduction à la source</v>
      </c>
      <c r="B206" s="11" t="s">
        <v>78</v>
      </c>
      <c r="C206" s="102" t="s">
        <v>45</v>
      </c>
      <c r="D206" s="104"/>
      <c r="E206" s="105"/>
      <c r="F206" s="55">
        <v>10813.465254968518</v>
      </c>
      <c r="G206" s="106"/>
      <c r="H206" s="105"/>
      <c r="I206" s="55"/>
      <c r="J206" s="107"/>
      <c r="K206" s="105"/>
      <c r="L206" s="108">
        <v>12168.59</v>
      </c>
      <c r="M206" s="107"/>
      <c r="N206" s="109">
        <f t="shared" si="34"/>
        <v>1355.1247450314822</v>
      </c>
      <c r="O206" s="107"/>
      <c r="P206" s="105"/>
      <c r="Q206" s="108">
        <v>9923.07</v>
      </c>
      <c r="R206" s="107"/>
      <c r="S206" s="110">
        <f t="shared" si="35"/>
        <v>2245.5200000000004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33"/>
        <v>ServiceBénéfices marginaux</v>
      </c>
      <c r="B207" s="11" t="s">
        <v>78</v>
      </c>
      <c r="C207" s="102" t="s">
        <v>46</v>
      </c>
      <c r="D207" s="81"/>
      <c r="E207" s="13"/>
      <c r="F207" s="30">
        <v>5089.5355342409703</v>
      </c>
      <c r="G207" s="83"/>
      <c r="H207" s="13"/>
      <c r="I207" s="30"/>
      <c r="J207" s="41"/>
      <c r="K207" s="13"/>
      <c r="L207" s="33">
        <v>4869.6099999999997</v>
      </c>
      <c r="M207" s="41"/>
      <c r="N207" s="59">
        <f t="shared" si="34"/>
        <v>-219.92553424097059</v>
      </c>
      <c r="O207" s="41"/>
      <c r="P207" s="13"/>
      <c r="Q207" s="33">
        <v>4965.75</v>
      </c>
      <c r="R207" s="41"/>
      <c r="S207" s="85">
        <f t="shared" si="35"/>
        <v>-96.140000000000327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33"/>
        <v>ServiceCsst</v>
      </c>
      <c r="B208" s="11" t="s">
        <v>78</v>
      </c>
      <c r="C208" s="102" t="s">
        <v>47</v>
      </c>
      <c r="D208" s="81"/>
      <c r="E208" s="13"/>
      <c r="F208" s="30">
        <v>1149.2499593447353</v>
      </c>
      <c r="G208" s="83"/>
      <c r="H208" s="13"/>
      <c r="I208" s="30"/>
      <c r="J208" s="41"/>
      <c r="K208" s="13"/>
      <c r="L208" s="33">
        <v>1646.95</v>
      </c>
      <c r="M208" s="467"/>
      <c r="N208" s="146">
        <f t="shared" si="34"/>
        <v>497.70004065526473</v>
      </c>
      <c r="O208" s="467"/>
      <c r="P208" s="468"/>
      <c r="Q208" s="22">
        <v>1176.49</v>
      </c>
      <c r="R208" s="467"/>
      <c r="S208" s="469">
        <f t="shared" si="35"/>
        <v>470.46000000000004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33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34"/>
        <v>0</v>
      </c>
      <c r="O209" s="23"/>
      <c r="P209" s="111"/>
      <c r="Q209" s="33">
        <v>0</v>
      </c>
      <c r="R209" s="23"/>
      <c r="S209" s="92">
        <f t="shared" si="35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33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0.53156817554084856</v>
      </c>
      <c r="F210" s="96">
        <f>+SUM(F198:F209)</f>
        <v>63060.04653593347</v>
      </c>
      <c r="G210" s="97"/>
      <c r="H210" s="95"/>
      <c r="I210" s="96"/>
      <c r="J210" s="97" t="s">
        <v>92</v>
      </c>
      <c r="K210" s="95">
        <f>L210/L$194</f>
        <v>0.55152347890686815</v>
      </c>
      <c r="L210" s="96">
        <f>+SUM(L198:L209)</f>
        <v>70854.100000000006</v>
      </c>
      <c r="M210" s="147"/>
      <c r="N210" s="113">
        <f t="shared" si="34"/>
        <v>7794.0534640665355</v>
      </c>
      <c r="O210" s="97" t="s">
        <v>92</v>
      </c>
      <c r="P210" s="95">
        <f>Q210/Q$194</f>
        <v>0.48992055362346237</v>
      </c>
      <c r="Q210" s="96">
        <f>+SUM(Q198:Q209)</f>
        <v>51711.33</v>
      </c>
      <c r="R210" s="147"/>
      <c r="S210" s="114">
        <f t="shared" si="35"/>
        <v>19142.770000000004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33"/>
        <v>ServicePublicité 2</v>
      </c>
      <c r="B211" s="11" t="s">
        <v>78</v>
      </c>
      <c r="C211" s="29" t="s">
        <v>49</v>
      </c>
      <c r="D211" s="81"/>
      <c r="E211" s="13"/>
      <c r="F211" s="30">
        <v>5898.6470405301643</v>
      </c>
      <c r="G211" s="83"/>
      <c r="H211" s="13"/>
      <c r="I211" s="30"/>
      <c r="J211" s="41"/>
      <c r="K211" s="13"/>
      <c r="L211" s="33">
        <v>4720.4399999999996</v>
      </c>
      <c r="M211" s="41"/>
      <c r="N211" s="59">
        <f t="shared" si="34"/>
        <v>-1178.2070405301647</v>
      </c>
      <c r="O211" s="41"/>
      <c r="P211" s="13"/>
      <c r="Q211" s="33">
        <v>8122.57</v>
      </c>
      <c r="R211" s="41"/>
      <c r="S211" s="85">
        <f t="shared" si="35"/>
        <v>-3402.13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33"/>
        <v>ServiceService gratuit 2</v>
      </c>
      <c r="B212" s="11" t="s">
        <v>78</v>
      </c>
      <c r="C212" s="29" t="s">
        <v>50</v>
      </c>
      <c r="D212" s="81"/>
      <c r="E212" s="13"/>
      <c r="F212" s="30">
        <v>3700</v>
      </c>
      <c r="G212" s="83"/>
      <c r="H212" s="13"/>
      <c r="I212" s="30"/>
      <c r="J212" s="41"/>
      <c r="K212" s="13"/>
      <c r="L212" s="33">
        <v>4386.93</v>
      </c>
      <c r="M212" s="41"/>
      <c r="N212" s="59">
        <f t="shared" si="34"/>
        <v>686.93000000000029</v>
      </c>
      <c r="O212" s="41"/>
      <c r="P212" s="13"/>
      <c r="Q212" s="33">
        <v>4270.66</v>
      </c>
      <c r="R212" s="41"/>
      <c r="S212" s="85">
        <f t="shared" si="35"/>
        <v>116.27000000000044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33"/>
        <v>ServiceFrais véhicules de cie</v>
      </c>
      <c r="B213" s="11" t="s">
        <v>78</v>
      </c>
      <c r="C213" s="86" t="s">
        <v>51</v>
      </c>
      <c r="D213" s="87"/>
      <c r="E213" s="111"/>
      <c r="F213" s="22">
        <v>4822.7083333333339</v>
      </c>
      <c r="G213" s="89"/>
      <c r="H213" s="111"/>
      <c r="I213" s="22"/>
      <c r="J213" s="23"/>
      <c r="K213" s="111"/>
      <c r="L213" s="33">
        <v>5749.3600000000006</v>
      </c>
      <c r="M213" s="23"/>
      <c r="N213" s="91">
        <f t="shared" si="34"/>
        <v>926.65166666666664</v>
      </c>
      <c r="O213" s="23"/>
      <c r="P213" s="111"/>
      <c r="Q213" s="33">
        <v>7649.2699999999904</v>
      </c>
      <c r="R213" s="23"/>
      <c r="S213" s="92">
        <f t="shared" si="35"/>
        <v>-1899.9099999999899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33"/>
        <v>ServiceInformatique</v>
      </c>
      <c r="B214" s="11" t="s">
        <v>78</v>
      </c>
      <c r="C214" s="29" t="s">
        <v>52</v>
      </c>
      <c r="D214" s="81"/>
      <c r="E214" s="13"/>
      <c r="F214" s="30">
        <v>5527.0249999999996</v>
      </c>
      <c r="G214" s="83"/>
      <c r="H214" s="13"/>
      <c r="I214" s="30"/>
      <c r="J214" s="41"/>
      <c r="K214" s="13"/>
      <c r="L214" s="108">
        <v>6363.22</v>
      </c>
      <c r="M214" s="41"/>
      <c r="N214" s="59">
        <f t="shared" si="34"/>
        <v>836.19500000000062</v>
      </c>
      <c r="O214" s="41"/>
      <c r="P214" s="13"/>
      <c r="Q214" s="108">
        <v>6078.42</v>
      </c>
      <c r="R214" s="41"/>
      <c r="S214" s="85">
        <f t="shared" si="35"/>
        <v>284.80000000000018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33"/>
        <v>ServiceFrais de déplacement</v>
      </c>
      <c r="B215" s="11" t="s">
        <v>78</v>
      </c>
      <c r="C215" s="29" t="s">
        <v>53</v>
      </c>
      <c r="D215" s="81"/>
      <c r="E215" s="13"/>
      <c r="F215" s="30">
        <v>411.3</v>
      </c>
      <c r="G215" s="83"/>
      <c r="H215" s="13"/>
      <c r="I215" s="30"/>
      <c r="J215" s="41"/>
      <c r="K215" s="13"/>
      <c r="L215" s="33">
        <v>555.9</v>
      </c>
      <c r="M215" s="41"/>
      <c r="N215" s="59">
        <f t="shared" si="34"/>
        <v>144.59999999999997</v>
      </c>
      <c r="O215" s="41"/>
      <c r="P215" s="13"/>
      <c r="Q215" s="33">
        <v>437.6</v>
      </c>
      <c r="R215" s="41"/>
      <c r="S215" s="85">
        <f t="shared" si="35"/>
        <v>118.29999999999995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33"/>
        <v>ServiceServices extérieurs</v>
      </c>
      <c r="B216" s="11" t="s">
        <v>78</v>
      </c>
      <c r="C216" s="86" t="s">
        <v>54</v>
      </c>
      <c r="D216" s="87"/>
      <c r="E216" s="111"/>
      <c r="F216" s="22">
        <v>5452.2250000000004</v>
      </c>
      <c r="G216" s="89"/>
      <c r="H216" s="111"/>
      <c r="I216" s="22"/>
      <c r="J216" s="23"/>
      <c r="K216" s="111"/>
      <c r="L216" s="33">
        <v>8677.14</v>
      </c>
      <c r="M216" s="23"/>
      <c r="N216" s="91">
        <f t="shared" si="34"/>
        <v>3224.9149999999991</v>
      </c>
      <c r="O216" s="23"/>
      <c r="P216" s="111"/>
      <c r="Q216" s="33">
        <v>5785.99</v>
      </c>
      <c r="R216" s="23"/>
      <c r="S216" s="92">
        <f t="shared" si="35"/>
        <v>2891.1499999999996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ref="A217:A228" si="36"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108">
        <v>0</v>
      </c>
      <c r="M217" s="41"/>
      <c r="N217" s="59">
        <f t="shared" si="34"/>
        <v>0</v>
      </c>
      <c r="O217" s="41"/>
      <c r="P217" s="13"/>
      <c r="Q217" s="108">
        <v>0</v>
      </c>
      <c r="R217" s="41"/>
      <c r="S217" s="85">
        <f t="shared" si="35"/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si="36"/>
        <v>ServiceFournitures autres</v>
      </c>
      <c r="B218" s="11" t="s">
        <v>78</v>
      </c>
      <c r="C218" s="29" t="s">
        <v>55</v>
      </c>
      <c r="D218" s="81"/>
      <c r="E218" s="13"/>
      <c r="F218" s="30">
        <v>1231.3253012048192</v>
      </c>
      <c r="G218" s="83"/>
      <c r="H218" s="13"/>
      <c r="I218" s="30"/>
      <c r="J218" s="41"/>
      <c r="K218" s="13"/>
      <c r="L218" s="33">
        <v>2212.33</v>
      </c>
      <c r="M218" s="41"/>
      <c r="N218" s="59">
        <f t="shared" si="34"/>
        <v>981.00469879518073</v>
      </c>
      <c r="O218" s="41"/>
      <c r="P218" s="13"/>
      <c r="Q218" s="33">
        <v>2725.29</v>
      </c>
      <c r="R218" s="41"/>
      <c r="S218" s="85">
        <f t="shared" si="35"/>
        <v>-512.96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36"/>
        <v>ServiceUniformes</v>
      </c>
      <c r="B219" s="11" t="s">
        <v>78</v>
      </c>
      <c r="C219" s="29" t="s">
        <v>56</v>
      </c>
      <c r="D219" s="81"/>
      <c r="E219" s="13"/>
      <c r="F219" s="30">
        <v>950</v>
      </c>
      <c r="G219" s="83"/>
      <c r="H219" s="13"/>
      <c r="I219" s="30"/>
      <c r="J219" s="41"/>
      <c r="K219" s="13"/>
      <c r="L219" s="33">
        <v>739.84</v>
      </c>
      <c r="M219" s="41"/>
      <c r="N219" s="59">
        <f t="shared" si="34"/>
        <v>-210.15999999999997</v>
      </c>
      <c r="O219" s="41"/>
      <c r="P219" s="13"/>
      <c r="Q219" s="33">
        <v>612.80999999999995</v>
      </c>
      <c r="R219" s="41"/>
      <c r="S219" s="85">
        <f t="shared" si="35"/>
        <v>127.03000000000009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36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428.36</v>
      </c>
      <c r="M220" s="41"/>
      <c r="N220" s="59">
        <f t="shared" si="34"/>
        <v>34.610000000000014</v>
      </c>
      <c r="O220" s="41"/>
      <c r="P220" s="13"/>
      <c r="Q220" s="32">
        <v>429.41</v>
      </c>
      <c r="R220" s="41"/>
      <c r="S220" s="85">
        <f t="shared" si="35"/>
        <v>-1.0500000000000114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36"/>
        <v>ServiceTéléphone</v>
      </c>
      <c r="B221" s="11" t="s">
        <v>78</v>
      </c>
      <c r="C221" s="29" t="s">
        <v>58</v>
      </c>
      <c r="D221" s="81"/>
      <c r="E221" s="13"/>
      <c r="F221" s="30">
        <v>111.2</v>
      </c>
      <c r="G221" s="83"/>
      <c r="H221" s="13"/>
      <c r="I221" s="30"/>
      <c r="J221" s="41"/>
      <c r="K221" s="13"/>
      <c r="L221" s="33">
        <v>73.459999999999994</v>
      </c>
      <c r="M221" s="41"/>
      <c r="N221" s="59">
        <f t="shared" si="34"/>
        <v>-37.740000000000009</v>
      </c>
      <c r="O221" s="41"/>
      <c r="P221" s="13"/>
      <c r="Q221" s="33">
        <v>99.41</v>
      </c>
      <c r="R221" s="41"/>
      <c r="S221" s="85">
        <f t="shared" si="35"/>
        <v>-25.950000000000003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36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280.58</v>
      </c>
      <c r="M222" s="41"/>
      <c r="N222" s="59">
        <f t="shared" si="34"/>
        <v>168.07999999999998</v>
      </c>
      <c r="O222" s="41"/>
      <c r="P222" s="13"/>
      <c r="Q222" s="33">
        <v>178.92</v>
      </c>
      <c r="R222" s="41"/>
      <c r="S222" s="85">
        <f t="shared" si="35"/>
        <v>101.66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36"/>
        <v>ServiceDivers</v>
      </c>
      <c r="B223" s="11" t="s">
        <v>78</v>
      </c>
      <c r="C223" s="29" t="s">
        <v>60</v>
      </c>
      <c r="D223" s="81"/>
      <c r="E223" s="13"/>
      <c r="F223" s="30">
        <v>418.05</v>
      </c>
      <c r="G223" s="83"/>
      <c r="H223" s="13"/>
      <c r="I223" s="30"/>
      <c r="J223" s="41"/>
      <c r="K223" s="13"/>
      <c r="L223" s="33">
        <v>325.36</v>
      </c>
      <c r="M223" s="41"/>
      <c r="N223" s="59">
        <f t="shared" si="34"/>
        <v>-92.69</v>
      </c>
      <c r="O223" s="41"/>
      <c r="P223" s="13"/>
      <c r="Q223" s="33">
        <v>464.3</v>
      </c>
      <c r="R223" s="41"/>
      <c r="S223" s="85">
        <f t="shared" si="35"/>
        <v>-138.94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36"/>
        <v>ServiceFormation</v>
      </c>
      <c r="B224" s="11" t="s">
        <v>78</v>
      </c>
      <c r="C224" s="29" t="s">
        <v>61</v>
      </c>
      <c r="D224" s="81"/>
      <c r="E224" s="13"/>
      <c r="F224" s="30">
        <v>1728.5819066666668</v>
      </c>
      <c r="G224" s="83"/>
      <c r="H224" s="13"/>
      <c r="I224" s="30"/>
      <c r="J224" s="41"/>
      <c r="K224" s="13"/>
      <c r="L224" s="33">
        <v>2267.9299999999998</v>
      </c>
      <c r="M224" s="41"/>
      <c r="N224" s="59">
        <f t="shared" si="34"/>
        <v>539.34809333333305</v>
      </c>
      <c r="O224" s="41"/>
      <c r="P224" s="13"/>
      <c r="Q224" s="33">
        <v>2807.61</v>
      </c>
      <c r="R224" s="41"/>
      <c r="S224" s="85">
        <f t="shared" si="35"/>
        <v>-539.68000000000029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36"/>
        <v>ServiceFrais bancaires</v>
      </c>
      <c r="B225" s="11" t="s">
        <v>78</v>
      </c>
      <c r="C225" s="29" t="s">
        <v>62</v>
      </c>
      <c r="D225" s="81"/>
      <c r="E225" s="13"/>
      <c r="F225" s="30">
        <v>1180.4057128605114</v>
      </c>
      <c r="G225" s="83"/>
      <c r="H225" s="13"/>
      <c r="I225" s="30"/>
      <c r="J225" s="41"/>
      <c r="K225" s="13"/>
      <c r="L225" s="33">
        <v>1974.28</v>
      </c>
      <c r="M225" s="41"/>
      <c r="N225" s="59">
        <f t="shared" si="34"/>
        <v>793.87428713948862</v>
      </c>
      <c r="O225" s="41"/>
      <c r="P225" s="13"/>
      <c r="Q225" s="33">
        <v>1532.78</v>
      </c>
      <c r="R225" s="41"/>
      <c r="S225" s="85">
        <f t="shared" si="35"/>
        <v>441.5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36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34"/>
        <v>0</v>
      </c>
      <c r="O226" s="41"/>
      <c r="P226" s="13"/>
      <c r="Q226" s="33">
        <v>0</v>
      </c>
      <c r="R226" s="41"/>
      <c r="S226" s="85">
        <f t="shared" si="35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 t="shared" si="36"/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34"/>
        <v>0</v>
      </c>
      <c r="O227" s="41"/>
      <c r="P227" s="13"/>
      <c r="Q227" s="33">
        <v>0</v>
      </c>
      <c r="R227" s="41"/>
      <c r="S227" s="85">
        <f t="shared" si="35"/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si="36"/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34"/>
        <v>0</v>
      </c>
      <c r="O228" s="41"/>
      <c r="P228" s="13"/>
      <c r="Q228" s="33">
        <v>0</v>
      </c>
      <c r="R228" s="41"/>
      <c r="S228" s="85">
        <f t="shared" si="35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0.2692207757113162</v>
      </c>
      <c r="F229" s="96">
        <f>+SUM(F211:F228)</f>
        <v>31937.718294595496</v>
      </c>
      <c r="G229" s="97"/>
      <c r="H229" s="95"/>
      <c r="I229" s="96"/>
      <c r="J229" s="97" t="s">
        <v>92</v>
      </c>
      <c r="K229" s="95">
        <f>L229/L$194</f>
        <v>0.30166728704602741</v>
      </c>
      <c r="L229" s="96">
        <f>+SUM(L211:L228)</f>
        <v>38755.129999999997</v>
      </c>
      <c r="M229" s="100"/>
      <c r="N229" s="96">
        <f t="shared" si="34"/>
        <v>6817.4117054045018</v>
      </c>
      <c r="O229" s="97" t="s">
        <v>92</v>
      </c>
      <c r="P229" s="95">
        <f>Q229/Q$194</f>
        <v>0.39028771457513611</v>
      </c>
      <c r="Q229" s="96">
        <f>+SUM(Q211:Q228)</f>
        <v>41195.039999999994</v>
      </c>
      <c r="R229" s="100"/>
      <c r="S229" s="101">
        <f t="shared" si="35"/>
        <v>-2439.9099999999962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0.80078895125216476</v>
      </c>
      <c r="F231" s="96">
        <f>F210+F229</f>
        <v>94997.764830528962</v>
      </c>
      <c r="G231" s="97"/>
      <c r="H231" s="95"/>
      <c r="I231" s="96"/>
      <c r="J231" s="97" t="s">
        <v>38</v>
      </c>
      <c r="K231" s="95">
        <f>L231/L$194</f>
        <v>0.85319076595289567</v>
      </c>
      <c r="L231" s="96">
        <f>L210+L229</f>
        <v>109609.23000000001</v>
      </c>
      <c r="M231" s="100"/>
      <c r="N231" s="113">
        <f>L231-F231</f>
        <v>14611.465169471048</v>
      </c>
      <c r="O231" s="97" t="s">
        <v>38</v>
      </c>
      <c r="P231" s="95">
        <f>Q231/Q$194</f>
        <v>0.88020826819859854</v>
      </c>
      <c r="Q231" s="96">
        <f>Q210+Q229</f>
        <v>92906.37</v>
      </c>
      <c r="R231" s="100"/>
      <c r="S231" s="114">
        <f>L231-Q231</f>
        <v>16702.860000000015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23632.449387567322</v>
      </c>
      <c r="G233" s="153"/>
      <c r="H233" s="125"/>
      <c r="I233" s="127"/>
      <c r="J233" s="154"/>
      <c r="K233" s="126"/>
      <c r="L233" s="127">
        <f>L194-L231</f>
        <v>18860.550000000003</v>
      </c>
      <c r="M233" s="154"/>
      <c r="N233" s="127">
        <f>L233-F233</f>
        <v>-4771.8993875673186</v>
      </c>
      <c r="O233" s="154"/>
      <c r="P233" s="126"/>
      <c r="Q233" s="127">
        <f>Q194-Q231</f>
        <v>12644.069999999905</v>
      </c>
      <c r="R233" s="154"/>
      <c r="S233" s="129">
        <f>L233-Q233</f>
        <v>6216.4800000000978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Octobre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96" t="s">
        <v>5</v>
      </c>
      <c r="E238" s="497"/>
      <c r="F238" s="498"/>
      <c r="G238" s="499"/>
      <c r="H238" s="497"/>
      <c r="I238" s="498"/>
      <c r="J238" s="499" t="s">
        <v>7</v>
      </c>
      <c r="K238" s="497"/>
      <c r="L238" s="498"/>
      <c r="M238" s="499" t="s">
        <v>213</v>
      </c>
      <c r="N238" s="498"/>
      <c r="O238" s="496" t="s">
        <v>8</v>
      </c>
      <c r="P238" s="497"/>
      <c r="Q238" s="498"/>
      <c r="R238" s="494" t="s">
        <v>214</v>
      </c>
      <c r="S238" s="495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37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37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37"/>
        <v>CarrosserieM/O Sous-traitement</v>
      </c>
      <c r="B241" s="11" t="s">
        <v>94</v>
      </c>
      <c r="C241" s="29" t="s">
        <v>95</v>
      </c>
      <c r="D241" s="80">
        <v>0</v>
      </c>
      <c r="E241" s="82">
        <v>2531.0485439636054</v>
      </c>
      <c r="F241" s="82">
        <v>455.58873791344899</v>
      </c>
      <c r="G241" s="156"/>
      <c r="H241" s="82"/>
      <c r="I241" s="82"/>
      <c r="J241" s="60">
        <v>12</v>
      </c>
      <c r="K241" s="30">
        <v>6515.27</v>
      </c>
      <c r="L241" s="33">
        <v>688.94000000000051</v>
      </c>
      <c r="M241" s="157">
        <f>IFERROR((K241-E241)/E241,0)</f>
        <v>1.5741386966040289</v>
      </c>
      <c r="N241" s="59">
        <f>L241-F241</f>
        <v>233.35126208655151</v>
      </c>
      <c r="O241" s="60">
        <v>5</v>
      </c>
      <c r="P241" s="30">
        <v>2287.4699999999998</v>
      </c>
      <c r="Q241" s="33">
        <v>141.88999999999899</v>
      </c>
      <c r="R241" s="157">
        <f>IF(O241=0,0,J241/O241)</f>
        <v>2.4</v>
      </c>
      <c r="S241" s="85">
        <f>L241-Q241</f>
        <v>547.05000000000155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37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/>
      <c r="J242" s="60"/>
      <c r="K242" s="13"/>
      <c r="L242" s="158">
        <f>IFERROR(L241/K241,0)</f>
        <v>0.10574235603436243</v>
      </c>
      <c r="M242" s="157"/>
      <c r="N242" s="470">
        <f>IFERROR(N241/M241,0)</f>
        <v>148.24059823316225</v>
      </c>
      <c r="O242" s="60"/>
      <c r="P242" s="13"/>
      <c r="Q242" s="158">
        <f>IFERROR(Q241/P241,0)</f>
        <v>6.202922879862862E-2</v>
      </c>
      <c r="R242" s="60"/>
      <c r="S242" s="85">
        <f>IFERROR(S241/R241,0)</f>
        <v>227.93750000000065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37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37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37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37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37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37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37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37"/>
        <v>CarrosserieTotal Mécanique</v>
      </c>
      <c r="B250" s="11" t="s">
        <v>94</v>
      </c>
      <c r="C250" s="62" t="s">
        <v>91</v>
      </c>
      <c r="D250" s="63"/>
      <c r="E250" s="63">
        <f>E244+E247+E241</f>
        <v>2531.0485439636054</v>
      </c>
      <c r="F250" s="65">
        <f>F244+F247+F241</f>
        <v>455.58873791344899</v>
      </c>
      <c r="G250" s="66"/>
      <c r="H250" s="63"/>
      <c r="I250" s="65"/>
      <c r="J250" s="66"/>
      <c r="K250" s="63">
        <f>K244+K247+K241</f>
        <v>6515.27</v>
      </c>
      <c r="L250" s="65">
        <f>L244+L247+L241</f>
        <v>688.94000000000051</v>
      </c>
      <c r="M250" s="206">
        <f>L251-F251</f>
        <v>-7.4257643965637568E-2</v>
      </c>
      <c r="N250" s="65">
        <f>L250-F250</f>
        <v>233.35126208655151</v>
      </c>
      <c r="O250" s="66"/>
      <c r="P250" s="63">
        <f>P244+P247+P241</f>
        <v>2287.4699999999998</v>
      </c>
      <c r="Q250" s="65">
        <f>Q244+Q247+Q241</f>
        <v>141.88999999999899</v>
      </c>
      <c r="R250" s="206">
        <f>L251-Q251</f>
        <v>4.3713127235733805E-2</v>
      </c>
      <c r="S250" s="68">
        <f>L250-Q250</f>
        <v>547.05000000000155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37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/>
      <c r="J251" s="72"/>
      <c r="K251" s="70"/>
      <c r="L251" s="74">
        <f>IF(K250=0,0,L250/K250)</f>
        <v>0.10574235603436243</v>
      </c>
      <c r="M251" s="73"/>
      <c r="N251" s="74">
        <f>N250/F250</f>
        <v>0.51219716965629358</v>
      </c>
      <c r="O251" s="72"/>
      <c r="P251" s="70"/>
      <c r="Q251" s="74">
        <f>Q250/P250</f>
        <v>6.202922879862862E-2</v>
      </c>
      <c r="R251" s="73"/>
      <c r="S251" s="75">
        <f>IF(R250=0,0,S250/R250)</f>
        <v>12514.547336087388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37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37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37"/>
        <v>CarrosserieSalaires cadres</v>
      </c>
      <c r="B254" s="11" t="s">
        <v>94</v>
      </c>
      <c r="C254" s="102" t="s">
        <v>40</v>
      </c>
      <c r="D254" s="13"/>
      <c r="E254" s="13"/>
      <c r="F254" s="30">
        <v>304.27500000000003</v>
      </c>
      <c r="G254" s="41"/>
      <c r="H254" s="13"/>
      <c r="I254" s="30"/>
      <c r="J254" s="41"/>
      <c r="K254" s="13"/>
      <c r="L254" s="33">
        <v>304.27</v>
      </c>
      <c r="M254" s="41"/>
      <c r="N254" s="59">
        <f t="shared" ref="N254:N284" si="38">L254-F254</f>
        <v>-5.0000000000522959E-3</v>
      </c>
      <c r="O254" s="41"/>
      <c r="P254" s="13"/>
      <c r="Q254" s="33">
        <v>304.27</v>
      </c>
      <c r="R254" s="41"/>
      <c r="S254" s="85">
        <f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37"/>
        <v>CarrosserieSalaires commis</v>
      </c>
      <c r="B255" s="11" t="s">
        <v>94</v>
      </c>
      <c r="C255" s="103" t="s">
        <v>41</v>
      </c>
      <c r="D255" s="81"/>
      <c r="E255" s="13"/>
      <c r="F255" s="22">
        <v>356.44713740458019</v>
      </c>
      <c r="G255" s="83"/>
      <c r="H255" s="13"/>
      <c r="I255" s="22"/>
      <c r="J255" s="41"/>
      <c r="K255" s="13"/>
      <c r="L255" s="33">
        <v>378.45</v>
      </c>
      <c r="M255" s="41"/>
      <c r="N255" s="59">
        <f t="shared" si="38"/>
        <v>22.002862595419799</v>
      </c>
      <c r="O255" s="41"/>
      <c r="P255" s="13"/>
      <c r="Q255" s="33">
        <v>339.88</v>
      </c>
      <c r="R255" s="41"/>
      <c r="S255" s="85">
        <f>L255-Q255</f>
        <v>38.569999999999993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37"/>
        <v>CarrosserieSalaires autres</v>
      </c>
      <c r="B256" s="11" t="s">
        <v>94</v>
      </c>
      <c r="C256" s="102" t="s">
        <v>42</v>
      </c>
      <c r="D256" s="104"/>
      <c r="E256" s="105"/>
      <c r="F256" s="30">
        <v>19</v>
      </c>
      <c r="G256" s="106"/>
      <c r="H256" s="105"/>
      <c r="I256" s="30"/>
      <c r="J256" s="107"/>
      <c r="K256" s="105"/>
      <c r="L256" s="108">
        <v>19</v>
      </c>
      <c r="M256" s="107"/>
      <c r="N256" s="109">
        <f t="shared" si="38"/>
        <v>0</v>
      </c>
      <c r="O256" s="107"/>
      <c r="P256" s="105"/>
      <c r="Q256" s="108">
        <v>19</v>
      </c>
      <c r="R256" s="107"/>
      <c r="S256" s="110">
        <f t="shared" ref="S256:S272" si="39">L256-Q256</f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37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38"/>
        <v>0</v>
      </c>
      <c r="O257" s="41"/>
      <c r="P257" s="13"/>
      <c r="Q257" s="33">
        <v>0</v>
      </c>
      <c r="R257" s="41"/>
      <c r="S257" s="85">
        <f t="shared" si="39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37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38"/>
        <v>0</v>
      </c>
      <c r="O258" s="41"/>
      <c r="P258" s="13"/>
      <c r="Q258" s="33">
        <v>0</v>
      </c>
      <c r="R258" s="41"/>
      <c r="S258" s="85">
        <f t="shared" si="39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37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38"/>
        <v>0</v>
      </c>
      <c r="O259" s="41"/>
      <c r="P259" s="13"/>
      <c r="Q259" s="33">
        <v>0</v>
      </c>
      <c r="R259" s="41"/>
      <c r="S259" s="85">
        <f t="shared" si="39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37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38"/>
        <v>0</v>
      </c>
      <c r="O260" s="41"/>
      <c r="P260" s="13"/>
      <c r="Q260" s="33">
        <v>0</v>
      </c>
      <c r="R260" s="41"/>
      <c r="S260" s="85">
        <f t="shared" si="39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37"/>
        <v>CarrosserieSalaires en absences</v>
      </c>
      <c r="B261" s="11" t="s">
        <v>94</v>
      </c>
      <c r="C261" s="103" t="s">
        <v>44</v>
      </c>
      <c r="D261" s="81"/>
      <c r="E261" s="13"/>
      <c r="F261" s="22">
        <v>110.24667767603741</v>
      </c>
      <c r="G261" s="83"/>
      <c r="H261" s="13"/>
      <c r="I261" s="22"/>
      <c r="J261" s="41"/>
      <c r="K261" s="13"/>
      <c r="L261" s="33">
        <v>51.12</v>
      </c>
      <c r="M261" s="41"/>
      <c r="N261" s="59">
        <f t="shared" si="38"/>
        <v>-59.12667767603741</v>
      </c>
      <c r="O261" s="41"/>
      <c r="P261" s="13"/>
      <c r="Q261" s="33">
        <v>48.45</v>
      </c>
      <c r="R261" s="41"/>
      <c r="S261" s="85">
        <f t="shared" si="39"/>
        <v>2.6699999999999946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37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140.8382021339043</v>
      </c>
      <c r="G262" s="106"/>
      <c r="H262" s="105"/>
      <c r="I262" s="30"/>
      <c r="J262" s="107"/>
      <c r="K262" s="105"/>
      <c r="L262" s="108">
        <v>219.11</v>
      </c>
      <c r="M262" s="107"/>
      <c r="N262" s="109">
        <f t="shared" si="38"/>
        <v>78.27179786609571</v>
      </c>
      <c r="O262" s="107"/>
      <c r="P262" s="105"/>
      <c r="Q262" s="108">
        <v>215.97</v>
      </c>
      <c r="R262" s="107"/>
      <c r="S262" s="110">
        <f t="shared" si="39"/>
        <v>3.1400000000000148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37"/>
        <v>CarrosserieBénéfices marginaux</v>
      </c>
      <c r="B263" s="11" t="s">
        <v>94</v>
      </c>
      <c r="C263" s="102" t="s">
        <v>46</v>
      </c>
      <c r="D263" s="81"/>
      <c r="E263" s="13"/>
      <c r="F263" s="30">
        <v>66.287819624681944</v>
      </c>
      <c r="G263" s="83"/>
      <c r="H263" s="13"/>
      <c r="I263" s="30"/>
      <c r="J263" s="41"/>
      <c r="K263" s="13"/>
      <c r="L263" s="33">
        <v>48.07</v>
      </c>
      <c r="M263" s="41"/>
      <c r="N263" s="59">
        <f t="shared" si="38"/>
        <v>-18.217819624681944</v>
      </c>
      <c r="O263" s="41"/>
      <c r="P263" s="13"/>
      <c r="Q263" s="33">
        <v>41.71</v>
      </c>
      <c r="R263" s="41"/>
      <c r="S263" s="85">
        <f t="shared" si="39"/>
        <v>6.3599999999999994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37"/>
        <v>CarrosserieCsst</v>
      </c>
      <c r="B264" s="11" t="s">
        <v>94</v>
      </c>
      <c r="C264" s="102" t="s">
        <v>47</v>
      </c>
      <c r="D264" s="81"/>
      <c r="E264" s="13"/>
      <c r="F264" s="30">
        <v>14.968217334605599</v>
      </c>
      <c r="G264" s="83"/>
      <c r="H264" s="13"/>
      <c r="I264" s="30"/>
      <c r="J264" s="41"/>
      <c r="K264" s="13"/>
      <c r="L264" s="33">
        <v>4.8899999999999997</v>
      </c>
      <c r="M264" s="467"/>
      <c r="N264" s="146">
        <f t="shared" si="38"/>
        <v>-10.078217334605601</v>
      </c>
      <c r="O264" s="41"/>
      <c r="P264" s="13"/>
      <c r="Q264" s="33">
        <v>4.04</v>
      </c>
      <c r="R264" s="41"/>
      <c r="S264" s="85">
        <f t="shared" si="39"/>
        <v>0.84999999999999964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37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38"/>
        <v>0</v>
      </c>
      <c r="O265" s="23"/>
      <c r="P265" s="111"/>
      <c r="Q265" s="33">
        <v>0</v>
      </c>
      <c r="R265" s="23"/>
      <c r="S265" s="92">
        <f t="shared" si="39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37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1012.0630541738094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1024.9100000000001</v>
      </c>
      <c r="M266" s="147"/>
      <c r="N266" s="113">
        <f t="shared" si="38"/>
        <v>12.846945826190677</v>
      </c>
      <c r="O266" s="97" t="s">
        <v>38</v>
      </c>
      <c r="P266" s="95">
        <f>IF(Q244=0,0,Q266/Q$244)</f>
        <v>0</v>
      </c>
      <c r="Q266" s="96">
        <f>+SUM(Q254:Q265)</f>
        <v>973.32</v>
      </c>
      <c r="R266" s="147"/>
      <c r="S266" s="114">
        <f t="shared" si="39"/>
        <v>51.590000000000032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37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6.5</v>
      </c>
      <c r="M267" s="41"/>
      <c r="N267" s="59">
        <f t="shared" si="38"/>
        <v>6.5</v>
      </c>
      <c r="O267" s="41"/>
      <c r="P267" s="13"/>
      <c r="Q267" s="33">
        <v>7.7</v>
      </c>
      <c r="R267" s="41"/>
      <c r="S267" s="85">
        <f t="shared" si="39"/>
        <v>-1.2000000000000002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37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38"/>
        <v>0</v>
      </c>
      <c r="O268" s="41"/>
      <c r="P268" s="13"/>
      <c r="Q268" s="33">
        <v>0</v>
      </c>
      <c r="R268" s="41"/>
      <c r="S268" s="85">
        <f t="shared" si="39"/>
        <v>0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37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119.375</v>
      </c>
      <c r="G269" s="89"/>
      <c r="H269" s="111"/>
      <c r="I269" s="22"/>
      <c r="J269" s="23"/>
      <c r="K269" s="111"/>
      <c r="L269" s="33">
        <v>171.24</v>
      </c>
      <c r="M269" s="23"/>
      <c r="N269" s="91">
        <f t="shared" si="38"/>
        <v>51.865000000000009</v>
      </c>
      <c r="O269" s="23"/>
      <c r="P269" s="111"/>
      <c r="Q269" s="33">
        <v>125.95</v>
      </c>
      <c r="R269" s="23"/>
      <c r="S269" s="92">
        <f t="shared" si="39"/>
        <v>45.290000000000006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37"/>
        <v>CarrosserieInformatique</v>
      </c>
      <c r="B270" s="11" t="s">
        <v>94</v>
      </c>
      <c r="C270" s="102" t="s">
        <v>52</v>
      </c>
      <c r="D270" s="81"/>
      <c r="E270" s="13"/>
      <c r="F270" s="30">
        <v>239.22500000000002</v>
      </c>
      <c r="G270" s="83"/>
      <c r="H270" s="13"/>
      <c r="I270" s="30"/>
      <c r="J270" s="41"/>
      <c r="K270" s="13"/>
      <c r="L270" s="108">
        <v>234.31</v>
      </c>
      <c r="M270" s="41"/>
      <c r="N270" s="59">
        <f t="shared" si="38"/>
        <v>-4.9150000000000205</v>
      </c>
      <c r="O270" s="41"/>
      <c r="P270" s="13"/>
      <c r="Q270" s="108">
        <v>218.64</v>
      </c>
      <c r="R270" s="41"/>
      <c r="S270" s="85">
        <f t="shared" si="39"/>
        <v>15.670000000000016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37"/>
        <v>CarrosserieFrais de déplacement</v>
      </c>
      <c r="B271" s="11" t="s">
        <v>94</v>
      </c>
      <c r="C271" s="102" t="s">
        <v>53</v>
      </c>
      <c r="D271" s="81"/>
      <c r="E271" s="13"/>
      <c r="F271" s="30">
        <v>45.7</v>
      </c>
      <c r="G271" s="83"/>
      <c r="H271" s="13"/>
      <c r="I271" s="30"/>
      <c r="J271" s="41"/>
      <c r="K271" s="13"/>
      <c r="L271" s="33">
        <v>55.98</v>
      </c>
      <c r="M271" s="41"/>
      <c r="N271" s="59">
        <f t="shared" si="38"/>
        <v>10.279999999999994</v>
      </c>
      <c r="O271" s="41"/>
      <c r="P271" s="13"/>
      <c r="Q271" s="33">
        <v>13.42</v>
      </c>
      <c r="R271" s="41"/>
      <c r="S271" s="85">
        <f t="shared" si="39"/>
        <v>42.559999999999995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37"/>
        <v>CarrosserieServices extérieurs</v>
      </c>
      <c r="B272" s="11" t="s">
        <v>94</v>
      </c>
      <c r="C272" s="102" t="s">
        <v>54</v>
      </c>
      <c r="D272" s="87"/>
      <c r="E272" s="111"/>
      <c r="F272" s="22">
        <v>153.02500000000001</v>
      </c>
      <c r="G272" s="89"/>
      <c r="H272" s="111"/>
      <c r="I272" s="22"/>
      <c r="J272" s="23"/>
      <c r="K272" s="111"/>
      <c r="L272" s="33">
        <v>144.32</v>
      </c>
      <c r="M272" s="23"/>
      <c r="N272" s="91">
        <f t="shared" si="38"/>
        <v>-8.7050000000000125</v>
      </c>
      <c r="O272" s="23"/>
      <c r="P272" s="111"/>
      <c r="Q272" s="22">
        <v>109.18</v>
      </c>
      <c r="R272" s="23"/>
      <c r="S272" s="92">
        <f t="shared" si="39"/>
        <v>35.139999999999986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 t="shared" ref="A273:A284" si="40"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3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si="40"/>
        <v>CarrosserieFournitures autres</v>
      </c>
      <c r="B274" s="11" t="s">
        <v>94</v>
      </c>
      <c r="C274" s="102" t="s">
        <v>55</v>
      </c>
      <c r="D274" s="81"/>
      <c r="E274" s="13"/>
      <c r="F274" s="30">
        <v>2.5301204819277108</v>
      </c>
      <c r="G274" s="83"/>
      <c r="H274" s="13"/>
      <c r="I274" s="30"/>
      <c r="J274" s="41"/>
      <c r="K274" s="13"/>
      <c r="L274" s="33">
        <v>0.21</v>
      </c>
      <c r="M274" s="41"/>
      <c r="N274" s="59">
        <f t="shared" si="38"/>
        <v>-2.3201204819277108</v>
      </c>
      <c r="O274" s="41"/>
      <c r="P274" s="13"/>
      <c r="Q274" s="33">
        <v>0</v>
      </c>
      <c r="R274" s="41"/>
      <c r="S274" s="85">
        <f t="shared" ref="S274:S282" si="41">L274-Q274</f>
        <v>0.21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40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38"/>
        <v>0</v>
      </c>
      <c r="O275" s="41"/>
      <c r="P275" s="13"/>
      <c r="Q275" s="33">
        <v>0</v>
      </c>
      <c r="R275" s="41"/>
      <c r="S275" s="85">
        <f t="shared" si="41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40"/>
        <v>CarrosseriePapeterie</v>
      </c>
      <c r="B276" s="11" t="s">
        <v>94</v>
      </c>
      <c r="C276" s="102" t="s">
        <v>57</v>
      </c>
      <c r="D276" s="81"/>
      <c r="E276" s="13"/>
      <c r="F276" s="30">
        <v>43.75</v>
      </c>
      <c r="G276" s="83"/>
      <c r="H276" s="13"/>
      <c r="I276" s="30"/>
      <c r="J276" s="41"/>
      <c r="K276" s="13"/>
      <c r="L276" s="32">
        <v>47.61</v>
      </c>
      <c r="M276" s="41"/>
      <c r="N276" s="59">
        <f t="shared" si="38"/>
        <v>3.8599999999999994</v>
      </c>
      <c r="O276" s="41"/>
      <c r="P276" s="13"/>
      <c r="Q276" s="32">
        <v>33.840000000000003</v>
      </c>
      <c r="R276" s="41"/>
      <c r="S276" s="85">
        <f t="shared" si="41"/>
        <v>13.769999999999996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40"/>
        <v>CarrosserieTéléphone</v>
      </c>
      <c r="B277" s="11" t="s">
        <v>94</v>
      </c>
      <c r="C277" s="102" t="s">
        <v>58</v>
      </c>
      <c r="D277" s="81"/>
      <c r="E277" s="13"/>
      <c r="F277" s="30">
        <v>8.8000000000000007</v>
      </c>
      <c r="G277" s="83"/>
      <c r="H277" s="13"/>
      <c r="I277" s="30"/>
      <c r="J277" s="41"/>
      <c r="K277" s="13"/>
      <c r="L277" s="33">
        <v>8.14</v>
      </c>
      <c r="M277" s="41"/>
      <c r="N277" s="59">
        <f t="shared" si="38"/>
        <v>-0.66000000000000014</v>
      </c>
      <c r="O277" s="41"/>
      <c r="P277" s="13"/>
      <c r="Q277" s="33">
        <v>7.75</v>
      </c>
      <c r="R277" s="41"/>
      <c r="S277" s="85">
        <f t="shared" si="41"/>
        <v>0.39000000000000057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40"/>
        <v>CarrosserieFrais postaux</v>
      </c>
      <c r="B278" s="11" t="s">
        <v>94</v>
      </c>
      <c r="C278" s="102" t="s">
        <v>59</v>
      </c>
      <c r="D278" s="81"/>
      <c r="E278" s="13"/>
      <c r="F278" s="30">
        <v>12.5</v>
      </c>
      <c r="G278" s="83"/>
      <c r="H278" s="13"/>
      <c r="I278" s="30"/>
      <c r="J278" s="41"/>
      <c r="K278" s="13"/>
      <c r="L278" s="33">
        <v>4.58</v>
      </c>
      <c r="M278" s="41"/>
      <c r="N278" s="59">
        <f t="shared" si="38"/>
        <v>-7.92</v>
      </c>
      <c r="O278" s="41"/>
      <c r="P278" s="13"/>
      <c r="Q278" s="33">
        <v>19.32</v>
      </c>
      <c r="R278" s="41"/>
      <c r="S278" s="85">
        <f t="shared" si="41"/>
        <v>-14.74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40"/>
        <v>CarrosserieDivers</v>
      </c>
      <c r="B279" s="11" t="s">
        <v>94</v>
      </c>
      <c r="C279" s="102" t="s">
        <v>60</v>
      </c>
      <c r="D279" s="81"/>
      <c r="E279" s="13"/>
      <c r="F279" s="30">
        <v>46.45</v>
      </c>
      <c r="G279" s="83"/>
      <c r="H279" s="13"/>
      <c r="I279" s="30"/>
      <c r="J279" s="41"/>
      <c r="K279" s="13"/>
      <c r="L279" s="33">
        <v>36.14</v>
      </c>
      <c r="M279" s="41"/>
      <c r="N279" s="59">
        <f t="shared" si="38"/>
        <v>-10.310000000000002</v>
      </c>
      <c r="O279" s="41"/>
      <c r="P279" s="13"/>
      <c r="Q279" s="33">
        <v>51.589999999999897</v>
      </c>
      <c r="R279" s="41"/>
      <c r="S279" s="85">
        <f t="shared" si="41"/>
        <v>-15.449999999999896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40"/>
        <v>CarrosserieFormation</v>
      </c>
      <c r="B280" s="11" t="s">
        <v>94</v>
      </c>
      <c r="C280" s="102" t="s">
        <v>61</v>
      </c>
      <c r="D280" s="81"/>
      <c r="E280" s="13"/>
      <c r="F280" s="30">
        <v>20.768359999999994</v>
      </c>
      <c r="G280" s="83"/>
      <c r="H280" s="13"/>
      <c r="I280" s="30"/>
      <c r="J280" s="41"/>
      <c r="K280" s="13"/>
      <c r="L280" s="33">
        <v>27.95</v>
      </c>
      <c r="M280" s="41"/>
      <c r="N280" s="59">
        <f t="shared" si="38"/>
        <v>7.1816400000000051</v>
      </c>
      <c r="O280" s="41"/>
      <c r="P280" s="13"/>
      <c r="Q280" s="33">
        <v>27.13</v>
      </c>
      <c r="R280" s="41"/>
      <c r="S280" s="85">
        <f t="shared" si="41"/>
        <v>0.82000000000000028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40"/>
        <v>CarrosserieFrais bancaires</v>
      </c>
      <c r="B281" s="11" t="s">
        <v>94</v>
      </c>
      <c r="C281" s="102" t="s">
        <v>62</v>
      </c>
      <c r="D281" s="81"/>
      <c r="E281" s="13"/>
      <c r="F281" s="30">
        <v>131.15619031783461</v>
      </c>
      <c r="G281" s="83"/>
      <c r="H281" s="13"/>
      <c r="I281" s="30"/>
      <c r="J281" s="41"/>
      <c r="K281" s="13"/>
      <c r="L281" s="33">
        <v>219.36</v>
      </c>
      <c r="M281" s="41"/>
      <c r="N281" s="59">
        <f t="shared" si="38"/>
        <v>88.203809682165399</v>
      </c>
      <c r="O281" s="41"/>
      <c r="P281" s="13"/>
      <c r="Q281" s="33">
        <v>170.3</v>
      </c>
      <c r="R281" s="41"/>
      <c r="S281" s="85">
        <f t="shared" si="41"/>
        <v>49.06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40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38"/>
        <v>0</v>
      </c>
      <c r="O282" s="41"/>
      <c r="P282" s="13"/>
      <c r="Q282" s="33">
        <v>0</v>
      </c>
      <c r="R282" s="41"/>
      <c r="S282" s="85">
        <f t="shared" si="41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40"/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3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40"/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38"/>
        <v>0</v>
      </c>
      <c r="O284" s="41"/>
      <c r="P284" s="13"/>
      <c r="Q284" s="33">
        <v>0</v>
      </c>
      <c r="R284" s="41"/>
      <c r="S284" s="85">
        <f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823.27967079976247</v>
      </c>
      <c r="G285" s="97"/>
      <c r="H285" s="95"/>
      <c r="I285" s="96"/>
      <c r="J285" s="97" t="s">
        <v>38</v>
      </c>
      <c r="K285" s="95" t="e">
        <f>IF(L262=0,0,L285/L$244)</f>
        <v>#DIV/0!</v>
      </c>
      <c r="L285" s="96">
        <f>+SUM(L267:L284)</f>
        <v>956.34000000000015</v>
      </c>
      <c r="M285" s="100"/>
      <c r="N285" s="96">
        <f>+SUM(N267:N284)</f>
        <v>133.06032920023767</v>
      </c>
      <c r="O285" s="97" t="s">
        <v>38</v>
      </c>
      <c r="P285" s="95">
        <f>IF(Q$244=0,0,Q285/Q$244)</f>
        <v>0</v>
      </c>
      <c r="Q285" s="96">
        <f>+SUM(Q267:Q284)</f>
        <v>784.81999999999994</v>
      </c>
      <c r="R285" s="100"/>
      <c r="S285" s="101">
        <f>L285-Q285</f>
        <v>171.52000000000021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1835.3427249735719</v>
      </c>
      <c r="G287" s="97"/>
      <c r="H287" s="95"/>
      <c r="I287" s="96"/>
      <c r="J287" s="97" t="s">
        <v>38</v>
      </c>
      <c r="K287" s="95" t="e">
        <f>IF(L264=0,0,L287/L$244)</f>
        <v>#DIV/0!</v>
      </c>
      <c r="L287" s="96">
        <f>L266+L285</f>
        <v>1981.2500000000002</v>
      </c>
      <c r="M287" s="100"/>
      <c r="N287" s="113">
        <f>L287-F287</f>
        <v>145.90727502642835</v>
      </c>
      <c r="O287" s="97" t="s">
        <v>38</v>
      </c>
      <c r="P287" s="95">
        <f>IF(Q$244=0,0,Q287/Q$244)</f>
        <v>0</v>
      </c>
      <c r="Q287" s="96">
        <f>Q266+Q285</f>
        <v>1758.1399999999999</v>
      </c>
      <c r="R287" s="100"/>
      <c r="S287" s="114">
        <f>L287-Q287</f>
        <v>223.11000000000035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-1379.7539870601229</v>
      </c>
      <c r="G289" s="153"/>
      <c r="H289" s="125"/>
      <c r="I289" s="127"/>
      <c r="J289" s="154"/>
      <c r="K289" s="126"/>
      <c r="L289" s="127">
        <f>L250-L287</f>
        <v>-1292.3099999999997</v>
      </c>
      <c r="M289" s="154"/>
      <c r="N289" s="127">
        <f>L289-F289</f>
        <v>87.443987060123163</v>
      </c>
      <c r="O289" s="154"/>
      <c r="P289" s="126"/>
      <c r="Q289" s="127">
        <f>Q250-Q287</f>
        <v>-1616.2500000000009</v>
      </c>
      <c r="R289" s="154"/>
      <c r="S289" s="129">
        <f>L289-Q289</f>
        <v>323.94000000000119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Octobre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96" t="s">
        <v>5</v>
      </c>
      <c r="E293" s="497"/>
      <c r="F293" s="498"/>
      <c r="G293" s="499"/>
      <c r="H293" s="497"/>
      <c r="I293" s="498"/>
      <c r="J293" s="499" t="s">
        <v>7</v>
      </c>
      <c r="K293" s="497"/>
      <c r="L293" s="498"/>
      <c r="M293" s="499" t="s">
        <v>213</v>
      </c>
      <c r="N293" s="498"/>
      <c r="O293" s="496" t="s">
        <v>8</v>
      </c>
      <c r="P293" s="497"/>
      <c r="Q293" s="498"/>
      <c r="R293" s="494" t="s">
        <v>214</v>
      </c>
      <c r="S293" s="49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25" si="42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42"/>
        <v>PiècesPièces Ro Clients</v>
      </c>
      <c r="B295" s="11" t="s">
        <v>98</v>
      </c>
      <c r="C295" s="29" t="s">
        <v>100</v>
      </c>
      <c r="D295" s="82">
        <v>63444.770161518172</v>
      </c>
      <c r="E295" s="148">
        <f>IF(D295=0,0,F295/D295)</f>
        <v>0.41799999999999998</v>
      </c>
      <c r="F295" s="85">
        <v>26519.913927514594</v>
      </c>
      <c r="G295" s="82"/>
      <c r="H295" s="148"/>
      <c r="I295" s="85"/>
      <c r="J295" s="30">
        <v>59024.789999999994</v>
      </c>
      <c r="K295" s="148">
        <f t="shared" ref="K295:K300" si="43">IF(J295&lt;=0,0,L295/J295)</f>
        <v>0.40774749050356635</v>
      </c>
      <c r="L295" s="33">
        <v>24067.209999999995</v>
      </c>
      <c r="M295" s="157">
        <f t="shared" ref="M295:M301" si="44">(+J295-D295)/D295</f>
        <v>-6.9666580086361091E-2</v>
      </c>
      <c r="N295" s="59">
        <f t="shared" ref="N295:N304" si="45">L295-F295</f>
        <v>-2452.703927514598</v>
      </c>
      <c r="O295" s="30">
        <v>49120.81</v>
      </c>
      <c r="P295" s="148">
        <f t="shared" ref="P295:P303" si="46">IF(O295=0,0,Q295/O295)</f>
        <v>0.37696019263525993</v>
      </c>
      <c r="Q295" s="33">
        <v>18516.59</v>
      </c>
      <c r="R295" s="157">
        <f>IF(O295=0,0,(J295-O295)/O295)</f>
        <v>0.20162493248788033</v>
      </c>
      <c r="S295" s="85">
        <f t="shared" ref="S295:S300" si="47">L295-Q295</f>
        <v>5550.6199999999953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42"/>
        <v>PiècesPièces Ro Carrosserie</v>
      </c>
      <c r="B296" s="11" t="s">
        <v>98</v>
      </c>
      <c r="C296" s="29" t="s">
        <v>101</v>
      </c>
      <c r="D296" s="82">
        <v>833</v>
      </c>
      <c r="E296" s="148">
        <f t="shared" ref="E296:E300" si="48">IF(D296=0,0,F296/D296)</f>
        <v>0.34</v>
      </c>
      <c r="F296" s="85">
        <v>283.22000000000003</v>
      </c>
      <c r="G296" s="82"/>
      <c r="H296" s="148"/>
      <c r="I296" s="85"/>
      <c r="J296" s="30">
        <v>2525.73</v>
      </c>
      <c r="K296" s="148">
        <f t="shared" si="43"/>
        <v>0.38764634382930874</v>
      </c>
      <c r="L296" s="33">
        <v>979.08999999999992</v>
      </c>
      <c r="M296" s="157">
        <f t="shared" si="44"/>
        <v>2.0320888355342137</v>
      </c>
      <c r="N296" s="59">
        <f t="shared" si="45"/>
        <v>695.86999999999989</v>
      </c>
      <c r="O296" s="30">
        <v>0</v>
      </c>
      <c r="P296" s="148">
        <f t="shared" si="46"/>
        <v>0</v>
      </c>
      <c r="Q296" s="33">
        <v>0</v>
      </c>
      <c r="R296" s="157">
        <f t="shared" ref="R296:R300" si="49">IF(O296=0,0,(J296-O296)/O296)</f>
        <v>0</v>
      </c>
      <c r="S296" s="85">
        <f t="shared" si="47"/>
        <v>979.08999999999992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42"/>
        <v>PiècesP/A Garantie</v>
      </c>
      <c r="B297" s="11" t="s">
        <v>98</v>
      </c>
      <c r="C297" s="29" t="s">
        <v>102</v>
      </c>
      <c r="D297" s="82">
        <v>55563.233269459277</v>
      </c>
      <c r="E297" s="148">
        <f t="shared" si="48"/>
        <v>0.28799999999999998</v>
      </c>
      <c r="F297" s="85">
        <v>16002.211181604271</v>
      </c>
      <c r="G297" s="82"/>
      <c r="H297" s="148"/>
      <c r="I297" s="85"/>
      <c r="J297" s="30">
        <v>70610.180000000008</v>
      </c>
      <c r="K297" s="148">
        <f t="shared" si="43"/>
        <v>0.28525985913079394</v>
      </c>
      <c r="L297" s="33">
        <v>20142.250000000007</v>
      </c>
      <c r="M297" s="157">
        <f t="shared" si="44"/>
        <v>0.27080761584857932</v>
      </c>
      <c r="N297" s="59">
        <f t="shared" si="45"/>
        <v>4140.0388183957366</v>
      </c>
      <c r="O297" s="30">
        <v>42840.57</v>
      </c>
      <c r="P297" s="148">
        <f t="shared" si="46"/>
        <v>0.2865048247490638</v>
      </c>
      <c r="Q297" s="33">
        <v>12274.03</v>
      </c>
      <c r="R297" s="157">
        <f t="shared" si="49"/>
        <v>0.6482082287887394</v>
      </c>
      <c r="S297" s="85">
        <f t="shared" si="47"/>
        <v>7868.2200000000066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42"/>
        <v>PiècesVentes Internes</v>
      </c>
      <c r="B298" s="11" t="s">
        <v>98</v>
      </c>
      <c r="C298" s="29" t="s">
        <v>103</v>
      </c>
      <c r="D298" s="82">
        <v>21900.664041643777</v>
      </c>
      <c r="E298" s="148">
        <f t="shared" si="48"/>
        <v>0.38500000000000001</v>
      </c>
      <c r="F298" s="85">
        <v>8431.7556560328539</v>
      </c>
      <c r="G298" s="82"/>
      <c r="H298" s="148"/>
      <c r="I298" s="85"/>
      <c r="J298" s="30">
        <v>27413.58</v>
      </c>
      <c r="K298" s="148">
        <f t="shared" si="43"/>
        <v>0.3434888839764817</v>
      </c>
      <c r="L298" s="33">
        <v>9416.26</v>
      </c>
      <c r="M298" s="157">
        <f t="shared" si="44"/>
        <v>0.25172368965039144</v>
      </c>
      <c r="N298" s="59">
        <f t="shared" si="45"/>
        <v>984.50434396714627</v>
      </c>
      <c r="O298" s="30">
        <v>22005.629999999899</v>
      </c>
      <c r="P298" s="148">
        <f t="shared" si="46"/>
        <v>0.34775555164746591</v>
      </c>
      <c r="Q298" s="33">
        <v>7652.5799999999899</v>
      </c>
      <c r="R298" s="157">
        <f t="shared" si="49"/>
        <v>0.24575301865932161</v>
      </c>
      <c r="S298" s="85">
        <f t="shared" si="47"/>
        <v>1763.6800000000103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42"/>
        <v>PiècesVentes Détails</v>
      </c>
      <c r="B299" s="11" t="s">
        <v>98</v>
      </c>
      <c r="C299" s="29" t="s">
        <v>104</v>
      </c>
      <c r="D299" s="82">
        <v>24912.902871350689</v>
      </c>
      <c r="E299" s="148">
        <f t="shared" si="48"/>
        <v>0.31</v>
      </c>
      <c r="F299" s="85">
        <v>7722.9998901187137</v>
      </c>
      <c r="G299" s="82"/>
      <c r="H299" s="148"/>
      <c r="I299" s="85"/>
      <c r="J299" s="30">
        <v>40701.300000000003</v>
      </c>
      <c r="K299" s="148">
        <f t="shared" si="43"/>
        <v>0.28592403682437656</v>
      </c>
      <c r="L299" s="33">
        <v>11637.48</v>
      </c>
      <c r="M299" s="157">
        <f t="shared" si="44"/>
        <v>0.63374377567239015</v>
      </c>
      <c r="N299" s="59">
        <f t="shared" si="45"/>
        <v>3914.4801098812859</v>
      </c>
      <c r="O299" s="30">
        <v>33335.9</v>
      </c>
      <c r="P299" s="148">
        <f t="shared" si="46"/>
        <v>0.27932349209110896</v>
      </c>
      <c r="Q299" s="33">
        <v>9311.5</v>
      </c>
      <c r="R299" s="157">
        <f t="shared" si="49"/>
        <v>0.22094498723598285</v>
      </c>
      <c r="S299" s="85">
        <f t="shared" si="47"/>
        <v>2325.9799999999996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42"/>
        <v>PiècesVentes de Gros</v>
      </c>
      <c r="B300" s="11" t="s">
        <v>98</v>
      </c>
      <c r="C300" s="29" t="s">
        <v>105</v>
      </c>
      <c r="D300" s="82">
        <v>65943.904886200486</v>
      </c>
      <c r="E300" s="148">
        <f t="shared" si="48"/>
        <v>0.21299999999999999</v>
      </c>
      <c r="F300" s="85">
        <v>14046.051740760704</v>
      </c>
      <c r="G300" s="82"/>
      <c r="H300" s="148"/>
      <c r="I300" s="85"/>
      <c r="J300" s="30">
        <v>19252.650000000001</v>
      </c>
      <c r="K300" s="148">
        <f t="shared" si="43"/>
        <v>0.23594206511830842</v>
      </c>
      <c r="L300" s="33">
        <v>4542.5100000000011</v>
      </c>
      <c r="M300" s="157">
        <f t="shared" si="44"/>
        <v>-0.70804504171804306</v>
      </c>
      <c r="N300" s="59">
        <f t="shared" si="45"/>
        <v>-9503.5417407607019</v>
      </c>
      <c r="O300" s="30">
        <v>54553.36</v>
      </c>
      <c r="P300" s="148">
        <f t="shared" si="46"/>
        <v>0.20869951914969123</v>
      </c>
      <c r="Q300" s="33">
        <v>11385.26</v>
      </c>
      <c r="R300" s="157">
        <f t="shared" si="49"/>
        <v>-0.64708589901703573</v>
      </c>
      <c r="S300" s="85">
        <f t="shared" si="47"/>
        <v>-6842.7499999999991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 t="shared" si="42"/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44"/>
        <v>#DIV/0!</v>
      </c>
      <c r="N301" s="59">
        <f t="shared" si="45"/>
        <v>0</v>
      </c>
      <c r="O301" s="30">
        <v>0</v>
      </c>
      <c r="P301" s="148">
        <f t="shared" si="46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si="42"/>
        <v>PiècesEscomptes</v>
      </c>
      <c r="B302" s="11" t="s">
        <v>98</v>
      </c>
      <c r="C302" s="29" t="s">
        <v>106</v>
      </c>
      <c r="D302" s="82">
        <v>0</v>
      </c>
      <c r="E302" s="148">
        <f>IF(D302=0,0,F302/D302)</f>
        <v>0</v>
      </c>
      <c r="F302" s="85">
        <v>5783.0699508781436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9632.99</v>
      </c>
      <c r="M302" s="157"/>
      <c r="N302" s="59">
        <f t="shared" si="45"/>
        <v>3849.9200491218562</v>
      </c>
      <c r="O302" s="30">
        <v>0</v>
      </c>
      <c r="P302" s="148">
        <f t="shared" si="46"/>
        <v>0</v>
      </c>
      <c r="Q302" s="33">
        <v>12810.07</v>
      </c>
      <c r="R302" s="157">
        <f>IF(O302=0,0,(J302-O302)/O302)</f>
        <v>0</v>
      </c>
      <c r="S302" s="85">
        <f>L302-Q302</f>
        <v>-3177.08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42"/>
        <v>PiècesRectif. Inventaire</v>
      </c>
      <c r="B303" s="11" t="s">
        <v>98</v>
      </c>
      <c r="C303" s="86" t="s">
        <v>107</v>
      </c>
      <c r="D303" s="82">
        <v>0</v>
      </c>
      <c r="E303" s="148">
        <f>IF(D303=0,0,F303/D303)</f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45"/>
        <v>0</v>
      </c>
      <c r="O303" s="30">
        <v>0</v>
      </c>
      <c r="P303" s="148">
        <f t="shared" si="46"/>
        <v>0</v>
      </c>
      <c r="Q303" s="33">
        <v>0</v>
      </c>
      <c r="R303" s="157">
        <f>IF(O303=0,0,(J303-O303)/O303)</f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42"/>
        <v>PiècesSous-total Pièces</v>
      </c>
      <c r="B304" s="11" t="s">
        <v>98</v>
      </c>
      <c r="C304" s="53" t="s">
        <v>108</v>
      </c>
      <c r="D304" s="195">
        <f>SUM(D295:D303)</f>
        <v>232598.47523017239</v>
      </c>
      <c r="E304" s="213">
        <f>IF(D304&lt;=0,0,F304/D304)</f>
        <v>0.33873490472773671</v>
      </c>
      <c r="F304" s="199">
        <f>SUM(F295:F303)</f>
        <v>78789.222346909271</v>
      </c>
      <c r="G304" s="195"/>
      <c r="H304" s="213"/>
      <c r="I304" s="199"/>
      <c r="J304" s="195">
        <f>SUM(J295:J303)</f>
        <v>219528.23</v>
      </c>
      <c r="K304" s="213">
        <f>IF(J304&lt;=0,0,L304/J304)</f>
        <v>0.36632095106857104</v>
      </c>
      <c r="L304" s="197">
        <f>SUM(L295:L303)</f>
        <v>80417.790000000008</v>
      </c>
      <c r="M304" s="214">
        <f>(+J304-D304)/D304</f>
        <v>-5.6192308299693128E-2</v>
      </c>
      <c r="N304" s="197">
        <f t="shared" si="45"/>
        <v>1628.5676530907367</v>
      </c>
      <c r="O304" s="195">
        <f>SUM(O295:O303)</f>
        <v>201856.2699999999</v>
      </c>
      <c r="P304" s="213">
        <f>IF(O304&lt;=0,0,Q304/O304)</f>
        <v>0.35644188808204985</v>
      </c>
      <c r="Q304" s="197">
        <f>SUM(Q295:Q303)</f>
        <v>71950.03</v>
      </c>
      <c r="R304" s="214">
        <f>IF(O304=0,0,(J304-O304)/O304)</f>
        <v>8.7547243392539234E-2</v>
      </c>
      <c r="S304" s="199">
        <f>L304-Q304</f>
        <v>8467.7600000000093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42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2.0669929269261558E-2</v>
      </c>
      <c r="O305" s="41"/>
      <c r="P305" s="13"/>
      <c r="Q305" s="40"/>
      <c r="R305" s="41"/>
      <c r="S305" s="44">
        <f>IF(Q304=0,0,S304/Q304)</f>
        <v>0.11768945753045565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42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42"/>
        <v>PiècesVentes Pneus</v>
      </c>
      <c r="B307" s="11" t="s">
        <v>98</v>
      </c>
      <c r="C307" s="29" t="s">
        <v>109</v>
      </c>
      <c r="D307" s="82">
        <v>104443.33861502256</v>
      </c>
      <c r="E307" s="148">
        <f>IF(D307=0,0,F307/D307)</f>
        <v>0.25</v>
      </c>
      <c r="F307" s="110">
        <v>26110.834653755639</v>
      </c>
      <c r="G307" s="82"/>
      <c r="H307" s="148"/>
      <c r="I307" s="110"/>
      <c r="J307" s="30">
        <v>117139.92</v>
      </c>
      <c r="K307" s="148">
        <f>IF(J307&lt;=0,0,L307/J307)</f>
        <v>0.25722093714935096</v>
      </c>
      <c r="L307" s="33">
        <v>30130.839999999997</v>
      </c>
      <c r="M307" s="157">
        <f>(+J307-D307)/D307</f>
        <v>0.12156430035023062</v>
      </c>
      <c r="N307" s="59">
        <f>L307-F307</f>
        <v>4020.0053462443575</v>
      </c>
      <c r="O307" s="30">
        <v>131251.53</v>
      </c>
      <c r="P307" s="148">
        <f>IF(O307=0,0,Q307/O307)</f>
        <v>0.25375315624892142</v>
      </c>
      <c r="Q307" s="33">
        <v>33305.49</v>
      </c>
      <c r="R307" s="157">
        <f>IF(O307=0,0,(J307-O307)/O307)</f>
        <v>-0.10751577524467715</v>
      </c>
      <c r="S307" s="85">
        <f>L307-Q307</f>
        <v>-3174.6500000000015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42"/>
        <v>PiècesHuiles et Graisse</v>
      </c>
      <c r="B308" s="11" t="s">
        <v>98</v>
      </c>
      <c r="C308" s="86" t="s">
        <v>110</v>
      </c>
      <c r="D308" s="82">
        <v>12149.911420922452</v>
      </c>
      <c r="E308" s="148">
        <f>IF(D308=0,0,F308/D308)</f>
        <v>0.35</v>
      </c>
      <c r="F308" s="92">
        <v>4252.4689973228578</v>
      </c>
      <c r="G308" s="82"/>
      <c r="H308" s="148"/>
      <c r="I308" s="92"/>
      <c r="J308" s="30">
        <v>13999.09</v>
      </c>
      <c r="K308" s="148">
        <f>IF(J308&lt;=0,0,L308/J308)</f>
        <v>0.35547453441616572</v>
      </c>
      <c r="L308" s="33">
        <v>4976.3200000000015</v>
      </c>
      <c r="M308" s="157">
        <f>(+J308-D308)/D308</f>
        <v>0.15219687741041607</v>
      </c>
      <c r="N308" s="59">
        <f>L308-F308</f>
        <v>723.8510026771437</v>
      </c>
      <c r="O308" s="30">
        <v>12124.29</v>
      </c>
      <c r="P308" s="148">
        <f>IF(O308=0,0,Q308/O308)</f>
        <v>0.33390078924209166</v>
      </c>
      <c r="Q308" s="33">
        <v>4048.31</v>
      </c>
      <c r="R308" s="157">
        <f>IF(O308=0,0,(J308-O308)/O308)</f>
        <v>0.15463173513665535</v>
      </c>
      <c r="S308" s="85">
        <f>L308-Q308</f>
        <v>928.01000000000158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42"/>
        <v>PiècesSous-total Pièces et Acc.</v>
      </c>
      <c r="B309" s="11" t="s">
        <v>98</v>
      </c>
      <c r="C309" s="53" t="s">
        <v>111</v>
      </c>
      <c r="D309" s="195">
        <f>D304+D307+D308</f>
        <v>349191.72526611737</v>
      </c>
      <c r="E309" s="213">
        <f>IF(D309&lt;=0,0,F309/D309)</f>
        <v>0.31258623300653282</v>
      </c>
      <c r="F309" s="197">
        <f>F304+F307+F308</f>
        <v>109152.52599798776</v>
      </c>
      <c r="G309" s="198"/>
      <c r="H309" s="213"/>
      <c r="I309" s="197"/>
      <c r="J309" s="198">
        <f>J304+J307+J308</f>
        <v>350667.24000000005</v>
      </c>
      <c r="K309" s="213">
        <f>IF(J309&lt;=0,0,L309/J309)</f>
        <v>0.32944323513083229</v>
      </c>
      <c r="L309" s="197">
        <f>L304+L307+L308</f>
        <v>115524.95000000001</v>
      </c>
      <c r="M309" s="214">
        <f>(+J309-D309)/D309</f>
        <v>4.225514601636669E-3</v>
      </c>
      <c r="N309" s="197">
        <f>L309-F309</f>
        <v>6372.4240020122525</v>
      </c>
      <c r="O309" s="198">
        <f>O304+O307+O308</f>
        <v>345232.08999999991</v>
      </c>
      <c r="P309" s="213">
        <f>IF(O309&lt;=0,0,Q309/O309)</f>
        <v>0.31660970450342557</v>
      </c>
      <c r="Q309" s="197">
        <f>Q304+Q307+Q308</f>
        <v>109303.82999999999</v>
      </c>
      <c r="R309" s="214">
        <f>IF(O309=0,0,(J309-O309)/O309)</f>
        <v>1.5743466952913159E-2</v>
      </c>
      <c r="S309" s="199">
        <f>L309-Q309</f>
        <v>6221.1200000000244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42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5.8380911882238339E-2</v>
      </c>
      <c r="O310" s="41"/>
      <c r="P310" s="13"/>
      <c r="Q310" s="40"/>
      <c r="R310" s="41"/>
      <c r="S310" s="44">
        <f>IF(Q309=0,0,S309/Q309)</f>
        <v>5.6915846407212124E-2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42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42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42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42"/>
        <v>PiècesTotal Dépt. Pièces</v>
      </c>
      <c r="B314" s="11" t="s">
        <v>98</v>
      </c>
      <c r="C314" s="62" t="s">
        <v>113</v>
      </c>
      <c r="D314" s="63">
        <f>D309+D312</f>
        <v>349191.72526611737</v>
      </c>
      <c r="E314" s="219">
        <f>IF(D314&lt;=0,0,F314/D314)</f>
        <v>0.31258623300653282</v>
      </c>
      <c r="F314" s="65">
        <f>F309+F312</f>
        <v>109152.52599798776</v>
      </c>
      <c r="G314" s="66"/>
      <c r="H314" s="219"/>
      <c r="I314" s="65"/>
      <c r="J314" s="66">
        <f>J309+J312</f>
        <v>350667.24000000005</v>
      </c>
      <c r="K314" s="219">
        <f>IF(J314&lt;=0,0,L314/J314)</f>
        <v>0.32944323513083229</v>
      </c>
      <c r="L314" s="65">
        <f>L309+L312</f>
        <v>115524.95000000001</v>
      </c>
      <c r="M314" s="220">
        <f>(+J314-D314)/D314</f>
        <v>4.225514601636669E-3</v>
      </c>
      <c r="N314" s="221">
        <f>L314-F314</f>
        <v>6372.4240020122525</v>
      </c>
      <c r="O314" s="66">
        <f>O309+O312</f>
        <v>345232.08999999991</v>
      </c>
      <c r="P314" s="219">
        <f>IF(O314&lt;=0,0,Q314/O314)</f>
        <v>0.31660970450342557</v>
      </c>
      <c r="Q314" s="65">
        <f>Q309+Q312</f>
        <v>109303.82999999999</v>
      </c>
      <c r="R314" s="220">
        <f>IF(O314=0,0,(J314-O314)/O314)</f>
        <v>1.5743466952913159E-2</v>
      </c>
      <c r="S314" s="222">
        <f>L314-Q314</f>
        <v>6221.1200000000244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42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5.8380911882238339E-2</v>
      </c>
      <c r="O315" s="227"/>
      <c r="P315" s="225"/>
      <c r="Q315" s="226"/>
      <c r="R315" s="228"/>
      <c r="S315" s="75">
        <f>IF(Q314=0,0,S314/Q314)</f>
        <v>5.6915846407212124E-2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42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42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42"/>
        <v>PiècesSalaires cadres</v>
      </c>
      <c r="B318" s="11" t="s">
        <v>98</v>
      </c>
      <c r="C318" s="102" t="s">
        <v>40</v>
      </c>
      <c r="D318" s="13"/>
      <c r="E318" s="13"/>
      <c r="F318" s="30">
        <v>4223.1058524173031</v>
      </c>
      <c r="G318" s="41"/>
      <c r="H318" s="13"/>
      <c r="I318" s="30"/>
      <c r="J318" s="41"/>
      <c r="K318" s="13"/>
      <c r="L318" s="33">
        <v>2434.1999999999998</v>
      </c>
      <c r="M318" s="41"/>
      <c r="N318" s="59">
        <f t="shared" ref="N318:N348" si="50">L318-F318</f>
        <v>-1788.9058524173033</v>
      </c>
      <c r="O318" s="41"/>
      <c r="P318" s="13"/>
      <c r="Q318" s="33">
        <v>3611.47</v>
      </c>
      <c r="R318" s="41"/>
      <c r="S318" s="85">
        <f t="shared" ref="S318:S348" si="51">L318-Q318</f>
        <v>-1177.27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42"/>
        <v>PiècesSalaires commis</v>
      </c>
      <c r="B319" s="11" t="s">
        <v>98</v>
      </c>
      <c r="C319" s="103" t="s">
        <v>41</v>
      </c>
      <c r="D319" s="81"/>
      <c r="E319" s="13"/>
      <c r="F319" s="22">
        <v>2851.5770992366415</v>
      </c>
      <c r="G319" s="83"/>
      <c r="H319" s="13"/>
      <c r="I319" s="22"/>
      <c r="J319" s="41"/>
      <c r="K319" s="13"/>
      <c r="L319" s="33">
        <v>3027.72</v>
      </c>
      <c r="M319" s="41"/>
      <c r="N319" s="59">
        <f t="shared" si="50"/>
        <v>176.14290076335828</v>
      </c>
      <c r="O319" s="41"/>
      <c r="P319" s="13"/>
      <c r="Q319" s="33">
        <v>2719.26</v>
      </c>
      <c r="R319" s="41"/>
      <c r="S319" s="85">
        <f t="shared" si="51"/>
        <v>308.45999999999958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42"/>
        <v>PiècesSalaires autres</v>
      </c>
      <c r="B320" s="11" t="s">
        <v>98</v>
      </c>
      <c r="C320" s="102" t="s">
        <v>42</v>
      </c>
      <c r="D320" s="104"/>
      <c r="E320" s="105"/>
      <c r="F320" s="30">
        <v>15220.545801526718</v>
      </c>
      <c r="G320" s="106"/>
      <c r="H320" s="105"/>
      <c r="I320" s="30"/>
      <c r="J320" s="107"/>
      <c r="K320" s="105"/>
      <c r="L320" s="108">
        <v>15276.95</v>
      </c>
      <c r="M320" s="107"/>
      <c r="N320" s="109">
        <f t="shared" si="50"/>
        <v>56.404198473283031</v>
      </c>
      <c r="O320" s="107"/>
      <c r="P320" s="105"/>
      <c r="Q320" s="108">
        <v>14418.85</v>
      </c>
      <c r="R320" s="107"/>
      <c r="S320" s="110">
        <f t="shared" si="51"/>
        <v>858.10000000000036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42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50"/>
        <v>0</v>
      </c>
      <c r="O321" s="41"/>
      <c r="P321" s="13"/>
      <c r="Q321" s="33">
        <v>0</v>
      </c>
      <c r="R321" s="41"/>
      <c r="S321" s="85">
        <f t="shared" si="5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42"/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50"/>
        <v>0</v>
      </c>
      <c r="O322" s="41"/>
      <c r="P322" s="13"/>
      <c r="Q322" s="33">
        <v>0</v>
      </c>
      <c r="R322" s="41"/>
      <c r="S322" s="85">
        <f t="shared" si="51"/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42"/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50"/>
        <v>0</v>
      </c>
      <c r="O323" s="41"/>
      <c r="P323" s="13"/>
      <c r="Q323" s="33">
        <v>0</v>
      </c>
      <c r="R323" s="41"/>
      <c r="S323" s="85">
        <f t="shared" si="51"/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42"/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50"/>
        <v>0</v>
      </c>
      <c r="O324" s="41"/>
      <c r="P324" s="13"/>
      <c r="Q324" s="33">
        <v>0</v>
      </c>
      <c r="R324" s="41"/>
      <c r="S324" s="85">
        <f t="shared" si="51"/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si="42"/>
        <v>PiècesSalaires en absences</v>
      </c>
      <c r="B325" s="11" t="s">
        <v>98</v>
      </c>
      <c r="C325" s="103" t="s">
        <v>44</v>
      </c>
      <c r="D325" s="81"/>
      <c r="E325" s="13"/>
      <c r="F325" s="22">
        <v>2620.2360323399885</v>
      </c>
      <c r="G325" s="83"/>
      <c r="H325" s="13"/>
      <c r="I325" s="22"/>
      <c r="J325" s="41"/>
      <c r="K325" s="13"/>
      <c r="L325" s="33">
        <v>1843.89</v>
      </c>
      <c r="M325" s="41"/>
      <c r="N325" s="59">
        <f t="shared" si="50"/>
        <v>-776.34603233998837</v>
      </c>
      <c r="O325" s="41"/>
      <c r="P325" s="13"/>
      <c r="Q325" s="33">
        <v>1591.75</v>
      </c>
      <c r="R325" s="41"/>
      <c r="S325" s="85">
        <f t="shared" si="51"/>
        <v>252.1400000000001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ref="A326:A357" si="52">+B326&amp;C326</f>
        <v>PiècesDéduction à la source</v>
      </c>
      <c r="B326" s="11" t="s">
        <v>98</v>
      </c>
      <c r="C326" s="102" t="s">
        <v>45</v>
      </c>
      <c r="D326" s="104"/>
      <c r="E326" s="105"/>
      <c r="F326" s="30">
        <v>3347.3056942871376</v>
      </c>
      <c r="G326" s="106"/>
      <c r="H326" s="105"/>
      <c r="I326" s="30"/>
      <c r="J326" s="107"/>
      <c r="K326" s="105"/>
      <c r="L326" s="108">
        <v>3045.94</v>
      </c>
      <c r="M326" s="107"/>
      <c r="N326" s="109">
        <f t="shared" si="50"/>
        <v>-301.36569428713756</v>
      </c>
      <c r="O326" s="107"/>
      <c r="P326" s="105"/>
      <c r="Q326" s="108">
        <v>2769.86</v>
      </c>
      <c r="R326" s="107"/>
      <c r="S326" s="110">
        <f t="shared" si="51"/>
        <v>276.07999999999993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52"/>
        <v>PiècesBénéfices marginaux</v>
      </c>
      <c r="B327" s="11" t="s">
        <v>98</v>
      </c>
      <c r="C327" s="102" t="s">
        <v>46</v>
      </c>
      <c r="D327" s="81"/>
      <c r="E327" s="13"/>
      <c r="F327" s="30">
        <v>1575.4645595419847</v>
      </c>
      <c r="G327" s="83"/>
      <c r="H327" s="13"/>
      <c r="I327" s="30"/>
      <c r="J327" s="41"/>
      <c r="K327" s="13"/>
      <c r="L327" s="33">
        <v>1781.51</v>
      </c>
      <c r="M327" s="41"/>
      <c r="N327" s="59">
        <f t="shared" si="50"/>
        <v>206.04544045801526</v>
      </c>
      <c r="O327" s="41"/>
      <c r="P327" s="13"/>
      <c r="Q327" s="33">
        <v>1668.02</v>
      </c>
      <c r="R327" s="41"/>
      <c r="S327" s="85">
        <f t="shared" si="51"/>
        <v>113.49000000000001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52"/>
        <v>PiècesCsst</v>
      </c>
      <c r="B328" s="11" t="s">
        <v>98</v>
      </c>
      <c r="C328" s="102" t="s">
        <v>47</v>
      </c>
      <c r="D328" s="81"/>
      <c r="E328" s="13"/>
      <c r="F328" s="30">
        <v>355.75006183206108</v>
      </c>
      <c r="G328" s="83"/>
      <c r="H328" s="13"/>
      <c r="I328" s="30"/>
      <c r="J328" s="41"/>
      <c r="K328" s="13"/>
      <c r="L328" s="33">
        <v>280.26</v>
      </c>
      <c r="M328" s="467"/>
      <c r="N328" s="146">
        <f t="shared" si="50"/>
        <v>-75.490061832061087</v>
      </c>
      <c r="O328" s="41"/>
      <c r="P328" s="13"/>
      <c r="Q328" s="33">
        <v>253.95</v>
      </c>
      <c r="R328" s="41"/>
      <c r="S328" s="85">
        <f t="shared" si="51"/>
        <v>26.310000000000002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5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50"/>
        <v>0</v>
      </c>
      <c r="O329" s="23"/>
      <c r="P329" s="111"/>
      <c r="Q329" s="33">
        <v>0</v>
      </c>
      <c r="R329" s="23"/>
      <c r="S329" s="92">
        <f t="shared" si="51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5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0.27662195469244993</v>
      </c>
      <c r="F330" s="96">
        <f>+SUM(F318:F329)</f>
        <v>30193.985101181835</v>
      </c>
      <c r="G330" s="97"/>
      <c r="H330" s="95"/>
      <c r="I330" s="96"/>
      <c r="J330" s="97" t="s">
        <v>38</v>
      </c>
      <c r="K330" s="95">
        <f>L330/L$314</f>
        <v>0.23969255126273584</v>
      </c>
      <c r="L330" s="96">
        <f>+SUM(L318:L329)</f>
        <v>27690.469999999998</v>
      </c>
      <c r="M330" s="147"/>
      <c r="N330" s="113">
        <f t="shared" si="50"/>
        <v>-2503.515101181838</v>
      </c>
      <c r="O330" s="97" t="s">
        <v>38</v>
      </c>
      <c r="P330" s="95">
        <f>Q330/Q$314</f>
        <v>0.24732125123154428</v>
      </c>
      <c r="Q330" s="96">
        <f>+SUM(Q318:Q329)</f>
        <v>27033.160000000003</v>
      </c>
      <c r="R330" s="147"/>
      <c r="S330" s="114">
        <f t="shared" si="51"/>
        <v>657.30999999999403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52"/>
        <v>PiècesPublicité 2</v>
      </c>
      <c r="B331" s="11" t="s">
        <v>98</v>
      </c>
      <c r="C331" s="211" t="s">
        <v>49</v>
      </c>
      <c r="D331" s="81"/>
      <c r="E331" s="13"/>
      <c r="F331" s="30">
        <v>3176.194560285473</v>
      </c>
      <c r="G331" s="83"/>
      <c r="H331" s="13"/>
      <c r="I331" s="30"/>
      <c r="J331" s="41"/>
      <c r="K331" s="13"/>
      <c r="L331" s="33">
        <v>8006.57</v>
      </c>
      <c r="M331" s="41"/>
      <c r="N331" s="59">
        <f t="shared" si="50"/>
        <v>4830.3754397145267</v>
      </c>
      <c r="O331" s="41"/>
      <c r="P331" s="13"/>
      <c r="Q331" s="33">
        <v>4097.5200000000004</v>
      </c>
      <c r="R331" s="41"/>
      <c r="S331" s="85">
        <f t="shared" si="51"/>
        <v>3909.0499999999993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52"/>
        <v>PiècesService gratuit 2</v>
      </c>
      <c r="B332" s="11" t="s">
        <v>98</v>
      </c>
      <c r="C332" s="102" t="s">
        <v>50</v>
      </c>
      <c r="D332" s="81"/>
      <c r="E332" s="13"/>
      <c r="F332" s="30">
        <v>265</v>
      </c>
      <c r="G332" s="83"/>
      <c r="H332" s="13"/>
      <c r="I332" s="30"/>
      <c r="J332" s="41"/>
      <c r="K332" s="13"/>
      <c r="L332" s="59">
        <v>569.41000000000008</v>
      </c>
      <c r="M332" s="41"/>
      <c r="N332" s="59">
        <f t="shared" si="50"/>
        <v>304.41000000000008</v>
      </c>
      <c r="O332" s="41"/>
      <c r="P332" s="13"/>
      <c r="Q332" s="33">
        <v>1608.6799999999901</v>
      </c>
      <c r="R332" s="41"/>
      <c r="S332" s="85">
        <f t="shared" si="51"/>
        <v>-1039.26999999999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52"/>
        <v>PiècesFrais véhicules de cie</v>
      </c>
      <c r="B333" s="11" t="s">
        <v>98</v>
      </c>
      <c r="C333" s="103" t="s">
        <v>51</v>
      </c>
      <c r="D333" s="87"/>
      <c r="E333" s="111"/>
      <c r="F333" s="22">
        <v>4423.3333333333339</v>
      </c>
      <c r="G333" s="89"/>
      <c r="H333" s="111"/>
      <c r="I333" s="22"/>
      <c r="J333" s="23"/>
      <c r="K333" s="111"/>
      <c r="L333" s="91">
        <v>5082.68</v>
      </c>
      <c r="M333" s="23"/>
      <c r="N333" s="91">
        <f t="shared" si="50"/>
        <v>659.34666666666635</v>
      </c>
      <c r="O333" s="23"/>
      <c r="P333" s="111"/>
      <c r="Q333" s="33">
        <v>7049.42</v>
      </c>
      <c r="R333" s="23"/>
      <c r="S333" s="92">
        <f t="shared" si="51"/>
        <v>-1966.7399999999998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52"/>
        <v>PiècesInformatique</v>
      </c>
      <c r="B334" s="11" t="s">
        <v>98</v>
      </c>
      <c r="C334" s="102" t="s">
        <v>52</v>
      </c>
      <c r="D334" s="81"/>
      <c r="E334" s="13"/>
      <c r="F334" s="30">
        <v>1913.8000000000002</v>
      </c>
      <c r="G334" s="83"/>
      <c r="H334" s="13"/>
      <c r="I334" s="30"/>
      <c r="J334" s="41"/>
      <c r="K334" s="13"/>
      <c r="L334" s="108">
        <v>2020.06</v>
      </c>
      <c r="M334" s="41"/>
      <c r="N334" s="59">
        <f t="shared" si="50"/>
        <v>106.25999999999976</v>
      </c>
      <c r="O334" s="41"/>
      <c r="P334" s="13"/>
      <c r="Q334" s="108">
        <v>1938.3</v>
      </c>
      <c r="R334" s="41"/>
      <c r="S334" s="85">
        <f t="shared" si="51"/>
        <v>81.759999999999991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52"/>
        <v>PiècesFrais de déplacement</v>
      </c>
      <c r="B335" s="11" t="s">
        <v>98</v>
      </c>
      <c r="C335" s="102" t="s">
        <v>53</v>
      </c>
      <c r="D335" s="81"/>
      <c r="E335" s="13"/>
      <c r="F335" s="30">
        <v>365.6</v>
      </c>
      <c r="G335" s="83"/>
      <c r="H335" s="13"/>
      <c r="I335" s="30"/>
      <c r="J335" s="41"/>
      <c r="K335" s="13"/>
      <c r="L335" s="33">
        <v>447.99</v>
      </c>
      <c r="M335" s="41"/>
      <c r="N335" s="59">
        <f t="shared" si="50"/>
        <v>82.389999999999986</v>
      </c>
      <c r="O335" s="41"/>
      <c r="P335" s="13"/>
      <c r="Q335" s="33">
        <v>144.16</v>
      </c>
      <c r="R335" s="41"/>
      <c r="S335" s="85">
        <f t="shared" si="51"/>
        <v>303.83000000000004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52"/>
        <v>PiècesServices extérieurs</v>
      </c>
      <c r="B336" s="11" t="s">
        <v>98</v>
      </c>
      <c r="C336" s="230" t="s">
        <v>54</v>
      </c>
      <c r="D336" s="87"/>
      <c r="E336" s="111"/>
      <c r="F336" s="22">
        <v>1994.2000000000003</v>
      </c>
      <c r="G336" s="89"/>
      <c r="H336" s="111"/>
      <c r="I336" s="22"/>
      <c r="J336" s="23"/>
      <c r="K336" s="111"/>
      <c r="L336" s="48">
        <v>1469.98</v>
      </c>
      <c r="M336" s="23"/>
      <c r="N336" s="91">
        <f t="shared" si="50"/>
        <v>-524.22000000000025</v>
      </c>
      <c r="O336" s="23"/>
      <c r="P336" s="111"/>
      <c r="Q336" s="48">
        <v>1332.82</v>
      </c>
      <c r="R336" s="23"/>
      <c r="S336" s="92">
        <f t="shared" si="51"/>
        <v>137.16000000000008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52"/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50"/>
        <v>0</v>
      </c>
      <c r="O337" s="41"/>
      <c r="P337" s="13"/>
      <c r="Q337" s="33">
        <v>0</v>
      </c>
      <c r="R337" s="41"/>
      <c r="S337" s="85">
        <f t="shared" si="51"/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si="52"/>
        <v>PiècesFournitures autres</v>
      </c>
      <c r="B338" s="11" t="s">
        <v>98</v>
      </c>
      <c r="C338" s="102" t="s">
        <v>55</v>
      </c>
      <c r="D338" s="81"/>
      <c r="E338" s="13"/>
      <c r="F338" s="30">
        <v>29.518072289156624</v>
      </c>
      <c r="G338" s="83"/>
      <c r="H338" s="13"/>
      <c r="I338" s="30"/>
      <c r="J338" s="41"/>
      <c r="K338" s="13"/>
      <c r="L338" s="33">
        <v>1.75</v>
      </c>
      <c r="M338" s="41"/>
      <c r="N338" s="59">
        <f t="shared" si="50"/>
        <v>-27.768072289156624</v>
      </c>
      <c r="O338" s="41"/>
      <c r="P338" s="13"/>
      <c r="Q338" s="33">
        <v>7</v>
      </c>
      <c r="R338" s="41"/>
      <c r="S338" s="85">
        <f t="shared" si="51"/>
        <v>-5.25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52"/>
        <v>PiècesUniformes</v>
      </c>
      <c r="B339" s="11" t="s">
        <v>98</v>
      </c>
      <c r="C339" s="102" t="s">
        <v>56</v>
      </c>
      <c r="D339" s="81"/>
      <c r="E339" s="13"/>
      <c r="F339" s="30">
        <v>33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50"/>
        <v>-33</v>
      </c>
      <c r="O339" s="41"/>
      <c r="P339" s="13"/>
      <c r="Q339" s="33">
        <v>0</v>
      </c>
      <c r="R339" s="41"/>
      <c r="S339" s="85">
        <f t="shared" si="51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52"/>
        <v>PiècesPapeterie</v>
      </c>
      <c r="B340" s="11" t="s">
        <v>98</v>
      </c>
      <c r="C340" s="102" t="s">
        <v>57</v>
      </c>
      <c r="D340" s="81"/>
      <c r="E340" s="13"/>
      <c r="F340" s="30">
        <v>350</v>
      </c>
      <c r="G340" s="83"/>
      <c r="H340" s="13"/>
      <c r="I340" s="30"/>
      <c r="J340" s="41"/>
      <c r="K340" s="13"/>
      <c r="L340" s="32">
        <v>380.76</v>
      </c>
      <c r="M340" s="41"/>
      <c r="N340" s="59">
        <f t="shared" si="50"/>
        <v>30.759999999999991</v>
      </c>
      <c r="O340" s="41"/>
      <c r="P340" s="13"/>
      <c r="Q340" s="32">
        <v>270.77999999999997</v>
      </c>
      <c r="R340" s="41"/>
      <c r="S340" s="85">
        <f t="shared" si="51"/>
        <v>109.98000000000002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5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102.22</v>
      </c>
      <c r="M341" s="41"/>
      <c r="N341" s="59">
        <f t="shared" si="50"/>
        <v>-16.180000000000007</v>
      </c>
      <c r="O341" s="41"/>
      <c r="P341" s="13"/>
      <c r="Q341" s="33">
        <v>106.44</v>
      </c>
      <c r="R341" s="41"/>
      <c r="S341" s="85">
        <f t="shared" si="51"/>
        <v>-4.2199999999999989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52"/>
        <v>PiècesFrais postaux</v>
      </c>
      <c r="B342" s="11" t="s">
        <v>98</v>
      </c>
      <c r="C342" s="102" t="s">
        <v>59</v>
      </c>
      <c r="D342" s="81"/>
      <c r="E342" s="13"/>
      <c r="F342" s="30">
        <v>475</v>
      </c>
      <c r="G342" s="83"/>
      <c r="H342" s="13"/>
      <c r="I342" s="30"/>
      <c r="J342" s="41"/>
      <c r="K342" s="13"/>
      <c r="L342" s="33">
        <v>1278.72</v>
      </c>
      <c r="M342" s="41"/>
      <c r="N342" s="59">
        <f t="shared" si="50"/>
        <v>803.72</v>
      </c>
      <c r="O342" s="41"/>
      <c r="P342" s="13"/>
      <c r="Q342" s="33">
        <v>1576.96</v>
      </c>
      <c r="R342" s="41"/>
      <c r="S342" s="85">
        <f t="shared" si="51"/>
        <v>-298.24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52"/>
        <v>PiècesDivers</v>
      </c>
      <c r="B343" s="11" t="s">
        <v>98</v>
      </c>
      <c r="C343" s="102" t="s">
        <v>60</v>
      </c>
      <c r="D343" s="81"/>
      <c r="E343" s="13"/>
      <c r="F343" s="30">
        <v>371.6</v>
      </c>
      <c r="G343" s="83"/>
      <c r="H343" s="13"/>
      <c r="I343" s="30"/>
      <c r="J343" s="41"/>
      <c r="K343" s="13"/>
      <c r="L343" s="33">
        <v>289.2</v>
      </c>
      <c r="M343" s="41"/>
      <c r="N343" s="59">
        <f t="shared" si="50"/>
        <v>-82.400000000000034</v>
      </c>
      <c r="O343" s="41"/>
      <c r="P343" s="13"/>
      <c r="Q343" s="33">
        <v>412.7</v>
      </c>
      <c r="R343" s="41"/>
      <c r="S343" s="85">
        <f t="shared" si="51"/>
        <v>-123.5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52"/>
        <v>PiècesFormation</v>
      </c>
      <c r="B344" s="11" t="s">
        <v>98</v>
      </c>
      <c r="C344" s="102" t="s">
        <v>61</v>
      </c>
      <c r="D344" s="81"/>
      <c r="E344" s="13"/>
      <c r="F344" s="30">
        <v>241.14687999999995</v>
      </c>
      <c r="G344" s="83"/>
      <c r="H344" s="13"/>
      <c r="I344" s="30"/>
      <c r="J344" s="41"/>
      <c r="K344" s="13"/>
      <c r="L344" s="59">
        <v>223.62</v>
      </c>
      <c r="M344" s="41"/>
      <c r="N344" s="59">
        <f t="shared" si="50"/>
        <v>-17.526879999999949</v>
      </c>
      <c r="O344" s="41"/>
      <c r="P344" s="13"/>
      <c r="Q344" s="33">
        <v>217.22</v>
      </c>
      <c r="R344" s="41"/>
      <c r="S344" s="85">
        <f t="shared" si="51"/>
        <v>6.4000000000000057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52"/>
        <v>PiècesFrais bancaires</v>
      </c>
      <c r="B345" s="11" t="s">
        <v>98</v>
      </c>
      <c r="C345" s="102" t="s">
        <v>62</v>
      </c>
      <c r="D345" s="81"/>
      <c r="E345" s="13"/>
      <c r="F345" s="30">
        <v>1049.2495225426769</v>
      </c>
      <c r="G345" s="83"/>
      <c r="H345" s="13"/>
      <c r="I345" s="30"/>
      <c r="J345" s="41"/>
      <c r="K345" s="13"/>
      <c r="L345" s="32">
        <v>1754.92</v>
      </c>
      <c r="M345" s="41"/>
      <c r="N345" s="59">
        <f t="shared" si="50"/>
        <v>705.67047745732316</v>
      </c>
      <c r="O345" s="41"/>
      <c r="P345" s="13"/>
      <c r="Q345" s="33">
        <v>1362.47</v>
      </c>
      <c r="R345" s="41"/>
      <c r="S345" s="85">
        <f t="shared" si="51"/>
        <v>392.45000000000005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 t="shared" si="52"/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50"/>
        <v>0</v>
      </c>
      <c r="O346" s="41"/>
      <c r="P346" s="13"/>
      <c r="Q346" s="33">
        <v>0</v>
      </c>
      <c r="R346" s="41"/>
      <c r="S346" s="85">
        <f t="shared" si="51"/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52"/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50"/>
        <v>0</v>
      </c>
      <c r="O347" s="41"/>
      <c r="P347" s="13"/>
      <c r="Q347" s="33">
        <v>0</v>
      </c>
      <c r="R347" s="41"/>
      <c r="S347" s="85">
        <f t="shared" si="51"/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52"/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50"/>
        <v>0</v>
      </c>
      <c r="O348" s="41"/>
      <c r="P348" s="13"/>
      <c r="Q348" s="33">
        <v>0</v>
      </c>
      <c r="R348" s="41"/>
      <c r="S348" s="85">
        <f t="shared" si="51"/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0.13564543956338301</v>
      </c>
      <c r="F349" s="96">
        <f>+SUM(F331:F348)</f>
        <v>14806.042368450642</v>
      </c>
      <c r="G349" s="97"/>
      <c r="H349" s="95"/>
      <c r="I349" s="96"/>
      <c r="J349" s="97" t="s">
        <v>38</v>
      </c>
      <c r="K349" s="95">
        <f>L349/L$314</f>
        <v>0.18721393084351037</v>
      </c>
      <c r="L349" s="96">
        <f>+SUM(L331:L348)</f>
        <v>21627.879999999997</v>
      </c>
      <c r="M349" s="100"/>
      <c r="N349" s="96">
        <f>+SUM(N331:N348)</f>
        <v>6821.8376315493588</v>
      </c>
      <c r="O349" s="97" t="s">
        <v>38</v>
      </c>
      <c r="P349" s="95">
        <f>Q349/Q$314</f>
        <v>0.18411495736242722</v>
      </c>
      <c r="Q349" s="96">
        <f>+SUM(Q331:Q348)</f>
        <v>20124.46999999999</v>
      </c>
      <c r="R349" s="100"/>
      <c r="S349" s="101">
        <f>+SUM(S331:S348)</f>
        <v>1503.4100000000099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0.41226739425583298</v>
      </c>
      <c r="F351" s="96">
        <f>F330+F349</f>
        <v>45000.027469632478</v>
      </c>
      <c r="G351" s="97"/>
      <c r="H351" s="95"/>
      <c r="I351" s="96"/>
      <c r="J351" s="97" t="s">
        <v>38</v>
      </c>
      <c r="K351" s="95">
        <f>L351/L$314</f>
        <v>0.42690648210624621</v>
      </c>
      <c r="L351" s="96">
        <f>L330+L349</f>
        <v>49318.349999999991</v>
      </c>
      <c r="M351" s="100"/>
      <c r="N351" s="113">
        <f>L351-F351</f>
        <v>4318.3225303675135</v>
      </c>
      <c r="O351" s="97" t="s">
        <v>38</v>
      </c>
      <c r="P351" s="95">
        <f>Q351/Q$314</f>
        <v>0.43143620859397147</v>
      </c>
      <c r="Q351" s="96">
        <f>Q330+Q349</f>
        <v>47157.62999999999</v>
      </c>
      <c r="R351" s="100"/>
      <c r="S351" s="114">
        <f>L351-Q351</f>
        <v>2160.7200000000012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64152.498528355281</v>
      </c>
      <c r="G353" s="153"/>
      <c r="H353" s="125"/>
      <c r="I353" s="127"/>
      <c r="J353" s="154"/>
      <c r="K353" s="126"/>
      <c r="L353" s="127">
        <f>L314-L351</f>
        <v>66206.60000000002</v>
      </c>
      <c r="M353" s="154"/>
      <c r="N353" s="127">
        <f>L353-F353</f>
        <v>2054.1014716447389</v>
      </c>
      <c r="O353" s="154"/>
      <c r="P353" s="126"/>
      <c r="Q353" s="127">
        <f>Q314-Q351</f>
        <v>62146.2</v>
      </c>
      <c r="R353" s="154"/>
      <c r="S353" s="129">
        <f>L353-Q353</f>
        <v>4060.4000000000233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Octobre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96" t="s">
        <v>5</v>
      </c>
      <c r="E358" s="497"/>
      <c r="F358" s="498"/>
      <c r="G358" s="499"/>
      <c r="H358" s="497"/>
      <c r="I358" s="498"/>
      <c r="J358" s="499" t="s">
        <v>7</v>
      </c>
      <c r="K358" s="497"/>
      <c r="L358" s="498"/>
      <c r="M358" s="499"/>
      <c r="N358" s="498"/>
      <c r="O358" s="496" t="s">
        <v>8</v>
      </c>
      <c r="P358" s="497"/>
      <c r="Q358" s="498"/>
      <c r="R358" s="499" t="s">
        <v>9</v>
      </c>
      <c r="S358" s="503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53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53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53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53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53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53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53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53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54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53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54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53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54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53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54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53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54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53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54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53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54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53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54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53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54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53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54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53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54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53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54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53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54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53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54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53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54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53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54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53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54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53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54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53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54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53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54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53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54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53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54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53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54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53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54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53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54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53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54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53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54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53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54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53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54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86405.193928862485</v>
      </c>
      <c r="G401" s="13"/>
      <c r="H401" s="13"/>
      <c r="I401" s="13"/>
      <c r="J401" s="13"/>
      <c r="K401" s="13"/>
      <c r="L401" s="82">
        <f>L353+L289+L233</f>
        <v>83774.840000000026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>
        <f>F289+F233</f>
        <v>22252.6954005072</v>
      </c>
      <c r="G402" s="10"/>
      <c r="H402" s="10"/>
      <c r="I402" s="10"/>
      <c r="J402" s="10"/>
      <c r="K402" s="10"/>
      <c r="L402" s="155">
        <f>L289+L233</f>
        <v>17568.240000000002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Octobre 2024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04" t="s">
        <v>117</v>
      </c>
      <c r="Y404" s="501"/>
      <c r="Z404" s="505"/>
      <c r="AA404" s="500"/>
      <c r="AB404" s="501"/>
      <c r="AC404" s="505"/>
      <c r="AD404" s="500" t="s">
        <v>7</v>
      </c>
      <c r="AE404" s="501"/>
      <c r="AF404" s="505"/>
      <c r="AG404" s="500" t="s">
        <v>213</v>
      </c>
      <c r="AH404" s="501"/>
      <c r="AI404" s="505"/>
      <c r="AJ404" s="500" t="s">
        <v>118</v>
      </c>
      <c r="AK404" s="501"/>
      <c r="AL404" s="501"/>
      <c r="AM404" s="500" t="s">
        <v>119</v>
      </c>
      <c r="AN404" s="501"/>
      <c r="AO404" s="502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55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55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3474336.1673598569</v>
      </c>
      <c r="AA406" s="263"/>
      <c r="AB406" s="263"/>
      <c r="AC406" s="264"/>
      <c r="AD406" s="265"/>
      <c r="AE406" s="266"/>
      <c r="AF406" s="266">
        <f>L5+L93+K194+K250+J314+J362</f>
        <v>4023235.18</v>
      </c>
      <c r="AG406" s="265"/>
      <c r="AH406" s="266"/>
      <c r="AI406" s="267"/>
      <c r="AJ406" s="265"/>
      <c r="AK406" s="266"/>
      <c r="AL406" s="266">
        <f>Q5+Q93+P194+P250+O314+O362</f>
        <v>10220167.15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55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425449.49269723834</v>
      </c>
      <c r="AA407" s="271"/>
      <c r="AB407" s="271"/>
      <c r="AC407" s="272"/>
      <c r="AD407" s="273"/>
      <c r="AE407" s="274"/>
      <c r="AF407" s="274">
        <f>L27+L108+L194+L250+L314+L362</f>
        <v>459457.19000000012</v>
      </c>
      <c r="AG407" s="273"/>
      <c r="AH407" s="274">
        <f>AF407-Z407</f>
        <v>34007.697302761779</v>
      </c>
      <c r="AI407" s="275">
        <f>AH407/Z407</f>
        <v>7.9933571167665252E-2</v>
      </c>
      <c r="AJ407" s="273">
        <f>+AL407/AL406</f>
        <v>4.2912523206628715E-2</v>
      </c>
      <c r="AK407" s="274"/>
      <c r="AL407" s="274">
        <f>Q27+Q108+Q194+Q250+Q314+Q362</f>
        <v>438573.15999999945</v>
      </c>
      <c r="AM407" s="276"/>
      <c r="AN407" s="274">
        <f>AF407-AL407</f>
        <v>20884.030000000668</v>
      </c>
      <c r="AO407" s="277">
        <f>IF(AL407=0,0,AN407/AL407)</f>
        <v>4.7618121455496029E-2</v>
      </c>
      <c r="AP407" s="246"/>
      <c r="AQ407" s="246" t="s">
        <v>221</v>
      </c>
      <c r="AR407" s="310">
        <v>463120</v>
      </c>
      <c r="AS407" s="310">
        <f>AF407-AR407</f>
        <v>-3662.8099999998813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55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55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56">Z409/(D$13+D$97)</f>
        <v>1238.2614954789778</v>
      </c>
      <c r="Z409" s="280">
        <f t="shared" ref="Z409:Z415" si="57">+SUMIF($C:$C,$V409,F:F)</f>
        <v>40862.629350806266</v>
      </c>
      <c r="AA409" s="279"/>
      <c r="AB409" s="287"/>
      <c r="AC409" s="280"/>
      <c r="AD409" s="288"/>
      <c r="AE409" s="287">
        <f t="shared" ref="AE409:AE414" si="58">IF(AF409=0,0,AF409/(J$13+J$97))</f>
        <v>1083.468108108108</v>
      </c>
      <c r="AF409" s="280">
        <f t="shared" ref="AF409:AF415" si="59">+SUMIF($C:$C,$V409,L:L)</f>
        <v>40088.32</v>
      </c>
      <c r="AG409" s="281">
        <f t="shared" ref="AG409:AH424" si="60">AE409-Y409</f>
        <v>-154.79338737086982</v>
      </c>
      <c r="AH409" s="282">
        <f t="shared" si="60"/>
        <v>-774.30935080626659</v>
      </c>
      <c r="AI409" s="283">
        <f t="shared" ref="AI409:AI418" si="61">IF(Z409=0,0,AH409/Z409)</f>
        <v>-1.8949082893291315E-2</v>
      </c>
      <c r="AJ409" s="288"/>
      <c r="AK409" s="282">
        <f t="shared" ref="AK409:AK418" si="62">AL409/(O$13+O$97)</f>
        <v>1543.2543243243244</v>
      </c>
      <c r="AL409" s="280">
        <f t="shared" ref="AL409:AL414" si="63">+SUMIF($C:$C,$V409,Q:Q)</f>
        <v>57100.41</v>
      </c>
      <c r="AM409" s="284">
        <f t="shared" ref="AM409:AM414" si="64">AE409-Y409</f>
        <v>-154.79338737086982</v>
      </c>
      <c r="AN409" s="282">
        <f t="shared" ref="AN409:AN414" si="65">AF409-AL409</f>
        <v>-17012.090000000004</v>
      </c>
      <c r="AO409" s="289">
        <f t="shared" ref="AO409:AO431" si="66">IF(AL409=0,0,AN409/AL409)</f>
        <v>-0.29793288699678344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55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56"/>
        <v>430.30303030303031</v>
      </c>
      <c r="Z410" s="264">
        <f t="shared" si="57"/>
        <v>14200</v>
      </c>
      <c r="AA410" s="263"/>
      <c r="AB410" s="291"/>
      <c r="AC410" s="264"/>
      <c r="AD410" s="292"/>
      <c r="AE410" s="291">
        <f t="shared" si="58"/>
        <v>364.37027027027028</v>
      </c>
      <c r="AF410" s="264">
        <f t="shared" si="59"/>
        <v>13481.7</v>
      </c>
      <c r="AG410" s="265">
        <f t="shared" si="60"/>
        <v>-65.932760032760029</v>
      </c>
      <c r="AH410" s="266">
        <f t="shared" si="60"/>
        <v>-718.29999999999927</v>
      </c>
      <c r="AI410" s="293">
        <f t="shared" si="61"/>
        <v>-5.0584507042253472E-2</v>
      </c>
      <c r="AJ410" s="292"/>
      <c r="AK410" s="266">
        <f t="shared" si="62"/>
        <v>344.10945945945946</v>
      </c>
      <c r="AL410" s="264">
        <f t="shared" si="63"/>
        <v>12732.05</v>
      </c>
      <c r="AM410" s="268">
        <f t="shared" si="64"/>
        <v>-65.932760032760029</v>
      </c>
      <c r="AN410" s="266">
        <f t="shared" si="65"/>
        <v>749.65000000000146</v>
      </c>
      <c r="AO410" s="294">
        <f t="shared" si="66"/>
        <v>5.8878970786322822E-2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55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56"/>
        <v>110.90909090909091</v>
      </c>
      <c r="Z411" s="280">
        <f t="shared" si="57"/>
        <v>3660</v>
      </c>
      <c r="AA411" s="279"/>
      <c r="AB411" s="287"/>
      <c r="AC411" s="280"/>
      <c r="AD411" s="288"/>
      <c r="AE411" s="287">
        <f t="shared" si="58"/>
        <v>114.95675675675675</v>
      </c>
      <c r="AF411" s="280">
        <f t="shared" si="59"/>
        <v>4253.3999999999996</v>
      </c>
      <c r="AG411" s="281">
        <f t="shared" si="60"/>
        <v>4.04766584766584</v>
      </c>
      <c r="AH411" s="282">
        <f t="shared" si="60"/>
        <v>593.39999999999964</v>
      </c>
      <c r="AI411" s="283">
        <f t="shared" si="61"/>
        <v>0.16213114754098351</v>
      </c>
      <c r="AJ411" s="288"/>
      <c r="AK411" s="282">
        <f t="shared" si="62"/>
        <v>103.55324324324324</v>
      </c>
      <c r="AL411" s="280">
        <f t="shared" si="63"/>
        <v>3831.47</v>
      </c>
      <c r="AM411" s="284">
        <f t="shared" si="64"/>
        <v>4.04766584766584</v>
      </c>
      <c r="AN411" s="282">
        <f t="shared" si="65"/>
        <v>421.92999999999984</v>
      </c>
      <c r="AO411" s="289">
        <f t="shared" si="66"/>
        <v>0.11012222462918929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55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56"/>
        <v>69.545454545454547</v>
      </c>
      <c r="Z412" s="280">
        <f t="shared" si="57"/>
        <v>2295</v>
      </c>
      <c r="AA412" s="279"/>
      <c r="AB412" s="287"/>
      <c r="AC412" s="280"/>
      <c r="AD412" s="288"/>
      <c r="AE412" s="287">
        <f t="shared" si="58"/>
        <v>51.255405405405405</v>
      </c>
      <c r="AF412" s="280">
        <f t="shared" si="59"/>
        <v>1896.45</v>
      </c>
      <c r="AG412" s="281">
        <f t="shared" si="60"/>
        <v>-18.290049140049142</v>
      </c>
      <c r="AH412" s="282">
        <f t="shared" si="60"/>
        <v>-398.54999999999995</v>
      </c>
      <c r="AI412" s="283">
        <f t="shared" si="61"/>
        <v>-0.17366013071895423</v>
      </c>
      <c r="AJ412" s="288"/>
      <c r="AK412" s="282">
        <f t="shared" si="62"/>
        <v>17.563783783783784</v>
      </c>
      <c r="AL412" s="280">
        <f t="shared" si="63"/>
        <v>649.86</v>
      </c>
      <c r="AM412" s="284">
        <f t="shared" si="64"/>
        <v>-18.290049140049142</v>
      </c>
      <c r="AN412" s="282">
        <f t="shared" si="65"/>
        <v>1246.5900000000001</v>
      </c>
      <c r="AO412" s="295">
        <f t="shared" si="66"/>
        <v>1.9182439294617304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55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56"/>
        <v>88.181818181818187</v>
      </c>
      <c r="Z413" s="264">
        <f t="shared" si="57"/>
        <v>2910</v>
      </c>
      <c r="AA413" s="263"/>
      <c r="AB413" s="291"/>
      <c r="AC413" s="264"/>
      <c r="AD413" s="292"/>
      <c r="AE413" s="291">
        <f t="shared" si="58"/>
        <v>97.009189189189186</v>
      </c>
      <c r="AF413" s="264">
        <f t="shared" si="59"/>
        <v>3589.34</v>
      </c>
      <c r="AG413" s="265">
        <f t="shared" si="60"/>
        <v>8.8273710073709992</v>
      </c>
      <c r="AH413" s="266">
        <f t="shared" si="60"/>
        <v>679.34000000000015</v>
      </c>
      <c r="AI413" s="293">
        <f t="shared" si="61"/>
        <v>0.2334501718213059</v>
      </c>
      <c r="AJ413" s="292"/>
      <c r="AK413" s="266">
        <f t="shared" si="62"/>
        <v>76.253513513513511</v>
      </c>
      <c r="AL413" s="264">
        <f t="shared" si="63"/>
        <v>2821.38</v>
      </c>
      <c r="AM413" s="268">
        <f t="shared" si="64"/>
        <v>8.8273710073709992</v>
      </c>
      <c r="AN413" s="266">
        <f t="shared" si="65"/>
        <v>767.96</v>
      </c>
      <c r="AO413" s="294">
        <f t="shared" si="66"/>
        <v>0.27219304028525049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55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56"/>
        <v>493.08065025252529</v>
      </c>
      <c r="Z414" s="280">
        <f t="shared" si="57"/>
        <v>16271.661458333334</v>
      </c>
      <c r="AA414" s="283"/>
      <c r="AB414" s="287"/>
      <c r="AC414" s="280"/>
      <c r="AD414" s="288"/>
      <c r="AE414" s="287">
        <f t="shared" si="58"/>
        <v>839.23135135135124</v>
      </c>
      <c r="AF414" s="280">
        <f t="shared" si="59"/>
        <v>31051.559999999998</v>
      </c>
      <c r="AG414" s="281">
        <f t="shared" si="60"/>
        <v>346.15070109882595</v>
      </c>
      <c r="AH414" s="282">
        <f t="shared" si="60"/>
        <v>14779.898541666664</v>
      </c>
      <c r="AI414" s="283">
        <f t="shared" si="61"/>
        <v>0.90832141385889753</v>
      </c>
      <c r="AJ414" s="288"/>
      <c r="AK414" s="282">
        <f t="shared" si="62"/>
        <v>506.55864864864861</v>
      </c>
      <c r="AL414" s="280">
        <f t="shared" si="63"/>
        <v>18742.669999999998</v>
      </c>
      <c r="AM414" s="284">
        <f t="shared" si="64"/>
        <v>346.15070109882595</v>
      </c>
      <c r="AN414" s="282">
        <f t="shared" si="65"/>
        <v>12308.89</v>
      </c>
      <c r="AO414" s="289">
        <f t="shared" si="66"/>
        <v>0.65673087132196217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55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56"/>
        <v>1030.4133396149639</v>
      </c>
      <c r="Z415" s="280">
        <f t="shared" si="57"/>
        <v>34003.640207293807</v>
      </c>
      <c r="AA415" s="279"/>
      <c r="AB415" s="287"/>
      <c r="AC415" s="280"/>
      <c r="AD415" s="288"/>
      <c r="AE415" s="287">
        <f>IF(AF415=0,0,AF415/(J$13+J$13))</f>
        <v>507.45021739130431</v>
      </c>
      <c r="AF415" s="280">
        <f t="shared" si="59"/>
        <v>23342.71</v>
      </c>
      <c r="AG415" s="281">
        <f t="shared" si="60"/>
        <v>-522.96312222365964</v>
      </c>
      <c r="AH415" s="282">
        <f t="shared" si="60"/>
        <v>-10660.930207293808</v>
      </c>
      <c r="AI415" s="283">
        <f t="shared" si="61"/>
        <v>-0.31352320346593454</v>
      </c>
      <c r="AJ415" s="288"/>
      <c r="AK415" s="282">
        <f t="shared" si="62"/>
        <v>536.21783783783781</v>
      </c>
      <c r="AL415" s="280">
        <f>IFERROR(SUMIF($C:$C,$V415,Q:Q),0)</f>
        <v>19840.059999999998</v>
      </c>
      <c r="AM415" s="284">
        <f>AE415-Y415</f>
        <v>-522.96312222365964</v>
      </c>
      <c r="AN415" s="282">
        <f>AF415-AL415</f>
        <v>3502.6500000000015</v>
      </c>
      <c r="AO415" s="289">
        <f t="shared" si="66"/>
        <v>0.17654432496675926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55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56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60"/>
        <v>0</v>
      </c>
      <c r="AH416" s="282">
        <f t="shared" si="60"/>
        <v>0</v>
      </c>
      <c r="AI416" s="283">
        <f t="shared" si="61"/>
        <v>0</v>
      </c>
      <c r="AJ416" s="288"/>
      <c r="AK416" s="282">
        <f t="shared" si="62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66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55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56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60"/>
        <v>0</v>
      </c>
      <c r="AH417" s="282">
        <f t="shared" si="60"/>
        <v>0</v>
      </c>
      <c r="AI417" s="283">
        <f t="shared" si="61"/>
        <v>0</v>
      </c>
      <c r="AJ417" s="288"/>
      <c r="AK417" s="282">
        <f t="shared" si="62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66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55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56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60"/>
        <v>0</v>
      </c>
      <c r="AH418" s="282">
        <f t="shared" si="60"/>
        <v>0</v>
      </c>
      <c r="AI418" s="283">
        <f t="shared" si="61"/>
        <v>0</v>
      </c>
      <c r="AJ418" s="288"/>
      <c r="AK418" s="282">
        <f t="shared" si="62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66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55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0.26842888045868085</v>
      </c>
      <c r="Y419" s="297"/>
      <c r="Z419" s="299">
        <f>SUM(Z409:Z418)</f>
        <v>114202.9310164334</v>
      </c>
      <c r="AA419" s="298"/>
      <c r="AB419" s="297"/>
      <c r="AC419" s="299"/>
      <c r="AD419" s="300">
        <f>AF419/AF407</f>
        <v>0.25617942772862035</v>
      </c>
      <c r="AE419" s="297"/>
      <c r="AF419" s="299">
        <f>SUM(AF409:AF418)</f>
        <v>117703.48000000001</v>
      </c>
      <c r="AG419" s="301"/>
      <c r="AH419" s="302">
        <f t="shared" si="60"/>
        <v>3500.5489835666085</v>
      </c>
      <c r="AI419" s="298">
        <f>AH419/Z419</f>
        <v>3.0652006497651901E-2</v>
      </c>
      <c r="AJ419" s="300">
        <f>IF($AL$407=0,0,AL419/$AL$407)</f>
        <v>0.26385084759860855</v>
      </c>
      <c r="AK419" s="297"/>
      <c r="AL419" s="299">
        <f>SUM(AL409:AL418)</f>
        <v>115717.90000000001</v>
      </c>
      <c r="AM419" s="303"/>
      <c r="AN419" s="302">
        <f t="shared" ref="AN419:AN431" si="67">AF419-AL419</f>
        <v>1985.5800000000017</v>
      </c>
      <c r="AO419" s="277">
        <f t="shared" si="66"/>
        <v>1.71587973857113E-2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55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15577.449745547074</v>
      </c>
      <c r="AA420" s="279"/>
      <c r="AB420" s="279"/>
      <c r="AC420" s="280"/>
      <c r="AD420" s="288"/>
      <c r="AE420" s="287"/>
      <c r="AF420" s="280">
        <v>15620.880000000001</v>
      </c>
      <c r="AG420" s="281"/>
      <c r="AH420" s="282">
        <f t="shared" si="60"/>
        <v>43.430254452927329</v>
      </c>
      <c r="AI420" s="283">
        <f t="shared" ref="AI420:AI432" si="68">IF(Z420=0,0,AH420/Z420)</f>
        <v>2.7880208353965115E-3</v>
      </c>
      <c r="AJ420" s="288"/>
      <c r="AK420" s="279"/>
      <c r="AL420" s="280">
        <v>14713.99</v>
      </c>
      <c r="AM420" s="284"/>
      <c r="AN420" s="282">
        <f t="shared" si="67"/>
        <v>906.89000000000124</v>
      </c>
      <c r="AO420" s="289">
        <f t="shared" si="66"/>
        <v>6.1634539645602671E-2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55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69">+SUMIF($C:$C,$V421,F:F)</f>
        <v>32305.096692111962</v>
      </c>
      <c r="AA421" s="279"/>
      <c r="AB421" s="279"/>
      <c r="AC421" s="280"/>
      <c r="AD421" s="288"/>
      <c r="AE421" s="287"/>
      <c r="AF421" s="280">
        <f t="shared" ref="AF421:AF432" si="70">+SUMIF($C:$C,$V421,L:L)</f>
        <v>34750.01</v>
      </c>
      <c r="AG421" s="281"/>
      <c r="AH421" s="282">
        <f t="shared" si="60"/>
        <v>2444.9133078880404</v>
      </c>
      <c r="AI421" s="283">
        <f t="shared" si="68"/>
        <v>7.5681968427137467E-2</v>
      </c>
      <c r="AJ421" s="288"/>
      <c r="AK421" s="279"/>
      <c r="AL421" s="280">
        <f t="shared" ref="AL421:AL429" si="71">+SUMIF($C:$C,$V421,Q:Q)</f>
        <v>31546.26</v>
      </c>
      <c r="AM421" s="284"/>
      <c r="AN421" s="282">
        <f t="shared" si="67"/>
        <v>3203.7500000000036</v>
      </c>
      <c r="AO421" s="289">
        <f t="shared" si="66"/>
        <v>0.10155720519643228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55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69"/>
        <v>20206.106234096689</v>
      </c>
      <c r="AA422" s="263"/>
      <c r="AB422" s="263"/>
      <c r="AC422" s="264"/>
      <c r="AD422" s="292"/>
      <c r="AE422" s="291"/>
      <c r="AF422" s="264">
        <f t="shared" si="70"/>
        <v>21192.29</v>
      </c>
      <c r="AG422" s="265"/>
      <c r="AH422" s="266">
        <f t="shared" si="60"/>
        <v>986.18376590331172</v>
      </c>
      <c r="AI422" s="293">
        <f t="shared" si="68"/>
        <v>4.880622493408359E-2</v>
      </c>
      <c r="AJ422" s="292"/>
      <c r="AK422" s="263"/>
      <c r="AL422" s="264">
        <f t="shared" si="71"/>
        <v>19917.480000000003</v>
      </c>
      <c r="AM422" s="268"/>
      <c r="AN422" s="266">
        <f t="shared" si="67"/>
        <v>1274.8099999999977</v>
      </c>
      <c r="AO422" s="269">
        <f t="shared" si="66"/>
        <v>6.4004582909082744E-2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55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69"/>
        <v>27037.774809160306</v>
      </c>
      <c r="AA423" s="279"/>
      <c r="AB423" s="279"/>
      <c r="AC423" s="280"/>
      <c r="AD423" s="288"/>
      <c r="AE423" s="287"/>
      <c r="AF423" s="280">
        <f t="shared" si="70"/>
        <v>28028.15</v>
      </c>
      <c r="AG423" s="281"/>
      <c r="AH423" s="282">
        <f t="shared" si="60"/>
        <v>990.37519083969528</v>
      </c>
      <c r="AI423" s="283">
        <f t="shared" si="68"/>
        <v>3.6629315756567346E-2</v>
      </c>
      <c r="AJ423" s="288"/>
      <c r="AK423" s="279"/>
      <c r="AL423" s="280">
        <f t="shared" si="71"/>
        <v>21807.07</v>
      </c>
      <c r="AM423" s="284"/>
      <c r="AN423" s="282">
        <f t="shared" si="67"/>
        <v>6221.0800000000017</v>
      </c>
      <c r="AO423" s="289">
        <f t="shared" si="66"/>
        <v>0.28527812310411266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55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69"/>
        <v>13843.692830312786</v>
      </c>
      <c r="AA424" s="279"/>
      <c r="AB424" s="279"/>
      <c r="AC424" s="280"/>
      <c r="AD424" s="288"/>
      <c r="AE424" s="287"/>
      <c r="AF424" s="280">
        <f t="shared" si="70"/>
        <v>15814.28</v>
      </c>
      <c r="AG424" s="281"/>
      <c r="AH424" s="282">
        <f t="shared" si="60"/>
        <v>1970.5871696872146</v>
      </c>
      <c r="AI424" s="283">
        <f t="shared" si="68"/>
        <v>0.14234548496860075</v>
      </c>
      <c r="AJ424" s="288"/>
      <c r="AK424" s="279"/>
      <c r="AL424" s="280">
        <f t="shared" si="71"/>
        <v>11193.92</v>
      </c>
      <c r="AM424" s="284"/>
      <c r="AN424" s="282">
        <f t="shared" si="67"/>
        <v>4620.3600000000006</v>
      </c>
      <c r="AO424" s="289">
        <f t="shared" si="66"/>
        <v>0.41275621051427924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55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69"/>
        <v>0</v>
      </c>
      <c r="AA425" s="279"/>
      <c r="AB425" s="279"/>
      <c r="AC425" s="282"/>
      <c r="AD425" s="288"/>
      <c r="AE425" s="287"/>
      <c r="AF425" s="280">
        <f t="shared" si="70"/>
        <v>0</v>
      </c>
      <c r="AG425" s="281"/>
      <c r="AH425" s="282">
        <f t="shared" ref="AH425:AH451" si="72">AF425-Z425</f>
        <v>0</v>
      </c>
      <c r="AI425" s="283">
        <f t="shared" si="68"/>
        <v>0</v>
      </c>
      <c r="AJ425" s="288"/>
      <c r="AK425" s="279"/>
      <c r="AL425" s="280">
        <f t="shared" si="71"/>
        <v>0</v>
      </c>
      <c r="AM425" s="284"/>
      <c r="AN425" s="282">
        <f t="shared" si="67"/>
        <v>0</v>
      </c>
      <c r="AO425" s="289">
        <f t="shared" si="66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55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69"/>
        <v>0</v>
      </c>
      <c r="AA426" s="279"/>
      <c r="AB426" s="279"/>
      <c r="AC426" s="282"/>
      <c r="AD426" s="288"/>
      <c r="AE426" s="287"/>
      <c r="AF426" s="280">
        <f t="shared" si="70"/>
        <v>0</v>
      </c>
      <c r="AG426" s="281"/>
      <c r="AH426" s="282">
        <f t="shared" si="72"/>
        <v>0</v>
      </c>
      <c r="AI426" s="283">
        <f t="shared" si="68"/>
        <v>0</v>
      </c>
      <c r="AJ426" s="288"/>
      <c r="AK426" s="279"/>
      <c r="AL426" s="280">
        <f t="shared" si="71"/>
        <v>0</v>
      </c>
      <c r="AM426" s="284"/>
      <c r="AN426" s="282">
        <f t="shared" si="67"/>
        <v>0</v>
      </c>
      <c r="AO426" s="289">
        <f t="shared" si="66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55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69"/>
        <v>0</v>
      </c>
      <c r="AA427" s="279"/>
      <c r="AB427" s="279"/>
      <c r="AC427" s="282"/>
      <c r="AD427" s="288"/>
      <c r="AE427" s="287"/>
      <c r="AF427" s="280">
        <f t="shared" si="70"/>
        <v>0</v>
      </c>
      <c r="AG427" s="281"/>
      <c r="AH427" s="282">
        <f t="shared" si="72"/>
        <v>0</v>
      </c>
      <c r="AI427" s="283">
        <f t="shared" si="68"/>
        <v>0</v>
      </c>
      <c r="AJ427" s="288"/>
      <c r="AK427" s="279"/>
      <c r="AL427" s="280">
        <f t="shared" si="71"/>
        <v>0</v>
      </c>
      <c r="AM427" s="284"/>
      <c r="AN427" s="282">
        <f t="shared" si="67"/>
        <v>0</v>
      </c>
      <c r="AO427" s="289">
        <f t="shared" si="66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55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69"/>
        <v>21146.28216371985</v>
      </c>
      <c r="AA428" s="263"/>
      <c r="AB428" s="263"/>
      <c r="AC428" s="264"/>
      <c r="AD428" s="292"/>
      <c r="AE428" s="291"/>
      <c r="AF428" s="264">
        <f t="shared" si="70"/>
        <v>21094.079999999998</v>
      </c>
      <c r="AG428" s="265"/>
      <c r="AH428" s="266">
        <f t="shared" si="72"/>
        <v>-52.202163719852251</v>
      </c>
      <c r="AI428" s="293">
        <f t="shared" si="68"/>
        <v>-2.4686213546045556E-3</v>
      </c>
      <c r="AJ428" s="292"/>
      <c r="AK428" s="263"/>
      <c r="AL428" s="264">
        <f t="shared" si="71"/>
        <v>20395.04</v>
      </c>
      <c r="AM428" s="268"/>
      <c r="AN428" s="266">
        <f t="shared" si="67"/>
        <v>699.03999999999724</v>
      </c>
      <c r="AO428" s="294">
        <f t="shared" si="66"/>
        <v>3.4275000196125976E-2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55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69"/>
        <v>27014.005542244809</v>
      </c>
      <c r="AA429" s="279"/>
      <c r="AB429" s="279"/>
      <c r="AC429" s="280"/>
      <c r="AD429" s="288"/>
      <c r="AE429" s="287"/>
      <c r="AF429" s="280">
        <f t="shared" si="70"/>
        <v>25103.7</v>
      </c>
      <c r="AG429" s="281"/>
      <c r="AH429" s="282">
        <f t="shared" si="72"/>
        <v>-1910.3055422448087</v>
      </c>
      <c r="AI429" s="283">
        <f t="shared" si="68"/>
        <v>-7.0715375372876532E-2</v>
      </c>
      <c r="AJ429" s="288"/>
      <c r="AK429" s="279"/>
      <c r="AL429" s="280">
        <f t="shared" si="71"/>
        <v>21495.57</v>
      </c>
      <c r="AM429" s="284"/>
      <c r="AN429" s="282">
        <f t="shared" si="67"/>
        <v>3608.130000000001</v>
      </c>
      <c r="AO429" s="289">
        <f t="shared" si="66"/>
        <v>0.16785458585187557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55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69"/>
        <v>12714.586664646175</v>
      </c>
      <c r="AA430" s="279"/>
      <c r="AB430" s="279"/>
      <c r="AC430" s="280"/>
      <c r="AD430" s="288"/>
      <c r="AE430" s="287"/>
      <c r="AF430" s="280">
        <f t="shared" si="70"/>
        <v>15108.050000000001</v>
      </c>
      <c r="AG430" s="281"/>
      <c r="AH430" s="282">
        <f t="shared" si="72"/>
        <v>2393.4633353538266</v>
      </c>
      <c r="AI430" s="283">
        <f t="shared" si="68"/>
        <v>0.18824546943464737</v>
      </c>
      <c r="AJ430" s="288"/>
      <c r="AK430" s="279"/>
      <c r="AL430" s="280">
        <f>IFERROR(SUMIF($C:$C,$V430,Q:Q),0)</f>
        <v>11735.34</v>
      </c>
      <c r="AM430" s="284"/>
      <c r="AN430" s="282">
        <f t="shared" si="67"/>
        <v>3372.7100000000009</v>
      </c>
      <c r="AO430" s="289">
        <f t="shared" si="66"/>
        <v>0.2873977234575224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55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69"/>
        <v>2871.0356984684913</v>
      </c>
      <c r="AA431" s="279"/>
      <c r="AB431" s="279"/>
      <c r="AC431" s="280"/>
      <c r="AD431" s="288"/>
      <c r="AE431" s="287"/>
      <c r="AF431" s="280">
        <f t="shared" si="70"/>
        <v>2123.2200000000003</v>
      </c>
      <c r="AG431" s="281"/>
      <c r="AH431" s="282">
        <f t="shared" si="72"/>
        <v>-747.81569846849106</v>
      </c>
      <c r="AI431" s="306">
        <f t="shared" si="68"/>
        <v>-0.26046896556089549</v>
      </c>
      <c r="AJ431" s="288"/>
      <c r="AK431" s="279"/>
      <c r="AL431" s="280">
        <f>IFERROR(SUMIF($C:$C,$V431,Q:Q),0)</f>
        <v>1597.36</v>
      </c>
      <c r="AM431" s="284"/>
      <c r="AN431" s="282">
        <f t="shared" si="67"/>
        <v>525.86000000000035</v>
      </c>
      <c r="AO431" s="294">
        <f t="shared" si="66"/>
        <v>0.32920568938748962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55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70"/>
        <v>0</v>
      </c>
      <c r="AG432" s="281"/>
      <c r="AH432" s="282">
        <f t="shared" si="72"/>
        <v>0</v>
      </c>
      <c r="AI432" s="283">
        <f t="shared" si="68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55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0.40596130291596721</v>
      </c>
      <c r="Y433" s="297"/>
      <c r="Z433" s="299">
        <f>SUM(Z420:Z432)</f>
        <v>172716.03038030816</v>
      </c>
      <c r="AA433" s="298"/>
      <c r="AB433" s="297"/>
      <c r="AC433" s="299"/>
      <c r="AD433" s="300">
        <f>AF433/AF407</f>
        <v>0.38923030021578275</v>
      </c>
      <c r="AE433" s="307"/>
      <c r="AF433" s="299">
        <f>SUM(AF420:AF432)</f>
        <v>178834.65999999997</v>
      </c>
      <c r="AG433" s="308"/>
      <c r="AH433" s="302">
        <f t="shared" si="72"/>
        <v>6118.629619691812</v>
      </c>
      <c r="AI433" s="298">
        <f>AH433/Z433</f>
        <v>3.5425950945138292E-2</v>
      </c>
      <c r="AJ433" s="300">
        <f>IF($AL$407=0,0,AL433/$AL$407)</f>
        <v>0.35205535605507687</v>
      </c>
      <c r="AK433" s="297"/>
      <c r="AL433" s="299">
        <f>SUM(AL420:AL432)</f>
        <v>154402.03</v>
      </c>
      <c r="AM433" s="309"/>
      <c r="AN433" s="302">
        <f t="shared" ref="AN433:AN447" si="73">AF433-AL433</f>
        <v>24432.629999999976</v>
      </c>
      <c r="AO433" s="277">
        <f>IF(AL433=0,0,AN433/AL433)</f>
        <v>0.15824034178825225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55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74">+SUMIF($C:$C,$V434,F:F)</f>
        <v>9074.8416008156382</v>
      </c>
      <c r="AA434" s="312"/>
      <c r="AB434" s="312"/>
      <c r="AC434" s="313"/>
      <c r="AD434" s="314"/>
      <c r="AE434" s="315"/>
      <c r="AF434" s="313">
        <f t="shared" ref="AF434:AF451" si="75">+SUMIF($C:$C,$V434,L:L)</f>
        <v>12733.509999999998</v>
      </c>
      <c r="AG434" s="314"/>
      <c r="AH434" s="316">
        <f t="shared" si="72"/>
        <v>3658.6683991843602</v>
      </c>
      <c r="AI434" s="317">
        <f t="shared" ref="AI434:AI451" si="76">IF(Z434=0,0,AH434/Z434)</f>
        <v>0.40316608929631592</v>
      </c>
      <c r="AJ434" s="314"/>
      <c r="AK434" s="312"/>
      <c r="AL434" s="313">
        <f t="shared" ref="AL434:AL448" si="77">+SUMIF($C:$C,$V434,Q:Q)</f>
        <v>12227.79</v>
      </c>
      <c r="AM434" s="318"/>
      <c r="AN434" s="316">
        <f t="shared" si="73"/>
        <v>505.71999999999753</v>
      </c>
      <c r="AO434" s="285">
        <f t="shared" ref="AO434:AO447" si="78">IF(AL434=0,0,AN434/AL434)</f>
        <v>4.1358250346137569E-2</v>
      </c>
      <c r="AP434" s="246"/>
      <c r="AQ434" s="246">
        <v>12734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55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74"/>
        <v>3965</v>
      </c>
      <c r="AA435" s="279"/>
      <c r="AB435" s="279"/>
      <c r="AC435" s="280"/>
      <c r="AD435" s="288"/>
      <c r="AE435" s="287"/>
      <c r="AF435" s="280">
        <f t="shared" si="75"/>
        <v>4956.34</v>
      </c>
      <c r="AG435" s="281"/>
      <c r="AH435" s="282">
        <f t="shared" si="72"/>
        <v>991.34000000000015</v>
      </c>
      <c r="AI435" s="283">
        <f t="shared" si="76"/>
        <v>0.25002269861286258</v>
      </c>
      <c r="AJ435" s="288"/>
      <c r="AK435" s="279"/>
      <c r="AL435" s="280">
        <f t="shared" si="77"/>
        <v>5879.3399999999901</v>
      </c>
      <c r="AM435" s="284"/>
      <c r="AN435" s="282">
        <f t="shared" si="73"/>
        <v>-922.99999999999</v>
      </c>
      <c r="AO435" s="289">
        <f t="shared" si="78"/>
        <v>-0.15699041048825063</v>
      </c>
      <c r="AP435" s="246"/>
      <c r="AQ435" s="246">
        <v>4956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55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74"/>
        <v>15303.333333333334</v>
      </c>
      <c r="AA436" s="263"/>
      <c r="AB436" s="263"/>
      <c r="AC436" s="264"/>
      <c r="AD436" s="292"/>
      <c r="AE436" s="291"/>
      <c r="AF436" s="264">
        <f t="shared" si="75"/>
        <v>20128.419999999998</v>
      </c>
      <c r="AG436" s="265"/>
      <c r="AH436" s="266">
        <f t="shared" si="72"/>
        <v>4825.0866666666643</v>
      </c>
      <c r="AI436" s="293">
        <f t="shared" si="76"/>
        <v>0.31529644957525577</v>
      </c>
      <c r="AJ436" s="292"/>
      <c r="AK436" s="263"/>
      <c r="AL436" s="264">
        <f t="shared" si="77"/>
        <v>21538.729999999989</v>
      </c>
      <c r="AM436" s="268"/>
      <c r="AN436" s="266">
        <f t="shared" si="73"/>
        <v>-1410.3099999999904</v>
      </c>
      <c r="AO436" s="269">
        <f t="shared" si="78"/>
        <v>-6.5477862436642789E-2</v>
      </c>
      <c r="AP436" s="246"/>
      <c r="AQ436" s="246">
        <v>20128</v>
      </c>
      <c r="AR436" s="485" t="s">
        <v>250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55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74"/>
        <v>14093</v>
      </c>
      <c r="AA437" s="279"/>
      <c r="AB437" s="279"/>
      <c r="AC437" s="280"/>
      <c r="AD437" s="288"/>
      <c r="AE437" s="287"/>
      <c r="AF437" s="280">
        <f t="shared" si="75"/>
        <v>15192.349999999999</v>
      </c>
      <c r="AG437" s="281"/>
      <c r="AH437" s="282">
        <f>AF437-Z437</f>
        <v>1099.3499999999985</v>
      </c>
      <c r="AI437" s="283">
        <f t="shared" si="76"/>
        <v>7.8006811892428765E-2</v>
      </c>
      <c r="AJ437" s="288"/>
      <c r="AK437" s="279"/>
      <c r="AL437" s="280">
        <f t="shared" si="77"/>
        <v>14414.199999999999</v>
      </c>
      <c r="AM437" s="284"/>
      <c r="AN437" s="282">
        <f t="shared" si="73"/>
        <v>778.14999999999964</v>
      </c>
      <c r="AO437" s="289">
        <f t="shared" si="78"/>
        <v>5.3984959276269215E-2</v>
      </c>
      <c r="AP437" s="485"/>
      <c r="AQ437" s="246">
        <v>15192</v>
      </c>
      <c r="AR437" s="246" t="s">
        <v>251</v>
      </c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55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74"/>
        <v>1828</v>
      </c>
      <c r="AA438" s="279"/>
      <c r="AB438" s="279"/>
      <c r="AC438" s="280"/>
      <c r="AD438" s="288"/>
      <c r="AE438" s="287"/>
      <c r="AF438" s="280">
        <f t="shared" si="75"/>
        <v>2158.0200000000004</v>
      </c>
      <c r="AG438" s="281"/>
      <c r="AH438" s="282">
        <f t="shared" si="72"/>
        <v>330.02000000000044</v>
      </c>
      <c r="AI438" s="283">
        <f t="shared" si="76"/>
        <v>0.180536105032823</v>
      </c>
      <c r="AJ438" s="288"/>
      <c r="AK438" s="279"/>
      <c r="AL438" s="280">
        <f t="shared" si="77"/>
        <v>1626.3</v>
      </c>
      <c r="AM438" s="284"/>
      <c r="AN438" s="282">
        <f t="shared" si="73"/>
        <v>531.72000000000048</v>
      </c>
      <c r="AO438" s="289">
        <f t="shared" si="78"/>
        <v>0.32695074709463229</v>
      </c>
      <c r="AP438" s="485"/>
      <c r="AQ438" s="246">
        <f>1658+500</f>
        <v>2158</v>
      </c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55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74"/>
        <v>10966.000000000002</v>
      </c>
      <c r="AA439" s="279"/>
      <c r="AB439" s="279"/>
      <c r="AC439" s="280"/>
      <c r="AD439" s="288"/>
      <c r="AE439" s="287"/>
      <c r="AF439" s="280">
        <f t="shared" si="75"/>
        <v>14264.399999999998</v>
      </c>
      <c r="AG439" s="281"/>
      <c r="AH439" s="282">
        <f t="shared" si="72"/>
        <v>3298.399999999996</v>
      </c>
      <c r="AI439" s="283">
        <f t="shared" si="76"/>
        <v>0.30078424220317301</v>
      </c>
      <c r="AJ439" s="288"/>
      <c r="AK439" s="279"/>
      <c r="AL439" s="280">
        <f t="shared" si="77"/>
        <v>9933.0400000000009</v>
      </c>
      <c r="AM439" s="284"/>
      <c r="AN439" s="282">
        <f t="shared" si="73"/>
        <v>4331.3599999999969</v>
      </c>
      <c r="AO439" s="289">
        <f t="shared" si="78"/>
        <v>0.43605582983658542</v>
      </c>
      <c r="AP439" s="246"/>
      <c r="AQ439" s="246">
        <f>14264</f>
        <v>14264</v>
      </c>
      <c r="AR439" s="246" t="s">
        <v>252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74"/>
        <v>0</v>
      </c>
      <c r="AA440" s="320"/>
      <c r="AB440" s="320"/>
      <c r="AC440" s="321"/>
      <c r="AD440" s="322"/>
      <c r="AE440" s="323"/>
      <c r="AF440" s="321">
        <f t="shared" si="75"/>
        <v>0</v>
      </c>
      <c r="AG440" s="324"/>
      <c r="AH440" s="325">
        <f t="shared" si="72"/>
        <v>0</v>
      </c>
      <c r="AI440" s="326">
        <f t="shared" si="76"/>
        <v>0</v>
      </c>
      <c r="AJ440" s="322"/>
      <c r="AK440" s="320"/>
      <c r="AL440" s="321">
        <f t="shared" si="77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55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74"/>
        <v>1358.0426116229623</v>
      </c>
      <c r="AA441" s="279"/>
      <c r="AB441" s="287"/>
      <c r="AC441" s="280"/>
      <c r="AD441" s="288"/>
      <c r="AE441" s="287"/>
      <c r="AF441" s="280">
        <f t="shared" si="75"/>
        <v>2684.08</v>
      </c>
      <c r="AG441" s="281"/>
      <c r="AH441" s="282">
        <f t="shared" si="72"/>
        <v>1326.0373883770376</v>
      </c>
      <c r="AI441" s="283">
        <f t="shared" si="76"/>
        <v>0.97643282841642498</v>
      </c>
      <c r="AJ441" s="288"/>
      <c r="AK441" s="279"/>
      <c r="AL441" s="280">
        <f t="shared" si="77"/>
        <v>2732.29</v>
      </c>
      <c r="AM441" s="284"/>
      <c r="AN441" s="282">
        <f t="shared" si="73"/>
        <v>-48.210000000000036</v>
      </c>
      <c r="AO441" s="289">
        <f t="shared" si="78"/>
        <v>-1.7644539928045717E-2</v>
      </c>
      <c r="AP441" s="246"/>
      <c r="AQ441" s="246">
        <v>2684</v>
      </c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55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74"/>
        <v>1003</v>
      </c>
      <c r="AA442" s="279"/>
      <c r="AB442" s="279"/>
      <c r="AC442" s="280"/>
      <c r="AD442" s="288"/>
      <c r="AE442" s="287"/>
      <c r="AF442" s="280">
        <f t="shared" si="75"/>
        <v>739.84</v>
      </c>
      <c r="AG442" s="281"/>
      <c r="AH442" s="282">
        <f t="shared" si="72"/>
        <v>-263.15999999999997</v>
      </c>
      <c r="AI442" s="306">
        <f t="shared" si="76"/>
        <v>-0.26237288135593217</v>
      </c>
      <c r="AJ442" s="288"/>
      <c r="AK442" s="279"/>
      <c r="AL442" s="280">
        <f t="shared" si="77"/>
        <v>612.80999999999995</v>
      </c>
      <c r="AM442" s="284"/>
      <c r="AN442" s="282">
        <f t="shared" si="73"/>
        <v>127.03000000000009</v>
      </c>
      <c r="AO442" s="289">
        <f t="shared" si="78"/>
        <v>0.20729100373688436</v>
      </c>
      <c r="AP442" s="246"/>
      <c r="AQ442" s="246">
        <v>740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55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74"/>
        <v>1750</v>
      </c>
      <c r="AA443" s="279"/>
      <c r="AB443" s="279"/>
      <c r="AC443" s="280"/>
      <c r="AD443" s="288"/>
      <c r="AE443" s="287"/>
      <c r="AF443" s="280">
        <f t="shared" si="75"/>
        <v>1903.85</v>
      </c>
      <c r="AG443" s="281"/>
      <c r="AH443" s="282">
        <f t="shared" si="72"/>
        <v>153.84999999999991</v>
      </c>
      <c r="AI443" s="283">
        <f t="shared" si="76"/>
        <v>8.7914285714285667E-2</v>
      </c>
      <c r="AJ443" s="288"/>
      <c r="AK443" s="279"/>
      <c r="AL443" s="280">
        <f t="shared" si="77"/>
        <v>1478.6899999999998</v>
      </c>
      <c r="AM443" s="284"/>
      <c r="AN443" s="282">
        <f t="shared" si="73"/>
        <v>425.16000000000008</v>
      </c>
      <c r="AO443" s="289">
        <f t="shared" si="78"/>
        <v>0.28752476854513126</v>
      </c>
      <c r="AP443" s="246"/>
      <c r="AQ443" s="246">
        <v>1904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55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74"/>
        <v>512</v>
      </c>
      <c r="AA444" s="279"/>
      <c r="AB444" s="279"/>
      <c r="AC444" s="280"/>
      <c r="AD444" s="288"/>
      <c r="AE444" s="287"/>
      <c r="AF444" s="280">
        <f t="shared" si="75"/>
        <v>474.14</v>
      </c>
      <c r="AG444" s="281"/>
      <c r="AH444" s="282">
        <f t="shared" si="72"/>
        <v>-37.860000000000014</v>
      </c>
      <c r="AI444" s="306">
        <f t="shared" si="76"/>
        <v>-7.3945312500000027E-2</v>
      </c>
      <c r="AJ444" s="288"/>
      <c r="AK444" s="279"/>
      <c r="AL444" s="280">
        <f t="shared" si="77"/>
        <v>495.21</v>
      </c>
      <c r="AM444" s="284"/>
      <c r="AN444" s="282">
        <f t="shared" si="73"/>
        <v>-21.069999999999993</v>
      </c>
      <c r="AO444" s="289">
        <f t="shared" si="78"/>
        <v>-4.2547606066113353E-2</v>
      </c>
      <c r="AP444" s="246"/>
      <c r="AQ444" s="246">
        <v>474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55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74"/>
        <v>875</v>
      </c>
      <c r="AA445" s="279"/>
      <c r="AB445" s="279"/>
      <c r="AC445" s="280"/>
      <c r="AD445" s="288"/>
      <c r="AE445" s="287"/>
      <c r="AF445" s="280">
        <f t="shared" si="75"/>
        <v>1782.08</v>
      </c>
      <c r="AG445" s="281"/>
      <c r="AH445" s="282">
        <f t="shared" si="72"/>
        <v>907.07999999999993</v>
      </c>
      <c r="AI445" s="283">
        <f t="shared" si="76"/>
        <v>1.0366628571428571</v>
      </c>
      <c r="AJ445" s="288"/>
      <c r="AK445" s="279"/>
      <c r="AL445" s="280">
        <f t="shared" si="77"/>
        <v>2265.1999999999998</v>
      </c>
      <c r="AM445" s="284"/>
      <c r="AN445" s="282">
        <f t="shared" si="73"/>
        <v>-483.11999999999989</v>
      </c>
      <c r="AO445" s="289">
        <f t="shared" si="78"/>
        <v>-0.21327918064630053</v>
      </c>
      <c r="AP445" s="246"/>
      <c r="AQ445" s="246">
        <v>1782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55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74"/>
        <v>1858</v>
      </c>
      <c r="AA446" s="279"/>
      <c r="AB446" s="287"/>
      <c r="AC446" s="280"/>
      <c r="AD446" s="288"/>
      <c r="AE446" s="287"/>
      <c r="AF446" s="280">
        <f t="shared" si="75"/>
        <v>1446.0000000000002</v>
      </c>
      <c r="AG446" s="281"/>
      <c r="AH446" s="282">
        <f t="shared" si="72"/>
        <v>-411.99999999999977</v>
      </c>
      <c r="AI446" s="306">
        <f t="shared" si="76"/>
        <v>-0.22174381054897727</v>
      </c>
      <c r="AJ446" s="288"/>
      <c r="AK446" s="279"/>
      <c r="AL446" s="280">
        <f t="shared" si="77"/>
        <v>2063.52</v>
      </c>
      <c r="AM446" s="284"/>
      <c r="AN446" s="282">
        <f t="shared" si="73"/>
        <v>-617.51999999999975</v>
      </c>
      <c r="AO446" s="289">
        <f t="shared" si="78"/>
        <v>-0.29925564084670842</v>
      </c>
      <c r="AP446" s="246"/>
      <c r="AQ446" s="246">
        <v>1446</v>
      </c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55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74"/>
        <v>2609.9010666666663</v>
      </c>
      <c r="AA447" s="279"/>
      <c r="AB447" s="287"/>
      <c r="AC447" s="280"/>
      <c r="AD447" s="288"/>
      <c r="AE447" s="287"/>
      <c r="AF447" s="280">
        <f t="shared" si="75"/>
        <v>3002.4699999999993</v>
      </c>
      <c r="AG447" s="281"/>
      <c r="AH447" s="282">
        <f t="shared" si="72"/>
        <v>392.56893333333301</v>
      </c>
      <c r="AI447" s="283">
        <f t="shared" si="76"/>
        <v>0.15041525456546032</v>
      </c>
      <c r="AJ447" s="288"/>
      <c r="AK447" s="279"/>
      <c r="AL447" s="280">
        <f t="shared" si="77"/>
        <v>4375.3000000000011</v>
      </c>
      <c r="AM447" s="284"/>
      <c r="AN447" s="282">
        <f t="shared" si="73"/>
        <v>-1372.8300000000017</v>
      </c>
      <c r="AO447" s="289">
        <f t="shared" si="78"/>
        <v>-0.31376819875208589</v>
      </c>
      <c r="AP447" s="246"/>
      <c r="AQ447" s="246">
        <v>3002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55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1.5100000000000003E-3</v>
      </c>
      <c r="Z448" s="280">
        <f t="shared" si="74"/>
        <v>5246.247612713385</v>
      </c>
      <c r="AA448" s="279"/>
      <c r="AB448" s="287"/>
      <c r="AC448" s="280"/>
      <c r="AD448" s="288"/>
      <c r="AE448" s="287"/>
      <c r="AF448" s="280">
        <f t="shared" si="75"/>
        <v>8774.5399999999991</v>
      </c>
      <c r="AG448" s="281"/>
      <c r="AH448" s="282">
        <f t="shared" si="72"/>
        <v>3528.292387286614</v>
      </c>
      <c r="AI448" s="283">
        <f t="shared" si="76"/>
        <v>0.67253638176291952</v>
      </c>
      <c r="AJ448" s="288"/>
      <c r="AK448" s="279"/>
      <c r="AL448" s="280">
        <f t="shared" si="77"/>
        <v>6812.34</v>
      </c>
      <c r="AM448" s="284"/>
      <c r="AN448" s="282">
        <f>AF448-AL448</f>
        <v>1962.1999999999989</v>
      </c>
      <c r="AO448" s="289">
        <f>IF(AL448=0,0,AN448/AL448)</f>
        <v>0.28803612268324819</v>
      </c>
      <c r="AP448" s="246"/>
      <c r="AQ448" s="246">
        <v>8775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55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75"/>
        <v>0</v>
      </c>
      <c r="AG449" s="281"/>
      <c r="AH449" s="282">
        <f t="shared" si="72"/>
        <v>0</v>
      </c>
      <c r="AI449" s="283">
        <f t="shared" si="76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55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75"/>
        <v>0</v>
      </c>
      <c r="AG450" s="281"/>
      <c r="AH450" s="282">
        <f t="shared" si="72"/>
        <v>0</v>
      </c>
      <c r="AI450" s="283">
        <f t="shared" si="76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55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75"/>
        <v>0</v>
      </c>
      <c r="AG451" s="281"/>
      <c r="AH451" s="282">
        <f t="shared" si="72"/>
        <v>0</v>
      </c>
      <c r="AI451" s="283">
        <f t="shared" si="76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55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0.16557163055611099</v>
      </c>
      <c r="Y452" s="297"/>
      <c r="Z452" s="299">
        <f>+SUM(Z434:Z451)</f>
        <v>70442.366225151985</v>
      </c>
      <c r="AA452" s="298"/>
      <c r="AB452" s="297"/>
      <c r="AC452" s="299"/>
      <c r="AD452" s="300">
        <f>AF452/AF407</f>
        <v>0.19640576307011318</v>
      </c>
      <c r="AE452" s="297"/>
      <c r="AF452" s="299">
        <f>+SUM(AF434:AF451)</f>
        <v>90240.04</v>
      </c>
      <c r="AG452" s="308"/>
      <c r="AH452" s="302">
        <f>+SUM(AH434:AH451)</f>
        <v>19797.673774848001</v>
      </c>
      <c r="AI452" s="298">
        <f>AH452/Z452</f>
        <v>0.28104782442386339</v>
      </c>
      <c r="AJ452" s="300">
        <f>IF($AL$407=0,0,AL452/$AL$407)</f>
        <v>0.19712733902822527</v>
      </c>
      <c r="AK452" s="298"/>
      <c r="AL452" s="299">
        <f>+SUM(AL434:AL451)</f>
        <v>86454.75999999998</v>
      </c>
      <c r="AM452" s="309"/>
      <c r="AN452" s="302">
        <f>+SUM(AN434:AN451)</f>
        <v>3785.2800000000125</v>
      </c>
      <c r="AO452" s="331">
        <f>IF(AL452=0,0,AN452/AL452)</f>
        <v>4.378336137882996E-2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55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79">AF453-Z453</f>
        <v>0</v>
      </c>
      <c r="AI453" s="283">
        <f t="shared" ref="AI453:AI461" si="80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81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55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5872.14</v>
      </c>
      <c r="AA454" s="279"/>
      <c r="AB454" s="287"/>
      <c r="AC454" s="280"/>
      <c r="AD454" s="288"/>
      <c r="AE454" s="287"/>
      <c r="AF454" s="280">
        <v>5535.5099999999993</v>
      </c>
      <c r="AG454" s="281"/>
      <c r="AH454" s="282">
        <f t="shared" si="79"/>
        <v>-336.63000000000102</v>
      </c>
      <c r="AI454" s="283">
        <f t="shared" si="80"/>
        <v>-5.7326630495867094E-2</v>
      </c>
      <c r="AJ454" s="288"/>
      <c r="AK454" s="279"/>
      <c r="AL454" s="280">
        <v>5619.66</v>
      </c>
      <c r="AM454" s="284"/>
      <c r="AN454" s="282">
        <f t="shared" ref="AN454:AN461" si="82">AF454-AL454</f>
        <v>-84.150000000000546</v>
      </c>
      <c r="AO454" s="289">
        <f t="shared" si="81"/>
        <v>-1.4974215521935588E-2</v>
      </c>
      <c r="AP454" s="246"/>
      <c r="AQ454" s="486">
        <v>5536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55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2516.63</v>
      </c>
      <c r="AA455" s="263"/>
      <c r="AB455" s="291"/>
      <c r="AC455" s="264"/>
      <c r="AD455" s="292"/>
      <c r="AE455" s="291"/>
      <c r="AF455" s="264">
        <v>2372.36</v>
      </c>
      <c r="AG455" s="265"/>
      <c r="AH455" s="266">
        <f t="shared" si="79"/>
        <v>-144.26999999999998</v>
      </c>
      <c r="AI455" s="293">
        <f t="shared" si="80"/>
        <v>-5.7326663037474711E-2</v>
      </c>
      <c r="AJ455" s="292"/>
      <c r="AK455" s="263"/>
      <c r="AL455" s="264">
        <v>2408.4299999999998</v>
      </c>
      <c r="AM455" s="268"/>
      <c r="AN455" s="266">
        <f t="shared" si="82"/>
        <v>-36.069999999999709</v>
      </c>
      <c r="AO455" s="269">
        <f t="shared" si="81"/>
        <v>-1.4976561494417406E-2</v>
      </c>
      <c r="AP455" s="246"/>
      <c r="AQ455" s="486">
        <v>2372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55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79"/>
        <v>0</v>
      </c>
      <c r="AI456" s="283">
        <f t="shared" si="80"/>
        <v>0</v>
      </c>
      <c r="AJ456" s="288"/>
      <c r="AK456" s="279"/>
      <c r="AL456" s="280">
        <v>0</v>
      </c>
      <c r="AM456" s="284"/>
      <c r="AN456" s="282">
        <f t="shared" si="82"/>
        <v>0</v>
      </c>
      <c r="AO456" s="289">
        <f t="shared" si="81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55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4349.75</v>
      </c>
      <c r="AA457" s="263"/>
      <c r="AB457" s="291"/>
      <c r="AC457" s="264"/>
      <c r="AD457" s="292"/>
      <c r="AE457" s="291"/>
      <c r="AF457" s="264">
        <v>4349.75</v>
      </c>
      <c r="AG457" s="265"/>
      <c r="AH457" s="266">
        <f t="shared" si="79"/>
        <v>0</v>
      </c>
      <c r="AI457" s="293">
        <f t="shared" si="80"/>
        <v>0</v>
      </c>
      <c r="AJ457" s="292"/>
      <c r="AK457" s="263"/>
      <c r="AL457" s="264">
        <v>4772</v>
      </c>
      <c r="AM457" s="268"/>
      <c r="AN457" s="266">
        <f t="shared" si="82"/>
        <v>-422.25</v>
      </c>
      <c r="AO457" s="269">
        <f t="shared" si="81"/>
        <v>-8.8484911986588435E-2</v>
      </c>
      <c r="AP457" s="246"/>
      <c r="AQ457" s="486">
        <f>4350</f>
        <v>4350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55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4600</v>
      </c>
      <c r="AA458" s="332"/>
      <c r="AB458" s="333"/>
      <c r="AC458" s="280"/>
      <c r="AD458" s="288"/>
      <c r="AE458" s="287"/>
      <c r="AF458" s="280">
        <v>4054.5399999999995</v>
      </c>
      <c r="AG458" s="281"/>
      <c r="AH458" s="282">
        <f t="shared" si="79"/>
        <v>-545.46000000000049</v>
      </c>
      <c r="AI458" s="283">
        <f t="shared" si="80"/>
        <v>-0.11857826086956533</v>
      </c>
      <c r="AJ458" s="288"/>
      <c r="AK458" s="279"/>
      <c r="AL458" s="280">
        <v>4330</v>
      </c>
      <c r="AM458" s="284"/>
      <c r="AN458" s="282">
        <f t="shared" si="82"/>
        <v>-275.46000000000049</v>
      </c>
      <c r="AO458" s="289">
        <f t="shared" si="81"/>
        <v>-6.3616628175519746E-2</v>
      </c>
      <c r="AP458" s="246"/>
      <c r="AQ458" s="246">
        <f>3305+750</f>
        <v>4055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55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6643</v>
      </c>
      <c r="AA459" s="279"/>
      <c r="AB459" s="287"/>
      <c r="AC459" s="280"/>
      <c r="AD459" s="288"/>
      <c r="AE459" s="287"/>
      <c r="AF459" s="280">
        <v>6307.3300000000008</v>
      </c>
      <c r="AG459" s="281"/>
      <c r="AH459" s="282">
        <f t="shared" si="79"/>
        <v>-335.66999999999916</v>
      </c>
      <c r="AI459" s="283">
        <f t="shared" si="80"/>
        <v>-5.0529881077826154E-2</v>
      </c>
      <c r="AJ459" s="288"/>
      <c r="AK459" s="279"/>
      <c r="AL459" s="280">
        <v>6307.33</v>
      </c>
      <c r="AM459" s="284"/>
      <c r="AN459" s="282">
        <f t="shared" si="82"/>
        <v>0</v>
      </c>
      <c r="AO459" s="289">
        <f t="shared" si="81"/>
        <v>0</v>
      </c>
      <c r="AP459" s="246"/>
      <c r="AQ459" s="486">
        <v>6308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55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500</v>
      </c>
      <c r="AA460" s="263"/>
      <c r="AB460" s="291"/>
      <c r="AC460" s="264"/>
      <c r="AD460" s="292"/>
      <c r="AE460" s="291"/>
      <c r="AF460" s="264">
        <v>0</v>
      </c>
      <c r="AG460" s="265"/>
      <c r="AH460" s="266">
        <f t="shared" si="79"/>
        <v>-500</v>
      </c>
      <c r="AI460" s="293">
        <f t="shared" si="80"/>
        <v>-1</v>
      </c>
      <c r="AJ460" s="292"/>
      <c r="AK460" s="263"/>
      <c r="AL460" s="264">
        <v>0</v>
      </c>
      <c r="AM460" s="268"/>
      <c r="AN460" s="266">
        <f t="shared" si="82"/>
        <v>0</v>
      </c>
      <c r="AO460" s="269">
        <f t="shared" si="81"/>
        <v>0</v>
      </c>
      <c r="AP460" s="246"/>
      <c r="AQ460" s="246">
        <v>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55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275</v>
      </c>
      <c r="AA461" s="279"/>
      <c r="AB461" s="287"/>
      <c r="AC461" s="280"/>
      <c r="AD461" s="288"/>
      <c r="AE461" s="287"/>
      <c r="AF461" s="280">
        <v>529.32000000000005</v>
      </c>
      <c r="AG461" s="281"/>
      <c r="AH461" s="282">
        <f t="shared" si="79"/>
        <v>254.32000000000005</v>
      </c>
      <c r="AI461" s="335">
        <f t="shared" si="80"/>
        <v>0.92480000000000018</v>
      </c>
      <c r="AJ461" s="279"/>
      <c r="AK461" s="279"/>
      <c r="AL461" s="280">
        <v>173.95999999999901</v>
      </c>
      <c r="AM461" s="284"/>
      <c r="AN461" s="282">
        <f t="shared" si="82"/>
        <v>355.36000000000104</v>
      </c>
      <c r="AO461" s="289">
        <f t="shared" si="81"/>
        <v>2.0427684525178376</v>
      </c>
      <c r="AP461" s="246"/>
      <c r="AQ461" s="246">
        <v>529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55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55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55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55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55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0.17571185600918979</v>
      </c>
      <c r="Y466" s="297"/>
      <c r="Z466" s="299">
        <f>SUM(Z453:Z465)</f>
        <v>74756.51999999999</v>
      </c>
      <c r="AA466" s="298"/>
      <c r="AB466" s="297"/>
      <c r="AC466" s="299"/>
      <c r="AD466" s="300">
        <f>AF466/AF407</f>
        <v>0.15920701991843897</v>
      </c>
      <c r="AE466" s="297"/>
      <c r="AF466" s="299">
        <f>SUM(AF453:AF465)</f>
        <v>73148.810000000012</v>
      </c>
      <c r="AG466" s="308"/>
      <c r="AH466" s="302">
        <f>SUM(AH453:AH465)</f>
        <v>-1607.7100000000005</v>
      </c>
      <c r="AI466" s="298">
        <f>IF(Z466=0,0,AH466/Z466)</f>
        <v>-2.1505950250225676E-2</v>
      </c>
      <c r="AJ466" s="300">
        <f>IF($AL$407=0,0,AL466/$AL$407)</f>
        <v>0.16784287483529561</v>
      </c>
      <c r="AK466" s="298"/>
      <c r="AL466" s="299">
        <f>SUM(AL453:AL465)</f>
        <v>73611.37999999999</v>
      </c>
      <c r="AM466" s="309"/>
      <c r="AN466" s="302">
        <f>SUM(AN453:AN465)</f>
        <v>-462.56999999999971</v>
      </c>
      <c r="AO466" s="331">
        <f t="shared" ref="AO466:AO483" si="83">IF(AL466=0,0,AN466/AL466)</f>
        <v>-6.283946857129968E-3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55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84">AF467-Z467</f>
        <v>0</v>
      </c>
      <c r="AI467" s="283"/>
      <c r="AJ467" s="288"/>
      <c r="AK467" s="279"/>
      <c r="AL467" s="336"/>
      <c r="AM467" s="337"/>
      <c r="AN467" s="282">
        <f t="shared" ref="AN467:AN483" si="85">AF467-AL467</f>
        <v>0</v>
      </c>
      <c r="AO467" s="338">
        <f t="shared" si="83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55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1.0156736699399489</v>
      </c>
      <c r="Y468" s="297"/>
      <c r="Z468" s="299">
        <f>Z419+Z433+Z452+Z466</f>
        <v>432117.84762189351</v>
      </c>
      <c r="AA468" s="298"/>
      <c r="AB468" s="297"/>
      <c r="AC468" s="299"/>
      <c r="AD468" s="300">
        <f>AF468/AF407</f>
        <v>1.0010225109329551</v>
      </c>
      <c r="AE468" s="297"/>
      <c r="AF468" s="299">
        <f>AF419+AF433+AF452+AF466</f>
        <v>459926.99</v>
      </c>
      <c r="AG468" s="308"/>
      <c r="AH468" s="302">
        <f t="shared" si="84"/>
        <v>27809.14237810648</v>
      </c>
      <c r="AI468" s="298">
        <f>AH468/Z468</f>
        <v>6.4355458889630721E-2</v>
      </c>
      <c r="AJ468" s="300">
        <f>IF($AL$407=0,0,AL468/$AL$407)</f>
        <v>0.98087641751720622</v>
      </c>
      <c r="AK468" s="298"/>
      <c r="AL468" s="299">
        <f>AL419+AL433+AL452+AL466</f>
        <v>430186.06999999995</v>
      </c>
      <c r="AM468" s="309"/>
      <c r="AN468" s="302">
        <f t="shared" si="85"/>
        <v>29740.920000000042</v>
      </c>
      <c r="AO468" s="277">
        <f t="shared" si="83"/>
        <v>6.9135014064960421E-2</v>
      </c>
      <c r="AP468" s="310">
        <f>AF468+AF491+AF492+AF493+AF494+AF495+AF496</f>
        <v>477517.48</v>
      </c>
      <c r="AQ468" s="246" t="s">
        <v>221</v>
      </c>
      <c r="AR468" s="246">
        <f>410539+48409</f>
        <v>458948</v>
      </c>
      <c r="AS468" s="310">
        <f>AP468-AR468</f>
        <v>18569.479999999981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55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900</v>
      </c>
      <c r="AA469" s="339"/>
      <c r="AB469" s="340"/>
      <c r="AC469" s="313"/>
      <c r="AD469" s="341"/>
      <c r="AE469" s="340"/>
      <c r="AF469" s="280">
        <v>533.38</v>
      </c>
      <c r="AG469" s="342"/>
      <c r="AH469" s="282">
        <f t="shared" si="84"/>
        <v>-366.62</v>
      </c>
      <c r="AI469" s="335">
        <f>IF(AH469=0,0,AH469/Z469)</f>
        <v>-0.40735555555555558</v>
      </c>
      <c r="AJ469" s="341"/>
      <c r="AK469" s="339"/>
      <c r="AL469" s="343">
        <v>570.82999999999902</v>
      </c>
      <c r="AM469" s="344"/>
      <c r="AN469" s="282">
        <f t="shared" si="85"/>
        <v>-37.449999999999022</v>
      </c>
      <c r="AO469" s="289">
        <f t="shared" si="83"/>
        <v>-6.5606222518086094E-2</v>
      </c>
      <c r="AP469" s="246"/>
      <c r="AQ469" s="246"/>
      <c r="AR469" s="246" t="s">
        <v>242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55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86">+SUMIF($C:$C,$V470,F:F)</f>
        <v>31616.95876923078</v>
      </c>
      <c r="AA470" s="332"/>
      <c r="AB470" s="333"/>
      <c r="AC470" s="280"/>
      <c r="AD470" s="345"/>
      <c r="AE470" s="333"/>
      <c r="AF470" s="280">
        <f t="shared" ref="AF470:AF476" si="87">+SUMIF($C:$C,$V470,L:L)</f>
        <v>35867.599999999999</v>
      </c>
      <c r="AG470" s="346"/>
      <c r="AH470" s="282">
        <f t="shared" si="84"/>
        <v>4250.641230769219</v>
      </c>
      <c r="AI470" s="306">
        <f>IF(Z470=0,0,AH470/Z470)</f>
        <v>0.13444181212349521</v>
      </c>
      <c r="AJ470" s="345"/>
      <c r="AK470" s="332"/>
      <c r="AL470" s="347">
        <f t="shared" ref="AL470:AL479" si="88">+SUMIF($C:$C,$V470,Q:Q)</f>
        <v>33506.300000000003</v>
      </c>
      <c r="AM470" s="348"/>
      <c r="AN470" s="282">
        <f t="shared" si="85"/>
        <v>2361.2999999999956</v>
      </c>
      <c r="AO470" s="289">
        <f t="shared" si="83"/>
        <v>7.0473313973789864E-2</v>
      </c>
      <c r="AP470" s="246"/>
      <c r="AQ470" s="246">
        <v>35868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55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 t="shared" si="86"/>
        <v>27664.838923076932</v>
      </c>
      <c r="AA471" s="332"/>
      <c r="AB471" s="333"/>
      <c r="AC471" s="280"/>
      <c r="AD471" s="345"/>
      <c r="AE471" s="333"/>
      <c r="AF471" s="280">
        <f t="shared" si="87"/>
        <v>46412.76</v>
      </c>
      <c r="AG471" s="346"/>
      <c r="AH471" s="282">
        <f t="shared" si="84"/>
        <v>18747.92107692307</v>
      </c>
      <c r="AI471" s="306">
        <f t="shared" ref="AI471:AI480" si="89">IF(AH471=0,0,AH471/Z471)</f>
        <v>0.67768047119494645</v>
      </c>
      <c r="AJ471" s="345"/>
      <c r="AK471" s="332"/>
      <c r="AL471" s="347">
        <f>+SUMIF($C:$C,$V471,Q:Q)</f>
        <v>36701.35</v>
      </c>
      <c r="AM471" s="348"/>
      <c r="AN471" s="282">
        <f t="shared" si="85"/>
        <v>9711.4100000000035</v>
      </c>
      <c r="AO471" s="289">
        <f t="shared" si="83"/>
        <v>0.2646063428184523</v>
      </c>
      <c r="AP471" s="246"/>
      <c r="AQ471" s="246">
        <v>46413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55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86"/>
        <v>0</v>
      </c>
      <c r="AA472" s="332"/>
      <c r="AB472" s="333"/>
      <c r="AC472" s="280"/>
      <c r="AD472" s="345"/>
      <c r="AE472" s="333"/>
      <c r="AF472" s="280">
        <f t="shared" si="87"/>
        <v>0</v>
      </c>
      <c r="AG472" s="346"/>
      <c r="AH472" s="282">
        <f t="shared" si="84"/>
        <v>0</v>
      </c>
      <c r="AI472" s="306">
        <f t="shared" si="89"/>
        <v>0</v>
      </c>
      <c r="AJ472" s="345"/>
      <c r="AK472" s="332"/>
      <c r="AL472" s="347">
        <f t="shared" si="88"/>
        <v>0</v>
      </c>
      <c r="AM472" s="348"/>
      <c r="AN472" s="282">
        <f t="shared" si="85"/>
        <v>0</v>
      </c>
      <c r="AO472" s="289">
        <f t="shared" si="83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55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86"/>
        <v>0</v>
      </c>
      <c r="AA473" s="332"/>
      <c r="AB473" s="333"/>
      <c r="AC473" s="280"/>
      <c r="AD473" s="345"/>
      <c r="AE473" s="333"/>
      <c r="AF473" s="280">
        <f t="shared" si="87"/>
        <v>0</v>
      </c>
      <c r="AG473" s="346"/>
      <c r="AH473" s="282">
        <f t="shared" si="84"/>
        <v>0</v>
      </c>
      <c r="AI473" s="306">
        <f t="shared" si="89"/>
        <v>0</v>
      </c>
      <c r="AJ473" s="345"/>
      <c r="AK473" s="332"/>
      <c r="AL473" s="347">
        <f t="shared" si="88"/>
        <v>0</v>
      </c>
      <c r="AM473" s="348"/>
      <c r="AN473" s="282">
        <f t="shared" si="85"/>
        <v>0</v>
      </c>
      <c r="AO473" s="289">
        <f t="shared" si="83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55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 t="shared" si="86"/>
        <v>1875</v>
      </c>
      <c r="AA474" s="332"/>
      <c r="AB474" s="333"/>
      <c r="AC474" s="280"/>
      <c r="AD474" s="345"/>
      <c r="AE474" s="333"/>
      <c r="AF474" s="280">
        <f t="shared" si="87"/>
        <v>3000</v>
      </c>
      <c r="AG474" s="346"/>
      <c r="AH474" s="282">
        <f t="shared" si="84"/>
        <v>1125</v>
      </c>
      <c r="AI474" s="306">
        <f t="shared" si="89"/>
        <v>0.6</v>
      </c>
      <c r="AJ474" s="345"/>
      <c r="AK474" s="332"/>
      <c r="AL474" s="347">
        <f t="shared" si="88"/>
        <v>0</v>
      </c>
      <c r="AM474" s="348"/>
      <c r="AN474" s="282">
        <f t="shared" si="85"/>
        <v>3000</v>
      </c>
      <c r="AO474" s="289">
        <f t="shared" si="83"/>
        <v>0</v>
      </c>
      <c r="AP474" s="246"/>
      <c r="AQ474" s="246">
        <v>3000</v>
      </c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55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 t="shared" si="86"/>
        <v>1388.2352941176473</v>
      </c>
      <c r="AA475" s="332"/>
      <c r="AB475" s="333"/>
      <c r="AC475" s="280"/>
      <c r="AD475" s="345"/>
      <c r="AE475" s="333"/>
      <c r="AF475" s="280">
        <f t="shared" si="87"/>
        <v>0</v>
      </c>
      <c r="AG475" s="346"/>
      <c r="AH475" s="282">
        <f t="shared" si="84"/>
        <v>-1388.2352941176473</v>
      </c>
      <c r="AI475" s="306">
        <f t="shared" si="89"/>
        <v>-1</v>
      </c>
      <c r="AJ475" s="345"/>
      <c r="AK475" s="332"/>
      <c r="AL475" s="347">
        <f t="shared" si="88"/>
        <v>3625</v>
      </c>
      <c r="AM475" s="348"/>
      <c r="AN475" s="282">
        <f t="shared" si="85"/>
        <v>-3625</v>
      </c>
      <c r="AO475" s="289">
        <f t="shared" si="83"/>
        <v>-1</v>
      </c>
      <c r="AP475" s="246"/>
      <c r="AQ475" s="246">
        <v>0</v>
      </c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55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86"/>
        <v>0</v>
      </c>
      <c r="AA476" s="332"/>
      <c r="AB476" s="333"/>
      <c r="AC476" s="280"/>
      <c r="AD476" s="345"/>
      <c r="AE476" s="333"/>
      <c r="AF476" s="280">
        <f t="shared" si="87"/>
        <v>0</v>
      </c>
      <c r="AG476" s="346"/>
      <c r="AH476" s="282">
        <f t="shared" si="84"/>
        <v>0</v>
      </c>
      <c r="AI476" s="306">
        <f t="shared" si="89"/>
        <v>0</v>
      </c>
      <c r="AJ476" s="345"/>
      <c r="AK476" s="332"/>
      <c r="AL476" s="347">
        <f t="shared" si="88"/>
        <v>0</v>
      </c>
      <c r="AM476" s="348"/>
      <c r="AN476" s="282">
        <f t="shared" si="85"/>
        <v>0</v>
      </c>
      <c r="AO476" s="289">
        <f t="shared" si="83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55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16598.903353846159</v>
      </c>
      <c r="AA477" s="332"/>
      <c r="AB477" s="333"/>
      <c r="AC477" s="280"/>
      <c r="AD477" s="345"/>
      <c r="AE477" s="333"/>
      <c r="AF477" s="280">
        <v>21659.19</v>
      </c>
      <c r="AG477" s="346"/>
      <c r="AH477" s="282">
        <f t="shared" si="84"/>
        <v>5060.2866461538397</v>
      </c>
      <c r="AI477" s="306">
        <f t="shared" si="89"/>
        <v>0.30485668470268623</v>
      </c>
      <c r="AJ477" s="345"/>
      <c r="AK477" s="332"/>
      <c r="AL477" s="347">
        <v>21505.17</v>
      </c>
      <c r="AM477" s="348"/>
      <c r="AN477" s="282">
        <f t="shared" si="85"/>
        <v>154.02000000000044</v>
      </c>
      <c r="AO477" s="289">
        <f t="shared" si="83"/>
        <v>7.1619987193777329E-3</v>
      </c>
      <c r="AP477" s="246"/>
      <c r="AQ477" s="246">
        <v>21659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55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84"/>
        <v>0</v>
      </c>
      <c r="AI478" s="283">
        <f t="shared" si="89"/>
        <v>0</v>
      </c>
      <c r="AJ478" s="288"/>
      <c r="AK478" s="279"/>
      <c r="AL478" s="280">
        <f t="shared" si="88"/>
        <v>0</v>
      </c>
      <c r="AM478" s="348"/>
      <c r="AN478" s="282">
        <f t="shared" si="85"/>
        <v>0</v>
      </c>
      <c r="AO478" s="289">
        <f t="shared" si="83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55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84"/>
        <v>0</v>
      </c>
      <c r="AI479" s="283">
        <f t="shared" si="89"/>
        <v>0</v>
      </c>
      <c r="AJ479" s="288"/>
      <c r="AK479" s="279"/>
      <c r="AL479" s="280">
        <f t="shared" si="88"/>
        <v>0</v>
      </c>
      <c r="AM479" s="348"/>
      <c r="AN479" s="282">
        <f t="shared" si="85"/>
        <v>0</v>
      </c>
      <c r="AO479" s="289">
        <f t="shared" si="83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55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19283.95</v>
      </c>
      <c r="AA480" s="332"/>
      <c r="AB480" s="333"/>
      <c r="AC480" s="280"/>
      <c r="AD480" s="345"/>
      <c r="AE480" s="333"/>
      <c r="AF480" s="280">
        <f>+SUMIF($C:$C,$V480,L:L)</f>
        <v>20825</v>
      </c>
      <c r="AG480" s="346"/>
      <c r="AH480" s="282">
        <f t="shared" si="84"/>
        <v>1541.0499999999993</v>
      </c>
      <c r="AI480" s="306">
        <f t="shared" si="89"/>
        <v>7.9913606911447041E-2</v>
      </c>
      <c r="AJ480" s="345"/>
      <c r="AK480" s="332"/>
      <c r="AL480" s="347">
        <v>22015</v>
      </c>
      <c r="AM480" s="348"/>
      <c r="AN480" s="282">
        <f t="shared" si="85"/>
        <v>-1190</v>
      </c>
      <c r="AO480" s="289">
        <f t="shared" si="83"/>
        <v>-5.4054054054054057E-2</v>
      </c>
      <c r="AP480" s="246"/>
      <c r="AQ480" s="246">
        <v>20825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55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0.23346575338604528</v>
      </c>
      <c r="Y481" s="330"/>
      <c r="Z481" s="299">
        <f>SUM(Z469:Z480)</f>
        <v>99327.886340271521</v>
      </c>
      <c r="AA481" s="298"/>
      <c r="AB481" s="330"/>
      <c r="AC481" s="299"/>
      <c r="AD481" s="298">
        <f>AF481/+AF407</f>
        <v>0.27923805044818206</v>
      </c>
      <c r="AE481" s="330"/>
      <c r="AF481" s="299">
        <f>SUM(AF469:AF480)</f>
        <v>128297.93</v>
      </c>
      <c r="AG481" s="308"/>
      <c r="AH481" s="302">
        <f t="shared" si="84"/>
        <v>28970.043659728472</v>
      </c>
      <c r="AI481" s="298">
        <f>AH481/Z481</f>
        <v>0.2916607281915235</v>
      </c>
      <c r="AJ481" s="349"/>
      <c r="AK481" s="350"/>
      <c r="AL481" s="299">
        <f>SUM(AL469:AL480)</f>
        <v>117923.65000000001</v>
      </c>
      <c r="AM481" s="351"/>
      <c r="AN481" s="302">
        <f t="shared" si="85"/>
        <v>10374.279999999984</v>
      </c>
      <c r="AO481" s="331">
        <f t="shared" si="83"/>
        <v>8.7974549634445537E-2</v>
      </c>
      <c r="AP481" s="246"/>
      <c r="AQ481" s="246" t="s">
        <v>221</v>
      </c>
      <c r="AR481" s="246">
        <v>124000</v>
      </c>
      <c r="AS481" s="310">
        <f>AF481-AR481</f>
        <v>4297.929999999993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55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85"/>
        <v>0</v>
      </c>
      <c r="AO482" s="364">
        <f t="shared" si="83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55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2.6669708097368194E-2</v>
      </c>
      <c r="Z483" s="369">
        <f>Z407-Z468+Z481</f>
        <v>92659.531415616351</v>
      </c>
      <c r="AA483" s="367"/>
      <c r="AB483" s="368"/>
      <c r="AC483" s="369"/>
      <c r="AD483" s="367" t="s">
        <v>180</v>
      </c>
      <c r="AE483" s="368">
        <f>AF483/AF406</f>
        <v>3.1772472719330348E-2</v>
      </c>
      <c r="AF483" s="370">
        <f>AF407-AF468+AF481</f>
        <v>127828.13000000012</v>
      </c>
      <c r="AG483" s="371"/>
      <c r="AH483" s="370">
        <f>AF483-Z483</f>
        <v>35168.59858438377</v>
      </c>
      <c r="AI483" s="487">
        <f>AH483/Z483</f>
        <v>0.3795464756522246</v>
      </c>
      <c r="AJ483" s="373" t="s">
        <v>180</v>
      </c>
      <c r="AK483" s="368">
        <f>IF($AL$406=0,0,AL483/$AL$406)</f>
        <v>1.2358970078096962E-2</v>
      </c>
      <c r="AL483" s="370">
        <f>AL407-AL468+AL481</f>
        <v>126310.73999999951</v>
      </c>
      <c r="AM483" s="374"/>
      <c r="AN483" s="370">
        <f t="shared" si="85"/>
        <v>1517.3900000006106</v>
      </c>
      <c r="AO483" s="375">
        <f t="shared" si="83"/>
        <v>1.20131510590518E-2</v>
      </c>
      <c r="AP483" s="246"/>
      <c r="AQ483" s="246"/>
      <c r="AR483" s="310">
        <f>AR407-AR468+AR481</f>
        <v>128172</v>
      </c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55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9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Octobre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9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9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3.6456797938226378E-2</v>
      </c>
      <c r="Z488" s="449">
        <f>Z489+Z415</f>
        <v>126663.17162291016</v>
      </c>
      <c r="AA488" s="446"/>
      <c r="AB488" s="447"/>
      <c r="AC488" s="448"/>
      <c r="AD488" s="446" t="s">
        <v>180</v>
      </c>
      <c r="AE488" s="447">
        <f>AF488/AF406</f>
        <v>3.7574447735864179E-2</v>
      </c>
      <c r="AF488" s="449">
        <f>AF489+AF415</f>
        <v>151170.84000000011</v>
      </c>
      <c r="AG488" s="450"/>
      <c r="AH488" s="450">
        <f>AF488-Z488</f>
        <v>24507.668377089954</v>
      </c>
      <c r="AI488" s="451">
        <f>AH488/Z488</f>
        <v>0.19348693122932301</v>
      </c>
      <c r="AJ488" s="446" t="s">
        <v>180</v>
      </c>
      <c r="AK488" s="447">
        <f>IF($AL$406=0,0,AL488/$AL$406)</f>
        <v>1.4300235784304127E-2</v>
      </c>
      <c r="AL488" s="449">
        <f>AL489+AL415</f>
        <v>146150.79999999952</v>
      </c>
      <c r="AM488" s="452"/>
      <c r="AN488" s="449">
        <f>AF488-AL488</f>
        <v>5020.0400000005902</v>
      </c>
      <c r="AO488" s="453">
        <f>IF(AL488=0,0,AN488/AL488)</f>
        <v>3.4348357997360308E-2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thickTop="1" thickBot="1">
      <c r="A489" t="str">
        <f t="shared" si="9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2.6669708097368194E-2</v>
      </c>
      <c r="Z489" s="381">
        <f>Z483</f>
        <v>92659.531415616351</v>
      </c>
      <c r="AA489" s="379"/>
      <c r="AB489" s="380"/>
      <c r="AC489" s="381"/>
      <c r="AD489" s="379" t="s">
        <v>180</v>
      </c>
      <c r="AE489" s="380">
        <f>AF489/AF406</f>
        <v>3.1772472719330348E-2</v>
      </c>
      <c r="AF489" s="381">
        <f>AF483</f>
        <v>127828.13000000012</v>
      </c>
      <c r="AG489" s="382"/>
      <c r="AH489" s="370">
        <f>AF489-Z489</f>
        <v>35168.59858438377</v>
      </c>
      <c r="AI489" s="487">
        <f>AH489/Z489</f>
        <v>0.3795464756522246</v>
      </c>
      <c r="AJ489" s="379" t="s">
        <v>180</v>
      </c>
      <c r="AK489" s="380">
        <f>IF($AL$406=0,0,AL489/$AL$406)</f>
        <v>1.2358970078096962E-2</v>
      </c>
      <c r="AL489" s="383">
        <f>AL483</f>
        <v>126310.73999999951</v>
      </c>
      <c r="AM489" s="384"/>
      <c r="AN489" s="385">
        <f>AF489-AL489</f>
        <v>1517.3900000006106</v>
      </c>
      <c r="AO489" s="386">
        <f>IF(AL489=0,0,AN489/AL489)</f>
        <v>1.20131510590518E-2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9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9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20970</v>
      </c>
      <c r="AA491" s="279"/>
      <c r="AB491" s="287"/>
      <c r="AC491" s="280"/>
      <c r="AD491" s="279"/>
      <c r="AE491" s="287"/>
      <c r="AF491" s="280">
        <v>20970</v>
      </c>
      <c r="AG491" s="279"/>
      <c r="AH491" s="282">
        <f t="shared" ref="AH491:AH498" si="91">AF491-Z491</f>
        <v>0</v>
      </c>
      <c r="AI491" s="306">
        <f t="shared" ref="AI491:AI497" si="92">IF(Z491=0,0,AH491/Z491)</f>
        <v>0</v>
      </c>
      <c r="AJ491" s="279"/>
      <c r="AK491" s="279"/>
      <c r="AL491" s="280">
        <v>19520</v>
      </c>
      <c r="AM491" s="284"/>
      <c r="AN491" s="282">
        <f t="shared" ref="AN491:AN498" si="93">AF491-AL491</f>
        <v>1450</v>
      </c>
      <c r="AO491" s="289">
        <f t="shared" ref="AO491:AO498" si="94">IF(AL491=0,0,AN491/AL491)</f>
        <v>7.4282786885245908E-2</v>
      </c>
      <c r="AP491" s="246"/>
      <c r="AQ491" s="486">
        <v>20970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9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91"/>
        <v>0</v>
      </c>
      <c r="AI492" s="306">
        <f t="shared" si="92"/>
        <v>0</v>
      </c>
      <c r="AJ492" s="10"/>
      <c r="AK492" s="10"/>
      <c r="AL492" s="280">
        <v>0</v>
      </c>
      <c r="AM492" s="393"/>
      <c r="AN492" s="282">
        <f t="shared" si="93"/>
        <v>0</v>
      </c>
      <c r="AO492" s="289">
        <f t="shared" si="94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9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91"/>
        <v>0</v>
      </c>
      <c r="AI493" s="306">
        <f t="shared" si="92"/>
        <v>0</v>
      </c>
      <c r="AJ493" s="10"/>
      <c r="AK493" s="10"/>
      <c r="AL493" s="280">
        <v>0</v>
      </c>
      <c r="AM493" s="393"/>
      <c r="AN493" s="282">
        <f t="shared" si="93"/>
        <v>0</v>
      </c>
      <c r="AO493" s="289">
        <f t="shared" si="94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9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91"/>
        <v>0</v>
      </c>
      <c r="AI494" s="306">
        <f t="shared" si="92"/>
        <v>0</v>
      </c>
      <c r="AJ494" s="10"/>
      <c r="AK494" s="10"/>
      <c r="AL494" s="280">
        <v>0</v>
      </c>
      <c r="AM494" s="393"/>
      <c r="AN494" s="282">
        <f t="shared" si="93"/>
        <v>0</v>
      </c>
      <c r="AO494" s="289">
        <f t="shared" si="94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9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91"/>
        <v>0</v>
      </c>
      <c r="AI495" s="283">
        <f t="shared" si="92"/>
        <v>0</v>
      </c>
      <c r="AJ495" s="288"/>
      <c r="AK495" s="279"/>
      <c r="AL495" s="280">
        <v>0</v>
      </c>
      <c r="AM495" s="393"/>
      <c r="AN495" s="282">
        <f t="shared" si="93"/>
        <v>0</v>
      </c>
      <c r="AO495" s="289">
        <f t="shared" si="94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9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239</v>
      </c>
      <c r="W496" s="13"/>
      <c r="X496" s="13"/>
      <c r="Y496" s="13"/>
      <c r="Z496" s="282">
        <v>-9189.890710382515</v>
      </c>
      <c r="AA496" s="279"/>
      <c r="AB496" s="279"/>
      <c r="AC496" s="282"/>
      <c r="AD496" s="288"/>
      <c r="AE496" s="287"/>
      <c r="AF496" s="280">
        <v>-3379.51</v>
      </c>
      <c r="AG496" s="281"/>
      <c r="AH496" s="282">
        <f t="shared" si="91"/>
        <v>5810.3807103825147</v>
      </c>
      <c r="AI496" s="283">
        <f t="shared" si="92"/>
        <v>-0.63225786829195785</v>
      </c>
      <c r="AJ496" s="288"/>
      <c r="AK496" s="279"/>
      <c r="AL496" s="280">
        <v>0</v>
      </c>
      <c r="AM496" s="393"/>
      <c r="AN496" s="282">
        <f t="shared" si="93"/>
        <v>-3379.51</v>
      </c>
      <c r="AO496" s="289">
        <f t="shared" si="94"/>
        <v>0</v>
      </c>
      <c r="AP496" s="246"/>
      <c r="AQ496" s="246">
        <v>-3380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9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91"/>
        <v>0</v>
      </c>
      <c r="AI497" s="283">
        <f t="shared" si="92"/>
        <v>0</v>
      </c>
      <c r="AJ497" s="288"/>
      <c r="AK497" s="279"/>
      <c r="AL497" s="280">
        <v>0</v>
      </c>
      <c r="AM497" s="393"/>
      <c r="AN497" s="282">
        <f t="shared" si="93"/>
        <v>0</v>
      </c>
      <c r="AO497" s="289">
        <f t="shared" si="94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9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2.3279100878559781E-2</v>
      </c>
      <c r="Z498" s="369">
        <f>Z489-Z491-Z492-Z493-Z497-Z496-Z494-Z495</f>
        <v>80879.42212599887</v>
      </c>
      <c r="AA498" s="367"/>
      <c r="AB498" s="368"/>
      <c r="AC498" s="369"/>
      <c r="AD498" s="367" t="s">
        <v>180</v>
      </c>
      <c r="AE498" s="368">
        <f>AF498/AF406</f>
        <v>2.7400247578865153E-2</v>
      </c>
      <c r="AF498" s="370">
        <f>AF489-AF491-AF492-AF493-AF497-AF496-AF494-AF495</f>
        <v>110237.64000000012</v>
      </c>
      <c r="AG498" s="371"/>
      <c r="AH498" s="370">
        <f t="shared" si="91"/>
        <v>29358.217874001246</v>
      </c>
      <c r="AI498" s="487">
        <f>AH498/Z498</f>
        <v>0.36298748312352225</v>
      </c>
      <c r="AJ498" s="373" t="s">
        <v>180</v>
      </c>
      <c r="AK498" s="368">
        <f>IF($AL$406=0,0,AL498/$AL$406)</f>
        <v>1.0449020885142716E-2</v>
      </c>
      <c r="AL498" s="370">
        <f>AL489-AL491-AL492-AL493-AL497-AL496-AL494-AL495</f>
        <v>106790.73999999951</v>
      </c>
      <c r="AM498" s="374"/>
      <c r="AN498" s="370">
        <f t="shared" si="93"/>
        <v>3446.9000000006054</v>
      </c>
      <c r="AO498" s="394">
        <f t="shared" si="94"/>
        <v>3.2277143130580624E-2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240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28661.79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241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81575.850000000122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0.26000003265672206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242</v>
      </c>
      <c r="AE505" s="246"/>
      <c r="AF505" s="246">
        <v>128172</v>
      </c>
      <c r="AG505" s="246"/>
      <c r="AH505" s="246" t="s">
        <v>244</v>
      </c>
      <c r="AI505" s="246"/>
      <c r="AJ505" s="246">
        <v>31160</v>
      </c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-17934.359999999884</v>
      </c>
      <c r="AG507" s="246"/>
      <c r="AH507" s="246"/>
      <c r="AI507" s="246"/>
      <c r="AJ507" s="246">
        <f>AF511/AJ505</f>
        <v>3.5377933247753566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253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310">
        <f>AF498+AF509+AF510</f>
        <v>110237.64000000012</v>
      </c>
      <c r="AG511" s="310">
        <f>AF511-AF505</f>
        <v>-17934.359999999884</v>
      </c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AM404:AO404"/>
    <mergeCell ref="X404:Z404"/>
    <mergeCell ref="AA404:AC404"/>
    <mergeCell ref="AD404:AF404"/>
    <mergeCell ref="AG404:AI404"/>
    <mergeCell ref="AJ404:AL404"/>
    <mergeCell ref="R358:S358"/>
    <mergeCell ref="D293:F293"/>
    <mergeCell ref="G293:I293"/>
    <mergeCell ref="J293:L293"/>
    <mergeCell ref="M293:N293"/>
    <mergeCell ref="O293:Q293"/>
    <mergeCell ref="R293:S293"/>
    <mergeCell ref="D358:F358"/>
    <mergeCell ref="G358:I358"/>
    <mergeCell ref="J358:L358"/>
    <mergeCell ref="M358:N358"/>
    <mergeCell ref="O358:Q358"/>
    <mergeCell ref="R238:S238"/>
    <mergeCell ref="D170:F170"/>
    <mergeCell ref="G170:I170"/>
    <mergeCell ref="J170:L170"/>
    <mergeCell ref="M170:N170"/>
    <mergeCell ref="O170:Q170"/>
    <mergeCell ref="R170:S170"/>
    <mergeCell ref="D238:F238"/>
    <mergeCell ref="G238:I238"/>
    <mergeCell ref="J238:L238"/>
    <mergeCell ref="M238:N238"/>
    <mergeCell ref="O238:Q238"/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</mergeCells>
  <conditionalFormatting sqref="D31:D32">
    <cfRule type="expression" dxfId="451" priority="6" stopIfTrue="1">
      <formula>"esterreur(reference)"</formula>
    </cfRule>
  </conditionalFormatting>
  <conditionalFormatting sqref="D112:D113">
    <cfRule type="expression" dxfId="450" priority="1" stopIfTrue="1">
      <formula>"esterreur(reference)"</formula>
    </cfRule>
  </conditionalFormatting>
  <conditionalFormatting sqref="F5">
    <cfRule type="expression" dxfId="449" priority="67" stopIfTrue="1">
      <formula>"esterreur(reference)"</formula>
    </cfRule>
  </conditionalFormatting>
  <conditionalFormatting sqref="F184">
    <cfRule type="expression" dxfId="448" priority="77" stopIfTrue="1">
      <formula>"esterreur(reference)"</formula>
    </cfRule>
  </conditionalFormatting>
  <conditionalFormatting sqref="G31:G32">
    <cfRule type="expression" dxfId="447" priority="5" stopIfTrue="1">
      <formula>"esterreur(reference)"</formula>
    </cfRule>
  </conditionalFormatting>
  <conditionalFormatting sqref="G112:G113">
    <cfRule type="expression" dxfId="446" priority="2" stopIfTrue="1">
      <formula>"esterreur(reference)"</formula>
    </cfRule>
  </conditionalFormatting>
  <conditionalFormatting sqref="H136:H152">
    <cfRule type="expression" dxfId="445" priority="31" stopIfTrue="1">
      <formula>"esterreur(reference)"</formula>
    </cfRule>
  </conditionalFormatting>
  <conditionalFormatting sqref="H360">
    <cfRule type="expression" dxfId="444" priority="110" stopIfTrue="1">
      <formula>"esterreur(reference)"</formula>
    </cfRule>
  </conditionalFormatting>
  <conditionalFormatting sqref="H197:L197">
    <cfRule type="expression" dxfId="443" priority="112" stopIfTrue="1">
      <formula>"esterreur(reference)"</formula>
    </cfRule>
  </conditionalFormatting>
  <conditionalFormatting sqref="H396:L399">
    <cfRule type="expression" dxfId="442" priority="108" stopIfTrue="1">
      <formula>"esterreur(reference)"</formula>
    </cfRule>
  </conditionalFormatting>
  <conditionalFormatting sqref="I377:L377 H378:H395">
    <cfRule type="expression" dxfId="441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440" priority="102" stopIfTrue="1">
      <formula>"esterreur(reference)"</formula>
    </cfRule>
  </conditionalFormatting>
  <conditionalFormatting sqref="J55:K71">
    <cfRule type="expression" dxfId="439" priority="113" stopIfTrue="1">
      <formula>"esterreur(reference)"</formula>
    </cfRule>
  </conditionalFormatting>
  <conditionalFormatting sqref="J102:L104">
    <cfRule type="expression" dxfId="438" priority="98" stopIfTrue="1">
      <formula>"esterreur(reference)"</formula>
    </cfRule>
  </conditionalFormatting>
  <conditionalFormatting sqref="J149:L152">
    <cfRule type="expression" dxfId="437" priority="30" stopIfTrue="1">
      <formula>"esterreur(reference)"</formula>
    </cfRule>
  </conditionalFormatting>
  <conditionalFormatting sqref="J295:L303">
    <cfRule type="expression" dxfId="436" priority="94" stopIfTrue="1">
      <formula>"esterreur(reference)"</formula>
    </cfRule>
  </conditionalFormatting>
  <conditionalFormatting sqref="J307:L308">
    <cfRule type="expression" dxfId="435" priority="84" stopIfTrue="1">
      <formula>"esterreur(reference)"</formula>
    </cfRule>
  </conditionalFormatting>
  <conditionalFormatting sqref="J360:L360">
    <cfRule type="expression" dxfId="434" priority="76" stopIfTrue="1">
      <formula>"esterreur(reference)"</formula>
    </cfRule>
  </conditionalFormatting>
  <conditionalFormatting sqref="J365:L376">
    <cfRule type="expression" dxfId="433" priority="81" stopIfTrue="1">
      <formula>"esterreur(reference)"</formula>
    </cfRule>
  </conditionalFormatting>
  <conditionalFormatting sqref="J378:L394">
    <cfRule type="expression" dxfId="432" priority="80" stopIfTrue="1">
      <formula>"esterreur(reference)"</formula>
    </cfRule>
  </conditionalFormatting>
  <conditionalFormatting sqref="J312:M312">
    <cfRule type="expression" dxfId="431" priority="82" stopIfTrue="1">
      <formula>"esterreur(reference)"</formula>
    </cfRule>
  </conditionalFormatting>
  <conditionalFormatting sqref="J112:Q121">
    <cfRule type="expression" dxfId="430" priority="3" stopIfTrue="1">
      <formula>"esterreur(reference)"</formula>
    </cfRule>
  </conditionalFormatting>
  <conditionalFormatting sqref="J123:Q134">
    <cfRule type="expression" dxfId="429" priority="57" stopIfTrue="1">
      <formula>"esterreur(reference)"</formula>
    </cfRule>
  </conditionalFormatting>
  <conditionalFormatting sqref="K5">
    <cfRule type="expression" dxfId="428" priority="91" stopIfTrue="1">
      <formula>"esterreur(reference)"</formula>
    </cfRule>
  </conditionalFormatting>
  <conditionalFormatting sqref="K175">
    <cfRule type="expression" dxfId="427" priority="88" stopIfTrue="1">
      <formula>"esterreur(reference)"</formula>
    </cfRule>
  </conditionalFormatting>
  <conditionalFormatting sqref="K183:K184">
    <cfRule type="expression" dxfId="426" priority="90" stopIfTrue="1">
      <formula>"esterreur(reference)"</formula>
    </cfRule>
  </conditionalFormatting>
  <conditionalFormatting sqref="K287">
    <cfRule type="expression" dxfId="425" priority="74" stopIfTrue="1">
      <formula>"esterreur(reference)"</formula>
    </cfRule>
  </conditionalFormatting>
  <conditionalFormatting sqref="K395">
    <cfRule type="expression" dxfId="424" priority="111" stopIfTrue="1">
      <formula>"esterreur(reference)"</formula>
    </cfRule>
  </conditionalFormatting>
  <conditionalFormatting sqref="K93:L96">
    <cfRule type="expression" dxfId="423" priority="79" stopIfTrue="1">
      <formula>"esterreur(reference)"</formula>
    </cfRule>
  </conditionalFormatting>
  <conditionalFormatting sqref="K99:L100">
    <cfRule type="expression" dxfId="422" priority="99" stopIfTrue="1">
      <formula>"esterreur(reference)"</formula>
    </cfRule>
  </conditionalFormatting>
  <conditionalFormatting sqref="K171:L173">
    <cfRule type="expression" dxfId="421" priority="89" stopIfTrue="1">
      <formula>"esterreur(reference)"</formula>
    </cfRule>
  </conditionalFormatting>
  <conditionalFormatting sqref="K176:L182">
    <cfRule type="expression" dxfId="420" priority="87" stopIfTrue="1">
      <formula>"esterreur(reference)"</formula>
    </cfRule>
  </conditionalFormatting>
  <conditionalFormatting sqref="K185:L196">
    <cfRule type="expression" dxfId="419" priority="83" stopIfTrue="1">
      <formula>"esterreur(reference)"</formula>
    </cfRule>
  </conditionalFormatting>
  <conditionalFormatting sqref="K239:L241">
    <cfRule type="expression" dxfId="418" priority="78" stopIfTrue="1">
      <formula>"esterreur(reference)"</formula>
    </cfRule>
  </conditionalFormatting>
  <conditionalFormatting sqref="K244:L244">
    <cfRule type="expression" dxfId="417" priority="86" stopIfTrue="1">
      <formula>"esterreur(reference)"</formula>
    </cfRule>
  </conditionalFormatting>
  <conditionalFormatting sqref="K247:L247">
    <cfRule type="expression" dxfId="416" priority="85" stopIfTrue="1">
      <formula>"esterreur(reference)"</formula>
    </cfRule>
  </conditionalFormatting>
  <conditionalFormatting sqref="L16:L24">
    <cfRule type="expression" dxfId="415" priority="101" stopIfTrue="1">
      <formula>"esterreur(reference)"</formula>
    </cfRule>
  </conditionalFormatting>
  <conditionalFormatting sqref="L42:L48">
    <cfRule type="expression" dxfId="414" priority="100" stopIfTrue="1">
      <formula>"esterreur(reference)"</formula>
    </cfRule>
  </conditionalFormatting>
  <conditionalFormatting sqref="L55:L66">
    <cfRule type="expression" dxfId="413" priority="68" stopIfTrue="1">
      <formula>"esterreur(reference)"</formula>
    </cfRule>
  </conditionalFormatting>
  <conditionalFormatting sqref="L68:L71">
    <cfRule type="expression" dxfId="412" priority="32" stopIfTrue="1">
      <formula>"esterreur(reference)"</formula>
    </cfRule>
  </conditionalFormatting>
  <conditionalFormatting sqref="L75:L82">
    <cfRule type="expression" dxfId="411" priority="69" stopIfTrue="1">
      <formula>"esterreur(reference)"</formula>
    </cfRule>
  </conditionalFormatting>
  <conditionalFormatting sqref="L136:L147">
    <cfRule type="expression" dxfId="410" priority="73" stopIfTrue="1">
      <formula>"esterreur(reference)"</formula>
    </cfRule>
  </conditionalFormatting>
  <conditionalFormatting sqref="L174:L175">
    <cfRule type="expression" dxfId="409" priority="97" stopIfTrue="1">
      <formula>"esterreur(reference)"</formula>
    </cfRule>
  </conditionalFormatting>
  <conditionalFormatting sqref="L198:L209">
    <cfRule type="expression" dxfId="408" priority="96" stopIfTrue="1">
      <formula>"esterreur(reference)"</formula>
    </cfRule>
  </conditionalFormatting>
  <conditionalFormatting sqref="L211:L228">
    <cfRule type="expression" dxfId="407" priority="72" stopIfTrue="1">
      <formula>"esterreur(reference)"</formula>
    </cfRule>
  </conditionalFormatting>
  <conditionalFormatting sqref="L254:L265">
    <cfRule type="expression" dxfId="406" priority="95" stopIfTrue="1">
      <formula>"esterreur(reference)"</formula>
    </cfRule>
  </conditionalFormatting>
  <conditionalFormatting sqref="L267:L284">
    <cfRule type="expression" dxfId="405" priority="71" stopIfTrue="1">
      <formula>"esterreur(reference)"</formula>
    </cfRule>
  </conditionalFormatting>
  <conditionalFormatting sqref="L318:L329">
    <cfRule type="expression" dxfId="404" priority="93" stopIfTrue="1">
      <formula>"esterreur(reference)"</formula>
    </cfRule>
  </conditionalFormatting>
  <conditionalFormatting sqref="L331">
    <cfRule type="expression" dxfId="403" priority="70" stopIfTrue="1">
      <formula>"esterreur(reference)"</formula>
    </cfRule>
  </conditionalFormatting>
  <conditionalFormatting sqref="L334:L343 L345:L348">
    <cfRule type="expression" dxfId="402" priority="92" stopIfTrue="1">
      <formula>"esterreur(reference)"</formula>
    </cfRule>
  </conditionalFormatting>
  <conditionalFormatting sqref="L356:L357 H357:I357 K357 J357:J358 H359:L359">
    <cfRule type="expression" dxfId="401" priority="107" stopIfTrue="1">
      <formula>"esterreur(reference)"</formula>
    </cfRule>
  </conditionalFormatting>
  <conditionalFormatting sqref="L5:Q14">
    <cfRule type="expression" dxfId="400" priority="62" stopIfTrue="1">
      <formula>"esterreur(reference)"</formula>
    </cfRule>
  </conditionalFormatting>
  <conditionalFormatting sqref="L156:Q162">
    <cfRule type="expression" dxfId="399" priority="28" stopIfTrue="1">
      <formula>"esterreur(reference)"</formula>
    </cfRule>
  </conditionalFormatting>
  <conditionalFormatting sqref="M95:M97">
    <cfRule type="expression" dxfId="398" priority="103" stopIfTrue="1">
      <formula>"esterreur(reference)"</formula>
    </cfRule>
  </conditionalFormatting>
  <conditionalFormatting sqref="O13:O14 O16 O18:O24 O83:Q85">
    <cfRule type="expression" dxfId="397" priority="66" stopIfTrue="1">
      <formula>"esterreur(reference)"</formula>
    </cfRule>
  </conditionalFormatting>
  <conditionalFormatting sqref="O172:O196 Q183 O198:P229 O232:Q232 O233:P233">
    <cfRule type="expression" dxfId="396" priority="55" stopIfTrue="1">
      <formula>"esterreur(reference)"</formula>
    </cfRule>
  </conditionalFormatting>
  <conditionalFormatting sqref="O318:P348 O349:Q349 O352:Q352 O353:P353">
    <cfRule type="expression" dxfId="395" priority="39" stopIfTrue="1">
      <formula>"esterreur(reference)"</formula>
    </cfRule>
  </conditionalFormatting>
  <conditionalFormatting sqref="O25:Q72">
    <cfRule type="expression" dxfId="394" priority="4" stopIfTrue="1">
      <formula>"esterreur(reference)"</formula>
    </cfRule>
  </conditionalFormatting>
  <conditionalFormatting sqref="O97:Q98 O122:Q122 O156:P157 O164:Q164 O165:P165">
    <cfRule type="expression" dxfId="393" priority="61" stopIfTrue="1">
      <formula>"esterreur(reference)"</formula>
    </cfRule>
  </conditionalFormatting>
  <conditionalFormatting sqref="O101:Q111">
    <cfRule type="expression" dxfId="392" priority="59" stopIfTrue="1">
      <formula>"esterreur(reference)"</formula>
    </cfRule>
  </conditionalFormatting>
  <conditionalFormatting sqref="O135:Q153">
    <cfRule type="expression" dxfId="391" priority="29" stopIfTrue="1">
      <formula>"esterreur(reference)"</formula>
    </cfRule>
  </conditionalFormatting>
  <conditionalFormatting sqref="O197:Q197">
    <cfRule type="expression" dxfId="390" priority="56" stopIfTrue="1">
      <formula>"esterreur(reference)"</formula>
    </cfRule>
  </conditionalFormatting>
  <conditionalFormatting sqref="O243:Q243 O252:Q253 O254:P284 O285:Q285 O288:Q288 O289:P289">
    <cfRule type="expression" dxfId="389" priority="46" stopIfTrue="1">
      <formula>"esterreur(reference)"</formula>
    </cfRule>
  </conditionalFormatting>
  <conditionalFormatting sqref="O295:Q317">
    <cfRule type="expression" dxfId="388" priority="37" stopIfTrue="1">
      <formula>"esterreur(reference)"</formula>
    </cfRule>
  </conditionalFormatting>
  <conditionalFormatting sqref="O359:Q394">
    <cfRule type="expression" dxfId="387" priority="33" stopIfTrue="1">
      <formula>"esterreur(reference)"</formula>
    </cfRule>
  </conditionalFormatting>
  <conditionalFormatting sqref="O396:Q399">
    <cfRule type="expression" dxfId="386" priority="34" stopIfTrue="1">
      <formula>"esterreur(reference)"</formula>
    </cfRule>
  </conditionalFormatting>
  <conditionalFormatting sqref="P5">
    <cfRule type="expression" dxfId="385" priority="63" stopIfTrue="1">
      <formula>"esterreur(reference)"</formula>
    </cfRule>
  </conditionalFormatting>
  <conditionalFormatting sqref="P175">
    <cfRule type="expression" dxfId="384" priority="50" stopIfTrue="1">
      <formula>"esterreur(reference)"</formula>
    </cfRule>
  </conditionalFormatting>
  <conditionalFormatting sqref="P183:P184">
    <cfRule type="expression" dxfId="383" priority="52" stopIfTrue="1">
      <formula>"esterreur(reference)"</formula>
    </cfRule>
  </conditionalFormatting>
  <conditionalFormatting sqref="P287">
    <cfRule type="expression" dxfId="382" priority="41" stopIfTrue="1">
      <formula>"esterreur(reference)"</formula>
    </cfRule>
  </conditionalFormatting>
  <conditionalFormatting sqref="P395">
    <cfRule type="expression" dxfId="381" priority="35" stopIfTrue="1">
      <formula>"esterreur(reference)"</formula>
    </cfRule>
  </conditionalFormatting>
  <conditionalFormatting sqref="P93:Q96">
    <cfRule type="expression" dxfId="380" priority="58" stopIfTrue="1">
      <formula>"esterreur(reference)"</formula>
    </cfRule>
  </conditionalFormatting>
  <conditionalFormatting sqref="P99:Q100">
    <cfRule type="expression" dxfId="379" priority="60" stopIfTrue="1">
      <formula>"esterreur(reference)"</formula>
    </cfRule>
  </conditionalFormatting>
  <conditionalFormatting sqref="P172:Q173">
    <cfRule type="expression" dxfId="378" priority="51" stopIfTrue="1">
      <formula>"esterreur(reference)"</formula>
    </cfRule>
  </conditionalFormatting>
  <conditionalFormatting sqref="P176:Q182">
    <cfRule type="expression" dxfId="377" priority="49" stopIfTrue="1">
      <formula>"esterreur(reference)"</formula>
    </cfRule>
  </conditionalFormatting>
  <conditionalFormatting sqref="P185:Q196">
    <cfRule type="expression" dxfId="376" priority="48" stopIfTrue="1">
      <formula>"esterreur(reference)"</formula>
    </cfRule>
  </conditionalFormatting>
  <conditionalFormatting sqref="P241:Q241">
    <cfRule type="expression" dxfId="375" priority="42" stopIfTrue="1">
      <formula>"esterreur(reference)"</formula>
    </cfRule>
  </conditionalFormatting>
  <conditionalFormatting sqref="P244:Q244">
    <cfRule type="expression" dxfId="374" priority="44" stopIfTrue="1">
      <formula>"esterreur(reference)"</formula>
    </cfRule>
  </conditionalFormatting>
  <conditionalFormatting sqref="P247:Q247">
    <cfRule type="expression" dxfId="373" priority="43" stopIfTrue="1">
      <formula>"esterreur(reference)"</formula>
    </cfRule>
  </conditionalFormatting>
  <conditionalFormatting sqref="Q16:Q24">
    <cfRule type="expression" dxfId="372" priority="65" stopIfTrue="1">
      <formula>"esterreur(reference)"</formula>
    </cfRule>
  </conditionalFormatting>
  <conditionalFormatting sqref="Q75:Q82">
    <cfRule type="expression" dxfId="371" priority="64" stopIfTrue="1">
      <formula>"esterreur(reference)"</formula>
    </cfRule>
  </conditionalFormatting>
  <conditionalFormatting sqref="Q174:Q175">
    <cfRule type="expression" dxfId="370" priority="54" stopIfTrue="1">
      <formula>"esterreur(reference)"</formula>
    </cfRule>
  </conditionalFormatting>
  <conditionalFormatting sqref="Q198:Q209">
    <cfRule type="expression" dxfId="369" priority="53" stopIfTrue="1">
      <formula>"esterreur(reference)"</formula>
    </cfRule>
  </conditionalFormatting>
  <conditionalFormatting sqref="Q211:Q228">
    <cfRule type="expression" dxfId="368" priority="47" stopIfTrue="1">
      <formula>"esterreur(reference)"</formula>
    </cfRule>
  </conditionalFormatting>
  <conditionalFormatting sqref="Q254:Q265">
    <cfRule type="expression" dxfId="367" priority="45" stopIfTrue="1">
      <formula>"esterreur(reference)"</formula>
    </cfRule>
  </conditionalFormatting>
  <conditionalFormatting sqref="Q267:Q284">
    <cfRule type="expression" dxfId="366" priority="40" stopIfTrue="1">
      <formula>"esterreur(reference)"</formula>
    </cfRule>
  </conditionalFormatting>
  <conditionalFormatting sqref="Q318:Q329">
    <cfRule type="expression" dxfId="365" priority="38" stopIfTrue="1">
      <formula>"esterreur(reference)"</formula>
    </cfRule>
  </conditionalFormatting>
  <conditionalFormatting sqref="Q331:Q348">
    <cfRule type="expression" dxfId="364" priority="36" stopIfTrue="1">
      <formula>"esterreur(reference)"</formula>
    </cfRule>
  </conditionalFormatting>
  <conditionalFormatting sqref="R312">
    <cfRule type="expression" dxfId="363" priority="104" stopIfTrue="1">
      <formula>"esterreur(reference)"</formula>
    </cfRule>
  </conditionalFormatting>
  <conditionalFormatting sqref="S186">
    <cfRule type="expression" dxfId="362" priority="75" stopIfTrue="1">
      <formula>"esterreur(reference)"</formula>
    </cfRule>
  </conditionalFormatting>
  <conditionalFormatting sqref="Z425:Z427">
    <cfRule type="cellIs" dxfId="361" priority="24" operator="greaterThan">
      <formula>0</formula>
    </cfRule>
  </conditionalFormatting>
  <conditionalFormatting sqref="Z432">
    <cfRule type="cellIs" dxfId="360" priority="21" operator="greaterThan">
      <formula>0</formula>
    </cfRule>
  </conditionalFormatting>
  <conditionalFormatting sqref="Z449:Z451">
    <cfRule type="cellIs" dxfId="359" priority="17" operator="greaterThan">
      <formula>0</formula>
    </cfRule>
  </conditionalFormatting>
  <conditionalFormatting sqref="Z463:Z465">
    <cfRule type="cellIs" dxfId="358" priority="13" operator="greaterThan">
      <formula>0</formula>
    </cfRule>
  </conditionalFormatting>
  <conditionalFormatting sqref="Z478:Z479">
    <cfRule type="cellIs" dxfId="357" priority="10" operator="greaterThan">
      <formula>0</formula>
    </cfRule>
  </conditionalFormatting>
  <conditionalFormatting sqref="Z495:Z497">
    <cfRule type="cellIs" dxfId="356" priority="7" operator="greaterThan">
      <formula>0</formula>
    </cfRule>
  </conditionalFormatting>
  <conditionalFormatting sqref="AC425:AC427">
    <cfRule type="cellIs" dxfId="355" priority="25" operator="greaterThan">
      <formula>0</formula>
    </cfRule>
  </conditionalFormatting>
  <conditionalFormatting sqref="AC432">
    <cfRule type="cellIs" dxfId="354" priority="22" operator="greaterThan">
      <formula>0</formula>
    </cfRule>
  </conditionalFormatting>
  <conditionalFormatting sqref="AC449:AC451">
    <cfRule type="cellIs" dxfId="353" priority="18" operator="greaterThan">
      <formula>0</formula>
    </cfRule>
  </conditionalFormatting>
  <conditionalFormatting sqref="AC463:AC465">
    <cfRule type="cellIs" dxfId="352" priority="14" operator="greaterThan">
      <formula>0</formula>
    </cfRule>
  </conditionalFormatting>
  <conditionalFormatting sqref="AC478:AC479">
    <cfRule type="cellIs" dxfId="351" priority="11" operator="greaterThan">
      <formula>0</formula>
    </cfRule>
  </conditionalFormatting>
  <conditionalFormatting sqref="AC495:AC497">
    <cfRule type="cellIs" dxfId="350" priority="8" operator="greaterThan">
      <formula>0</formula>
    </cfRule>
  </conditionalFormatting>
  <conditionalFormatting sqref="AG409:AI418">
    <cfRule type="cellIs" dxfId="349" priority="27" operator="greaterThan">
      <formula>0</formula>
    </cfRule>
  </conditionalFormatting>
  <conditionalFormatting sqref="AH449:AH452">
    <cfRule type="cellIs" dxfId="348" priority="19" operator="greaterThan">
      <formula>0</formula>
    </cfRule>
  </conditionalFormatting>
  <conditionalFormatting sqref="AH461:AH466">
    <cfRule type="cellIs" dxfId="347" priority="15" operator="greaterThan">
      <formula>0</formula>
    </cfRule>
  </conditionalFormatting>
  <conditionalFormatting sqref="AH420:AI448">
    <cfRule type="cellIs" dxfId="346" priority="23" operator="greaterThan">
      <formula>0</formula>
    </cfRule>
  </conditionalFormatting>
  <conditionalFormatting sqref="AH453:AI460 AH467:AI468">
    <cfRule type="cellIs" dxfId="345" priority="105" operator="greaterThan">
      <formula>0</formula>
    </cfRule>
  </conditionalFormatting>
  <conditionalFormatting sqref="AH469:AI477 AH480:AI480">
    <cfRule type="cellIs" dxfId="344" priority="106" operator="lessThan">
      <formula>0</formula>
    </cfRule>
  </conditionalFormatting>
  <conditionalFormatting sqref="AH478:AI479">
    <cfRule type="cellIs" dxfId="343" priority="12" operator="greaterThan">
      <formula>0</formula>
    </cfRule>
  </conditionalFormatting>
  <conditionalFormatting sqref="AH491:AI497">
    <cfRule type="cellIs" dxfId="342" priority="9" operator="greaterThan">
      <formula>0</formula>
    </cfRule>
  </conditionalFormatting>
  <conditionalFormatting sqref="AI449:AI451">
    <cfRule type="cellIs" dxfId="341" priority="20" operator="greaterThan">
      <formula>0</formula>
    </cfRule>
  </conditionalFormatting>
  <conditionalFormatting sqref="AI463:AI465">
    <cfRule type="cellIs" dxfId="340" priority="16" operator="greaterThan">
      <formula>0</formula>
    </cfRule>
  </conditionalFormatting>
  <conditionalFormatting sqref="AO409:AO418">
    <cfRule type="cellIs" dxfId="339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02"/>
  <sheetViews>
    <sheetView topLeftCell="F452" zoomScale="60" zoomScaleNormal="60" workbookViewId="0">
      <selection activeCell="F452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280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496" t="s">
        <v>5</v>
      </c>
      <c r="E3" s="497"/>
      <c r="F3" s="498"/>
      <c r="G3" s="499"/>
      <c r="H3" s="497"/>
      <c r="I3" s="498"/>
      <c r="J3" s="499" t="s">
        <v>7</v>
      </c>
      <c r="K3" s="497"/>
      <c r="L3" s="498"/>
      <c r="M3" s="499" t="s">
        <v>213</v>
      </c>
      <c r="N3" s="498"/>
      <c r="O3" s="496" t="s">
        <v>8</v>
      </c>
      <c r="P3" s="497"/>
      <c r="Q3" s="498"/>
      <c r="R3" s="494" t="s">
        <v>214</v>
      </c>
      <c r="S3" s="495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 t="shared" ref="A5:A36" si="0">+B5&amp;C5</f>
        <v>Véhicules neufsVentes nettes</v>
      </c>
      <c r="B5" s="11" t="str">
        <f t="shared" ref="B5:B85" si="1">+$K$1</f>
        <v>Véhicules neufs</v>
      </c>
      <c r="C5" s="20" t="s">
        <v>14</v>
      </c>
      <c r="D5" s="21"/>
      <c r="E5" s="21"/>
      <c r="F5" s="22">
        <v>1856596.9875368576</v>
      </c>
      <c r="G5" s="23"/>
      <c r="H5" s="21"/>
      <c r="I5" s="24"/>
      <c r="J5" s="23"/>
      <c r="K5" s="25"/>
      <c r="L5" s="22">
        <v>3424220.96</v>
      </c>
      <c r="M5" s="26"/>
      <c r="N5" s="27"/>
      <c r="O5" s="23"/>
      <c r="P5" s="25"/>
      <c r="Q5" s="22">
        <v>10151414.289999999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si="0"/>
        <v>Véhicules neufsAutos détail</v>
      </c>
      <c r="B6" s="11" t="str">
        <f t="shared" si="1"/>
        <v>Véhicules neufs</v>
      </c>
      <c r="C6" s="29" t="s">
        <v>15</v>
      </c>
      <c r="D6" s="30">
        <v>6</v>
      </c>
      <c r="E6" s="30">
        <f>IF(D6=0,0,F6/D6)</f>
        <v>5144.9382716049386</v>
      </c>
      <c r="F6" s="30">
        <v>30869.629629629631</v>
      </c>
      <c r="G6" s="31"/>
      <c r="H6" s="30"/>
      <c r="I6" s="30"/>
      <c r="J6" s="31">
        <v>9</v>
      </c>
      <c r="K6" s="30">
        <f>IF(J6=0,0,L6/J6)</f>
        <v>5377.2044444444509</v>
      </c>
      <c r="L6" s="32">
        <v>48394.840000000055</v>
      </c>
      <c r="M6" s="31">
        <f t="shared" ref="M6:M12" si="2">J6-D6</f>
        <v>3</v>
      </c>
      <c r="N6" s="33">
        <f t="shared" ref="N6:N12" si="3">L6-F6</f>
        <v>17525.210370370423</v>
      </c>
      <c r="O6" s="31">
        <v>14</v>
      </c>
      <c r="P6" s="30">
        <f t="shared" ref="P6:P12" si="4">IF(O6=0,0,Q6/O6)</f>
        <v>5054.9321428571502</v>
      </c>
      <c r="Q6" s="32">
        <v>70769.050000000105</v>
      </c>
      <c r="R6" s="31">
        <f>J6-O6</f>
        <v>-5</v>
      </c>
      <c r="S6" s="34">
        <f>L6-Q6</f>
        <v>-22374.21000000005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0"/>
        <v>Véhicules neufsCamions détail</v>
      </c>
      <c r="B7" s="11" t="str">
        <f t="shared" si="1"/>
        <v>Véhicules neufs</v>
      </c>
      <c r="C7" s="29" t="s">
        <v>16</v>
      </c>
      <c r="D7" s="30">
        <v>12</v>
      </c>
      <c r="E7" s="30">
        <f t="shared" ref="E7:E12" si="5">IF(D7=0,0,F7/D7)</f>
        <v>5386.4238410596026</v>
      </c>
      <c r="F7" s="30">
        <v>64637.086092715232</v>
      </c>
      <c r="G7" s="31"/>
      <c r="H7" s="30"/>
      <c r="I7" s="30"/>
      <c r="J7" s="31">
        <v>23</v>
      </c>
      <c r="K7" s="30">
        <f t="shared" ref="K7:K12" si="6">IF(J7=0,0,L7/J7)</f>
        <v>3739.0256521739093</v>
      </c>
      <c r="L7" s="32">
        <v>85997.589999999909</v>
      </c>
      <c r="M7" s="31">
        <f t="shared" si="2"/>
        <v>11</v>
      </c>
      <c r="N7" s="33">
        <f t="shared" si="3"/>
        <v>21360.503907284678</v>
      </c>
      <c r="O7" s="31">
        <v>8</v>
      </c>
      <c r="P7" s="30">
        <f t="shared" si="4"/>
        <v>4481.7612499999996</v>
      </c>
      <c r="Q7" s="32">
        <v>35854.089999999997</v>
      </c>
      <c r="R7" s="31">
        <f t="shared" ref="R7:R12" si="7">J7-O7</f>
        <v>15</v>
      </c>
      <c r="S7" s="34">
        <f t="shared" ref="S7:S12" si="8">L7-Q7</f>
        <v>50143.499999999913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0"/>
        <v>Véhicules neufsSprinter</v>
      </c>
      <c r="B8" s="11" t="str">
        <f t="shared" si="1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0"/>
        <v>Véhicules neufsMoto détail</v>
      </c>
      <c r="B9" s="11" t="str">
        <f t="shared" si="1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0"/>
        <v>Véhicules neufs[...]</v>
      </c>
      <c r="B10" s="11" t="str">
        <f t="shared" si="1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0"/>
        <v>Véhicules neufs[...]</v>
      </c>
      <c r="B11" s="11" t="str">
        <f t="shared" si="1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0"/>
        <v>Véhicules neufs[...]</v>
      </c>
      <c r="B12" s="11" t="str">
        <f t="shared" si="1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0"/>
        <v>Véhicules neufsTotal Neufs</v>
      </c>
      <c r="B13" s="11" t="str">
        <f t="shared" si="1"/>
        <v>Véhicules neufs</v>
      </c>
      <c r="C13" s="35" t="s">
        <v>20</v>
      </c>
      <c r="D13" s="36">
        <f>+SUM(D6:D12)</f>
        <v>18</v>
      </c>
      <c r="E13" s="36">
        <f>IF(D13&lt;=0,0,F13/D13)</f>
        <v>5305.928651241381</v>
      </c>
      <c r="F13" s="37">
        <f>+SUM(F6:F12)</f>
        <v>95506.715722344859</v>
      </c>
      <c r="G13" s="38"/>
      <c r="H13" s="36"/>
      <c r="I13" s="37"/>
      <c r="J13" s="38">
        <f>+SUM(J6:J12)</f>
        <v>32</v>
      </c>
      <c r="K13" s="36">
        <f>IF(J13&lt;=0,0,L13/J13)</f>
        <v>4199.7634374999989</v>
      </c>
      <c r="L13" s="37">
        <f>+SUM(L6:L12)</f>
        <v>134392.42999999996</v>
      </c>
      <c r="M13" s="38">
        <f>+SUM(M6:M12)</f>
        <v>14</v>
      </c>
      <c r="N13" s="37">
        <f>+SUM(N6:N12)</f>
        <v>38885.714277655105</v>
      </c>
      <c r="O13" s="38">
        <f>+SUM(O6:O12)</f>
        <v>22</v>
      </c>
      <c r="P13" s="36">
        <f>IF(O13&lt;=0,0,Q13/O13)</f>
        <v>4846.5063636363684</v>
      </c>
      <c r="Q13" s="37">
        <f>+SUM(Q6:Q12)</f>
        <v>106623.1400000001</v>
      </c>
      <c r="R13" s="38">
        <f>+SUM(R6:R12)</f>
        <v>10</v>
      </c>
      <c r="S13" s="39">
        <f>+SUM(S6:S12)</f>
        <v>27769.289999999863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0"/>
        <v>Véhicules neufs</v>
      </c>
      <c r="B14" s="11" t="str">
        <f t="shared" si="1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0.77777777777777779</v>
      </c>
      <c r="N14" s="43">
        <f>IF(F13=0,0,N13/F13)</f>
        <v>0.40715162262204518</v>
      </c>
      <c r="O14" s="41"/>
      <c r="P14" s="30"/>
      <c r="Q14" s="40"/>
      <c r="R14" s="42">
        <f>R13/O13</f>
        <v>0.45454545454545453</v>
      </c>
      <c r="S14" s="44">
        <f>IF(Q13=0,0,(S13/Q13))</f>
        <v>0.26044337092304576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0"/>
        <v>Véhicules neufsEx-Démos et courtoisies</v>
      </c>
      <c r="B15" s="11" t="str">
        <f t="shared" si="1"/>
        <v>Véhicules neufs</v>
      </c>
      <c r="C15" s="45" t="s">
        <v>21</v>
      </c>
      <c r="D15" s="25">
        <v>2</v>
      </c>
      <c r="E15" s="25">
        <f>IF(D15=0,0,F15/D15)</f>
        <v>2500</v>
      </c>
      <c r="F15" s="22">
        <v>5000</v>
      </c>
      <c r="G15" s="46"/>
      <c r="H15" s="47"/>
      <c r="I15" s="48"/>
      <c r="J15" s="49">
        <v>3</v>
      </c>
      <c r="K15" s="50">
        <f>IF(J15=0,0,L15/J15)</f>
        <v>-5578.1033333333326</v>
      </c>
      <c r="L15" s="50">
        <v>-16734.309999999998</v>
      </c>
      <c r="M15" s="51">
        <f>J15-D15</f>
        <v>1</v>
      </c>
      <c r="N15" s="48">
        <f>L15-F15</f>
        <v>-21734.309999999998</v>
      </c>
      <c r="O15" s="49">
        <v>0</v>
      </c>
      <c r="P15" s="50">
        <f>IF(O15=0,0,Q15/O15)</f>
        <v>0</v>
      </c>
      <c r="Q15" s="50">
        <v>-150</v>
      </c>
      <c r="R15" s="51">
        <f>J15-O15</f>
        <v>3</v>
      </c>
      <c r="S15" s="52">
        <f>L15-Q15</f>
        <v>-16584.309999999998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0"/>
        <v>Véhicules neufs</v>
      </c>
      <c r="B16" s="11" t="str">
        <f t="shared" si="1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0"/>
        <v>Véhicules neufsFlottes</v>
      </c>
      <c r="B17" s="11" t="str">
        <f t="shared" si="1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2</v>
      </c>
      <c r="K17" s="30">
        <f>IF(J17=0,0,L17/J17)</f>
        <v>26.790000000000873</v>
      </c>
      <c r="L17" s="33">
        <v>53.580000000001746</v>
      </c>
      <c r="M17" s="51">
        <f>J17-D17</f>
        <v>2</v>
      </c>
      <c r="N17" s="33">
        <f>L17-F17</f>
        <v>53.580000000001746</v>
      </c>
      <c r="O17" s="51">
        <v>0</v>
      </c>
      <c r="P17" s="30">
        <f>IF(O17=0,0,Q17/O17)</f>
        <v>0</v>
      </c>
      <c r="Q17" s="33">
        <v>0</v>
      </c>
      <c r="R17" s="31">
        <f>J17-O17</f>
        <v>2</v>
      </c>
      <c r="S17" s="34">
        <f>L17-Q17</f>
        <v>53.580000000001746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0"/>
        <v>Véhicules neufs</v>
      </c>
      <c r="B18" s="11" t="str">
        <f t="shared" si="1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0"/>
        <v>Véhicules neufsRachat bail</v>
      </c>
      <c r="B19" s="11" t="str">
        <f t="shared" si="1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3970.9903329214162</v>
      </c>
      <c r="G19" s="31"/>
      <c r="H19" s="30"/>
      <c r="I19" s="30"/>
      <c r="J19" s="46"/>
      <c r="K19" s="30"/>
      <c r="L19" s="33">
        <v>999</v>
      </c>
      <c r="M19" s="31"/>
      <c r="N19" s="33">
        <f>L19-F19</f>
        <v>-2971.9903329214162</v>
      </c>
      <c r="O19" s="46"/>
      <c r="P19" s="30"/>
      <c r="Q19" s="33">
        <v>6029</v>
      </c>
      <c r="R19" s="31">
        <f>O19-K19</f>
        <v>0</v>
      </c>
      <c r="S19" s="34">
        <f>L19-Q19</f>
        <v>-5030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0"/>
        <v>Véhicules neufs</v>
      </c>
      <c r="B20" s="11" t="str">
        <f t="shared" si="1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0"/>
        <v>Véhicules neufsRev. Finances</v>
      </c>
      <c r="B21" s="11" t="str">
        <f t="shared" si="1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1700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-1700</v>
      </c>
      <c r="O21" s="31"/>
      <c r="P21" s="30"/>
      <c r="Q21" s="33">
        <v>394.15</v>
      </c>
      <c r="R21" s="31">
        <f>O21-K21</f>
        <v>0</v>
      </c>
      <c r="S21" s="34">
        <f>L21-Q21</f>
        <v>-394.15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0"/>
        <v>Véhicules neufsRev. Protections</v>
      </c>
      <c r="B22" s="11" t="str">
        <f t="shared" si="1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20400</v>
      </c>
      <c r="G22" s="41"/>
      <c r="H22" s="30"/>
      <c r="I22" s="30"/>
      <c r="J22" s="31"/>
      <c r="K22" s="30">
        <f>IF(J13=0,0,L22/(J13+J15))</f>
        <v>1455.2968571428571</v>
      </c>
      <c r="L22" s="33">
        <v>50935.39</v>
      </c>
      <c r="M22" s="31"/>
      <c r="N22" s="33">
        <f>L22-F22</f>
        <v>30535.39</v>
      </c>
      <c r="O22" s="31"/>
      <c r="P22" s="30"/>
      <c r="Q22" s="33">
        <v>23529</v>
      </c>
      <c r="R22" s="31">
        <f>O22-K22</f>
        <v>-1455.2968571428571</v>
      </c>
      <c r="S22" s="34">
        <f>L22-Q22</f>
        <v>27406.39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0"/>
        <v>Véhicules neufsRev. Autres</v>
      </c>
      <c r="B23" s="11" t="str">
        <f t="shared" si="1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9900</v>
      </c>
      <c r="G23" s="41"/>
      <c r="H23" s="30"/>
      <c r="I23" s="30"/>
      <c r="J23" s="31"/>
      <c r="K23" s="30">
        <f>IF(J13=0,0,L23/(J13+J15))</f>
        <v>446.45571428571429</v>
      </c>
      <c r="L23" s="33">
        <v>15625.95</v>
      </c>
      <c r="M23" s="51"/>
      <c r="N23" s="33">
        <f>L23-F23</f>
        <v>5725.9500000000007</v>
      </c>
      <c r="O23" s="31"/>
      <c r="P23" s="30"/>
      <c r="Q23" s="33">
        <v>9054</v>
      </c>
      <c r="R23" s="31">
        <f>O23-K23</f>
        <v>-446.45571428571429</v>
      </c>
      <c r="S23" s="34">
        <f>L23-Q23</f>
        <v>6571.9500000000007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0"/>
        <v>Véhicules neufsTotal F&amp;I</v>
      </c>
      <c r="B24" s="11" t="str">
        <f t="shared" si="1"/>
        <v>Véhicules neufs</v>
      </c>
      <c r="C24" s="35" t="s">
        <v>27</v>
      </c>
      <c r="D24" s="36">
        <f>+D15+D13</f>
        <v>20</v>
      </c>
      <c r="E24" s="36">
        <f>IF(D24&lt;=0,0,F24/D24)</f>
        <v>1600</v>
      </c>
      <c r="F24" s="37">
        <f>F21+F22+F23</f>
        <v>32000</v>
      </c>
      <c r="G24" s="38"/>
      <c r="H24" s="36"/>
      <c r="I24" s="37"/>
      <c r="J24" s="38">
        <f>+J15+J13</f>
        <v>35</v>
      </c>
      <c r="K24" s="36">
        <f>IF(J24&lt;=0,0,L24/J24)</f>
        <v>1901.7525714285714</v>
      </c>
      <c r="L24" s="37">
        <f>L21+L22+L23</f>
        <v>66561.34</v>
      </c>
      <c r="M24" s="58">
        <f>J24-D24</f>
        <v>15</v>
      </c>
      <c r="N24" s="37">
        <f>L24-F24</f>
        <v>34561.339999999997</v>
      </c>
      <c r="O24" s="38">
        <f>+O15+O13</f>
        <v>22</v>
      </c>
      <c r="P24" s="36">
        <f>IF(O24&lt;=0,0,Q24/O24)</f>
        <v>1498.9613636363638</v>
      </c>
      <c r="Q24" s="37">
        <f>Q21+Q22+Q23</f>
        <v>32977.15</v>
      </c>
      <c r="R24" s="56"/>
      <c r="S24" s="39">
        <f>L24-Q24</f>
        <v>33584.189999999995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0"/>
        <v>Véhicules neufs</v>
      </c>
      <c r="B25" s="11" t="str">
        <f t="shared" si="1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1.0800418749999998</v>
      </c>
      <c r="O25" s="41"/>
      <c r="P25" s="13"/>
      <c r="Q25" s="59"/>
      <c r="R25" s="60"/>
      <c r="S25" s="44">
        <f>IF(Q24=0,0,(S24/Q24))</f>
        <v>1.0184078975896944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0"/>
        <v>Véhicules neufs</v>
      </c>
      <c r="B26" s="11" t="str">
        <f t="shared" si="1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0"/>
        <v>Véhicules neufsTotal Dépt. Neufs</v>
      </c>
      <c r="B27" s="11" t="str">
        <f t="shared" si="1"/>
        <v>Véhicules neufs</v>
      </c>
      <c r="C27" s="62" t="s">
        <v>28</v>
      </c>
      <c r="D27" s="63">
        <f>+D13+D15+D17</f>
        <v>20</v>
      </c>
      <c r="E27" s="64">
        <f>IF(D27&lt;=0,0,F27/D27)</f>
        <v>6823.885302763314</v>
      </c>
      <c r="F27" s="65">
        <f>F13+F17+F24+F19+F15</f>
        <v>136477.70605526629</v>
      </c>
      <c r="G27" s="66"/>
      <c r="H27" s="67"/>
      <c r="I27" s="65"/>
      <c r="J27" s="66">
        <f>+J13+J15+J17</f>
        <v>37</v>
      </c>
      <c r="K27" s="67">
        <f>IF(J27&lt;=0,0,L27/J27)</f>
        <v>5007.3524324324308</v>
      </c>
      <c r="L27" s="65">
        <f>L13+L17+L24+L19+L15</f>
        <v>185272.03999999995</v>
      </c>
      <c r="M27" s="66">
        <f>J27-D27</f>
        <v>17</v>
      </c>
      <c r="N27" s="65">
        <f>L27-F27</f>
        <v>48794.333944733662</v>
      </c>
      <c r="O27" s="66">
        <f>+O13+O15+O17</f>
        <v>22</v>
      </c>
      <c r="P27" s="67">
        <f>IF(O27&lt;=0,0,Q27/O27)</f>
        <v>6612.6950000000043</v>
      </c>
      <c r="Q27" s="65">
        <f>Q13+Q17+Q24+Q19+Q15</f>
        <v>145479.2900000001</v>
      </c>
      <c r="R27" s="66">
        <f>J27-O27</f>
        <v>15</v>
      </c>
      <c r="S27" s="68">
        <f>L27-Q27</f>
        <v>39792.749999999854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0"/>
        <v>Véhicules neufs</v>
      </c>
      <c r="B28" s="11" t="str">
        <f t="shared" si="1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0.85</v>
      </c>
      <c r="N28" s="74">
        <f>N27/F27</f>
        <v>0.35752604110281955</v>
      </c>
      <c r="O28" s="72"/>
      <c r="P28" s="70"/>
      <c r="Q28" s="71"/>
      <c r="R28" s="73">
        <f>R27/O27</f>
        <v>0.68181818181818177</v>
      </c>
      <c r="S28" s="75">
        <f>IF(Q27=0,0,S27/Q27)</f>
        <v>0.27352862390241134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0"/>
        <v>Véhicules neufs</v>
      </c>
      <c r="B29" s="11" t="str">
        <f t="shared" si="1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0"/>
        <v>Véhicules neufsDEPENSES</v>
      </c>
      <c r="B30" s="11" t="str">
        <f t="shared" si="1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0"/>
        <v>Véhicules neufsComm. vendeurs</v>
      </c>
      <c r="B31" s="11" t="str">
        <f t="shared" si="1"/>
        <v>Véhicules neufs</v>
      </c>
      <c r="C31" s="29" t="s">
        <v>30</v>
      </c>
      <c r="D31" s="148">
        <f>F31/(F13+F15)</f>
        <v>0.29683244310559892</v>
      </c>
      <c r="E31" s="82">
        <f t="shared" ref="E31:E36" si="9">F31/D$24</f>
        <v>1491.6826988191767</v>
      </c>
      <c r="F31" s="30">
        <v>29833.653976383535</v>
      </c>
      <c r="G31" s="157"/>
      <c r="H31" s="82"/>
      <c r="I31" s="30"/>
      <c r="J31" s="157">
        <f>L31/(L13+L15)</f>
        <v>0.39274263433751971</v>
      </c>
      <c r="K31" s="82">
        <f t="shared" ref="K31:K36" si="10">IF(L31=0,0,L31/J$24)</f>
        <v>1320.2674285714286</v>
      </c>
      <c r="L31" s="30">
        <v>46209.36</v>
      </c>
      <c r="M31" s="41"/>
      <c r="N31" s="59">
        <f t="shared" ref="N31:N53" si="11">L31-F31</f>
        <v>16375.706023616465</v>
      </c>
      <c r="O31" s="157">
        <f>Q31/(Q13+Q15+Q17)</f>
        <v>0.30887113876795569</v>
      </c>
      <c r="P31" s="82">
        <f t="shared" ref="P31:P40" si="12">Q31/O$24</f>
        <v>1494.8400000000001</v>
      </c>
      <c r="Q31" s="33">
        <v>32886.480000000003</v>
      </c>
      <c r="R31" s="41"/>
      <c r="S31" s="85">
        <f t="shared" ref="S31:S36" si="13">L31-Q31</f>
        <v>13322.879999999997</v>
      </c>
      <c r="T31" s="13"/>
      <c r="U31" s="13"/>
      <c r="V31" s="11" t="s">
        <v>254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0"/>
        <v>Véhicules neufsComm. F&amp;I</v>
      </c>
      <c r="B32" s="11" t="str">
        <f t="shared" si="1"/>
        <v>Véhicules neufs</v>
      </c>
      <c r="C32" s="86" t="s">
        <v>31</v>
      </c>
      <c r="D32" s="218">
        <f>F32/F24</f>
        <v>0.25</v>
      </c>
      <c r="E32" s="88">
        <f t="shared" si="9"/>
        <v>400</v>
      </c>
      <c r="F32" s="22">
        <v>8000</v>
      </c>
      <c r="G32" s="162"/>
      <c r="H32" s="90"/>
      <c r="I32" s="22"/>
      <c r="J32" s="162">
        <f>L32/L24</f>
        <v>0.421297407774543</v>
      </c>
      <c r="K32" s="88">
        <f t="shared" si="10"/>
        <v>801.2034285714285</v>
      </c>
      <c r="L32" s="22">
        <v>28042.12</v>
      </c>
      <c r="M32" s="23"/>
      <c r="N32" s="91">
        <f t="shared" si="11"/>
        <v>20042.12</v>
      </c>
      <c r="O32" s="162">
        <f>Q32/Q24</f>
        <v>0.25379057923440929</v>
      </c>
      <c r="P32" s="88">
        <f t="shared" si="12"/>
        <v>380.42227272727274</v>
      </c>
      <c r="Q32" s="22">
        <v>8369.2900000000009</v>
      </c>
      <c r="R32" s="23"/>
      <c r="S32" s="92">
        <f t="shared" si="13"/>
        <v>19672.829999999998</v>
      </c>
      <c r="T32" s="13"/>
      <c r="U32" s="13"/>
      <c r="V32" s="11" t="s">
        <v>255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0"/>
        <v>Véhicules neufsFrais de livraison</v>
      </c>
      <c r="B33" s="11" t="str">
        <f t="shared" si="1"/>
        <v>Véhicules neufs</v>
      </c>
      <c r="C33" s="29" t="s">
        <v>32</v>
      </c>
      <c r="D33" s="81"/>
      <c r="E33" s="82">
        <f t="shared" si="9"/>
        <v>100</v>
      </c>
      <c r="F33" s="30">
        <v>2000</v>
      </c>
      <c r="G33" s="83"/>
      <c r="H33" s="82"/>
      <c r="I33" s="30"/>
      <c r="J33" s="41"/>
      <c r="K33" s="82">
        <f t="shared" si="10"/>
        <v>67.887428571428572</v>
      </c>
      <c r="L33" s="30">
        <v>2376.06</v>
      </c>
      <c r="M33" s="41"/>
      <c r="N33" s="59">
        <f t="shared" si="11"/>
        <v>376.05999999999995</v>
      </c>
      <c r="O33" s="41"/>
      <c r="P33" s="82">
        <f t="shared" si="12"/>
        <v>74.969545454545454</v>
      </c>
      <c r="Q33" s="33">
        <v>1649.33</v>
      </c>
      <c r="R33" s="41"/>
      <c r="S33" s="85">
        <f t="shared" si="13"/>
        <v>726.73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0"/>
        <v>Véhicules neufsService gratuit 1</v>
      </c>
      <c r="B34" s="11" t="str">
        <f t="shared" si="1"/>
        <v>Véhicules neufs</v>
      </c>
      <c r="C34" s="29" t="s">
        <v>33</v>
      </c>
      <c r="D34" s="81"/>
      <c r="E34" s="82">
        <f t="shared" si="9"/>
        <v>45</v>
      </c>
      <c r="F34" s="30">
        <v>900</v>
      </c>
      <c r="G34" s="83"/>
      <c r="H34" s="82"/>
      <c r="I34" s="30"/>
      <c r="J34" s="41"/>
      <c r="K34" s="82">
        <f t="shared" si="10"/>
        <v>50.454571428571434</v>
      </c>
      <c r="L34" s="30">
        <v>1765.91</v>
      </c>
      <c r="M34" s="41"/>
      <c r="N34" s="59">
        <f t="shared" si="11"/>
        <v>865.91000000000008</v>
      </c>
      <c r="O34" s="41"/>
      <c r="P34" s="82">
        <f t="shared" si="12"/>
        <v>53.870000000000005</v>
      </c>
      <c r="Q34" s="33">
        <v>1185.1400000000001</v>
      </c>
      <c r="R34" s="41"/>
      <c r="S34" s="85">
        <f t="shared" si="13"/>
        <v>580.77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0"/>
        <v>Véhicules neufsEntretien stock</v>
      </c>
      <c r="B35" s="11" t="str">
        <f t="shared" si="1"/>
        <v>Véhicules neufs</v>
      </c>
      <c r="C35" s="86" t="s">
        <v>34</v>
      </c>
      <c r="D35" s="87"/>
      <c r="E35" s="88">
        <f t="shared" si="9"/>
        <v>47.5</v>
      </c>
      <c r="F35" s="22">
        <v>950</v>
      </c>
      <c r="G35" s="89"/>
      <c r="H35" s="90"/>
      <c r="I35" s="22"/>
      <c r="J35" s="23"/>
      <c r="K35" s="88">
        <f t="shared" si="10"/>
        <v>70.689428571428579</v>
      </c>
      <c r="L35" s="22">
        <v>2474.13</v>
      </c>
      <c r="M35" s="23"/>
      <c r="N35" s="91">
        <f t="shared" si="11"/>
        <v>1524.13</v>
      </c>
      <c r="O35" s="23"/>
      <c r="P35" s="88">
        <f t="shared" si="12"/>
        <v>55.704545454545453</v>
      </c>
      <c r="Q35" s="33">
        <v>1225.5</v>
      </c>
      <c r="R35" s="23"/>
      <c r="S35" s="92">
        <f t="shared" si="13"/>
        <v>1248.6300000000001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0"/>
        <v>Véhicules neufsPublicité 1</v>
      </c>
      <c r="B36" s="11" t="str">
        <f t="shared" si="1"/>
        <v>Véhicules neufs</v>
      </c>
      <c r="C36" s="29" t="s">
        <v>35</v>
      </c>
      <c r="D36" s="81"/>
      <c r="E36" s="82">
        <f t="shared" si="9"/>
        <v>496.609375</v>
      </c>
      <c r="F36" s="30">
        <v>9932.1875</v>
      </c>
      <c r="G36" s="83"/>
      <c r="H36" s="82"/>
      <c r="I36" s="30"/>
      <c r="J36" s="41"/>
      <c r="K36" s="82">
        <f t="shared" si="10"/>
        <v>338.08399999999995</v>
      </c>
      <c r="L36" s="459">
        <v>11832.939999999999</v>
      </c>
      <c r="M36" s="13"/>
      <c r="N36" s="59">
        <f t="shared" si="11"/>
        <v>1900.7524999999987</v>
      </c>
      <c r="O36" s="41"/>
      <c r="P36" s="82">
        <f t="shared" si="12"/>
        <v>667.48727272727274</v>
      </c>
      <c r="Q36" s="55">
        <v>14684.72</v>
      </c>
      <c r="R36" s="41"/>
      <c r="S36" s="85">
        <f t="shared" si="13"/>
        <v>-2851.7800000000007</v>
      </c>
      <c r="T36" s="13"/>
      <c r="U36" s="13"/>
      <c r="V36" s="11">
        <v>16040</v>
      </c>
      <c r="W36" s="458" t="s">
        <v>256</v>
      </c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ref="A37:A68" si="14">+B37&amp;C37</f>
        <v>Véhicules neufsIntérêt de gros</v>
      </c>
      <c r="B37" s="11" t="str">
        <f t="shared" si="1"/>
        <v>Véhicules neufs</v>
      </c>
      <c r="C37" s="29" t="s">
        <v>36</v>
      </c>
      <c r="D37" s="81"/>
      <c r="E37" s="82">
        <f>F37/D$24</f>
        <v>1233.9277916141241</v>
      </c>
      <c r="F37" s="30">
        <v>24678.555832282484</v>
      </c>
      <c r="G37" s="83"/>
      <c r="H37" s="82"/>
      <c r="I37" s="30"/>
      <c r="J37" s="41"/>
      <c r="K37" s="82">
        <f>IF(L37=0,0,L37/J$24)</f>
        <v>986.47199999999987</v>
      </c>
      <c r="L37" s="460">
        <v>34526.519999999997</v>
      </c>
      <c r="M37" s="13"/>
      <c r="N37" s="59">
        <f t="shared" si="11"/>
        <v>9847.9641677175132</v>
      </c>
      <c r="O37" s="41"/>
      <c r="P37" s="82">
        <f t="shared" si="12"/>
        <v>645.76590909090908</v>
      </c>
      <c r="Q37" s="33">
        <v>14206.85</v>
      </c>
      <c r="R37" s="41"/>
      <c r="S37" s="85">
        <f>L37-Q37</f>
        <v>20319.669999999998</v>
      </c>
      <c r="T37" s="13"/>
      <c r="U37" s="13"/>
      <c r="V37" s="458">
        <v>34527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4"/>
        <v>Véhicules neufs[...]</v>
      </c>
      <c r="B38" s="11" t="str">
        <f t="shared" si="1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1"/>
        <v>0</v>
      </c>
      <c r="O38" s="41"/>
      <c r="P38" s="82">
        <f t="shared" si="12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4"/>
        <v>Véhicules neufs[...]</v>
      </c>
      <c r="B39" s="11" t="str">
        <f t="shared" si="1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1"/>
        <v>0</v>
      </c>
      <c r="O39" s="41"/>
      <c r="P39" s="82">
        <f t="shared" si="12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4"/>
        <v>Véhicules neufs[...]</v>
      </c>
      <c r="B40" s="11" t="str">
        <f t="shared" si="1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1"/>
        <v>0</v>
      </c>
      <c r="O40" s="41"/>
      <c r="P40" s="82">
        <f t="shared" si="12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4"/>
        <v>Véhicules neufsTOTAL VARIABLES</v>
      </c>
      <c r="B41" s="11" t="str">
        <f t="shared" si="1"/>
        <v>Véhicules neufs</v>
      </c>
      <c r="C41" s="93" t="s">
        <v>37</v>
      </c>
      <c r="D41" s="94" t="s">
        <v>38</v>
      </c>
      <c r="E41" s="95">
        <f>F41/F$27</f>
        <v>0.55902461664889647</v>
      </c>
      <c r="F41" s="96">
        <f>SUM(F31:F40)</f>
        <v>76294.397308666012</v>
      </c>
      <c r="G41" s="97"/>
      <c r="H41" s="95"/>
      <c r="I41" s="96"/>
      <c r="J41" s="97" t="s">
        <v>38</v>
      </c>
      <c r="K41" s="95">
        <f>L41/L$27</f>
        <v>0.68670394086447173</v>
      </c>
      <c r="L41" s="96">
        <f>SUM(L31:L40)</f>
        <v>127227.04000000001</v>
      </c>
      <c r="M41" s="98"/>
      <c r="N41" s="96">
        <f t="shared" si="11"/>
        <v>50932.642691333996</v>
      </c>
      <c r="O41" s="97" t="s">
        <v>38</v>
      </c>
      <c r="P41" s="95">
        <f>Q41/Q$27</f>
        <v>0.51008848063528467</v>
      </c>
      <c r="Q41" s="99">
        <f>SUM(Q31:Q40)</f>
        <v>74207.310000000012</v>
      </c>
      <c r="R41" s="100"/>
      <c r="S41" s="101">
        <f t="shared" ref="S41:S45" si="15">L41-Q41</f>
        <v>53019.729999999996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4"/>
        <v>Véhicules neufsSalaires cadres</v>
      </c>
      <c r="B42" s="11" t="str">
        <f t="shared" si="1"/>
        <v>Véhicules neufs</v>
      </c>
      <c r="C42" s="102" t="s">
        <v>40</v>
      </c>
      <c r="D42" s="13"/>
      <c r="E42" s="13"/>
      <c r="F42" s="30">
        <v>12353.222264631044</v>
      </c>
      <c r="G42" s="41"/>
      <c r="H42" s="13"/>
      <c r="I42" s="30"/>
      <c r="J42" s="41"/>
      <c r="K42" s="13"/>
      <c r="L42" s="33">
        <v>13561.95</v>
      </c>
      <c r="M42" s="41"/>
      <c r="N42" s="59">
        <f t="shared" si="11"/>
        <v>1208.7277353689569</v>
      </c>
      <c r="O42" s="41"/>
      <c r="P42" s="13"/>
      <c r="Q42" s="33">
        <v>15588.82</v>
      </c>
      <c r="R42" s="41"/>
      <c r="S42" s="85">
        <f t="shared" si="15"/>
        <v>-2026.869999999999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4"/>
        <v>Véhicules neufsSalaires commis</v>
      </c>
      <c r="B43" s="11" t="str">
        <f t="shared" si="1"/>
        <v>Véhicules neufs</v>
      </c>
      <c r="C43" s="103" t="s">
        <v>41</v>
      </c>
      <c r="D43" s="81"/>
      <c r="E43" s="13"/>
      <c r="F43" s="22">
        <v>8436.5301526717558</v>
      </c>
      <c r="G43" s="83"/>
      <c r="H43" s="13"/>
      <c r="I43" s="22"/>
      <c r="J43" s="41"/>
      <c r="K43" s="13"/>
      <c r="L43" s="33">
        <v>10795.04</v>
      </c>
      <c r="M43" s="41"/>
      <c r="N43" s="59">
        <f t="shared" si="11"/>
        <v>2358.5098473282451</v>
      </c>
      <c r="O43" s="41"/>
      <c r="P43" s="13"/>
      <c r="Q43" s="33">
        <v>6694.98</v>
      </c>
      <c r="R43" s="41"/>
      <c r="S43" s="85">
        <f t="shared" si="15"/>
        <v>4100.0600000000013</v>
      </c>
      <c r="T43" s="13"/>
      <c r="U43" s="13"/>
      <c r="V43" s="11" t="s">
        <v>257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4"/>
        <v>Véhicules neufsSalaires autres</v>
      </c>
      <c r="B44" s="11" t="str">
        <f t="shared" si="1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1"/>
        <v>0</v>
      </c>
      <c r="O44" s="107"/>
      <c r="P44" s="105"/>
      <c r="Q44" s="108">
        <v>342</v>
      </c>
      <c r="R44" s="107"/>
      <c r="S44" s="110">
        <f t="shared" si="15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4"/>
        <v>Véhicules neufsSalaires spécialistes</v>
      </c>
      <c r="B45" s="11" t="str">
        <f t="shared" si="1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1"/>
        <v>0</v>
      </c>
      <c r="O45" s="41"/>
      <c r="P45" s="13"/>
      <c r="Q45" s="33">
        <v>0</v>
      </c>
      <c r="R45" s="41"/>
      <c r="S45" s="85">
        <f t="shared" si="15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4"/>
        <v>Véhicules neufs[...]</v>
      </c>
      <c r="B46" s="11" t="str">
        <f t="shared" si="1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1"/>
        <v>0</v>
      </c>
      <c r="O46" s="41"/>
      <c r="P46" s="13"/>
      <c r="Q46" s="33">
        <v>0</v>
      </c>
      <c r="R46" s="41"/>
      <c r="S46" s="85">
        <f t="shared" ref="S46:S53" si="16"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4"/>
        <v>Véhicules neufs[...]</v>
      </c>
      <c r="B47" s="11" t="str">
        <f t="shared" si="1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1"/>
        <v>0</v>
      </c>
      <c r="O47" s="41"/>
      <c r="P47" s="13"/>
      <c r="Q47" s="33">
        <v>0</v>
      </c>
      <c r="R47" s="41"/>
      <c r="S47" s="85">
        <f t="shared" si="16"/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4"/>
        <v>Véhicules neufs[...]</v>
      </c>
      <c r="B48" s="11" t="str">
        <f t="shared" si="1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1"/>
        <v>0</v>
      </c>
      <c r="O48" s="41"/>
      <c r="P48" s="13"/>
      <c r="Q48" s="33">
        <v>0</v>
      </c>
      <c r="R48" s="41"/>
      <c r="S48" s="85">
        <f t="shared" si="16"/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4"/>
        <v>Véhicules neufsSalaires en absences</v>
      </c>
      <c r="B49" s="11" t="str">
        <f t="shared" si="1"/>
        <v>Véhicules neufs</v>
      </c>
      <c r="C49" s="103" t="s">
        <v>44</v>
      </c>
      <c r="D49" s="81"/>
      <c r="E49" s="13"/>
      <c r="F49" s="22">
        <v>6190.2803193551681</v>
      </c>
      <c r="G49" s="83"/>
      <c r="H49" s="13"/>
      <c r="I49" s="22"/>
      <c r="J49" s="41"/>
      <c r="K49" s="13"/>
      <c r="L49" s="22">
        <v>6518.5</v>
      </c>
      <c r="M49" s="41"/>
      <c r="N49" s="59">
        <f t="shared" si="11"/>
        <v>328.2196806448319</v>
      </c>
      <c r="O49" s="41"/>
      <c r="P49" s="13"/>
      <c r="Q49" s="22">
        <v>5043.63</v>
      </c>
      <c r="R49" s="41"/>
      <c r="S49" s="85">
        <f t="shared" si="16"/>
        <v>1474.87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4"/>
        <v>Véhicules neufsDéduction à la source</v>
      </c>
      <c r="B50" s="11" t="str">
        <f t="shared" si="1"/>
        <v>Véhicules neufs</v>
      </c>
      <c r="C50" s="102" t="s">
        <v>45</v>
      </c>
      <c r="D50" s="104"/>
      <c r="E50" s="105"/>
      <c r="F50" s="30">
        <v>8584.8835000729105</v>
      </c>
      <c r="G50" s="106"/>
      <c r="H50" s="105"/>
      <c r="I50" s="30"/>
      <c r="J50" s="107"/>
      <c r="K50" s="105"/>
      <c r="L50" s="33">
        <v>6563.34</v>
      </c>
      <c r="M50" s="107"/>
      <c r="N50" s="109">
        <f t="shared" si="11"/>
        <v>-2021.5435000729103</v>
      </c>
      <c r="O50" s="107"/>
      <c r="P50" s="105"/>
      <c r="Q50" s="33">
        <v>6230.97</v>
      </c>
      <c r="R50" s="107"/>
      <c r="S50" s="110">
        <f t="shared" si="16"/>
        <v>332.36999999999989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4"/>
        <v>Véhicules neufsBénéfices marginaux</v>
      </c>
      <c r="B51" s="11" t="str">
        <f t="shared" si="1"/>
        <v>Véhicules neufs</v>
      </c>
      <c r="C51" s="102" t="s">
        <v>46</v>
      </c>
      <c r="D51" s="81"/>
      <c r="E51" s="13"/>
      <c r="F51" s="30">
        <v>4063.0746336222928</v>
      </c>
      <c r="G51" s="83"/>
      <c r="H51" s="13"/>
      <c r="I51" s="30"/>
      <c r="J51" s="41"/>
      <c r="K51" s="13"/>
      <c r="L51" s="33">
        <v>2314.0700000000002</v>
      </c>
      <c r="M51" s="41"/>
      <c r="N51" s="59">
        <f t="shared" si="11"/>
        <v>-1749.0046336222927</v>
      </c>
      <c r="O51" s="41"/>
      <c r="P51" s="13"/>
      <c r="Q51" s="33">
        <v>3801.06</v>
      </c>
      <c r="R51" s="41"/>
      <c r="S51" s="85">
        <f t="shared" si="16"/>
        <v>-1486.9899999999998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4"/>
        <v>Véhicules neufsCsst</v>
      </c>
      <c r="B52" s="11" t="str">
        <f t="shared" si="1"/>
        <v>Véhicules neufs</v>
      </c>
      <c r="C52" s="102" t="s">
        <v>47</v>
      </c>
      <c r="D52" s="81"/>
      <c r="E52" s="13"/>
      <c r="F52" s="30">
        <v>917.4684656566468</v>
      </c>
      <c r="G52" s="83"/>
      <c r="H52" s="13"/>
      <c r="I52" s="30"/>
      <c r="J52" s="41"/>
      <c r="K52" s="13"/>
      <c r="L52" s="33">
        <v>157.28</v>
      </c>
      <c r="M52" s="41"/>
      <c r="N52" s="59">
        <f t="shared" si="11"/>
        <v>-760.18846565664683</v>
      </c>
      <c r="O52" s="41"/>
      <c r="P52" s="13"/>
      <c r="Q52" s="33">
        <v>80.34</v>
      </c>
      <c r="R52" s="41"/>
      <c r="S52" s="85">
        <f t="shared" si="16"/>
        <v>76.94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4"/>
        <v>Véhicules neufs[...]</v>
      </c>
      <c r="B53" s="11" t="str">
        <f t="shared" si="1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1"/>
        <v>0</v>
      </c>
      <c r="O53" s="23"/>
      <c r="P53" s="111"/>
      <c r="Q53" s="33">
        <v>0</v>
      </c>
      <c r="R53" s="23"/>
      <c r="S53" s="92">
        <f t="shared" si="16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4"/>
        <v>Véhicules neufsTOTAL PERSONNEL</v>
      </c>
      <c r="B54" s="11" t="str">
        <f t="shared" si="1"/>
        <v>Véhicules neufs</v>
      </c>
      <c r="C54" s="93" t="s">
        <v>48</v>
      </c>
      <c r="D54" s="94" t="s">
        <v>38</v>
      </c>
      <c r="E54" s="95">
        <f>F54/F$27</f>
        <v>0.29959075747838659</v>
      </c>
      <c r="F54" s="96">
        <f>+SUM(F42:F53)</f>
        <v>40887.459336009815</v>
      </c>
      <c r="G54" s="97"/>
      <c r="H54" s="95"/>
      <c r="I54" s="96"/>
      <c r="J54" s="97" t="s">
        <v>38</v>
      </c>
      <c r="K54" s="95">
        <f>L54/L$27</f>
        <v>0.21725987364310348</v>
      </c>
      <c r="L54" s="96">
        <f>+SUM(L42:L53)</f>
        <v>40252.18</v>
      </c>
      <c r="M54" s="100"/>
      <c r="N54" s="96">
        <f>+SUM(N42:N53)</f>
        <v>-635.27933600981589</v>
      </c>
      <c r="O54" s="97" t="s">
        <v>38</v>
      </c>
      <c r="P54" s="95">
        <f>Q54/Q$27</f>
        <v>0.25970569419193601</v>
      </c>
      <c r="Q54" s="96">
        <f>+SUM(Q42:Q53)</f>
        <v>37781.799999999996</v>
      </c>
      <c r="R54" s="100"/>
      <c r="S54" s="101">
        <f>+SUM(S42:S53)</f>
        <v>2470.3800000000024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4"/>
        <v>Véhicules neufsPublicité 2</v>
      </c>
      <c r="B55" s="11" t="str">
        <f t="shared" si="1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7">L55-F55</f>
        <v>0</v>
      </c>
      <c r="O55" s="41"/>
      <c r="P55" s="13"/>
      <c r="Q55" s="33">
        <v>0</v>
      </c>
      <c r="R55" s="41"/>
      <c r="S55" s="85">
        <f t="shared" ref="S55:S66" si="18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4"/>
        <v>Véhicules neufsService gratuit 2</v>
      </c>
      <c r="B56" s="11" t="str">
        <f t="shared" si="1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7"/>
        <v>0</v>
      </c>
      <c r="O56" s="41"/>
      <c r="P56" s="13"/>
      <c r="Q56" s="33">
        <v>0</v>
      </c>
      <c r="R56" s="41"/>
      <c r="S56" s="85">
        <f t="shared" si="18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4"/>
        <v>Véhicules neufsFrais véhicules de cie</v>
      </c>
      <c r="B57" s="11" t="str">
        <f t="shared" si="1"/>
        <v>Véhicules neufs</v>
      </c>
      <c r="C57" s="86" t="s">
        <v>51</v>
      </c>
      <c r="D57" s="87"/>
      <c r="E57" s="111"/>
      <c r="F57" s="22">
        <v>5080.0833333333339</v>
      </c>
      <c r="G57" s="89"/>
      <c r="H57" s="111"/>
      <c r="I57" s="22"/>
      <c r="J57" s="23"/>
      <c r="K57" s="111"/>
      <c r="L57" s="22">
        <v>9735.27</v>
      </c>
      <c r="M57" s="23"/>
      <c r="N57" s="91">
        <f t="shared" si="17"/>
        <v>4655.1866666666665</v>
      </c>
      <c r="O57" s="23"/>
      <c r="P57" s="111"/>
      <c r="Q57" s="22">
        <v>5151.59</v>
      </c>
      <c r="R57" s="23"/>
      <c r="S57" s="92">
        <f t="shared" si="18"/>
        <v>4583.68</v>
      </c>
      <c r="T57" s="112"/>
      <c r="U57" s="13"/>
      <c r="V57" s="11" t="s">
        <v>247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4"/>
        <v>Véhicules neufsInformatique</v>
      </c>
      <c r="B58" s="11" t="str">
        <f t="shared" si="1"/>
        <v>Véhicules neufs</v>
      </c>
      <c r="C58" s="29" t="s">
        <v>52</v>
      </c>
      <c r="D58" s="81"/>
      <c r="E58" s="13"/>
      <c r="F58" s="30">
        <v>4993.05</v>
      </c>
      <c r="G58" s="83"/>
      <c r="H58" s="13"/>
      <c r="I58" s="30"/>
      <c r="J58" s="41"/>
      <c r="K58" s="13"/>
      <c r="L58" s="33">
        <v>4394.9399999999996</v>
      </c>
      <c r="M58" s="41"/>
      <c r="N58" s="59">
        <f t="shared" si="17"/>
        <v>-598.11000000000058</v>
      </c>
      <c r="O58" s="41"/>
      <c r="P58" s="13"/>
      <c r="Q58" s="33">
        <v>4757.24</v>
      </c>
      <c r="R58" s="41"/>
      <c r="S58" s="85">
        <f t="shared" si="18"/>
        <v>-362.30000000000018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4"/>
        <v>Véhicules neufsFrais de déplacement</v>
      </c>
      <c r="B59" s="11" t="str">
        <f t="shared" si="1"/>
        <v>Véhicules neufs</v>
      </c>
      <c r="C59" s="29" t="s">
        <v>53</v>
      </c>
      <c r="D59" s="81"/>
      <c r="E59" s="13"/>
      <c r="F59" s="30">
        <v>822.6</v>
      </c>
      <c r="G59" s="83"/>
      <c r="H59" s="13"/>
      <c r="I59" s="30"/>
      <c r="J59" s="41"/>
      <c r="K59" s="13"/>
      <c r="L59" s="33">
        <v>1199.4000000000001</v>
      </c>
      <c r="M59" s="41"/>
      <c r="N59" s="59">
        <f t="shared" si="17"/>
        <v>376.80000000000007</v>
      </c>
      <c r="O59" s="41"/>
      <c r="P59" s="13"/>
      <c r="Q59" s="33">
        <v>2422.62</v>
      </c>
      <c r="R59" s="41"/>
      <c r="S59" s="85">
        <f t="shared" si="18"/>
        <v>-1223.2199999999998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4"/>
        <v>Véhicules neufsServices extérieurs</v>
      </c>
      <c r="B60" s="11" t="str">
        <f t="shared" si="1"/>
        <v>Véhicules neufs</v>
      </c>
      <c r="C60" s="86" t="s">
        <v>54</v>
      </c>
      <c r="D60" s="87"/>
      <c r="E60" s="111"/>
      <c r="F60" s="22">
        <v>2754.4500000000003</v>
      </c>
      <c r="G60" s="89"/>
      <c r="H60" s="111"/>
      <c r="I60" s="22"/>
      <c r="J60" s="23"/>
      <c r="K60" s="111"/>
      <c r="L60" s="22">
        <v>3731.16</v>
      </c>
      <c r="M60" s="23"/>
      <c r="N60" s="91">
        <f t="shared" si="17"/>
        <v>976.70999999999958</v>
      </c>
      <c r="O60" s="23"/>
      <c r="P60" s="111"/>
      <c r="Q60" s="22">
        <v>3183.03</v>
      </c>
      <c r="R60" s="23"/>
      <c r="S60" s="92">
        <f t="shared" si="18"/>
        <v>548.12999999999965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4"/>
        <v>Véhicules neufsFournitures autres</v>
      </c>
      <c r="B61" s="11" t="str">
        <f t="shared" si="1"/>
        <v>Véhicules neufs</v>
      </c>
      <c r="C61" s="29" t="s">
        <v>55</v>
      </c>
      <c r="D61" s="81"/>
      <c r="E61" s="13"/>
      <c r="F61" s="30">
        <v>62.5</v>
      </c>
      <c r="G61" s="83"/>
      <c r="H61" s="13"/>
      <c r="I61" s="30"/>
      <c r="J61" s="41"/>
      <c r="K61" s="13"/>
      <c r="L61" s="33">
        <v>10.79</v>
      </c>
      <c r="M61" s="41"/>
      <c r="N61" s="59">
        <f t="shared" si="17"/>
        <v>-51.71</v>
      </c>
      <c r="O61" s="41"/>
      <c r="P61" s="13"/>
      <c r="Q61" s="33">
        <v>30.2</v>
      </c>
      <c r="R61" s="41"/>
      <c r="S61" s="85">
        <f t="shared" si="18"/>
        <v>-19.41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4"/>
        <v>Véhicules neufsUniformes</v>
      </c>
      <c r="B62" s="11" t="str">
        <f t="shared" si="1"/>
        <v>Véhicules neufs</v>
      </c>
      <c r="C62" s="29" t="s">
        <v>56</v>
      </c>
      <c r="D62" s="81"/>
      <c r="E62" s="13"/>
      <c r="F62" s="30">
        <v>15</v>
      </c>
      <c r="G62" s="83"/>
      <c r="H62" s="13"/>
      <c r="I62" s="30"/>
      <c r="J62" s="41"/>
      <c r="K62" s="13"/>
      <c r="L62" s="33">
        <v>0</v>
      </c>
      <c r="M62" s="41"/>
      <c r="N62" s="59">
        <f t="shared" si="17"/>
        <v>-15</v>
      </c>
      <c r="O62" s="41"/>
      <c r="P62" s="13"/>
      <c r="Q62" s="33">
        <v>0</v>
      </c>
      <c r="R62" s="41"/>
      <c r="S62" s="85">
        <f t="shared" si="18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4"/>
        <v>Véhicules neufsPapeterie</v>
      </c>
      <c r="B63" s="11" t="str">
        <f t="shared" si="1"/>
        <v>Véhicules neufs</v>
      </c>
      <c r="C63" s="29" t="s">
        <v>57</v>
      </c>
      <c r="D63" s="81"/>
      <c r="E63" s="13"/>
      <c r="F63" s="30">
        <v>787.5</v>
      </c>
      <c r="G63" s="83"/>
      <c r="H63" s="13"/>
      <c r="I63" s="30"/>
      <c r="J63" s="41"/>
      <c r="K63" s="13"/>
      <c r="L63" s="32">
        <v>802.33</v>
      </c>
      <c r="M63" s="41"/>
      <c r="N63" s="59">
        <f t="shared" si="17"/>
        <v>14.830000000000041</v>
      </c>
      <c r="O63" s="41"/>
      <c r="P63" s="13"/>
      <c r="Q63" s="32">
        <v>746.08</v>
      </c>
      <c r="R63" s="41"/>
      <c r="S63" s="85">
        <f t="shared" si="18"/>
        <v>56.25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4"/>
        <v>Véhicules neufsTéléphone</v>
      </c>
      <c r="B64" s="11" t="str">
        <f t="shared" si="1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387.42</v>
      </c>
      <c r="M64" s="41"/>
      <c r="N64" s="59">
        <f t="shared" si="17"/>
        <v>177.02</v>
      </c>
      <c r="O64" s="41"/>
      <c r="P64" s="13"/>
      <c r="Q64" s="33">
        <v>206.76</v>
      </c>
      <c r="R64" s="41"/>
      <c r="S64" s="85">
        <f t="shared" si="18"/>
        <v>180.66000000000003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4"/>
        <v>Véhicules neufsFrais postaux</v>
      </c>
      <c r="B65" s="11" t="str">
        <f t="shared" si="1"/>
        <v>Véhicules neufs</v>
      </c>
      <c r="C65" s="29" t="s">
        <v>59</v>
      </c>
      <c r="D65" s="81"/>
      <c r="E65" s="13"/>
      <c r="F65" s="30">
        <v>225</v>
      </c>
      <c r="G65" s="83"/>
      <c r="H65" s="13"/>
      <c r="I65" s="30"/>
      <c r="J65" s="41"/>
      <c r="K65" s="13"/>
      <c r="L65" s="33">
        <v>55.24</v>
      </c>
      <c r="M65" s="41"/>
      <c r="N65" s="59">
        <f t="shared" si="17"/>
        <v>-169.76</v>
      </c>
      <c r="O65" s="41"/>
      <c r="P65" s="13"/>
      <c r="Q65" s="33">
        <v>319.88</v>
      </c>
      <c r="R65" s="41"/>
      <c r="S65" s="85">
        <f t="shared" si="18"/>
        <v>-264.64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4"/>
        <v>Véhicules neufsDivers</v>
      </c>
      <c r="B66" s="11" t="str">
        <f t="shared" si="1"/>
        <v>Véhicules neufs</v>
      </c>
      <c r="C66" s="29" t="s">
        <v>60</v>
      </c>
      <c r="D66" s="81"/>
      <c r="E66" s="13"/>
      <c r="F66" s="30">
        <v>836.1</v>
      </c>
      <c r="G66" s="83"/>
      <c r="H66" s="13"/>
      <c r="I66" s="30"/>
      <c r="J66" s="41"/>
      <c r="K66" s="13"/>
      <c r="L66" s="33">
        <v>739.8</v>
      </c>
      <c r="M66" s="41"/>
      <c r="N66" s="59">
        <f t="shared" si="17"/>
        <v>-96.300000000000068</v>
      </c>
      <c r="O66" s="41"/>
      <c r="P66" s="13"/>
      <c r="Q66" s="33">
        <v>751.95</v>
      </c>
      <c r="R66" s="41"/>
      <c r="S66" s="85">
        <f t="shared" si="18"/>
        <v>-12.150000000000091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4"/>
        <v>Véhicules neufsFormation</v>
      </c>
      <c r="B67" s="11" t="str">
        <f t="shared" si="1"/>
        <v>Véhicules neufs</v>
      </c>
      <c r="C67" s="29" t="s">
        <v>61</v>
      </c>
      <c r="D67" s="81"/>
      <c r="E67" s="13"/>
      <c r="F67" s="30">
        <v>482.16381333333317</v>
      </c>
      <c r="G67" s="83"/>
      <c r="H67" s="13"/>
      <c r="I67" s="30"/>
      <c r="J67" s="41"/>
      <c r="K67" s="13"/>
      <c r="L67" s="59">
        <v>1301.5899999999999</v>
      </c>
      <c r="M67" s="41"/>
      <c r="N67" s="59">
        <f t="shared" si="17"/>
        <v>819.42618666666681</v>
      </c>
      <c r="O67" s="41"/>
      <c r="P67" s="13"/>
      <c r="Q67" s="33">
        <v>740.68</v>
      </c>
      <c r="R67" s="41"/>
      <c r="S67" s="85">
        <f>L67-Q67</f>
        <v>560.91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4"/>
        <v>Véhicules neufsFrais bancaires</v>
      </c>
      <c r="B68" s="11" t="str">
        <f t="shared" si="1"/>
        <v>Véhicules neufs</v>
      </c>
      <c r="C68" s="29" t="s">
        <v>62</v>
      </c>
      <c r="D68" s="81"/>
      <c r="E68" s="13"/>
      <c r="F68" s="30">
        <v>2428.512920473851</v>
      </c>
      <c r="G68" s="83"/>
      <c r="H68" s="13"/>
      <c r="I68" s="30"/>
      <c r="J68" s="41"/>
      <c r="K68" s="13"/>
      <c r="L68" s="32">
        <v>4789.05</v>
      </c>
      <c r="M68" s="41"/>
      <c r="N68" s="59">
        <f t="shared" si="17"/>
        <v>2360.5370795261492</v>
      </c>
      <c r="O68" s="41"/>
      <c r="P68" s="13"/>
      <c r="Q68" s="33">
        <v>3509.48</v>
      </c>
      <c r="R68" s="41"/>
      <c r="S68" s="85">
        <f>L68-Q68</f>
        <v>1279.5700000000002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ref="A69:A100" si="19">+B69&amp;C69</f>
        <v>Véhicules neufs[...]</v>
      </c>
      <c r="B69" s="11" t="str">
        <f t="shared" si="1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7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9"/>
        <v>Véhicules neufs[...]</v>
      </c>
      <c r="B70" s="11" t="str">
        <f t="shared" si="1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7"/>
        <v>0</v>
      </c>
      <c r="O70" s="41"/>
      <c r="P70" s="13"/>
      <c r="Q70" s="33">
        <v>0</v>
      </c>
      <c r="R70" s="41"/>
      <c r="S70" s="85">
        <f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9"/>
        <v>Véhicules neufs[...]</v>
      </c>
      <c r="B71" s="11" t="str">
        <f t="shared" si="1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7"/>
        <v>0</v>
      </c>
      <c r="O71" s="41"/>
      <c r="P71" s="13"/>
      <c r="Q71" s="33">
        <v>0</v>
      </c>
      <c r="R71" s="41"/>
      <c r="S71" s="85">
        <f>L71-Q71</f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9"/>
        <v>Véhicules neufsTOTAL SEMI-FIXES</v>
      </c>
      <c r="B72" s="11" t="str">
        <f t="shared" si="1"/>
        <v>Véhicules neufs</v>
      </c>
      <c r="C72" s="93" t="s">
        <v>63</v>
      </c>
      <c r="D72" s="94" t="s">
        <v>38</v>
      </c>
      <c r="E72" s="95">
        <f>F72/F$27</f>
        <v>0.13699937233388926</v>
      </c>
      <c r="F72" s="96">
        <f>+SUM(F55:F71)</f>
        <v>18697.360067140518</v>
      </c>
      <c r="G72" s="97"/>
      <c r="H72" s="95"/>
      <c r="I72" s="96"/>
      <c r="J72" s="97" t="s">
        <v>38</v>
      </c>
      <c r="K72" s="95">
        <f>L72/L$27</f>
        <v>0.14652502341961585</v>
      </c>
      <c r="L72" s="96">
        <f>+SUM(L55:L71)</f>
        <v>27146.989999999998</v>
      </c>
      <c r="M72" s="100"/>
      <c r="N72" s="96">
        <f>+SUM(N55:N71)</f>
        <v>8449.6299328594814</v>
      </c>
      <c r="O72" s="97" t="s">
        <v>38</v>
      </c>
      <c r="P72" s="95">
        <f>Q72/Q$27</f>
        <v>0.14998361622468728</v>
      </c>
      <c r="Q72" s="96">
        <f>+SUM(Q55:Q71)</f>
        <v>21819.510000000002</v>
      </c>
      <c r="R72" s="100"/>
      <c r="S72" s="101">
        <f>+SUM(S55:S71)</f>
        <v>5327.48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9"/>
        <v>Véhicules neufs</v>
      </c>
      <c r="B73" s="11" t="str">
        <f t="shared" si="1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9"/>
        <v>Véhicules neufsTOTAL DES DÉPENSES</v>
      </c>
      <c r="B74" s="11" t="str">
        <f t="shared" si="1"/>
        <v>Véhicules neufs</v>
      </c>
      <c r="C74" s="93" t="s">
        <v>64</v>
      </c>
      <c r="D74" s="94" t="s">
        <v>38</v>
      </c>
      <c r="E74" s="95">
        <f>F74/F$27</f>
        <v>0.99561474646117232</v>
      </c>
      <c r="F74" s="96">
        <f>F41+F54+F72</f>
        <v>135879.21671181635</v>
      </c>
      <c r="G74" s="97"/>
      <c r="H74" s="95"/>
      <c r="I74" s="96"/>
      <c r="J74" s="97" t="s">
        <v>38</v>
      </c>
      <c r="K74" s="95">
        <f>L74/L$27</f>
        <v>1.0504888379271911</v>
      </c>
      <c r="L74" s="96">
        <f>L41+L54+L72</f>
        <v>194626.21</v>
      </c>
      <c r="M74" s="100"/>
      <c r="N74" s="113">
        <f t="shared" ref="N74:N82" si="20">L74-F74</f>
        <v>58746.993288183643</v>
      </c>
      <c r="O74" s="97" t="s">
        <v>38</v>
      </c>
      <c r="P74" s="95">
        <f>Q74/Q$27</f>
        <v>0.91977779105190804</v>
      </c>
      <c r="Q74" s="96">
        <f>Q41+Q54+Q72</f>
        <v>133808.62000000002</v>
      </c>
      <c r="R74" s="100"/>
      <c r="S74" s="114">
        <f t="shared" ref="S74:S82" si="21">L74-Q74</f>
        <v>60817.589999999967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9"/>
        <v>Véhicules neufsRBSC neuf</v>
      </c>
      <c r="B75" s="11" t="str">
        <f t="shared" si="1"/>
        <v>Véhicules neufs</v>
      </c>
      <c r="C75" s="29" t="s">
        <v>216</v>
      </c>
      <c r="D75" s="81"/>
      <c r="E75" s="13"/>
      <c r="F75" s="30">
        <v>29120.883076923088</v>
      </c>
      <c r="G75" s="83"/>
      <c r="H75" s="13"/>
      <c r="I75" s="30"/>
      <c r="J75" s="41"/>
      <c r="K75" s="13"/>
      <c r="L75" s="32">
        <v>53053.83</v>
      </c>
      <c r="M75" s="41"/>
      <c r="N75" s="59">
        <f t="shared" si="20"/>
        <v>23932.946923076914</v>
      </c>
      <c r="O75" s="41"/>
      <c r="P75" s="13"/>
      <c r="Q75" s="32">
        <v>36663.839999999997</v>
      </c>
      <c r="R75" s="41"/>
      <c r="S75" s="85">
        <f t="shared" si="21"/>
        <v>16389.990000000005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9"/>
        <v>Véhicules neufsProgramme neuf 2</v>
      </c>
      <c r="B76" s="11" t="str">
        <f t="shared" si="1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0"/>
        <v>0</v>
      </c>
      <c r="O76" s="41"/>
      <c r="P76" s="13"/>
      <c r="Q76" s="32">
        <v>0</v>
      </c>
      <c r="R76" s="41"/>
      <c r="S76" s="85">
        <f t="shared" si="21"/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9"/>
        <v>Véhicules neufsProgramme neuf 3</v>
      </c>
      <c r="B77" s="11" t="str">
        <f t="shared" si="1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0"/>
        <v>0</v>
      </c>
      <c r="O77" s="41"/>
      <c r="P77" s="13"/>
      <c r="Q77" s="32">
        <v>0</v>
      </c>
      <c r="R77" s="41"/>
      <c r="S77" s="85">
        <f t="shared" si="21"/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9"/>
        <v>Véhicules neufsHoldbacks</v>
      </c>
      <c r="B78" s="11" t="str">
        <f t="shared" si="1"/>
        <v>Véhicules neufs</v>
      </c>
      <c r="C78" s="29" t="s">
        <v>66</v>
      </c>
      <c r="D78" s="81"/>
      <c r="E78" s="13"/>
      <c r="F78" s="30">
        <v>33281.009230769239</v>
      </c>
      <c r="G78" s="83"/>
      <c r="H78" s="13"/>
      <c r="I78" s="30"/>
      <c r="J78" s="41"/>
      <c r="K78" s="13"/>
      <c r="L78" s="33">
        <v>76456</v>
      </c>
      <c r="M78" s="41"/>
      <c r="N78" s="59">
        <f t="shared" si="20"/>
        <v>43174.990769230761</v>
      </c>
      <c r="O78" s="41"/>
      <c r="P78" s="13"/>
      <c r="Q78" s="32">
        <v>28951</v>
      </c>
      <c r="R78" s="41"/>
      <c r="S78" s="85">
        <f t="shared" si="21"/>
        <v>47505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9"/>
        <v>Véhicules neufs[...]</v>
      </c>
      <c r="B79" s="11" t="str">
        <f t="shared" si="1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0"/>
        <v>0</v>
      </c>
      <c r="O79" s="41"/>
      <c r="P79" s="13"/>
      <c r="Q79" s="32">
        <v>0</v>
      </c>
      <c r="R79" s="41"/>
      <c r="S79" s="85">
        <f t="shared" si="21"/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9"/>
        <v>Véhicules neufs[...]</v>
      </c>
      <c r="B80" s="11" t="str">
        <f t="shared" si="1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0"/>
        <v>0</v>
      </c>
      <c r="O80" s="41"/>
      <c r="P80" s="13"/>
      <c r="Q80" s="32">
        <v>0</v>
      </c>
      <c r="R80" s="41"/>
      <c r="S80" s="85">
        <f t="shared" si="21"/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9"/>
        <v>Véhicules neufs[...]</v>
      </c>
      <c r="B81" s="11" t="str">
        <f t="shared" si="1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0"/>
        <v>0</v>
      </c>
      <c r="O81" s="41"/>
      <c r="P81" s="13"/>
      <c r="Q81" s="32">
        <v>0</v>
      </c>
      <c r="R81" s="41"/>
      <c r="S81" s="85">
        <f t="shared" si="21"/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9"/>
        <v>Véhicules neufsFrais administration</v>
      </c>
      <c r="B82" s="11" t="str">
        <f t="shared" si="1"/>
        <v>Véhicules neufs</v>
      </c>
      <c r="C82" s="29" t="s">
        <v>67</v>
      </c>
      <c r="D82" s="81"/>
      <c r="E82" s="13"/>
      <c r="F82" s="30">
        <v>11781</v>
      </c>
      <c r="G82" s="83"/>
      <c r="H82" s="13"/>
      <c r="I82" s="30"/>
      <c r="J82" s="41"/>
      <c r="K82" s="13"/>
      <c r="L82" s="32">
        <v>20825</v>
      </c>
      <c r="M82" s="41"/>
      <c r="N82" s="59">
        <f t="shared" si="20"/>
        <v>9044</v>
      </c>
      <c r="O82" s="41"/>
      <c r="P82" s="13"/>
      <c r="Q82" s="32">
        <v>13090</v>
      </c>
      <c r="R82" s="41"/>
      <c r="S82" s="85">
        <f t="shared" si="21"/>
        <v>7735</v>
      </c>
      <c r="T82" s="13"/>
      <c r="U82" s="13"/>
      <c r="V82" s="11">
        <f>L82/595</f>
        <v>35</v>
      </c>
      <c r="W82" s="489">
        <f>V82/J27</f>
        <v>0.94594594594594594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9"/>
        <v>Véhicules neufsAUTRES REVENUS</v>
      </c>
      <c r="B83" s="11" t="str">
        <f t="shared" si="1"/>
        <v>Véhicules neufs</v>
      </c>
      <c r="C83" s="93" t="s">
        <v>68</v>
      </c>
      <c r="D83" s="94"/>
      <c r="E83" s="95"/>
      <c r="F83" s="96">
        <f>+SUM(F75:F82)</f>
        <v>74182.892307692324</v>
      </c>
      <c r="G83" s="97"/>
      <c r="H83" s="95"/>
      <c r="I83" s="96"/>
      <c r="J83" s="97"/>
      <c r="K83" s="95"/>
      <c r="L83" s="96">
        <f>+SUM(L75:L82)</f>
        <v>150334.83000000002</v>
      </c>
      <c r="M83" s="100"/>
      <c r="N83" s="96">
        <f>+SUM(N75:N82)</f>
        <v>76151.937692307678</v>
      </c>
      <c r="O83" s="97"/>
      <c r="P83" s="95"/>
      <c r="Q83" s="96">
        <f>+SUM(Q75:Q82)</f>
        <v>78704.84</v>
      </c>
      <c r="R83" s="100"/>
      <c r="S83" s="101">
        <f>+SUM(S75:S82)</f>
        <v>71629.990000000005</v>
      </c>
      <c r="T83" s="13"/>
      <c r="U83" s="13"/>
      <c r="V83" s="11"/>
      <c r="W83" s="11" t="s">
        <v>242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9"/>
        <v>Véhicules neufs</v>
      </c>
      <c r="B84" s="11" t="str">
        <f t="shared" si="1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9"/>
        <v>Véhicules neufsPROFIT DÉPARTEMENTAL</v>
      </c>
      <c r="B85" s="11" t="str">
        <f t="shared" si="1"/>
        <v>Véhicules neufs</v>
      </c>
      <c r="C85" s="124" t="s">
        <v>69</v>
      </c>
      <c r="D85" s="125"/>
      <c r="E85" s="126"/>
      <c r="F85" s="127">
        <f>F27-F74+F83</f>
        <v>74781.381651142263</v>
      </c>
      <c r="G85" s="128"/>
      <c r="H85" s="126"/>
      <c r="I85" s="127"/>
      <c r="J85" s="128"/>
      <c r="K85" s="125"/>
      <c r="L85" s="127">
        <f>L27-L74+L83</f>
        <v>140980.65999999997</v>
      </c>
      <c r="M85" s="128"/>
      <c r="N85" s="127">
        <f>N27-N41-N54-N72+N83</f>
        <v>66199.278348857682</v>
      </c>
      <c r="O85" s="128"/>
      <c r="P85" s="125"/>
      <c r="Q85" s="127">
        <f>Q27-Q74+Q83</f>
        <v>90375.510000000068</v>
      </c>
      <c r="R85" s="128"/>
      <c r="S85" s="129">
        <f>S27-S41-S54-S72+S83</f>
        <v>50605.149999999863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Novembre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96" t="s">
        <v>5</v>
      </c>
      <c r="E91" s="497"/>
      <c r="F91" s="498"/>
      <c r="G91" s="499"/>
      <c r="H91" s="497"/>
      <c r="I91" s="498"/>
      <c r="J91" s="499" t="s">
        <v>7</v>
      </c>
      <c r="K91" s="497"/>
      <c r="L91" s="498"/>
      <c r="M91" s="499" t="s">
        <v>213</v>
      </c>
      <c r="N91" s="498"/>
      <c r="O91" s="496" t="s">
        <v>8</v>
      </c>
      <c r="P91" s="497"/>
      <c r="Q91" s="498"/>
      <c r="R91" s="494" t="s">
        <v>214</v>
      </c>
      <c r="S91" s="495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24" si="22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1103827.5862068965</v>
      </c>
      <c r="G93" s="46"/>
      <c r="H93" s="25"/>
      <c r="I93" s="22"/>
      <c r="J93" s="23"/>
      <c r="K93" s="25"/>
      <c r="L93" s="22">
        <v>842711.86</v>
      </c>
      <c r="M93" s="137"/>
      <c r="N93" s="138"/>
      <c r="O93" s="23"/>
      <c r="P93" s="25"/>
      <c r="Q93" s="22">
        <v>1257294.74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2"/>
        <v>Véhicules usagésCertifié</v>
      </c>
      <c r="B94" s="11" t="s">
        <v>70</v>
      </c>
      <c r="C94" s="29" t="s">
        <v>72</v>
      </c>
      <c r="D94" s="30">
        <v>5</v>
      </c>
      <c r="E94" s="30">
        <f>IF(D94=0,0,F94/D94)</f>
        <v>3000</v>
      </c>
      <c r="F94" s="30">
        <v>15000</v>
      </c>
      <c r="G94" s="31"/>
      <c r="H94" s="30"/>
      <c r="I94" s="30"/>
      <c r="J94" s="31">
        <v>2</v>
      </c>
      <c r="K94" s="30">
        <f>IF(J94=0,0,L94/J94)</f>
        <v>1366.4749999999985</v>
      </c>
      <c r="L94" s="33">
        <v>2732.9499999999971</v>
      </c>
      <c r="M94" s="31">
        <f>J94-D94</f>
        <v>-3</v>
      </c>
      <c r="N94" s="33">
        <f>L94-F94</f>
        <v>-12267.050000000003</v>
      </c>
      <c r="O94" s="31">
        <v>4</v>
      </c>
      <c r="P94" s="30">
        <f>IF(O94=0,0,Q94/O94)</f>
        <v>2058.2749999999974</v>
      </c>
      <c r="Q94" s="33">
        <v>8233.0999999999894</v>
      </c>
      <c r="R94" s="31">
        <f>J94-O94</f>
        <v>-2</v>
      </c>
      <c r="S94" s="34">
        <f>L94-Q94</f>
        <v>-5500.1499999999924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2"/>
        <v>Véhicules usagésNon Certifié</v>
      </c>
      <c r="B95" s="11" t="s">
        <v>70</v>
      </c>
      <c r="C95" s="29" t="s">
        <v>73</v>
      </c>
      <c r="D95" s="30">
        <v>3</v>
      </c>
      <c r="E95" s="30">
        <f>IF(D95=0,0,F95/D95)</f>
        <v>2200</v>
      </c>
      <c r="F95" s="30">
        <v>6600</v>
      </c>
      <c r="G95" s="31"/>
      <c r="H95" s="30"/>
      <c r="I95" s="30"/>
      <c r="J95" s="31">
        <v>2</v>
      </c>
      <c r="K95" s="30">
        <f>IF(J95=0,0,L95/J95)</f>
        <v>1534.6400000000012</v>
      </c>
      <c r="L95" s="32">
        <v>3069.2800000000025</v>
      </c>
      <c r="M95" s="31">
        <f>J95-D95</f>
        <v>-1</v>
      </c>
      <c r="N95" s="33">
        <f>L95-F95</f>
        <v>-3530.7199999999975</v>
      </c>
      <c r="O95" s="31">
        <v>12</v>
      </c>
      <c r="P95" s="30">
        <f>IF(O95=0,0,Q95/O95)</f>
        <v>1574.45</v>
      </c>
      <c r="Q95" s="32">
        <v>18893.400000000001</v>
      </c>
      <c r="R95" s="31">
        <f>J95-O95</f>
        <v>-10</v>
      </c>
      <c r="S95" s="34">
        <f>L95-Q95</f>
        <v>-15824.119999999999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2"/>
        <v>Véhicules usagésAutres marques</v>
      </c>
      <c r="B96" s="11" t="s">
        <v>70</v>
      </c>
      <c r="C96" s="29" t="s">
        <v>207</v>
      </c>
      <c r="D96" s="30">
        <v>6</v>
      </c>
      <c r="E96" s="25">
        <f>IF(D96=0,0,F96/D96)</f>
        <v>1850</v>
      </c>
      <c r="F96" s="30">
        <v>11100</v>
      </c>
      <c r="G96" s="31"/>
      <c r="H96" s="30"/>
      <c r="I96" s="30"/>
      <c r="J96" s="31">
        <v>3</v>
      </c>
      <c r="K96" s="30">
        <f>IF(J96=0,0,L96/J96)</f>
        <v>419.06999999999726</v>
      </c>
      <c r="L96" s="32">
        <v>1257.2099999999919</v>
      </c>
      <c r="M96" s="31">
        <f>J96-D96</f>
        <v>-3</v>
      </c>
      <c r="N96" s="33">
        <f>L96-F96</f>
        <v>-9842.7900000000081</v>
      </c>
      <c r="O96" s="31">
        <v>0</v>
      </c>
      <c r="P96" s="30">
        <f>IF(O96=0,0,Q96/O96)</f>
        <v>0</v>
      </c>
      <c r="Q96" s="32">
        <v>0</v>
      </c>
      <c r="R96" s="31">
        <f>J96-O96</f>
        <v>3</v>
      </c>
      <c r="S96" s="34">
        <f>L96-Q96</f>
        <v>1257.2099999999919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2"/>
        <v>Véhicules usagésTotal Usagés</v>
      </c>
      <c r="B97" s="11" t="s">
        <v>70</v>
      </c>
      <c r="C97" s="35" t="s">
        <v>74</v>
      </c>
      <c r="D97" s="36">
        <f>+D95+D94+D96</f>
        <v>14</v>
      </c>
      <c r="E97" s="30">
        <f>IF(D97=0,0,F97/D97)</f>
        <v>2335.7142857142858</v>
      </c>
      <c r="F97" s="37">
        <f>+F94+F95+F96</f>
        <v>32700</v>
      </c>
      <c r="G97" s="38"/>
      <c r="H97" s="36"/>
      <c r="I97" s="37"/>
      <c r="J97" s="38">
        <f>+J94+J95+J96</f>
        <v>7</v>
      </c>
      <c r="K97" s="36">
        <f>IF(J97&lt;=0,0,L97/J97)</f>
        <v>1008.4914285714274</v>
      </c>
      <c r="L97" s="37">
        <f>+L94+L95+L96</f>
        <v>7059.4399999999914</v>
      </c>
      <c r="M97" s="38">
        <f>J97-D97</f>
        <v>-7</v>
      </c>
      <c r="N97" s="37">
        <f>L97-F97</f>
        <v>-25640.560000000009</v>
      </c>
      <c r="O97" s="38">
        <f>+O95+O94+O96</f>
        <v>16</v>
      </c>
      <c r="P97" s="36">
        <f>IF(O97=0,0,Q97/O97)</f>
        <v>1695.4062499999995</v>
      </c>
      <c r="Q97" s="37">
        <f>+Q94+Q95+Q96</f>
        <v>27126.499999999993</v>
      </c>
      <c r="R97" s="38">
        <f>R94+R95</f>
        <v>-12</v>
      </c>
      <c r="S97" s="39">
        <f>S94+S95</f>
        <v>-21324.26999999999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2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-0.5</v>
      </c>
      <c r="N98" s="43">
        <f>N97/F97</f>
        <v>-0.78411498470948038</v>
      </c>
      <c r="O98" s="41"/>
      <c r="P98" s="13"/>
      <c r="Q98" s="40"/>
      <c r="R98" s="42">
        <f>R97/O97</f>
        <v>-0.75</v>
      </c>
      <c r="S98" s="44">
        <f>IF(Q97=0,0,(S97/Q97))</f>
        <v>-0.78610473153558313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2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2"/>
        <v>Véhicules usagésVentes au Gros</v>
      </c>
      <c r="B100" s="11" t="s">
        <v>70</v>
      </c>
      <c r="C100" s="29" t="s">
        <v>75</v>
      </c>
      <c r="D100" s="30">
        <v>15</v>
      </c>
      <c r="E100" s="30">
        <f>IF(D100=0,0,F100/D100)</f>
        <v>375</v>
      </c>
      <c r="F100" s="30">
        <v>5625</v>
      </c>
      <c r="G100" s="31"/>
      <c r="H100" s="30"/>
      <c r="I100" s="30"/>
      <c r="J100" s="31">
        <v>20</v>
      </c>
      <c r="K100" s="30">
        <f>IF(J100=0,0,L100/J100)</f>
        <v>1233.664</v>
      </c>
      <c r="L100" s="33">
        <v>24673.279999999999</v>
      </c>
      <c r="M100" s="31">
        <f>J100-D100</f>
        <v>5</v>
      </c>
      <c r="N100" s="33">
        <f>L100-F100</f>
        <v>19048.28</v>
      </c>
      <c r="O100" s="31">
        <v>17</v>
      </c>
      <c r="P100" s="30">
        <f>IF(O100=0,0,Q100/O100)</f>
        <v>-234.15823529411236</v>
      </c>
      <c r="Q100" s="33">
        <v>-3980.68999999991</v>
      </c>
      <c r="R100" s="31">
        <f>J100-O100</f>
        <v>3</v>
      </c>
      <c r="S100" s="34">
        <f>L100-Q100</f>
        <v>28653.96999999991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2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2"/>
        <v>Véhicules usagésRev. Finances</v>
      </c>
      <c r="B102" s="11" t="s">
        <v>70</v>
      </c>
      <c r="C102" s="29" t="s">
        <v>24</v>
      </c>
      <c r="D102" s="30">
        <v>0</v>
      </c>
      <c r="E102" s="30">
        <f>IF(D102=0,0,F102/D102)</f>
        <v>0</v>
      </c>
      <c r="F102" s="33">
        <v>8400</v>
      </c>
      <c r="G102" s="31"/>
      <c r="H102" s="30"/>
      <c r="I102" s="30"/>
      <c r="J102" s="31"/>
      <c r="K102" s="30">
        <f>IF(J97=0,0,L102/J97)</f>
        <v>203.58714285714288</v>
      </c>
      <c r="L102" s="33">
        <v>1425.1100000000001</v>
      </c>
      <c r="M102" s="31"/>
      <c r="N102" s="33">
        <f>L102-F102</f>
        <v>-6974.8899999999994</v>
      </c>
      <c r="O102" s="31"/>
      <c r="P102" s="30"/>
      <c r="Q102" s="33">
        <v>6694.6299999999901</v>
      </c>
      <c r="R102" s="31">
        <f>O102-K102</f>
        <v>-203.58714285714288</v>
      </c>
      <c r="S102" s="34">
        <f>L102-Q102</f>
        <v>-5269.5199999999895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2"/>
        <v>Véhicules usagésRev. Protections</v>
      </c>
      <c r="B103" s="11" t="s">
        <v>70</v>
      </c>
      <c r="C103" s="29" t="s">
        <v>25</v>
      </c>
      <c r="D103" s="30">
        <v>0</v>
      </c>
      <c r="E103" s="30">
        <f>IF(D103=0,0,F103/D103)</f>
        <v>0</v>
      </c>
      <c r="F103" s="33">
        <v>12320</v>
      </c>
      <c r="G103" s="31"/>
      <c r="H103" s="30"/>
      <c r="I103" s="30"/>
      <c r="J103" s="31"/>
      <c r="K103" s="30">
        <f>IF(J97=0,0,L103/J97)</f>
        <v>1359.7142857142858</v>
      </c>
      <c r="L103" s="33">
        <v>9518</v>
      </c>
      <c r="M103" s="31"/>
      <c r="N103" s="33">
        <f>L103-F103</f>
        <v>-2802</v>
      </c>
      <c r="O103" s="31"/>
      <c r="P103" s="30"/>
      <c r="Q103" s="33">
        <v>7220</v>
      </c>
      <c r="R103" s="31">
        <f>O103-K103</f>
        <v>-1359.7142857142858</v>
      </c>
      <c r="S103" s="34">
        <f>L103-Q103</f>
        <v>2298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2"/>
        <v>Véhicules usagésRev. Autres</v>
      </c>
      <c r="B104" s="11" t="s">
        <v>70</v>
      </c>
      <c r="C104" s="29" t="s">
        <v>26</v>
      </c>
      <c r="D104" s="30">
        <v>0</v>
      </c>
      <c r="E104" s="25">
        <f>IF(D104=0,0,F104/D104)</f>
        <v>0</v>
      </c>
      <c r="F104" s="33">
        <v>2380</v>
      </c>
      <c r="G104" s="31"/>
      <c r="H104" s="47"/>
      <c r="I104" s="30"/>
      <c r="J104" s="31"/>
      <c r="K104" s="47">
        <f>IF(J97=0,0,L104/J97)</f>
        <v>235</v>
      </c>
      <c r="L104" s="33">
        <v>1645</v>
      </c>
      <c r="M104" s="51"/>
      <c r="N104" s="33">
        <f>L104-F104</f>
        <v>-735</v>
      </c>
      <c r="O104" s="31"/>
      <c r="P104" s="47"/>
      <c r="Q104" s="33">
        <v>1645</v>
      </c>
      <c r="R104" s="31">
        <f>O104-K104</f>
        <v>-235</v>
      </c>
      <c r="S104" s="34">
        <f>L104-Q104</f>
        <v>0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2"/>
        <v>Véhicules usagésTotal F&amp;I</v>
      </c>
      <c r="B105" s="11" t="s">
        <v>70</v>
      </c>
      <c r="C105" s="35" t="s">
        <v>27</v>
      </c>
      <c r="D105" s="36">
        <f>D97</f>
        <v>14</v>
      </c>
      <c r="E105" s="30">
        <f>IF(D105=0,0,F105/D105)</f>
        <v>1650</v>
      </c>
      <c r="F105" s="37">
        <f>F102+F103+F104</f>
        <v>23100</v>
      </c>
      <c r="G105" s="38"/>
      <c r="H105" s="36"/>
      <c r="I105" s="37"/>
      <c r="J105" s="38">
        <f>J97</f>
        <v>7</v>
      </c>
      <c r="K105" s="36">
        <f>IF(J105&lt;=0,0,L105/J105)</f>
        <v>1798.3014285714287</v>
      </c>
      <c r="L105" s="37">
        <f>L102+L103+L104</f>
        <v>12588.11</v>
      </c>
      <c r="M105" s="31">
        <f>J105-D105</f>
        <v>-7</v>
      </c>
      <c r="N105" s="37">
        <f>L105-F105</f>
        <v>-10511.89</v>
      </c>
      <c r="O105" s="38">
        <f>O97</f>
        <v>16</v>
      </c>
      <c r="P105" s="36">
        <f>IF(O105=0,0,Q105/O105)</f>
        <v>972.47687499999938</v>
      </c>
      <c r="Q105" s="37">
        <f>Q102+Q103+Q104</f>
        <v>15559.62999999999</v>
      </c>
      <c r="R105" s="56"/>
      <c r="S105" s="39">
        <f>L105-Q105</f>
        <v>-2971.5199999999895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2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-0.45506017316017311</v>
      </c>
      <c r="O106" s="41"/>
      <c r="P106" s="13"/>
      <c r="Q106" s="59"/>
      <c r="R106" s="60"/>
      <c r="S106" s="44">
        <f>IF(Q105=0,0,(S105/Q105))</f>
        <v>-0.19097626357439035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2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2"/>
        <v>Véhicules usagésTotal Dépt. Usagés</v>
      </c>
      <c r="B108" s="11" t="s">
        <v>70</v>
      </c>
      <c r="C108" s="62" t="s">
        <v>76</v>
      </c>
      <c r="D108" s="63">
        <f>D97+D100</f>
        <v>29</v>
      </c>
      <c r="E108" s="67">
        <f>IF(D108&lt;=0,0,F108/D108)</f>
        <v>2118.1034482758619</v>
      </c>
      <c r="F108" s="65">
        <f>F97+F105+F100</f>
        <v>61425</v>
      </c>
      <c r="G108" s="66"/>
      <c r="H108" s="67"/>
      <c r="I108" s="65"/>
      <c r="J108" s="66">
        <f>J97+J100</f>
        <v>27</v>
      </c>
      <c r="K108" s="67">
        <f>IF(J108&lt;=0,0,L108/J108)</f>
        <v>1641.5122222222217</v>
      </c>
      <c r="L108" s="65">
        <f>L97+L105+L100</f>
        <v>44320.829999999987</v>
      </c>
      <c r="M108" s="66">
        <f>J108-D108</f>
        <v>-2</v>
      </c>
      <c r="N108" s="65">
        <f>L108-F108</f>
        <v>-17104.170000000013</v>
      </c>
      <c r="O108" s="66">
        <f>O97+O100</f>
        <v>33</v>
      </c>
      <c r="P108" s="67">
        <f>IF(O108&lt;=0,0,Q108/O108)</f>
        <v>1172.8921212121236</v>
      </c>
      <c r="Q108" s="65">
        <f>Q97+Q105+Q100</f>
        <v>38705.440000000075</v>
      </c>
      <c r="R108" s="66">
        <f>J108-O108</f>
        <v>-6</v>
      </c>
      <c r="S108" s="68">
        <f>L108-Q108</f>
        <v>5615.3899999999121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2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-6.8965517241379309E-2</v>
      </c>
      <c r="N109" s="74">
        <f>N108/F108</f>
        <v>-0.27845616605616624</v>
      </c>
      <c r="O109" s="72"/>
      <c r="P109" s="70"/>
      <c r="Q109" s="71"/>
      <c r="R109" s="73">
        <f>O108/R108</f>
        <v>-5.5</v>
      </c>
      <c r="S109" s="145">
        <f>IF(Q108=0,0,(S108/Q108))</f>
        <v>0.14508012310413992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2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2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2"/>
        <v>Véhicules usagésComm. vendeurs</v>
      </c>
      <c r="B112" s="11" t="s">
        <v>70</v>
      </c>
      <c r="C112" s="29" t="s">
        <v>30</v>
      </c>
      <c r="D112" s="148">
        <f>F112/(F97+F105)</f>
        <v>0.20194943774111468</v>
      </c>
      <c r="E112" s="82">
        <f t="shared" ref="E112:E121" si="23">F112/D$97</f>
        <v>804.91275899672848</v>
      </c>
      <c r="F112" s="30">
        <v>11268.778625954199</v>
      </c>
      <c r="G112" s="157"/>
      <c r="H112" s="82"/>
      <c r="I112" s="30"/>
      <c r="J112" s="157">
        <f>L112/L97</f>
        <v>0.82817333952834882</v>
      </c>
      <c r="K112" s="82">
        <f>IF($J$97=0,0,L112/(J$94+J$95+J96))</f>
        <v>835.20571428571418</v>
      </c>
      <c r="L112" s="33">
        <v>5846.44</v>
      </c>
      <c r="M112" s="41"/>
      <c r="N112" s="59">
        <f t="shared" ref="N112:N153" si="24">L112-F112</f>
        <v>-5422.3386259541994</v>
      </c>
      <c r="O112" s="157">
        <f>Q112/Q97</f>
        <v>0.39248557683446089</v>
      </c>
      <c r="P112" s="82">
        <f t="shared" ref="P112:P121" si="25">Q112/O$97</f>
        <v>665.42250000000001</v>
      </c>
      <c r="Q112" s="33">
        <v>10646.76</v>
      </c>
      <c r="R112" s="41"/>
      <c r="S112" s="85">
        <f t="shared" ref="S112:S117" si="26">L112-Q112</f>
        <v>-4800.3200000000006</v>
      </c>
      <c r="T112" s="13"/>
      <c r="U112" s="13"/>
      <c r="V112" s="11" t="s">
        <v>258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2"/>
        <v>Véhicules usagésComm. F&amp;I</v>
      </c>
      <c r="B113" s="11" t="s">
        <v>70</v>
      </c>
      <c r="C113" s="86" t="s">
        <v>31</v>
      </c>
      <c r="D113" s="218">
        <f>F113/(F105+F19)</f>
        <v>0.21332799166113034</v>
      </c>
      <c r="E113" s="88">
        <f t="shared" si="23"/>
        <v>412.5</v>
      </c>
      <c r="F113" s="22">
        <v>5775</v>
      </c>
      <c r="G113" s="162"/>
      <c r="H113" s="88"/>
      <c r="I113" s="22"/>
      <c r="J113" s="162">
        <f>L113/L105</f>
        <v>0.35196308262320553</v>
      </c>
      <c r="K113" s="88">
        <f>IF($J$97=0,0,L113/(J$94+J$95+J96))</f>
        <v>632.93571428571431</v>
      </c>
      <c r="L113" s="33">
        <v>4430.55</v>
      </c>
      <c r="M113" s="23"/>
      <c r="N113" s="91">
        <f t="shared" si="24"/>
        <v>-1344.4499999999998</v>
      </c>
      <c r="O113" s="162">
        <f>Q113/(Q105+Q19)</f>
        <v>0.16588222596802121</v>
      </c>
      <c r="P113" s="88">
        <f t="shared" si="25"/>
        <v>223.823125</v>
      </c>
      <c r="Q113" s="33">
        <v>3581.17</v>
      </c>
      <c r="R113" s="23"/>
      <c r="S113" s="92">
        <f t="shared" si="26"/>
        <v>849.38000000000011</v>
      </c>
      <c r="T113" s="13"/>
      <c r="U113" s="13"/>
      <c r="V113" s="11" t="s">
        <v>259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2"/>
        <v>Véhicules usagésFrais de livraison</v>
      </c>
      <c r="B114" s="11" t="s">
        <v>70</v>
      </c>
      <c r="C114" s="29" t="s">
        <v>32</v>
      </c>
      <c r="D114" s="81"/>
      <c r="E114" s="82">
        <f t="shared" si="23"/>
        <v>110</v>
      </c>
      <c r="F114" s="30">
        <v>1540</v>
      </c>
      <c r="G114" s="83"/>
      <c r="H114" s="82"/>
      <c r="I114" s="30"/>
      <c r="J114" s="41"/>
      <c r="K114" s="82">
        <f>IF($J$97=0,0,L114/(J$94+J$95+J96))</f>
        <v>218.22285714285712</v>
      </c>
      <c r="L114" s="108">
        <v>1527.56</v>
      </c>
      <c r="M114" s="41"/>
      <c r="N114" s="59">
        <f t="shared" si="24"/>
        <v>-12.440000000000055</v>
      </c>
      <c r="O114" s="41"/>
      <c r="P114" s="82">
        <f t="shared" si="25"/>
        <v>132.31125</v>
      </c>
      <c r="Q114" s="108">
        <v>2116.98</v>
      </c>
      <c r="R114" s="41"/>
      <c r="S114" s="85">
        <f t="shared" si="26"/>
        <v>-589.42000000000007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2"/>
        <v>Véhicules usagésService gratuit 1</v>
      </c>
      <c r="B115" s="11" t="s">
        <v>70</v>
      </c>
      <c r="C115" s="29" t="s">
        <v>33</v>
      </c>
      <c r="D115" s="81"/>
      <c r="E115" s="82">
        <f t="shared" si="23"/>
        <v>90</v>
      </c>
      <c r="F115" s="30">
        <v>1260</v>
      </c>
      <c r="G115" s="83"/>
      <c r="H115" s="82"/>
      <c r="I115" s="30"/>
      <c r="J115" s="41"/>
      <c r="K115" s="82">
        <f>IF($J$97=0,0,L115/(J$94+J$95+J96))</f>
        <v>305.24714285714288</v>
      </c>
      <c r="L115" s="33">
        <v>2136.73</v>
      </c>
      <c r="M115" s="41"/>
      <c r="N115" s="59">
        <f t="shared" si="24"/>
        <v>876.73</v>
      </c>
      <c r="O115" s="41"/>
      <c r="P115" s="82">
        <f t="shared" si="25"/>
        <v>28.936875000000001</v>
      </c>
      <c r="Q115" s="33">
        <v>462.99</v>
      </c>
      <c r="R115" s="41"/>
      <c r="S115" s="85">
        <f t="shared" si="26"/>
        <v>1673.74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2"/>
        <v>Véhicules usagésEntretien stock</v>
      </c>
      <c r="B116" s="11" t="s">
        <v>70</v>
      </c>
      <c r="C116" s="86" t="s">
        <v>34</v>
      </c>
      <c r="D116" s="87"/>
      <c r="E116" s="88">
        <f t="shared" si="23"/>
        <v>139.28571428571428</v>
      </c>
      <c r="F116" s="22">
        <v>1950</v>
      </c>
      <c r="G116" s="89"/>
      <c r="H116" s="88"/>
      <c r="I116" s="22"/>
      <c r="J116" s="23"/>
      <c r="K116" s="88">
        <f>IF($J$97=0,0,L116/(J$94+J$95+J96))</f>
        <v>259.76714285714286</v>
      </c>
      <c r="L116" s="48">
        <v>1818.37</v>
      </c>
      <c r="M116" s="23"/>
      <c r="N116" s="91">
        <f t="shared" si="24"/>
        <v>-131.63000000000011</v>
      </c>
      <c r="O116" s="23"/>
      <c r="P116" s="88">
        <f t="shared" si="25"/>
        <v>113.72375</v>
      </c>
      <c r="Q116" s="48">
        <v>1819.58</v>
      </c>
      <c r="R116" s="23"/>
      <c r="S116" s="92">
        <f t="shared" si="26"/>
        <v>-1.2100000000000364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2"/>
        <v>Véhicules usagésPublicité 1</v>
      </c>
      <c r="B117" s="11" t="s">
        <v>70</v>
      </c>
      <c r="C117" s="29" t="s">
        <v>35</v>
      </c>
      <c r="D117" s="81"/>
      <c r="E117" s="82">
        <f t="shared" si="23"/>
        <v>502.57738095238102</v>
      </c>
      <c r="F117" s="30">
        <v>7036.0833333333339</v>
      </c>
      <c r="G117" s="83"/>
      <c r="H117" s="82"/>
      <c r="I117" s="30"/>
      <c r="J117" s="41"/>
      <c r="K117" s="82">
        <f>IF($J$97=0,0,L117/(J$94+J$95+J96))</f>
        <v>1101.4585714285713</v>
      </c>
      <c r="L117" s="33">
        <v>7710.2099999999991</v>
      </c>
      <c r="M117" s="41"/>
      <c r="N117" s="59">
        <f t="shared" si="24"/>
        <v>674.12666666666519</v>
      </c>
      <c r="O117" s="41"/>
      <c r="P117" s="82">
        <f t="shared" si="25"/>
        <v>397.65125</v>
      </c>
      <c r="Q117" s="33">
        <v>6362.42</v>
      </c>
      <c r="R117" s="41"/>
      <c r="S117" s="85">
        <f t="shared" si="26"/>
        <v>1347.7899999999991</v>
      </c>
      <c r="T117" s="13"/>
      <c r="U117" s="13"/>
      <c r="V117" s="13">
        <v>7710</v>
      </c>
      <c r="W117" s="13" t="s">
        <v>243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22"/>
        <v>Véhicules usagésIntérêt de gros</v>
      </c>
      <c r="B118" s="11" t="s">
        <v>70</v>
      </c>
      <c r="C118" s="29" t="s">
        <v>36</v>
      </c>
      <c r="D118" s="81"/>
      <c r="E118" s="82">
        <f t="shared" si="23"/>
        <v>507.08767277402774</v>
      </c>
      <c r="F118" s="30">
        <v>7099.2274188363881</v>
      </c>
      <c r="G118" s="83"/>
      <c r="H118" s="82"/>
      <c r="I118" s="30"/>
      <c r="J118" s="41"/>
      <c r="K118" s="82">
        <f>IF($J$97=0,0,L118/(J$94+J$95+J96))</f>
        <v>558.21857142857141</v>
      </c>
      <c r="L118" s="33">
        <v>3907.53</v>
      </c>
      <c r="M118" s="41"/>
      <c r="N118" s="59">
        <f t="shared" si="24"/>
        <v>-3191.6974188363879</v>
      </c>
      <c r="O118" s="41"/>
      <c r="P118" s="82">
        <f t="shared" si="25"/>
        <v>450.88875000000002</v>
      </c>
      <c r="Q118" s="33">
        <v>7214.22</v>
      </c>
      <c r="R118" s="41"/>
      <c r="S118" s="85">
        <f>L118-Q118</f>
        <v>-3306.69</v>
      </c>
      <c r="T118" s="13"/>
      <c r="U118" s="13"/>
      <c r="V118" s="13">
        <v>3908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 t="shared" si="22"/>
        <v>Véhicules usagés[...]</v>
      </c>
      <c r="B119" s="11" t="s">
        <v>70</v>
      </c>
      <c r="C119" s="29" t="s">
        <v>19</v>
      </c>
      <c r="D119" s="81"/>
      <c r="E119" s="82">
        <f t="shared" si="23"/>
        <v>0</v>
      </c>
      <c r="F119" s="30">
        <v>0</v>
      </c>
      <c r="G119" s="83"/>
      <c r="H119" s="82"/>
      <c r="I119" s="30"/>
      <c r="J119" s="41"/>
      <c r="K119" s="82">
        <f>IF($J$97=0,0,L119/(J$94+J$95))</f>
        <v>0</v>
      </c>
      <c r="L119" s="33">
        <v>0</v>
      </c>
      <c r="M119" s="41"/>
      <c r="N119" s="59">
        <f t="shared" si="24"/>
        <v>0</v>
      </c>
      <c r="O119" s="41"/>
      <c r="P119" s="82">
        <f t="shared" si="25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si="22"/>
        <v>Véhicules usagés[...]</v>
      </c>
      <c r="B120" s="11" t="s">
        <v>70</v>
      </c>
      <c r="C120" s="29" t="s">
        <v>19</v>
      </c>
      <c r="D120" s="81"/>
      <c r="E120" s="82">
        <f t="shared" si="23"/>
        <v>0</v>
      </c>
      <c r="F120" s="30">
        <v>0</v>
      </c>
      <c r="G120" s="83"/>
      <c r="H120" s="82"/>
      <c r="I120" s="30"/>
      <c r="J120" s="41"/>
      <c r="K120" s="82">
        <f>IF($J$97=0,0,L120/(J$94+J$95))</f>
        <v>0</v>
      </c>
      <c r="L120" s="33">
        <v>0</v>
      </c>
      <c r="M120" s="41"/>
      <c r="N120" s="59">
        <f t="shared" si="24"/>
        <v>0</v>
      </c>
      <c r="O120" s="41"/>
      <c r="P120" s="82">
        <f t="shared" si="25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si="22"/>
        <v>Véhicules usagés[...]</v>
      </c>
      <c r="B121" s="11" t="s">
        <v>70</v>
      </c>
      <c r="C121" s="29" t="s">
        <v>19</v>
      </c>
      <c r="D121" s="81"/>
      <c r="E121" s="82">
        <f t="shared" si="23"/>
        <v>0</v>
      </c>
      <c r="F121" s="30">
        <v>0</v>
      </c>
      <c r="G121" s="83"/>
      <c r="H121" s="82"/>
      <c r="I121" s="30"/>
      <c r="J121" s="41"/>
      <c r="K121" s="82">
        <f>IF($J$97=0,0,L121/(J$94+J$95))</f>
        <v>0</v>
      </c>
      <c r="L121" s="33">
        <v>0</v>
      </c>
      <c r="M121" s="41"/>
      <c r="N121" s="59">
        <f t="shared" si="24"/>
        <v>0</v>
      </c>
      <c r="O121" s="41"/>
      <c r="P121" s="82">
        <f t="shared" si="25"/>
        <v>0</v>
      </c>
      <c r="Q121" s="33">
        <v>0</v>
      </c>
      <c r="R121" s="41"/>
      <c r="S121" s="85">
        <f t="shared" ref="S121:S126" si="2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si="22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0.58492616000201747</v>
      </c>
      <c r="F122" s="96">
        <f>SUM(F112:F121)</f>
        <v>35929.089378123921</v>
      </c>
      <c r="G122" s="97"/>
      <c r="H122" s="95"/>
      <c r="I122" s="96"/>
      <c r="J122" s="97" t="s">
        <v>38</v>
      </c>
      <c r="K122" s="95">
        <f>L122/L$108</f>
        <v>0.6177093253894389</v>
      </c>
      <c r="L122" s="96">
        <f>SUM(L112:L121)</f>
        <v>27377.389999999996</v>
      </c>
      <c r="M122" s="100"/>
      <c r="N122" s="96">
        <f t="shared" si="24"/>
        <v>-8551.6993781239253</v>
      </c>
      <c r="O122" s="97" t="s">
        <v>38</v>
      </c>
      <c r="P122" s="95">
        <f>Q122/Q$108</f>
        <v>0.83203084630997448</v>
      </c>
      <c r="Q122" s="96">
        <f>SUM(Q112:Q121)</f>
        <v>32204.120000000003</v>
      </c>
      <c r="R122" s="100"/>
      <c r="S122" s="101">
        <f t="shared" si="27"/>
        <v>-4826.7300000000068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22"/>
        <v>Véhicules usagésSalaires cadres</v>
      </c>
      <c r="B123" s="11" t="s">
        <v>70</v>
      </c>
      <c r="C123" s="102" t="s">
        <v>40</v>
      </c>
      <c r="D123" s="13"/>
      <c r="E123" s="13"/>
      <c r="F123" s="30">
        <v>4919.7081424936387</v>
      </c>
      <c r="G123" s="41"/>
      <c r="H123" s="13"/>
      <c r="I123" s="30"/>
      <c r="J123" s="41"/>
      <c r="K123" s="13"/>
      <c r="L123" s="33">
        <v>4843.63</v>
      </c>
      <c r="M123" s="41"/>
      <c r="N123" s="59">
        <f t="shared" si="24"/>
        <v>-76.078142493638552</v>
      </c>
      <c r="O123" s="41"/>
      <c r="P123" s="13"/>
      <c r="Q123" s="33">
        <v>1417.1</v>
      </c>
      <c r="R123" s="41"/>
      <c r="S123" s="85">
        <f t="shared" si="27"/>
        <v>3426.53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22"/>
        <v>Véhicules usagésSalaires commis</v>
      </c>
      <c r="B124" s="11" t="s">
        <v>70</v>
      </c>
      <c r="C124" s="103" t="s">
        <v>41</v>
      </c>
      <c r="D124" s="81"/>
      <c r="E124" s="13"/>
      <c r="F124" s="22">
        <v>2625.1595419847326</v>
      </c>
      <c r="G124" s="83"/>
      <c r="H124" s="13"/>
      <c r="I124" s="22"/>
      <c r="J124" s="41"/>
      <c r="K124" s="13"/>
      <c r="L124" s="22">
        <v>3812.17</v>
      </c>
      <c r="M124" s="41"/>
      <c r="N124" s="59">
        <f t="shared" si="24"/>
        <v>1187.0104580152674</v>
      </c>
      <c r="O124" s="41"/>
      <c r="P124" s="13"/>
      <c r="Q124" s="22">
        <v>4217.0600000000004</v>
      </c>
      <c r="R124" s="41"/>
      <c r="S124" s="85">
        <f t="shared" si="27"/>
        <v>-404.89000000000033</v>
      </c>
      <c r="T124" s="13"/>
      <c r="U124" s="13"/>
      <c r="V124" s="13" t="s">
        <v>257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ref="A125:A156" si="28">+B125&amp;C125</f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24"/>
        <v>0</v>
      </c>
      <c r="O125" s="107"/>
      <c r="P125" s="105"/>
      <c r="Q125" s="33">
        <v>2809</v>
      </c>
      <c r="R125" s="107"/>
      <c r="S125" s="110">
        <f t="shared" si="27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2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24"/>
        <v>0</v>
      </c>
      <c r="O126" s="41"/>
      <c r="P126" s="13"/>
      <c r="Q126" s="33">
        <v>0</v>
      </c>
      <c r="R126" s="41"/>
      <c r="S126" s="85">
        <f t="shared" si="27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28"/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24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si="28"/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24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si="28"/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24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si="28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2725.8478348317349</v>
      </c>
      <c r="G130" s="83"/>
      <c r="H130" s="13"/>
      <c r="I130" s="30"/>
      <c r="J130" s="41"/>
      <c r="K130" s="13"/>
      <c r="L130" s="33">
        <v>2451.91</v>
      </c>
      <c r="M130" s="41"/>
      <c r="N130" s="59">
        <f t="shared" si="24"/>
        <v>-273.93783483173502</v>
      </c>
      <c r="O130" s="41"/>
      <c r="P130" s="13"/>
      <c r="Q130" s="33">
        <v>3347.69</v>
      </c>
      <c r="R130" s="41"/>
      <c r="S130" s="85">
        <f>L130-Q130</f>
        <v>-895.7800000000002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28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3780.2950583333331</v>
      </c>
      <c r="G131" s="106"/>
      <c r="H131" s="105"/>
      <c r="I131" s="54"/>
      <c r="J131" s="107"/>
      <c r="K131" s="105"/>
      <c r="L131" s="55">
        <v>2303.4</v>
      </c>
      <c r="M131" s="107"/>
      <c r="N131" s="109">
        <f t="shared" si="24"/>
        <v>-1476.8950583333331</v>
      </c>
      <c r="O131" s="107"/>
      <c r="P131" s="105"/>
      <c r="Q131" s="55">
        <v>3008.47</v>
      </c>
      <c r="R131" s="107"/>
      <c r="S131" s="110">
        <f t="shared" ref="S131:S148" si="29">L131-Q131</f>
        <v>-705.06999999999971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28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1789.1472795165391</v>
      </c>
      <c r="G132" s="83"/>
      <c r="H132" s="13"/>
      <c r="I132" s="30"/>
      <c r="J132" s="41"/>
      <c r="K132" s="13"/>
      <c r="L132" s="33">
        <v>1663.16</v>
      </c>
      <c r="M132" s="41"/>
      <c r="N132" s="59">
        <f t="shared" si="24"/>
        <v>-125.98727951653905</v>
      </c>
      <c r="O132" s="41"/>
      <c r="P132" s="13"/>
      <c r="Q132" s="33">
        <v>2169.0300000000002</v>
      </c>
      <c r="R132" s="41"/>
      <c r="S132" s="85">
        <f t="shared" si="29"/>
        <v>-505.87000000000012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28"/>
        <v>Véhicules usagésCsst</v>
      </c>
      <c r="B133" s="11" t="s">
        <v>70</v>
      </c>
      <c r="C133" s="102" t="s">
        <v>47</v>
      </c>
      <c r="D133" s="81"/>
      <c r="E133" s="13"/>
      <c r="F133" s="30">
        <v>404.00099860050886</v>
      </c>
      <c r="G133" s="83"/>
      <c r="H133" s="13"/>
      <c r="I133" s="30"/>
      <c r="J133" s="41"/>
      <c r="K133" s="13"/>
      <c r="L133" s="33">
        <v>66.73</v>
      </c>
      <c r="M133" s="41"/>
      <c r="N133" s="59">
        <f t="shared" si="24"/>
        <v>-337.27099860050885</v>
      </c>
      <c r="O133" s="41"/>
      <c r="P133" s="13"/>
      <c r="Q133" s="33">
        <v>69.27</v>
      </c>
      <c r="R133" s="41"/>
      <c r="S133" s="85">
        <f t="shared" si="29"/>
        <v>-2.539999999999992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28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24"/>
        <v>0</v>
      </c>
      <c r="O134" s="23"/>
      <c r="P134" s="111"/>
      <c r="Q134" s="33">
        <v>0</v>
      </c>
      <c r="R134" s="23"/>
      <c r="S134" s="92">
        <f t="shared" si="29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28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0.31018573635751712</v>
      </c>
      <c r="F135" s="96">
        <f>+SUM(F123:F134)</f>
        <v>19053.158855760488</v>
      </c>
      <c r="G135" s="97"/>
      <c r="H135" s="95"/>
      <c r="I135" s="96"/>
      <c r="J135" s="97" t="s">
        <v>38</v>
      </c>
      <c r="K135" s="95">
        <f>L135/L$108</f>
        <v>0.40500144063186555</v>
      </c>
      <c r="L135" s="96">
        <f>SUM(L123:L134)</f>
        <v>17950</v>
      </c>
      <c r="M135" s="463"/>
      <c r="N135" s="464">
        <f t="shared" si="24"/>
        <v>-1103.1588557604882</v>
      </c>
      <c r="O135" s="97" t="s">
        <v>38</v>
      </c>
      <c r="P135" s="95">
        <f>Q135/Q$108</f>
        <v>0.44018670243769265</v>
      </c>
      <c r="Q135" s="96">
        <f>+SUM(Q123:Q134)</f>
        <v>17037.62</v>
      </c>
      <c r="R135" s="147"/>
      <c r="S135" s="114">
        <f t="shared" si="29"/>
        <v>912.38000000000102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28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24"/>
        <v>0</v>
      </c>
      <c r="O136" s="41"/>
      <c r="P136" s="13"/>
      <c r="Q136" s="33">
        <v>0</v>
      </c>
      <c r="R136" s="41"/>
      <c r="S136" s="85">
        <f t="shared" si="29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28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24"/>
        <v>0</v>
      </c>
      <c r="O137" s="41"/>
      <c r="P137" s="13"/>
      <c r="Q137" s="33">
        <v>0</v>
      </c>
      <c r="R137" s="41"/>
      <c r="S137" s="85">
        <f t="shared" si="29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28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857.83333333333326</v>
      </c>
      <c r="G138" s="89"/>
      <c r="H138" s="111"/>
      <c r="I138" s="22"/>
      <c r="J138" s="23"/>
      <c r="K138" s="111"/>
      <c r="L138" s="22">
        <v>1118.01</v>
      </c>
      <c r="M138" s="23"/>
      <c r="N138" s="91">
        <f t="shared" si="24"/>
        <v>260.17666666666673</v>
      </c>
      <c r="O138" s="23"/>
      <c r="P138" s="111"/>
      <c r="Q138" s="22">
        <v>580.11</v>
      </c>
      <c r="R138" s="23"/>
      <c r="S138" s="92">
        <f t="shared" si="29"/>
        <v>537.9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28"/>
        <v>Véhicules usagésInformatique</v>
      </c>
      <c r="B139" s="11" t="s">
        <v>70</v>
      </c>
      <c r="C139" s="29" t="s">
        <v>52</v>
      </c>
      <c r="D139" s="81"/>
      <c r="E139" s="13"/>
      <c r="F139" s="30">
        <v>1419.9</v>
      </c>
      <c r="G139" s="83"/>
      <c r="H139" s="13"/>
      <c r="I139" s="30"/>
      <c r="J139" s="41"/>
      <c r="K139" s="13"/>
      <c r="L139" s="33">
        <v>1497.55</v>
      </c>
      <c r="M139" s="41"/>
      <c r="N139" s="59">
        <f t="shared" si="24"/>
        <v>77.649999999999864</v>
      </c>
      <c r="O139" s="41"/>
      <c r="P139" s="13"/>
      <c r="Q139" s="33">
        <v>1324.95</v>
      </c>
      <c r="R139" s="41"/>
      <c r="S139" s="85">
        <f t="shared" si="29"/>
        <v>172.59999999999991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28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182.8</v>
      </c>
      <c r="G140" s="83"/>
      <c r="H140" s="13"/>
      <c r="I140" s="30"/>
      <c r="J140" s="41"/>
      <c r="K140" s="13"/>
      <c r="L140" s="33">
        <v>70.63</v>
      </c>
      <c r="M140" s="41"/>
      <c r="N140" s="59">
        <f t="shared" si="24"/>
        <v>-112.17000000000002</v>
      </c>
      <c r="O140" s="41"/>
      <c r="P140" s="13"/>
      <c r="Q140" s="33">
        <v>-76.5</v>
      </c>
      <c r="R140" s="41"/>
      <c r="S140" s="85">
        <f t="shared" si="29"/>
        <v>147.13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28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612.1</v>
      </c>
      <c r="G141" s="89"/>
      <c r="H141" s="111"/>
      <c r="I141" s="22"/>
      <c r="J141" s="23"/>
      <c r="K141" s="111"/>
      <c r="L141" s="22">
        <v>848.97</v>
      </c>
      <c r="M141" s="23"/>
      <c r="N141" s="91">
        <f t="shared" si="24"/>
        <v>236.87</v>
      </c>
      <c r="O141" s="23"/>
      <c r="P141" s="111"/>
      <c r="Q141" s="22">
        <v>736.7</v>
      </c>
      <c r="R141" s="23"/>
      <c r="S141" s="92">
        <f t="shared" si="29"/>
        <v>112.26999999999998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28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30.882352941176471</v>
      </c>
      <c r="G142" s="83"/>
      <c r="H142" s="13"/>
      <c r="I142" s="30"/>
      <c r="J142" s="41"/>
      <c r="K142" s="13"/>
      <c r="L142" s="33">
        <v>2.4</v>
      </c>
      <c r="M142" s="41"/>
      <c r="N142" s="59">
        <f t="shared" si="24"/>
        <v>-28.482352941176472</v>
      </c>
      <c r="O142" s="41"/>
      <c r="P142" s="13"/>
      <c r="Q142" s="33">
        <v>20.13</v>
      </c>
      <c r="R142" s="41"/>
      <c r="S142" s="85">
        <f t="shared" si="29"/>
        <v>-17.73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28"/>
        <v>Véhicules usagésUniformes</v>
      </c>
      <c r="B143" s="11" t="s">
        <v>70</v>
      </c>
      <c r="C143" s="29" t="s">
        <v>56</v>
      </c>
      <c r="D143" s="81"/>
      <c r="E143" s="13"/>
      <c r="F143" s="30">
        <v>5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24"/>
        <v>-5</v>
      </c>
      <c r="O143" s="41"/>
      <c r="P143" s="13"/>
      <c r="Q143" s="33">
        <v>0</v>
      </c>
      <c r="R143" s="41"/>
      <c r="S143" s="85">
        <f t="shared" si="29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28"/>
        <v>Véhicules usagésPapeterie</v>
      </c>
      <c r="B144" s="11" t="s">
        <v>70</v>
      </c>
      <c r="C144" s="29" t="s">
        <v>57</v>
      </c>
      <c r="D144" s="81"/>
      <c r="E144" s="13"/>
      <c r="F144" s="30">
        <v>175</v>
      </c>
      <c r="G144" s="83"/>
      <c r="H144" s="13"/>
      <c r="I144" s="30"/>
      <c r="J144" s="41"/>
      <c r="K144" s="13"/>
      <c r="L144" s="32">
        <v>306.95999999999998</v>
      </c>
      <c r="M144" s="41"/>
      <c r="N144" s="59">
        <f t="shared" si="24"/>
        <v>131.95999999999998</v>
      </c>
      <c r="O144" s="41"/>
      <c r="P144" s="13"/>
      <c r="Q144" s="32">
        <v>160.91999999999999</v>
      </c>
      <c r="R144" s="41"/>
      <c r="S144" s="85">
        <f t="shared" si="29"/>
        <v>146.04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28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118.1</v>
      </c>
      <c r="M145" s="41"/>
      <c r="N145" s="59">
        <f t="shared" si="24"/>
        <v>54.899999999999991</v>
      </c>
      <c r="O145" s="41"/>
      <c r="P145" s="13"/>
      <c r="Q145" s="33">
        <v>75.459999999999994</v>
      </c>
      <c r="R145" s="41"/>
      <c r="S145" s="85">
        <f t="shared" si="29"/>
        <v>42.64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28"/>
        <v>Véhicules usagésFrais postaux</v>
      </c>
      <c r="B146" s="11" t="s">
        <v>70</v>
      </c>
      <c r="C146" s="29" t="s">
        <v>59</v>
      </c>
      <c r="D146" s="81"/>
      <c r="E146" s="13"/>
      <c r="F146" s="30">
        <v>50</v>
      </c>
      <c r="G146" s="83"/>
      <c r="H146" s="13"/>
      <c r="I146" s="30"/>
      <c r="J146" s="41"/>
      <c r="K146" s="13"/>
      <c r="L146" s="33">
        <v>198.33</v>
      </c>
      <c r="M146" s="41"/>
      <c r="N146" s="59">
        <f t="shared" si="24"/>
        <v>148.33000000000001</v>
      </c>
      <c r="O146" s="41"/>
      <c r="P146" s="13"/>
      <c r="Q146" s="33">
        <v>75.92</v>
      </c>
      <c r="R146" s="41"/>
      <c r="S146" s="85">
        <f t="shared" si="29"/>
        <v>122.41000000000001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28"/>
        <v>Véhicules usagésDivers</v>
      </c>
      <c r="B147" s="11" t="s">
        <v>70</v>
      </c>
      <c r="C147" s="29" t="s">
        <v>60</v>
      </c>
      <c r="D147" s="81"/>
      <c r="E147" s="13"/>
      <c r="F147" s="30">
        <v>185.8</v>
      </c>
      <c r="G147" s="83"/>
      <c r="H147" s="13"/>
      <c r="I147" s="30"/>
      <c r="J147" s="41"/>
      <c r="K147" s="13"/>
      <c r="L147" s="33">
        <v>164.4</v>
      </c>
      <c r="M147" s="41"/>
      <c r="N147" s="59">
        <f t="shared" si="24"/>
        <v>-21.400000000000006</v>
      </c>
      <c r="O147" s="41"/>
      <c r="P147" s="13"/>
      <c r="Q147" s="33">
        <v>167.1</v>
      </c>
      <c r="R147" s="41"/>
      <c r="S147" s="85">
        <f t="shared" si="29"/>
        <v>-2.6999999999999886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28"/>
        <v>Véhicules usagésFormation</v>
      </c>
      <c r="B148" s="11" t="s">
        <v>70</v>
      </c>
      <c r="C148" s="29" t="s">
        <v>61</v>
      </c>
      <c r="D148" s="81"/>
      <c r="E148" s="13"/>
      <c r="F148" s="30">
        <v>137.24010666666663</v>
      </c>
      <c r="G148" s="83"/>
      <c r="H148" s="13"/>
      <c r="I148" s="30"/>
      <c r="J148" s="41"/>
      <c r="K148" s="13"/>
      <c r="L148" s="59">
        <v>-26.49</v>
      </c>
      <c r="M148" s="41"/>
      <c r="N148" s="59">
        <f t="shared" si="24"/>
        <v>-163.73010666666664</v>
      </c>
      <c r="O148" s="41"/>
      <c r="P148" s="13"/>
      <c r="Q148" s="33">
        <v>128.37</v>
      </c>
      <c r="R148" s="41"/>
      <c r="S148" s="85">
        <f t="shared" si="29"/>
        <v>-154.86000000000001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28"/>
        <v>Véhicules usagésFrais bancaires</v>
      </c>
      <c r="B149" s="11" t="s">
        <v>70</v>
      </c>
      <c r="C149" s="29" t="s">
        <v>62</v>
      </c>
      <c r="D149" s="81"/>
      <c r="E149" s="13"/>
      <c r="F149" s="30">
        <v>539.66953788307808</v>
      </c>
      <c r="G149" s="83"/>
      <c r="H149" s="13"/>
      <c r="I149" s="30"/>
      <c r="J149" s="41"/>
      <c r="K149" s="13"/>
      <c r="L149" s="33">
        <v>1064.24</v>
      </c>
      <c r="M149" s="41"/>
      <c r="N149" s="59">
        <f t="shared" si="24"/>
        <v>524.57046211692193</v>
      </c>
      <c r="O149" s="41"/>
      <c r="P149" s="13"/>
      <c r="Q149" s="33">
        <v>779.88</v>
      </c>
      <c r="R149" s="41"/>
      <c r="S149" s="85">
        <f>L149-Q149</f>
        <v>284.36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 t="shared" si="28"/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24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si="28"/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24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si="28"/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24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si="28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6.9343513729332604E-2</v>
      </c>
      <c r="F153" s="96">
        <f>+SUM(F136:F152)</f>
        <v>4259.4253308242551</v>
      </c>
      <c r="G153" s="97"/>
      <c r="H153" s="95"/>
      <c r="I153" s="96"/>
      <c r="J153" s="97" t="s">
        <v>38</v>
      </c>
      <c r="K153" s="95">
        <f>L153/L$108</f>
        <v>0.12100630786923443</v>
      </c>
      <c r="L153" s="96">
        <f>+SUM(L136:L152)</f>
        <v>5363.0999999999995</v>
      </c>
      <c r="M153" s="100"/>
      <c r="N153" s="96">
        <f t="shared" si="24"/>
        <v>1103.6746691757444</v>
      </c>
      <c r="O153" s="97" t="s">
        <v>38</v>
      </c>
      <c r="P153" s="95">
        <f>Q153/Q$108</f>
        <v>0.1026481032123648</v>
      </c>
      <c r="Q153" s="96">
        <f>+SUM(Q136:Q152)</f>
        <v>3973.0400000000004</v>
      </c>
      <c r="R153" s="100"/>
      <c r="S153" s="101">
        <f>L153-Q153</f>
        <v>1390.059999999999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28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28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0.96445541008886715</v>
      </c>
      <c r="F155" s="96">
        <f>F122+F135+F153</f>
        <v>59241.673564708668</v>
      </c>
      <c r="G155" s="97"/>
      <c r="H155" s="95"/>
      <c r="I155" s="96"/>
      <c r="J155" s="97" t="s">
        <v>38</v>
      </c>
      <c r="K155" s="95">
        <f>L155/L$108</f>
        <v>1.1437170738905389</v>
      </c>
      <c r="L155" s="96">
        <f>L122+L135+L153</f>
        <v>50690.49</v>
      </c>
      <c r="M155" s="100"/>
      <c r="N155" s="113">
        <f t="shared" ref="N155:N162" si="30">L155-F155</f>
        <v>-8551.18356470867</v>
      </c>
      <c r="O155" s="97" t="s">
        <v>38</v>
      </c>
      <c r="P155" s="95">
        <f>Q155/Q$108</f>
        <v>1.374865651960032</v>
      </c>
      <c r="Q155" s="96">
        <f>Q122+Q135+Q153</f>
        <v>53214.780000000006</v>
      </c>
      <c r="R155" s="100"/>
      <c r="S155" s="114">
        <f t="shared" ref="S155:S162" si="31">L155-Q155</f>
        <v>-2524.2900000000081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28"/>
        <v>Véhicules usagésRBSC used</v>
      </c>
      <c r="B156" s="11" t="s">
        <v>70</v>
      </c>
      <c r="C156" s="29" t="s">
        <v>218</v>
      </c>
      <c r="D156" s="149"/>
      <c r="E156" s="150"/>
      <c r="F156" s="30">
        <v>1875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30"/>
        <v>-1875</v>
      </c>
      <c r="O156" s="151"/>
      <c r="P156" s="150"/>
      <c r="Q156" s="33">
        <v>1875</v>
      </c>
      <c r="R156" s="41"/>
      <c r="S156" s="85">
        <f t="shared" si="31"/>
        <v>-1875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ref="A157:A188" si="32">+B157&amp;C157</f>
        <v>Véhicules usagésProgramme 360</v>
      </c>
      <c r="B157" s="11" t="s">
        <v>70</v>
      </c>
      <c r="C157" s="29" t="s">
        <v>219</v>
      </c>
      <c r="D157" s="149"/>
      <c r="E157" s="150"/>
      <c r="F157" s="30">
        <v>1214.7058823529412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30"/>
        <v>-1214.7058823529412</v>
      </c>
      <c r="O157" s="151"/>
      <c r="P157" s="150"/>
      <c r="Q157" s="33">
        <v>0</v>
      </c>
      <c r="R157" s="41"/>
      <c r="S157" s="85">
        <f t="shared" si="31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32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30"/>
        <v>0</v>
      </c>
      <c r="O158" s="41"/>
      <c r="P158" s="13"/>
      <c r="Q158" s="33">
        <v>0</v>
      </c>
      <c r="R158" s="41"/>
      <c r="S158" s="85">
        <f t="shared" si="31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 t="shared" si="32"/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7080.5</v>
      </c>
      <c r="G159" s="83"/>
      <c r="H159" s="13"/>
      <c r="I159" s="30"/>
      <c r="J159" s="41"/>
      <c r="K159" s="13"/>
      <c r="L159" s="32">
        <v>4165</v>
      </c>
      <c r="M159" s="41"/>
      <c r="N159" s="59">
        <f t="shared" si="30"/>
        <v>-2915.5</v>
      </c>
      <c r="O159" s="41"/>
      <c r="P159" s="13"/>
      <c r="Q159" s="33">
        <v>7735</v>
      </c>
      <c r="R159" s="41"/>
      <c r="S159" s="85">
        <f t="shared" si="31"/>
        <v>-3570</v>
      </c>
      <c r="T159" s="112"/>
      <c r="U159" s="13"/>
      <c r="V159" s="13">
        <f>L159/595</f>
        <v>7</v>
      </c>
      <c r="W159" s="454">
        <f>V159/J97</f>
        <v>1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 t="shared" si="32"/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30"/>
        <v>0</v>
      </c>
      <c r="O160" s="41"/>
      <c r="P160" s="13"/>
      <c r="Q160" s="33">
        <v>0</v>
      </c>
      <c r="R160" s="41"/>
      <c r="S160" s="85">
        <f t="shared" si="31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 t="shared" si="32"/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30"/>
        <v>0</v>
      </c>
      <c r="O161" s="41"/>
      <c r="P161" s="13"/>
      <c r="Q161" s="33">
        <v>0</v>
      </c>
      <c r="R161" s="41"/>
      <c r="S161" s="85">
        <f t="shared" si="31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 t="shared" si="32"/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30"/>
        <v>0</v>
      </c>
      <c r="O162" s="41"/>
      <c r="P162" s="13"/>
      <c r="Q162" s="33">
        <v>0</v>
      </c>
      <c r="R162" s="41"/>
      <c r="S162" s="85">
        <f t="shared" si="31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10170.205882352941</v>
      </c>
      <c r="G163" s="97"/>
      <c r="H163" s="95"/>
      <c r="I163" s="96"/>
      <c r="J163" s="97"/>
      <c r="K163" s="95"/>
      <c r="L163" s="96">
        <f>+SUM(L156:L162)</f>
        <v>4165</v>
      </c>
      <c r="M163" s="100"/>
      <c r="N163" s="96">
        <f>SUM(N156:N159)</f>
        <v>-6005.2058823529414</v>
      </c>
      <c r="O163" s="97"/>
      <c r="P163" s="95"/>
      <c r="Q163" s="96">
        <f>+SUM(Q156:Q162)</f>
        <v>9610</v>
      </c>
      <c r="R163" s="100"/>
      <c r="S163" s="101">
        <f>+SUM(S156:S162)</f>
        <v>-5445</v>
      </c>
      <c r="T163" s="112"/>
      <c r="U163" s="13"/>
      <c r="V163" s="13"/>
      <c r="W163" s="13" t="s">
        <v>242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12353.532317644273</v>
      </c>
      <c r="G165" s="153"/>
      <c r="H165" s="125"/>
      <c r="I165" s="127"/>
      <c r="J165" s="154"/>
      <c r="K165" s="126"/>
      <c r="L165" s="127">
        <f>L108-L155+L163</f>
        <v>-2204.6600000000108</v>
      </c>
      <c r="M165" s="154"/>
      <c r="N165" s="127">
        <f>L165-F165</f>
        <v>-14558.192317644283</v>
      </c>
      <c r="O165" s="154"/>
      <c r="P165" s="126"/>
      <c r="Q165" s="127">
        <f>Q108-Q155+Q163</f>
        <v>-4899.339999999931</v>
      </c>
      <c r="R165" s="154"/>
      <c r="S165" s="129">
        <f>L165-Q165</f>
        <v>2694.6799999999203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Novembre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96" t="s">
        <v>5</v>
      </c>
      <c r="E170" s="497"/>
      <c r="F170" s="498"/>
      <c r="G170" s="499"/>
      <c r="H170" s="497"/>
      <c r="I170" s="498"/>
      <c r="J170" s="499" t="s">
        <v>7</v>
      </c>
      <c r="K170" s="497"/>
      <c r="L170" s="498"/>
      <c r="M170" s="499" t="s">
        <v>213</v>
      </c>
      <c r="N170" s="498"/>
      <c r="O170" s="496" t="s">
        <v>8</v>
      </c>
      <c r="P170" s="497"/>
      <c r="Q170" s="498"/>
      <c r="R170" s="494" t="s">
        <v>214</v>
      </c>
      <c r="S170" s="495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33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33"/>
        <v>ServiceM/O Client</v>
      </c>
      <c r="B172" s="11" t="s">
        <v>78</v>
      </c>
      <c r="C172" s="29" t="s">
        <v>81</v>
      </c>
      <c r="D172" s="13">
        <v>0</v>
      </c>
      <c r="E172" s="82">
        <v>106868.43520615344</v>
      </c>
      <c r="F172" s="82">
        <v>85067.274424098141</v>
      </c>
      <c r="G172" s="156"/>
      <c r="H172" s="82"/>
      <c r="I172" s="82"/>
      <c r="J172" s="60">
        <v>334</v>
      </c>
      <c r="K172" s="30">
        <v>102245.31</v>
      </c>
      <c r="L172" s="33">
        <v>80750.669999999984</v>
      </c>
      <c r="M172" s="157">
        <f>(K172-E172)/E172</f>
        <v>-4.3259969112818535E-2</v>
      </c>
      <c r="N172" s="59">
        <f>L172-F172</f>
        <v>-4316.6044240981573</v>
      </c>
      <c r="O172" s="60">
        <v>360</v>
      </c>
      <c r="P172" s="30">
        <v>94719.13</v>
      </c>
      <c r="Q172" s="33">
        <v>76288.39</v>
      </c>
      <c r="R172" s="157">
        <f>IF(O172=0,0,J172/O172)</f>
        <v>0.92777777777777781</v>
      </c>
      <c r="S172" s="85">
        <f>L172-Q172</f>
        <v>4462.2799999999843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33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0.79600000000000004</v>
      </c>
      <c r="G173" s="41"/>
      <c r="H173" s="144"/>
      <c r="I173" s="158"/>
      <c r="J173" s="60"/>
      <c r="K173" s="13"/>
      <c r="L173" s="158">
        <f>IF(L172=0,0,L172/K172)</f>
        <v>0.78977382923480777</v>
      </c>
      <c r="M173" s="157"/>
      <c r="N173" s="59"/>
      <c r="O173" s="60"/>
      <c r="P173" s="13"/>
      <c r="Q173" s="158">
        <f>Q172/P172</f>
        <v>0.80541692053125902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33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/>
      <c r="I174" s="160"/>
      <c r="J174" s="161"/>
      <c r="K174" s="465">
        <f>IFERROR(K172/J172,0)</f>
        <v>306.12368263473053</v>
      </c>
      <c r="L174" s="160"/>
      <c r="M174" s="162"/>
      <c r="N174" s="91"/>
      <c r="O174" s="161"/>
      <c r="P174" s="465">
        <f>IFERROR(P172/O172,0)</f>
        <v>263.10869444444444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33"/>
        <v>ServiceM/O Garantie</v>
      </c>
      <c r="B175" s="11" t="s">
        <v>78</v>
      </c>
      <c r="C175" s="14" t="s">
        <v>83</v>
      </c>
      <c r="D175" s="163">
        <v>0</v>
      </c>
      <c r="E175" s="82">
        <v>32960.631535414002</v>
      </c>
      <c r="F175" s="82">
        <v>23764.615337033494</v>
      </c>
      <c r="G175" s="164"/>
      <c r="H175" s="82"/>
      <c r="I175" s="82"/>
      <c r="J175" s="164">
        <v>168</v>
      </c>
      <c r="K175" s="165">
        <v>29558.97</v>
      </c>
      <c r="L175" s="33">
        <v>19564.399999999998</v>
      </c>
      <c r="M175" s="157">
        <f>(K175-E175)/E175</f>
        <v>-0.10320377301506321</v>
      </c>
      <c r="N175" s="109">
        <f>L175-F175</f>
        <v>-4200.2153370334963</v>
      </c>
      <c r="O175" s="164">
        <v>207</v>
      </c>
      <c r="P175" s="165">
        <v>26144.57</v>
      </c>
      <c r="Q175" s="33">
        <v>19320.1499999999</v>
      </c>
      <c r="R175" s="157">
        <f>IF(O175=0,0,J175/O175)</f>
        <v>0.81159420289855078</v>
      </c>
      <c r="S175" s="85">
        <f>L175-Q175</f>
        <v>244.25000000009823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33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/>
      <c r="J176" s="41"/>
      <c r="K176" s="13"/>
      <c r="L176" s="158">
        <f>IF(L175=0,0,L175/K175)</f>
        <v>0.6618769192566587</v>
      </c>
      <c r="M176" s="42"/>
      <c r="N176" s="43"/>
      <c r="O176" s="41"/>
      <c r="P176" s="13"/>
      <c r="Q176" s="158">
        <f>Q175/P175</f>
        <v>0.73897371423587765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33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126.30227053140096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33"/>
        <v>ServiceM/O Interne</v>
      </c>
      <c r="B178" s="11" t="s">
        <v>78</v>
      </c>
      <c r="C178" s="29" t="s">
        <v>84</v>
      </c>
      <c r="D178" s="13">
        <v>0</v>
      </c>
      <c r="E178" s="82">
        <v>36469.666943191805</v>
      </c>
      <c r="F178" s="82">
        <v>22538.254170892535</v>
      </c>
      <c r="G178" s="41"/>
      <c r="H178" s="82"/>
      <c r="I178" s="82"/>
      <c r="J178" s="60">
        <v>193</v>
      </c>
      <c r="K178" s="165">
        <v>50906.729999999996</v>
      </c>
      <c r="L178" s="33">
        <v>33664.799999999996</v>
      </c>
      <c r="M178" s="157">
        <f>(K178-E178)/E178</f>
        <v>0.39586495482112749</v>
      </c>
      <c r="N178" s="59">
        <f>L178-F178</f>
        <v>11126.545829107461</v>
      </c>
      <c r="O178" s="60">
        <v>209</v>
      </c>
      <c r="P178" s="165">
        <v>47181.69</v>
      </c>
      <c r="Q178" s="33">
        <v>28438.71</v>
      </c>
      <c r="R178" s="157">
        <f>IF(O178=0,0,J178/O178)</f>
        <v>0.92344497607655507</v>
      </c>
      <c r="S178" s="85">
        <f>L178-Q178</f>
        <v>5226.0899999999965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33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/>
      <c r="J179" s="60"/>
      <c r="K179" s="144"/>
      <c r="L179" s="158">
        <f>IF(L178=0,0,L178/K178)</f>
        <v>0.66130352509383339</v>
      </c>
      <c r="M179" s="157"/>
      <c r="N179" s="59">
        <f>L179-F179</f>
        <v>4.3303525093833395E-2</v>
      </c>
      <c r="O179" s="60"/>
      <c r="P179" s="144"/>
      <c r="Q179" s="158">
        <f>Q178/P178</f>
        <v>0.6027488629593386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33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225.74971291866029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33"/>
        <v>ServiceM/O Esthétique</v>
      </c>
      <c r="B181" s="11" t="s">
        <v>78</v>
      </c>
      <c r="C181" s="14" t="s">
        <v>85</v>
      </c>
      <c r="D181" s="105">
        <v>0</v>
      </c>
      <c r="E181" s="82">
        <v>12315.067942412468</v>
      </c>
      <c r="F181" s="82">
        <v>4926.027176964988</v>
      </c>
      <c r="G181" s="107"/>
      <c r="H181" s="82"/>
      <c r="I181" s="82"/>
      <c r="J181" s="164">
        <v>59</v>
      </c>
      <c r="K181" s="165">
        <v>10564.15</v>
      </c>
      <c r="L181" s="108">
        <v>3755.1200000000008</v>
      </c>
      <c r="M181" s="173">
        <f>IF(E181=0,0,(K181-E181)/E181)</f>
        <v>-0.14217688043623342</v>
      </c>
      <c r="N181" s="109">
        <f>L181-F181</f>
        <v>-1170.9071769649872</v>
      </c>
      <c r="O181" s="164">
        <v>69</v>
      </c>
      <c r="P181" s="165">
        <v>11668.289999999901</v>
      </c>
      <c r="Q181" s="108">
        <v>4982.03999999999</v>
      </c>
      <c r="R181" s="157">
        <f>IF(O181=0,0,J181/O181)</f>
        <v>0.85507246376811596</v>
      </c>
      <c r="S181" s="110">
        <f>L181-Q181</f>
        <v>-1226.9199999999892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33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0.40000000000000008</v>
      </c>
      <c r="G182" s="78"/>
      <c r="H182" s="174"/>
      <c r="I182" s="158"/>
      <c r="J182" s="175"/>
      <c r="K182" s="174"/>
      <c r="L182" s="158">
        <f>IF(L181=0,0,L181/K181)</f>
        <v>0.35545879223600585</v>
      </c>
      <c r="M182" s="60">
        <f>J182-D182</f>
        <v>0</v>
      </c>
      <c r="N182" s="176"/>
      <c r="O182" s="175"/>
      <c r="P182" s="174"/>
      <c r="Q182" s="158">
        <f>IFERROR(Q181/P181,0)</f>
        <v>0.42697258981393438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33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169.10565217391161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33"/>
        <v>ServiceAjustement M/O</v>
      </c>
      <c r="B184" s="11" t="s">
        <v>78</v>
      </c>
      <c r="C184" s="29" t="s">
        <v>86</v>
      </c>
      <c r="D184" s="13"/>
      <c r="E184" s="13"/>
      <c r="F184" s="59">
        <v>-2615.8815259091284</v>
      </c>
      <c r="G184" s="41"/>
      <c r="H184" s="82"/>
      <c r="I184" s="82"/>
      <c r="J184" s="60"/>
      <c r="K184" s="82"/>
      <c r="L184" s="82">
        <v>-1386.92</v>
      </c>
      <c r="M184" s="175"/>
      <c r="N184" s="59">
        <f>L184-F184</f>
        <v>1228.9615259091283</v>
      </c>
      <c r="O184" s="60"/>
      <c r="P184" s="82"/>
      <c r="Q184" s="82">
        <v>-3935.5</v>
      </c>
      <c r="R184" s="184"/>
      <c r="S184" s="85">
        <f>L184-Q184</f>
        <v>2548.58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33"/>
        <v>ServiceSous-total M/O</v>
      </c>
      <c r="B185" s="11" t="s">
        <v>78</v>
      </c>
      <c r="C185" s="185" t="s">
        <v>87</v>
      </c>
      <c r="D185" s="186">
        <f>D172+D175+D178+D181+D184</f>
        <v>0</v>
      </c>
      <c r="E185" s="186">
        <f>E172+E175+E178+E181+E184</f>
        <v>188613.80162717175</v>
      </c>
      <c r="F185" s="187">
        <f>F172+F175+F178+F181+F184</f>
        <v>133680.28958308004</v>
      </c>
      <c r="G185" s="188"/>
      <c r="H185" s="186"/>
      <c r="I185" s="187"/>
      <c r="J185" s="188">
        <f>J172+J175+J178+J181+J184</f>
        <v>754</v>
      </c>
      <c r="K185" s="186">
        <f>K172+K175+K178+K181+K184</f>
        <v>193275.16</v>
      </c>
      <c r="L185" s="187">
        <f>L172+L175+L178+L181+L184</f>
        <v>136348.06999999995</v>
      </c>
      <c r="M185" s="189">
        <f>(K185-E185)/E185</f>
        <v>2.4713771381599348E-2</v>
      </c>
      <c r="N185" s="187">
        <f>L185-F185</f>
        <v>2667.780416919908</v>
      </c>
      <c r="O185" s="188">
        <f>O172+O175+O178+O181+O184</f>
        <v>845</v>
      </c>
      <c r="P185" s="186">
        <f>P172+P175+P178+P181+P184</f>
        <v>179713.67999999991</v>
      </c>
      <c r="Q185" s="187">
        <f>Q172+Q175+Q178+Q181+Q184</f>
        <v>125093.78999999988</v>
      </c>
      <c r="R185" s="42">
        <f>IF(O185=0,0,J185/O185)</f>
        <v>0.89230769230769236</v>
      </c>
      <c r="S185" s="190">
        <f>L185-Q185</f>
        <v>11254.280000000072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33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0.70875136617691725</v>
      </c>
      <c r="G186" s="194"/>
      <c r="H186" s="192"/>
      <c r="I186" s="43"/>
      <c r="J186" s="194"/>
      <c r="K186" s="443">
        <f>IF(J185=0,0,K185/J185)</f>
        <v>256.33310344827589</v>
      </c>
      <c r="L186" s="43">
        <f>IF(L185=0,0,L185/K185)</f>
        <v>0.705460908685834</v>
      </c>
      <c r="M186" s="194"/>
      <c r="N186" s="193">
        <f>N185/F185</f>
        <v>1.9956423084062272E-2</v>
      </c>
      <c r="O186" s="194"/>
      <c r="P186" s="443">
        <f>IF(O185=0,0,P185/O185)</f>
        <v>212.67891124260345</v>
      </c>
      <c r="Q186" s="43">
        <f>Q185/P185</f>
        <v>0.69607271967275919</v>
      </c>
      <c r="R186" s="194"/>
      <c r="S186" s="44">
        <f>IF(R185=0,0,S185/R185)</f>
        <v>12612.555172413873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33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33"/>
        <v>ServiceSous-traitement</v>
      </c>
      <c r="B188" s="11" t="s">
        <v>78</v>
      </c>
      <c r="C188" s="29" t="s">
        <v>89</v>
      </c>
      <c r="D188" s="82"/>
      <c r="E188" s="82">
        <v>4975.497989718152</v>
      </c>
      <c r="F188" s="82">
        <v>850.81015624180407</v>
      </c>
      <c r="G188" s="60"/>
      <c r="H188" s="82"/>
      <c r="I188" s="82"/>
      <c r="J188" s="60"/>
      <c r="K188" s="30">
        <v>611.31000000000006</v>
      </c>
      <c r="L188" s="33">
        <v>204.5100000000001</v>
      </c>
      <c r="M188" s="84">
        <f>IF(E188=0,0,(K188-E188)/E188)</f>
        <v>-0.87713591659301837</v>
      </c>
      <c r="N188" s="59">
        <f>L188-F188</f>
        <v>-646.30015624180396</v>
      </c>
      <c r="O188" s="60"/>
      <c r="P188" s="30">
        <v>5312.8099999999904</v>
      </c>
      <c r="Q188" s="33">
        <v>103.94999999999899</v>
      </c>
      <c r="R188" s="157">
        <f>IF(O188=0,0,J188/O188)</f>
        <v>0</v>
      </c>
      <c r="S188" s="85">
        <f>L188-Q188</f>
        <v>100.56000000000111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33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0.17100000000000001</v>
      </c>
      <c r="G189" s="41"/>
      <c r="H189" s="144"/>
      <c r="I189" s="158"/>
      <c r="J189" s="175"/>
      <c r="K189" s="174"/>
      <c r="L189" s="158">
        <f>IF(L188=0,0,L188/K188)</f>
        <v>0.33454384845659335</v>
      </c>
      <c r="M189" s="175"/>
      <c r="N189" s="176"/>
      <c r="O189" s="175"/>
      <c r="P189" s="174"/>
      <c r="Q189" s="158">
        <f>IFERROR(Q188/P188,0)</f>
        <v>1.9565917094719967E-2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33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33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33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33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33"/>
        <v>ServiceTotal Mécanique</v>
      </c>
      <c r="B194" s="11" t="s">
        <v>78</v>
      </c>
      <c r="C194" s="62" t="s">
        <v>91</v>
      </c>
      <c r="D194" s="63"/>
      <c r="E194" s="63">
        <f>E185+E188+E191</f>
        <v>193589.29961688991</v>
      </c>
      <c r="F194" s="65">
        <f>F185+F188+F191</f>
        <v>134531.09973932186</v>
      </c>
      <c r="G194" s="66"/>
      <c r="H194" s="63"/>
      <c r="I194" s="65"/>
      <c r="J194" s="66"/>
      <c r="K194" s="63">
        <f>K185+K188+K191</f>
        <v>193886.47</v>
      </c>
      <c r="L194" s="65">
        <f>L185+L188+L191</f>
        <v>136552.57999999996</v>
      </c>
      <c r="M194" s="206">
        <f>L195-F195</f>
        <v>9.3609807411120238E-3</v>
      </c>
      <c r="N194" s="65">
        <f>L194-F194</f>
        <v>2021.4802606781013</v>
      </c>
      <c r="O194" s="66"/>
      <c r="P194" s="63">
        <f>P185+P188+P191</f>
        <v>185026.4899999999</v>
      </c>
      <c r="Q194" s="65">
        <f>Q185+Q188+Q191</f>
        <v>125197.73999999987</v>
      </c>
      <c r="R194" s="206">
        <f>L195-Q195</f>
        <v>2.764378214226948E-2</v>
      </c>
      <c r="S194" s="68">
        <f>L194-Q194</f>
        <v>11354.840000000084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33"/>
        <v>Service</v>
      </c>
      <c r="B195" s="11" t="s">
        <v>78</v>
      </c>
      <c r="C195" s="69"/>
      <c r="D195" s="70"/>
      <c r="E195" s="70"/>
      <c r="F195" s="74">
        <f>F194/E194</f>
        <v>0.69493045331305359</v>
      </c>
      <c r="G195" s="72"/>
      <c r="H195" s="70"/>
      <c r="I195" s="74"/>
      <c r="J195" s="72"/>
      <c r="K195" s="70"/>
      <c r="L195" s="74">
        <f>L194/K194</f>
        <v>0.70429143405416561</v>
      </c>
      <c r="M195" s="73"/>
      <c r="N195" s="74">
        <f>N194/F194</f>
        <v>1.5026118604509158E-2</v>
      </c>
      <c r="O195" s="72"/>
      <c r="P195" s="70"/>
      <c r="Q195" s="74">
        <f>Q194/P194</f>
        <v>0.67664765191189613</v>
      </c>
      <c r="R195" s="73"/>
      <c r="S195" s="75">
        <f>L194/S194</f>
        <v>12.025936076598081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33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33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33"/>
        <v>ServiceSalaires cadres</v>
      </c>
      <c r="B198" s="11" t="s">
        <v>78</v>
      </c>
      <c r="C198" s="102" t="s">
        <v>40</v>
      </c>
      <c r="D198" s="13"/>
      <c r="E198" s="13"/>
      <c r="F198" s="30">
        <v>9513.0297073791353</v>
      </c>
      <c r="G198" s="41"/>
      <c r="H198" s="13"/>
      <c r="I198" s="30"/>
      <c r="J198" s="41"/>
      <c r="K198" s="13"/>
      <c r="L198" s="33">
        <v>11433.39</v>
      </c>
      <c r="M198" s="41"/>
      <c r="N198" s="59">
        <f t="shared" ref="N198:N229" si="34">L198-F198</f>
        <v>1920.3602926208641</v>
      </c>
      <c r="O198" s="41"/>
      <c r="P198" s="13"/>
      <c r="Q198" s="33">
        <v>8108.73</v>
      </c>
      <c r="R198" s="41"/>
      <c r="S198" s="85">
        <f t="shared" ref="S198:S229" si="35">L198-Q198</f>
        <v>3324.66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33"/>
        <v>ServiceSalaires commis</v>
      </c>
      <c r="B199" s="11" t="s">
        <v>78</v>
      </c>
      <c r="C199" s="103" t="s">
        <v>41</v>
      </c>
      <c r="D199" s="81"/>
      <c r="E199" s="13"/>
      <c r="F199" s="22">
        <v>4981.9445928753184</v>
      </c>
      <c r="G199" s="83"/>
      <c r="H199" s="13"/>
      <c r="I199" s="22"/>
      <c r="J199" s="41"/>
      <c r="K199" s="13"/>
      <c r="L199" s="33">
        <v>5254.98</v>
      </c>
      <c r="M199" s="41"/>
      <c r="N199" s="59">
        <f t="shared" si="34"/>
        <v>273.03540712468111</v>
      </c>
      <c r="O199" s="41"/>
      <c r="P199" s="13"/>
      <c r="Q199" s="33">
        <v>4681.0600000000004</v>
      </c>
      <c r="R199" s="41"/>
      <c r="S199" s="85">
        <f t="shared" si="35"/>
        <v>573.91999999999916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33"/>
        <v>ServiceSalaires autres</v>
      </c>
      <c r="B200" s="11" t="s">
        <v>78</v>
      </c>
      <c r="C200" s="102" t="s">
        <v>42</v>
      </c>
      <c r="D200" s="104"/>
      <c r="E200" s="105"/>
      <c r="F200" s="30">
        <v>7997.1221374045799</v>
      </c>
      <c r="G200" s="106"/>
      <c r="H200" s="105"/>
      <c r="I200" s="30"/>
      <c r="J200" s="107"/>
      <c r="K200" s="105"/>
      <c r="L200" s="108">
        <v>10033.18</v>
      </c>
      <c r="M200" s="107"/>
      <c r="N200" s="109">
        <f t="shared" si="34"/>
        <v>2036.0578625954204</v>
      </c>
      <c r="O200" s="107"/>
      <c r="P200" s="105"/>
      <c r="Q200" s="108">
        <v>9166.76</v>
      </c>
      <c r="R200" s="107"/>
      <c r="S200" s="110">
        <f t="shared" si="35"/>
        <v>866.42000000000007</v>
      </c>
      <c r="T200" s="13"/>
      <c r="U200" s="13"/>
      <c r="V200" s="462" t="s">
        <v>260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33"/>
        <v>ServiceSalaires spécialistes</v>
      </c>
      <c r="B201" s="11" t="s">
        <v>78</v>
      </c>
      <c r="C201" s="102" t="s">
        <v>43</v>
      </c>
      <c r="D201" s="81"/>
      <c r="E201" s="13"/>
      <c r="F201" s="30">
        <v>13283.797831091724</v>
      </c>
      <c r="G201" s="83"/>
      <c r="H201" s="13"/>
      <c r="I201" s="30"/>
      <c r="J201" s="41"/>
      <c r="K201" s="13"/>
      <c r="L201" s="33">
        <v>15341.02</v>
      </c>
      <c r="M201" s="41"/>
      <c r="N201" s="59">
        <f t="shared" si="34"/>
        <v>2057.2221689082762</v>
      </c>
      <c r="O201" s="41"/>
      <c r="P201" s="13"/>
      <c r="Q201" s="33">
        <v>13574.37</v>
      </c>
      <c r="R201" s="41"/>
      <c r="S201" s="85">
        <f t="shared" si="35"/>
        <v>1766.6499999999996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33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34"/>
        <v>0</v>
      </c>
      <c r="O202" s="41"/>
      <c r="P202" s="13"/>
      <c r="Q202" s="33">
        <v>0</v>
      </c>
      <c r="R202" s="41"/>
      <c r="S202" s="85">
        <f t="shared" si="35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33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34"/>
        <v>0</v>
      </c>
      <c r="O203" s="41"/>
      <c r="P203" s="13"/>
      <c r="Q203" s="33">
        <v>0</v>
      </c>
      <c r="R203" s="41"/>
      <c r="S203" s="85">
        <f t="shared" si="35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33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34"/>
        <v>0</v>
      </c>
      <c r="O204" s="41"/>
      <c r="P204" s="13"/>
      <c r="Q204" s="33">
        <v>0</v>
      </c>
      <c r="R204" s="41"/>
      <c r="S204" s="85">
        <f t="shared" si="35"/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33"/>
        <v>ServiceSalaires en absences</v>
      </c>
      <c r="B205" s="11" t="s">
        <v>78</v>
      </c>
      <c r="C205" s="103" t="s">
        <v>44</v>
      </c>
      <c r="D205" s="81"/>
      <c r="E205" s="13"/>
      <c r="F205" s="30">
        <v>7390.1260733684594</v>
      </c>
      <c r="G205" s="83"/>
      <c r="H205" s="13"/>
      <c r="I205" s="30"/>
      <c r="J205" s="41"/>
      <c r="K205" s="13"/>
      <c r="L205" s="33">
        <v>6133.75</v>
      </c>
      <c r="M205" s="41"/>
      <c r="N205" s="59">
        <f t="shared" si="34"/>
        <v>-1256.3760733684594</v>
      </c>
      <c r="O205" s="41"/>
      <c r="P205" s="13"/>
      <c r="Q205" s="33">
        <v>6053.6</v>
      </c>
      <c r="R205" s="41"/>
      <c r="S205" s="85">
        <f t="shared" si="35"/>
        <v>80.149999999999636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33"/>
        <v>ServiceDéduction à la source</v>
      </c>
      <c r="B206" s="11" t="s">
        <v>78</v>
      </c>
      <c r="C206" s="102" t="s">
        <v>45</v>
      </c>
      <c r="D206" s="104"/>
      <c r="E206" s="105"/>
      <c r="F206" s="55">
        <v>10248.868890856349</v>
      </c>
      <c r="G206" s="106"/>
      <c r="H206" s="105"/>
      <c r="I206" s="55"/>
      <c r="J206" s="107"/>
      <c r="K206" s="105"/>
      <c r="L206" s="108">
        <v>11073.56</v>
      </c>
      <c r="M206" s="107"/>
      <c r="N206" s="109">
        <f t="shared" si="34"/>
        <v>824.69110914365046</v>
      </c>
      <c r="O206" s="107"/>
      <c r="P206" s="105"/>
      <c r="Q206" s="108">
        <v>9711.91</v>
      </c>
      <c r="R206" s="107"/>
      <c r="S206" s="110">
        <f t="shared" si="35"/>
        <v>1361.6499999999996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33"/>
        <v>ServiceBénéfices marginaux</v>
      </c>
      <c r="B207" s="11" t="s">
        <v>78</v>
      </c>
      <c r="C207" s="102" t="s">
        <v>46</v>
      </c>
      <c r="D207" s="81"/>
      <c r="E207" s="13"/>
      <c r="F207" s="30">
        <v>4850.6097040694167</v>
      </c>
      <c r="G207" s="83"/>
      <c r="H207" s="13"/>
      <c r="I207" s="30"/>
      <c r="J207" s="41"/>
      <c r="K207" s="13"/>
      <c r="L207" s="33">
        <v>3329.59</v>
      </c>
      <c r="M207" s="41"/>
      <c r="N207" s="59">
        <f t="shared" si="34"/>
        <v>-1521.0197040694165</v>
      </c>
      <c r="O207" s="41"/>
      <c r="P207" s="13"/>
      <c r="Q207" s="33">
        <v>4970.95</v>
      </c>
      <c r="R207" s="41"/>
      <c r="S207" s="85">
        <f t="shared" si="35"/>
        <v>-1641.3599999999997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33"/>
        <v>ServiceCsst</v>
      </c>
      <c r="B208" s="11" t="s">
        <v>78</v>
      </c>
      <c r="C208" s="102" t="s">
        <v>47</v>
      </c>
      <c r="D208" s="81"/>
      <c r="E208" s="13"/>
      <c r="F208" s="30">
        <v>1095.2989654350297</v>
      </c>
      <c r="G208" s="83"/>
      <c r="H208" s="13"/>
      <c r="I208" s="30"/>
      <c r="J208" s="41"/>
      <c r="K208" s="13"/>
      <c r="L208" s="33">
        <v>1482.15</v>
      </c>
      <c r="M208" s="467"/>
      <c r="N208" s="146">
        <f t="shared" si="34"/>
        <v>386.8510345649704</v>
      </c>
      <c r="O208" s="467"/>
      <c r="P208" s="468"/>
      <c r="Q208" s="22">
        <v>1076.1600000000001</v>
      </c>
      <c r="R208" s="467"/>
      <c r="S208" s="469">
        <f t="shared" si="35"/>
        <v>405.99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33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34"/>
        <v>0</v>
      </c>
      <c r="O209" s="23"/>
      <c r="P209" s="111"/>
      <c r="Q209" s="33">
        <v>0</v>
      </c>
      <c r="R209" s="23"/>
      <c r="S209" s="92">
        <f t="shared" si="35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33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0.44124219617249999</v>
      </c>
      <c r="F210" s="96">
        <f>+SUM(F198:F209)</f>
        <v>59360.797902480015</v>
      </c>
      <c r="G210" s="97"/>
      <c r="H210" s="95"/>
      <c r="I210" s="96"/>
      <c r="J210" s="97" t="s">
        <v>92</v>
      </c>
      <c r="K210" s="95">
        <f>L210/L$194</f>
        <v>0.46928164960339835</v>
      </c>
      <c r="L210" s="96">
        <f>+SUM(L198:L209)</f>
        <v>64081.62</v>
      </c>
      <c r="M210" s="147"/>
      <c r="N210" s="113">
        <f t="shared" si="34"/>
        <v>4720.8220975199874</v>
      </c>
      <c r="O210" s="97" t="s">
        <v>92</v>
      </c>
      <c r="P210" s="95">
        <f>Q210/Q$194</f>
        <v>0.45802376304875841</v>
      </c>
      <c r="Q210" s="96">
        <f>+SUM(Q198:Q209)</f>
        <v>57343.540000000008</v>
      </c>
      <c r="R210" s="147"/>
      <c r="S210" s="114">
        <f t="shared" si="35"/>
        <v>6738.0799999999945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33"/>
        <v>ServicePublicité 2</v>
      </c>
      <c r="B211" s="11" t="s">
        <v>78</v>
      </c>
      <c r="C211" s="29" t="s">
        <v>49</v>
      </c>
      <c r="D211" s="81"/>
      <c r="E211" s="13"/>
      <c r="F211" s="30">
        <v>5938.7125699211465</v>
      </c>
      <c r="G211" s="83"/>
      <c r="H211" s="13"/>
      <c r="I211" s="30"/>
      <c r="J211" s="41"/>
      <c r="K211" s="13"/>
      <c r="L211" s="33">
        <v>13862.87</v>
      </c>
      <c r="M211" s="41"/>
      <c r="N211" s="59">
        <f t="shared" si="34"/>
        <v>7924.1574300788543</v>
      </c>
      <c r="O211" s="41"/>
      <c r="P211" s="13"/>
      <c r="Q211" s="33">
        <v>8938.39</v>
      </c>
      <c r="R211" s="41"/>
      <c r="S211" s="85">
        <f t="shared" si="35"/>
        <v>4924.4800000000014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33"/>
        <v>ServiceService gratuit 2</v>
      </c>
      <c r="B212" s="11" t="s">
        <v>78</v>
      </c>
      <c r="C212" s="29" t="s">
        <v>50</v>
      </c>
      <c r="D212" s="81"/>
      <c r="E212" s="13"/>
      <c r="F212" s="30">
        <v>3700</v>
      </c>
      <c r="G212" s="83"/>
      <c r="H212" s="13"/>
      <c r="I212" s="30"/>
      <c r="J212" s="41"/>
      <c r="K212" s="13"/>
      <c r="L212" s="33">
        <v>3747.6600000000003</v>
      </c>
      <c r="M212" s="41"/>
      <c r="N212" s="59">
        <f t="shared" si="34"/>
        <v>47.660000000000309</v>
      </c>
      <c r="O212" s="41"/>
      <c r="P212" s="13"/>
      <c r="Q212" s="33">
        <v>2853.3599999999901</v>
      </c>
      <c r="R212" s="41"/>
      <c r="S212" s="85">
        <f t="shared" si="35"/>
        <v>894.30000000001019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33"/>
        <v>ServiceFrais véhicules de cie</v>
      </c>
      <c r="B213" s="11" t="s">
        <v>78</v>
      </c>
      <c r="C213" s="86" t="s">
        <v>51</v>
      </c>
      <c r="D213" s="87"/>
      <c r="E213" s="111"/>
      <c r="F213" s="22">
        <v>4822.7083333333339</v>
      </c>
      <c r="G213" s="89"/>
      <c r="H213" s="111"/>
      <c r="I213" s="22"/>
      <c r="J213" s="23"/>
      <c r="K213" s="111"/>
      <c r="L213" s="33">
        <v>8311.58</v>
      </c>
      <c r="M213" s="23"/>
      <c r="N213" s="91">
        <f t="shared" si="34"/>
        <v>3488.871666666666</v>
      </c>
      <c r="O213" s="23"/>
      <c r="P213" s="111"/>
      <c r="Q213" s="33">
        <v>7376.38</v>
      </c>
      <c r="R213" s="23"/>
      <c r="S213" s="92">
        <f t="shared" si="35"/>
        <v>935.19999999999982</v>
      </c>
      <c r="T213" s="13"/>
      <c r="U213" s="13"/>
      <c r="V213" s="462" t="s">
        <v>261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33"/>
        <v>ServiceInformatique</v>
      </c>
      <c r="B214" s="11" t="s">
        <v>78</v>
      </c>
      <c r="C214" s="29" t="s">
        <v>52</v>
      </c>
      <c r="D214" s="81"/>
      <c r="E214" s="13"/>
      <c r="F214" s="30">
        <v>5527.0249999999996</v>
      </c>
      <c r="G214" s="83"/>
      <c r="H214" s="13"/>
      <c r="I214" s="30"/>
      <c r="J214" s="41"/>
      <c r="K214" s="13"/>
      <c r="L214" s="108">
        <v>5624.18</v>
      </c>
      <c r="M214" s="41"/>
      <c r="N214" s="59">
        <f t="shared" si="34"/>
        <v>97.155000000000655</v>
      </c>
      <c r="O214" s="41"/>
      <c r="P214" s="13"/>
      <c r="Q214" s="108">
        <v>6476.78</v>
      </c>
      <c r="R214" s="41"/>
      <c r="S214" s="85">
        <f t="shared" si="35"/>
        <v>-852.59999999999945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33"/>
        <v>ServiceFrais de déplacement</v>
      </c>
      <c r="B215" s="11" t="s">
        <v>78</v>
      </c>
      <c r="C215" s="29" t="s">
        <v>53</v>
      </c>
      <c r="D215" s="81"/>
      <c r="E215" s="13"/>
      <c r="F215" s="30">
        <v>411.3</v>
      </c>
      <c r="G215" s="83"/>
      <c r="H215" s="13"/>
      <c r="I215" s="30"/>
      <c r="J215" s="41"/>
      <c r="K215" s="13"/>
      <c r="L215" s="33">
        <v>491.23</v>
      </c>
      <c r="M215" s="41"/>
      <c r="N215" s="59">
        <f t="shared" si="34"/>
        <v>79.930000000000007</v>
      </c>
      <c r="O215" s="41"/>
      <c r="P215" s="13"/>
      <c r="Q215" s="33">
        <v>275.87</v>
      </c>
      <c r="R215" s="41"/>
      <c r="S215" s="85">
        <f t="shared" si="35"/>
        <v>215.36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33"/>
        <v>ServiceServices extérieurs</v>
      </c>
      <c r="B216" s="11" t="s">
        <v>78</v>
      </c>
      <c r="C216" s="86" t="s">
        <v>54</v>
      </c>
      <c r="D216" s="87"/>
      <c r="E216" s="111"/>
      <c r="F216" s="22">
        <v>5452.2250000000004</v>
      </c>
      <c r="G216" s="89"/>
      <c r="H216" s="111"/>
      <c r="I216" s="22"/>
      <c r="J216" s="23"/>
      <c r="K216" s="111"/>
      <c r="L216" s="33">
        <v>8141.26</v>
      </c>
      <c r="M216" s="23"/>
      <c r="N216" s="91">
        <f t="shared" si="34"/>
        <v>2689.0349999999999</v>
      </c>
      <c r="O216" s="23"/>
      <c r="P216" s="111"/>
      <c r="Q216" s="33">
        <v>5955.04</v>
      </c>
      <c r="R216" s="23"/>
      <c r="S216" s="92">
        <f t="shared" si="35"/>
        <v>2186.2200000000003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ref="A217:A228" si="36"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108">
        <v>0</v>
      </c>
      <c r="M217" s="41"/>
      <c r="N217" s="59">
        <f t="shared" si="34"/>
        <v>0</v>
      </c>
      <c r="O217" s="41"/>
      <c r="P217" s="13"/>
      <c r="Q217" s="108">
        <v>0</v>
      </c>
      <c r="R217" s="41"/>
      <c r="S217" s="85">
        <f t="shared" si="35"/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si="36"/>
        <v>ServiceFournitures autres</v>
      </c>
      <c r="B218" s="11" t="s">
        <v>78</v>
      </c>
      <c r="C218" s="29" t="s">
        <v>55</v>
      </c>
      <c r="D218" s="81"/>
      <c r="E218" s="13"/>
      <c r="F218" s="30">
        <v>1231.3253012048192</v>
      </c>
      <c r="G218" s="83"/>
      <c r="H218" s="13"/>
      <c r="I218" s="30"/>
      <c r="J218" s="41"/>
      <c r="K218" s="13"/>
      <c r="L218" s="33">
        <v>527.96</v>
      </c>
      <c r="M218" s="41"/>
      <c r="N218" s="59">
        <f t="shared" si="34"/>
        <v>-703.36530120481916</v>
      </c>
      <c r="O218" s="41"/>
      <c r="P218" s="13"/>
      <c r="Q218" s="33">
        <v>2320.7800000000002</v>
      </c>
      <c r="R218" s="41"/>
      <c r="S218" s="85">
        <f t="shared" si="35"/>
        <v>-1792.8200000000002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36"/>
        <v>ServiceUniformes</v>
      </c>
      <c r="B219" s="11" t="s">
        <v>78</v>
      </c>
      <c r="C219" s="29" t="s">
        <v>56</v>
      </c>
      <c r="D219" s="81"/>
      <c r="E219" s="13"/>
      <c r="F219" s="30">
        <v>950</v>
      </c>
      <c r="G219" s="83"/>
      <c r="H219" s="13"/>
      <c r="I219" s="30"/>
      <c r="J219" s="41"/>
      <c r="K219" s="13"/>
      <c r="L219" s="33">
        <v>2026.62</v>
      </c>
      <c r="M219" s="41"/>
      <c r="N219" s="59">
        <f t="shared" si="34"/>
        <v>1076.6199999999999</v>
      </c>
      <c r="O219" s="41"/>
      <c r="P219" s="13"/>
      <c r="Q219" s="33">
        <v>710.75</v>
      </c>
      <c r="R219" s="41"/>
      <c r="S219" s="85">
        <f t="shared" si="35"/>
        <v>1315.87</v>
      </c>
      <c r="T219" s="13"/>
      <c r="U219" s="13"/>
      <c r="V219" s="13" t="s">
        <v>262</v>
      </c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36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278.7</v>
      </c>
      <c r="M220" s="41"/>
      <c r="N220" s="59">
        <f t="shared" si="34"/>
        <v>-115.05000000000001</v>
      </c>
      <c r="O220" s="41"/>
      <c r="P220" s="13"/>
      <c r="Q220" s="32">
        <v>434.25</v>
      </c>
      <c r="R220" s="41"/>
      <c r="S220" s="85">
        <f t="shared" si="35"/>
        <v>-155.55000000000001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36"/>
        <v>ServiceTéléphone</v>
      </c>
      <c r="B221" s="11" t="s">
        <v>78</v>
      </c>
      <c r="C221" s="29" t="s">
        <v>58</v>
      </c>
      <c r="D221" s="81"/>
      <c r="E221" s="13"/>
      <c r="F221" s="30">
        <v>111.2</v>
      </c>
      <c r="G221" s="83"/>
      <c r="H221" s="13"/>
      <c r="I221" s="30"/>
      <c r="J221" s="41"/>
      <c r="K221" s="13"/>
      <c r="L221" s="33">
        <v>277.70999999999998</v>
      </c>
      <c r="M221" s="41"/>
      <c r="N221" s="59">
        <f t="shared" si="34"/>
        <v>166.51</v>
      </c>
      <c r="O221" s="41"/>
      <c r="P221" s="13"/>
      <c r="Q221" s="33">
        <v>99.66</v>
      </c>
      <c r="R221" s="41"/>
      <c r="S221" s="85">
        <f t="shared" si="35"/>
        <v>178.04999999999998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36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292.77999999999997</v>
      </c>
      <c r="M222" s="41"/>
      <c r="N222" s="59">
        <f t="shared" si="34"/>
        <v>180.27999999999997</v>
      </c>
      <c r="O222" s="41"/>
      <c r="P222" s="13"/>
      <c r="Q222" s="33">
        <v>72.2</v>
      </c>
      <c r="R222" s="41"/>
      <c r="S222" s="85">
        <f t="shared" si="35"/>
        <v>220.57999999999998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36"/>
        <v>ServiceDivers</v>
      </c>
      <c r="B223" s="11" t="s">
        <v>78</v>
      </c>
      <c r="C223" s="29" t="s">
        <v>60</v>
      </c>
      <c r="D223" s="81"/>
      <c r="E223" s="13"/>
      <c r="F223" s="30">
        <v>418.05</v>
      </c>
      <c r="G223" s="83"/>
      <c r="H223" s="13"/>
      <c r="I223" s="30"/>
      <c r="J223" s="41"/>
      <c r="K223" s="13"/>
      <c r="L223" s="33">
        <v>369.91</v>
      </c>
      <c r="M223" s="41"/>
      <c r="N223" s="59">
        <f t="shared" si="34"/>
        <v>-48.139999999999986</v>
      </c>
      <c r="O223" s="41"/>
      <c r="P223" s="13"/>
      <c r="Q223" s="33">
        <v>375.99</v>
      </c>
      <c r="R223" s="41"/>
      <c r="S223" s="85">
        <f t="shared" si="35"/>
        <v>-6.0799999999999841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36"/>
        <v>ServiceFormation</v>
      </c>
      <c r="B224" s="11" t="s">
        <v>78</v>
      </c>
      <c r="C224" s="29" t="s">
        <v>61</v>
      </c>
      <c r="D224" s="81"/>
      <c r="E224" s="13"/>
      <c r="F224" s="30">
        <v>1728.5819066666668</v>
      </c>
      <c r="G224" s="83"/>
      <c r="H224" s="13"/>
      <c r="I224" s="30"/>
      <c r="J224" s="41"/>
      <c r="K224" s="13"/>
      <c r="L224" s="33">
        <v>1253.26</v>
      </c>
      <c r="M224" s="41"/>
      <c r="N224" s="59">
        <f t="shared" si="34"/>
        <v>-475.32190666666679</v>
      </c>
      <c r="O224" s="41"/>
      <c r="P224" s="13"/>
      <c r="Q224" s="33">
        <v>2089.38</v>
      </c>
      <c r="R224" s="41"/>
      <c r="S224" s="85">
        <f t="shared" si="35"/>
        <v>-836.12000000000012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36"/>
        <v>ServiceFrais bancaires</v>
      </c>
      <c r="B225" s="11" t="s">
        <v>78</v>
      </c>
      <c r="C225" s="29" t="s">
        <v>62</v>
      </c>
      <c r="D225" s="81"/>
      <c r="E225" s="13"/>
      <c r="F225" s="30">
        <v>1214.2564602369255</v>
      </c>
      <c r="G225" s="83"/>
      <c r="H225" s="13"/>
      <c r="I225" s="30"/>
      <c r="J225" s="41"/>
      <c r="K225" s="13"/>
      <c r="L225" s="33">
        <v>2394.5300000000002</v>
      </c>
      <c r="M225" s="41"/>
      <c r="N225" s="59">
        <f t="shared" si="34"/>
        <v>1180.2735397630747</v>
      </c>
      <c r="O225" s="41"/>
      <c r="P225" s="13"/>
      <c r="Q225" s="33">
        <v>1754.74</v>
      </c>
      <c r="R225" s="41"/>
      <c r="S225" s="85">
        <f t="shared" si="35"/>
        <v>639.79000000000019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36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34"/>
        <v>0</v>
      </c>
      <c r="O226" s="41"/>
      <c r="P226" s="13"/>
      <c r="Q226" s="33">
        <v>0</v>
      </c>
      <c r="R226" s="41"/>
      <c r="S226" s="85">
        <f t="shared" si="35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 t="shared" si="36"/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34"/>
        <v>0</v>
      </c>
      <c r="O227" s="41"/>
      <c r="P227" s="13"/>
      <c r="Q227" s="33">
        <v>0</v>
      </c>
      <c r="R227" s="41"/>
      <c r="S227" s="85">
        <f t="shared" si="35"/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si="36"/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34"/>
        <v>0</v>
      </c>
      <c r="O228" s="41"/>
      <c r="P228" s="13"/>
      <c r="Q228" s="33">
        <v>0</v>
      </c>
      <c r="R228" s="41"/>
      <c r="S228" s="85">
        <f t="shared" si="35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0.23794969812475458</v>
      </c>
      <c r="F229" s="96">
        <f>+SUM(F211:F228)</f>
        <v>32011.634571362887</v>
      </c>
      <c r="G229" s="97"/>
      <c r="H229" s="95"/>
      <c r="I229" s="96"/>
      <c r="J229" s="97" t="s">
        <v>92</v>
      </c>
      <c r="K229" s="95">
        <f>L229/L$194</f>
        <v>0.34858550457267096</v>
      </c>
      <c r="L229" s="96">
        <f>+SUM(L211:L228)</f>
        <v>47600.25</v>
      </c>
      <c r="M229" s="100"/>
      <c r="N229" s="96">
        <f t="shared" si="34"/>
        <v>15588.615428637113</v>
      </c>
      <c r="O229" s="97" t="s">
        <v>92</v>
      </c>
      <c r="P229" s="95">
        <f>Q229/Q$194</f>
        <v>0.31736651156802054</v>
      </c>
      <c r="Q229" s="96">
        <f>+SUM(Q211:Q228)</f>
        <v>39733.569999999985</v>
      </c>
      <c r="R229" s="100"/>
      <c r="S229" s="101">
        <f t="shared" si="35"/>
        <v>7866.6800000000148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0.67919189429725457</v>
      </c>
      <c r="F231" s="96">
        <f>F210+F229</f>
        <v>91372.432473842899</v>
      </c>
      <c r="G231" s="97"/>
      <c r="H231" s="95"/>
      <c r="I231" s="96"/>
      <c r="J231" s="97" t="s">
        <v>38</v>
      </c>
      <c r="K231" s="95">
        <f>L231/L$194</f>
        <v>0.81786715417606926</v>
      </c>
      <c r="L231" s="96">
        <f>L210+L229</f>
        <v>111681.87</v>
      </c>
      <c r="M231" s="100"/>
      <c r="N231" s="113">
        <f>L231-F231</f>
        <v>20309.437526157097</v>
      </c>
      <c r="O231" s="97" t="s">
        <v>38</v>
      </c>
      <c r="P231" s="95">
        <f>Q231/Q$194</f>
        <v>0.7753902746167789</v>
      </c>
      <c r="Q231" s="96">
        <f>Q210+Q229</f>
        <v>97077.109999999986</v>
      </c>
      <c r="R231" s="100"/>
      <c r="S231" s="114">
        <f>L231-Q231</f>
        <v>14604.760000000009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43158.667265478958</v>
      </c>
      <c r="G233" s="153"/>
      <c r="H233" s="125"/>
      <c r="I233" s="127"/>
      <c r="J233" s="154"/>
      <c r="K233" s="126"/>
      <c r="L233" s="127">
        <f>L194-L231</f>
        <v>24870.709999999963</v>
      </c>
      <c r="M233" s="154"/>
      <c r="N233" s="127">
        <f>L233-F233</f>
        <v>-18287.957265478995</v>
      </c>
      <c r="O233" s="154"/>
      <c r="P233" s="126"/>
      <c r="Q233" s="127">
        <f>Q194-Q231</f>
        <v>28120.629999999888</v>
      </c>
      <c r="R233" s="154"/>
      <c r="S233" s="129">
        <f>L233-Q233</f>
        <v>-3249.9199999999255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Novembre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96" t="s">
        <v>5</v>
      </c>
      <c r="E238" s="497"/>
      <c r="F238" s="498"/>
      <c r="G238" s="499"/>
      <c r="H238" s="497"/>
      <c r="I238" s="498"/>
      <c r="J238" s="499" t="s">
        <v>7</v>
      </c>
      <c r="K238" s="497"/>
      <c r="L238" s="498"/>
      <c r="M238" s="499" t="s">
        <v>213</v>
      </c>
      <c r="N238" s="498"/>
      <c r="O238" s="496" t="s">
        <v>8</v>
      </c>
      <c r="P238" s="497"/>
      <c r="Q238" s="498"/>
      <c r="R238" s="494" t="s">
        <v>214</v>
      </c>
      <c r="S238" s="495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37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37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37"/>
        <v>CarrosserieM/O Sous-traitement</v>
      </c>
      <c r="B241" s="11" t="s">
        <v>94</v>
      </c>
      <c r="C241" s="29" t="s">
        <v>95</v>
      </c>
      <c r="D241" s="80">
        <v>0</v>
      </c>
      <c r="E241" s="82">
        <v>3879.1160101521928</v>
      </c>
      <c r="F241" s="82">
        <v>698.24088182739467</v>
      </c>
      <c r="G241" s="156"/>
      <c r="H241" s="82"/>
      <c r="I241" s="82"/>
      <c r="J241" s="60">
        <v>15</v>
      </c>
      <c r="K241" s="30">
        <v>3725.96</v>
      </c>
      <c r="L241" s="33">
        <v>905.42000000000007</v>
      </c>
      <c r="M241" s="157">
        <f>IFERROR((K241-E241)/E241,0)</f>
        <v>-3.9482193817189759E-2</v>
      </c>
      <c r="N241" s="59">
        <f>L241-F241</f>
        <v>207.1791181726054</v>
      </c>
      <c r="O241" s="60">
        <v>13</v>
      </c>
      <c r="P241" s="30">
        <v>16931.849999999999</v>
      </c>
      <c r="Q241" s="33">
        <v>241.82999999999799</v>
      </c>
      <c r="R241" s="157">
        <f>IF(O241=0,0,J241/O241)</f>
        <v>1.1538461538461537</v>
      </c>
      <c r="S241" s="85">
        <f>L241-Q241</f>
        <v>663.59000000000208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37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/>
      <c r="J242" s="60"/>
      <c r="K242" s="13"/>
      <c r="L242" s="158">
        <f>IFERROR(L241/K241,0)</f>
        <v>0.243003145498073</v>
      </c>
      <c r="M242" s="157"/>
      <c r="N242" s="470">
        <f>IFERROR(N241/M241,0)</f>
        <v>-5247.4064417971567</v>
      </c>
      <c r="O242" s="60"/>
      <c r="P242" s="13"/>
      <c r="Q242" s="158">
        <f>IFERROR(Q241/P241,0)</f>
        <v>1.428255034151602E-2</v>
      </c>
      <c r="R242" s="60"/>
      <c r="S242" s="85">
        <f>IFERROR(S241/R241,0)</f>
        <v>575.11133333333521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37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37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37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37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37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37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37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37"/>
        <v>CarrosserieTotal Mécanique</v>
      </c>
      <c r="B250" s="11" t="s">
        <v>94</v>
      </c>
      <c r="C250" s="62" t="s">
        <v>91</v>
      </c>
      <c r="D250" s="63"/>
      <c r="E250" s="63">
        <f>E244+E247+E241</f>
        <v>3879.1160101521928</v>
      </c>
      <c r="F250" s="65">
        <f>F244+F247+F241</f>
        <v>698.24088182739467</v>
      </c>
      <c r="G250" s="66"/>
      <c r="H250" s="63"/>
      <c r="I250" s="65"/>
      <c r="J250" s="66"/>
      <c r="K250" s="63">
        <f>K244+K247+K241</f>
        <v>3725.96</v>
      </c>
      <c r="L250" s="65">
        <f>L244+L247+L241</f>
        <v>905.42000000000007</v>
      </c>
      <c r="M250" s="206">
        <f>L251-F251</f>
        <v>6.300314549807301E-2</v>
      </c>
      <c r="N250" s="65">
        <f>L250-F250</f>
        <v>207.1791181726054</v>
      </c>
      <c r="O250" s="66"/>
      <c r="P250" s="63">
        <f>P244+P247+P241</f>
        <v>16931.849999999999</v>
      </c>
      <c r="Q250" s="65">
        <f>Q244+Q247+Q241</f>
        <v>241.82999999999799</v>
      </c>
      <c r="R250" s="206">
        <f>L251-Q251</f>
        <v>0.22872059515655699</v>
      </c>
      <c r="S250" s="68">
        <f>L250-Q250</f>
        <v>663.59000000000208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37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/>
      <c r="J251" s="72"/>
      <c r="K251" s="70"/>
      <c r="L251" s="74">
        <f>IF(K250=0,0,L250/K250)</f>
        <v>0.243003145498073</v>
      </c>
      <c r="M251" s="73"/>
      <c r="N251" s="74">
        <f>N250/F250</f>
        <v>0.29671582338517399</v>
      </c>
      <c r="O251" s="72"/>
      <c r="P251" s="70"/>
      <c r="Q251" s="74">
        <f>Q250/P250</f>
        <v>1.428255034151602E-2</v>
      </c>
      <c r="R251" s="73"/>
      <c r="S251" s="75">
        <f>IF(R250=0,0,S250/R250)</f>
        <v>2901.3128421853803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37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37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37"/>
        <v>CarrosserieSalaires cadres</v>
      </c>
      <c r="B254" s="11" t="s">
        <v>94</v>
      </c>
      <c r="C254" s="102" t="s">
        <v>40</v>
      </c>
      <c r="D254" s="13"/>
      <c r="E254" s="13"/>
      <c r="F254" s="30">
        <v>304.27500000000003</v>
      </c>
      <c r="G254" s="41"/>
      <c r="H254" s="13"/>
      <c r="I254" s="30"/>
      <c r="J254" s="41"/>
      <c r="K254" s="13"/>
      <c r="L254" s="33">
        <v>304.27</v>
      </c>
      <c r="M254" s="41"/>
      <c r="N254" s="59">
        <f t="shared" ref="N254:N284" si="38">L254-F254</f>
        <v>-5.0000000000522959E-3</v>
      </c>
      <c r="O254" s="41"/>
      <c r="P254" s="13"/>
      <c r="Q254" s="33">
        <v>304.27</v>
      </c>
      <c r="R254" s="41"/>
      <c r="S254" s="85">
        <f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37"/>
        <v>CarrosserieSalaires commis</v>
      </c>
      <c r="B255" s="11" t="s">
        <v>94</v>
      </c>
      <c r="C255" s="103" t="s">
        <v>41</v>
      </c>
      <c r="D255" s="81"/>
      <c r="E255" s="13"/>
      <c r="F255" s="22">
        <v>336.87347328244277</v>
      </c>
      <c r="G255" s="83"/>
      <c r="H255" s="13"/>
      <c r="I255" s="22"/>
      <c r="J255" s="41"/>
      <c r="K255" s="13"/>
      <c r="L255" s="33">
        <v>351.44</v>
      </c>
      <c r="M255" s="41"/>
      <c r="N255" s="59">
        <f t="shared" si="38"/>
        <v>14.566526717557224</v>
      </c>
      <c r="O255" s="41"/>
      <c r="P255" s="13"/>
      <c r="Q255" s="33">
        <v>350.45</v>
      </c>
      <c r="R255" s="41"/>
      <c r="S255" s="85">
        <f>L255-Q255</f>
        <v>0.99000000000000909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37"/>
        <v>CarrosserieSalaires autres</v>
      </c>
      <c r="B256" s="11" t="s">
        <v>94</v>
      </c>
      <c r="C256" s="102" t="s">
        <v>42</v>
      </c>
      <c r="D256" s="104"/>
      <c r="E256" s="105"/>
      <c r="F256" s="30">
        <v>19</v>
      </c>
      <c r="G256" s="106"/>
      <c r="H256" s="105"/>
      <c r="I256" s="30"/>
      <c r="J256" s="107"/>
      <c r="K256" s="105"/>
      <c r="L256" s="108">
        <v>19</v>
      </c>
      <c r="M256" s="107"/>
      <c r="N256" s="109">
        <f t="shared" si="38"/>
        <v>0</v>
      </c>
      <c r="O256" s="107"/>
      <c r="P256" s="105"/>
      <c r="Q256" s="108">
        <v>19</v>
      </c>
      <c r="R256" s="107"/>
      <c r="S256" s="110">
        <f t="shared" ref="S256:S272" si="39">L256-Q256</f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37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38"/>
        <v>0</v>
      </c>
      <c r="O257" s="41"/>
      <c r="P257" s="13"/>
      <c r="Q257" s="33">
        <v>0</v>
      </c>
      <c r="R257" s="41"/>
      <c r="S257" s="85">
        <f t="shared" si="39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37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38"/>
        <v>0</v>
      </c>
      <c r="O258" s="41"/>
      <c r="P258" s="13"/>
      <c r="Q258" s="33">
        <v>0</v>
      </c>
      <c r="R258" s="41"/>
      <c r="S258" s="85">
        <f t="shared" si="39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37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38"/>
        <v>0</v>
      </c>
      <c r="O259" s="41"/>
      <c r="P259" s="13"/>
      <c r="Q259" s="33">
        <v>0</v>
      </c>
      <c r="R259" s="41"/>
      <c r="S259" s="85">
        <f t="shared" si="39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37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38"/>
        <v>0</v>
      </c>
      <c r="O260" s="41"/>
      <c r="P260" s="13"/>
      <c r="Q260" s="33">
        <v>0</v>
      </c>
      <c r="R260" s="41"/>
      <c r="S260" s="85">
        <f t="shared" si="39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37"/>
        <v>CarrosserieSalaires en absences</v>
      </c>
      <c r="B261" s="11" t="s">
        <v>94</v>
      </c>
      <c r="C261" s="103" t="s">
        <v>44</v>
      </c>
      <c r="D261" s="81"/>
      <c r="E261" s="13"/>
      <c r="F261" s="22">
        <v>96.825156155424963</v>
      </c>
      <c r="G261" s="83"/>
      <c r="H261" s="13"/>
      <c r="I261" s="22"/>
      <c r="J261" s="41"/>
      <c r="K261" s="13"/>
      <c r="L261" s="33">
        <v>185.86</v>
      </c>
      <c r="M261" s="41"/>
      <c r="N261" s="59">
        <f t="shared" si="38"/>
        <v>89.03484384457505</v>
      </c>
      <c r="O261" s="41"/>
      <c r="P261" s="13"/>
      <c r="Q261" s="33">
        <v>59.76</v>
      </c>
      <c r="R261" s="41"/>
      <c r="S261" s="85">
        <f t="shared" si="39"/>
        <v>126.10000000000002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37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134.28029791666668</v>
      </c>
      <c r="G262" s="106"/>
      <c r="H262" s="105"/>
      <c r="I262" s="30"/>
      <c r="J262" s="107"/>
      <c r="K262" s="105"/>
      <c r="L262" s="108">
        <v>216.21</v>
      </c>
      <c r="M262" s="107"/>
      <c r="N262" s="109">
        <f t="shared" si="38"/>
        <v>81.929702083333325</v>
      </c>
      <c r="O262" s="107"/>
      <c r="P262" s="105"/>
      <c r="Q262" s="108">
        <v>213.87</v>
      </c>
      <c r="R262" s="107"/>
      <c r="S262" s="110">
        <f t="shared" si="39"/>
        <v>2.3400000000000034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37"/>
        <v>CarrosserieBénéfices marginaux</v>
      </c>
      <c r="B263" s="11" t="s">
        <v>94</v>
      </c>
      <c r="C263" s="102" t="s">
        <v>46</v>
      </c>
      <c r="D263" s="81"/>
      <c r="E263" s="13"/>
      <c r="F263" s="30">
        <v>63.552507410941487</v>
      </c>
      <c r="G263" s="83"/>
      <c r="H263" s="13"/>
      <c r="I263" s="30"/>
      <c r="J263" s="41"/>
      <c r="K263" s="13"/>
      <c r="L263" s="33">
        <v>-73.3</v>
      </c>
      <c r="M263" s="41"/>
      <c r="N263" s="59">
        <f t="shared" si="38"/>
        <v>-136.85250741094148</v>
      </c>
      <c r="O263" s="41"/>
      <c r="P263" s="13"/>
      <c r="Q263" s="33">
        <v>40.630000000000003</v>
      </c>
      <c r="R263" s="41"/>
      <c r="S263" s="85">
        <f t="shared" si="39"/>
        <v>-113.93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37"/>
        <v>CarrosserieCsst</v>
      </c>
      <c r="B264" s="11" t="s">
        <v>94</v>
      </c>
      <c r="C264" s="102" t="s">
        <v>47</v>
      </c>
      <c r="D264" s="81"/>
      <c r="E264" s="13"/>
      <c r="F264" s="30">
        <v>14.350566189567433</v>
      </c>
      <c r="G264" s="83"/>
      <c r="H264" s="13"/>
      <c r="I264" s="30"/>
      <c r="J264" s="41"/>
      <c r="K264" s="13"/>
      <c r="L264" s="33">
        <v>3.16</v>
      </c>
      <c r="M264" s="467"/>
      <c r="N264" s="146">
        <f t="shared" si="38"/>
        <v>-11.190566189567432</v>
      </c>
      <c r="O264" s="41"/>
      <c r="P264" s="13"/>
      <c r="Q264" s="33">
        <v>3.71</v>
      </c>
      <c r="R264" s="41"/>
      <c r="S264" s="85">
        <f t="shared" si="39"/>
        <v>-0.54999999999999982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37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38"/>
        <v>0</v>
      </c>
      <c r="O265" s="23"/>
      <c r="P265" s="111"/>
      <c r="Q265" s="33">
        <v>0</v>
      </c>
      <c r="R265" s="23"/>
      <c r="S265" s="92">
        <f t="shared" si="39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37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969.15700095504349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1006.64</v>
      </c>
      <c r="M266" s="147"/>
      <c r="N266" s="113">
        <f t="shared" si="38"/>
        <v>37.4829990449565</v>
      </c>
      <c r="O266" s="97" t="s">
        <v>38</v>
      </c>
      <c r="P266" s="95">
        <f>IF(Q244=0,0,Q266/Q$244)</f>
        <v>0</v>
      </c>
      <c r="Q266" s="96">
        <f>+SUM(Q254:Q265)</f>
        <v>991.69</v>
      </c>
      <c r="R266" s="147"/>
      <c r="S266" s="114">
        <f t="shared" si="39"/>
        <v>14.949999999999932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37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40.76</v>
      </c>
      <c r="M267" s="41"/>
      <c r="N267" s="59">
        <f t="shared" si="38"/>
        <v>40.76</v>
      </c>
      <c r="O267" s="41"/>
      <c r="P267" s="13"/>
      <c r="Q267" s="33">
        <v>13.75</v>
      </c>
      <c r="R267" s="41"/>
      <c r="S267" s="85">
        <f t="shared" si="39"/>
        <v>27.009999999999998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37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85.71</v>
      </c>
      <c r="M268" s="41"/>
      <c r="N268" s="59">
        <f t="shared" si="38"/>
        <v>85.71</v>
      </c>
      <c r="O268" s="41"/>
      <c r="P268" s="13"/>
      <c r="Q268" s="33">
        <v>26.69</v>
      </c>
      <c r="R268" s="41"/>
      <c r="S268" s="85">
        <f t="shared" si="39"/>
        <v>59.019999999999996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37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119.375</v>
      </c>
      <c r="G269" s="89"/>
      <c r="H269" s="111"/>
      <c r="I269" s="22"/>
      <c r="J269" s="23"/>
      <c r="K269" s="111"/>
      <c r="L269" s="33">
        <v>151.13</v>
      </c>
      <c r="M269" s="23"/>
      <c r="N269" s="91">
        <f t="shared" si="38"/>
        <v>31.754999999999995</v>
      </c>
      <c r="O269" s="23"/>
      <c r="P269" s="111"/>
      <c r="Q269" s="33">
        <v>78.81</v>
      </c>
      <c r="R269" s="23"/>
      <c r="S269" s="92">
        <f t="shared" si="39"/>
        <v>72.319999999999993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37"/>
        <v>CarrosserieInformatique</v>
      </c>
      <c r="B270" s="11" t="s">
        <v>94</v>
      </c>
      <c r="C270" s="102" t="s">
        <v>52</v>
      </c>
      <c r="D270" s="81"/>
      <c r="E270" s="13"/>
      <c r="F270" s="30">
        <v>239.22500000000002</v>
      </c>
      <c r="G270" s="83"/>
      <c r="H270" s="13"/>
      <c r="I270" s="30"/>
      <c r="J270" s="41"/>
      <c r="K270" s="13"/>
      <c r="L270" s="108">
        <v>214.63</v>
      </c>
      <c r="M270" s="41"/>
      <c r="N270" s="59">
        <f t="shared" si="38"/>
        <v>-24.595000000000027</v>
      </c>
      <c r="O270" s="41"/>
      <c r="P270" s="13"/>
      <c r="Q270" s="108">
        <v>227.46</v>
      </c>
      <c r="R270" s="41"/>
      <c r="S270" s="85">
        <f t="shared" si="39"/>
        <v>-12.830000000000013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37"/>
        <v>CarrosserieFrais de déplacement</v>
      </c>
      <c r="B271" s="11" t="s">
        <v>94</v>
      </c>
      <c r="C271" s="102" t="s">
        <v>53</v>
      </c>
      <c r="D271" s="81"/>
      <c r="E271" s="13"/>
      <c r="F271" s="30">
        <v>45.7</v>
      </c>
      <c r="G271" s="83"/>
      <c r="H271" s="13"/>
      <c r="I271" s="30"/>
      <c r="J271" s="41"/>
      <c r="K271" s="13"/>
      <c r="L271" s="33">
        <v>17.63</v>
      </c>
      <c r="M271" s="41"/>
      <c r="N271" s="59">
        <f t="shared" si="38"/>
        <v>-28.070000000000004</v>
      </c>
      <c r="O271" s="41"/>
      <c r="P271" s="13"/>
      <c r="Q271" s="33">
        <v>-19.16</v>
      </c>
      <c r="R271" s="41"/>
      <c r="S271" s="85">
        <f t="shared" si="39"/>
        <v>36.79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37"/>
        <v>CarrosserieServices extérieurs</v>
      </c>
      <c r="B272" s="11" t="s">
        <v>94</v>
      </c>
      <c r="C272" s="102" t="s">
        <v>54</v>
      </c>
      <c r="D272" s="87"/>
      <c r="E272" s="111"/>
      <c r="F272" s="22">
        <v>153.02500000000001</v>
      </c>
      <c r="G272" s="89"/>
      <c r="H272" s="111"/>
      <c r="I272" s="22"/>
      <c r="J272" s="23"/>
      <c r="K272" s="111"/>
      <c r="L272" s="33">
        <v>204.79</v>
      </c>
      <c r="M272" s="23"/>
      <c r="N272" s="91">
        <f t="shared" si="38"/>
        <v>51.764999999999986</v>
      </c>
      <c r="O272" s="23"/>
      <c r="P272" s="111"/>
      <c r="Q272" s="22">
        <v>173.09</v>
      </c>
      <c r="R272" s="23"/>
      <c r="S272" s="92">
        <f t="shared" si="39"/>
        <v>31.699999999999989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 t="shared" ref="A273:A284" si="40"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3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si="40"/>
        <v>CarrosserieFournitures autres</v>
      </c>
      <c r="B274" s="11" t="s">
        <v>94</v>
      </c>
      <c r="C274" s="102" t="s">
        <v>55</v>
      </c>
      <c r="D274" s="81"/>
      <c r="E274" s="13"/>
      <c r="F274" s="30">
        <v>2.5301204819277108</v>
      </c>
      <c r="G274" s="83"/>
      <c r="H274" s="13"/>
      <c r="I274" s="30"/>
      <c r="J274" s="41"/>
      <c r="K274" s="13"/>
      <c r="L274" s="33">
        <v>0.6</v>
      </c>
      <c r="M274" s="41"/>
      <c r="N274" s="59">
        <f t="shared" si="38"/>
        <v>-1.9301204819277107</v>
      </c>
      <c r="O274" s="41"/>
      <c r="P274" s="13"/>
      <c r="Q274" s="33">
        <v>0</v>
      </c>
      <c r="R274" s="41"/>
      <c r="S274" s="85">
        <f t="shared" ref="S274:S282" si="41">L274-Q274</f>
        <v>0.6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40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38"/>
        <v>0</v>
      </c>
      <c r="O275" s="41"/>
      <c r="P275" s="13"/>
      <c r="Q275" s="33">
        <v>0</v>
      </c>
      <c r="R275" s="41"/>
      <c r="S275" s="85">
        <f t="shared" si="41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40"/>
        <v>CarrosseriePapeterie</v>
      </c>
      <c r="B276" s="11" t="s">
        <v>94</v>
      </c>
      <c r="C276" s="102" t="s">
        <v>57</v>
      </c>
      <c r="D276" s="81"/>
      <c r="E276" s="13"/>
      <c r="F276" s="30">
        <v>43.75</v>
      </c>
      <c r="G276" s="83"/>
      <c r="H276" s="13"/>
      <c r="I276" s="30"/>
      <c r="J276" s="41"/>
      <c r="K276" s="13"/>
      <c r="L276" s="32">
        <v>28.49</v>
      </c>
      <c r="M276" s="41"/>
      <c r="N276" s="59">
        <f t="shared" si="38"/>
        <v>-15.260000000000002</v>
      </c>
      <c r="O276" s="41"/>
      <c r="P276" s="13"/>
      <c r="Q276" s="32">
        <v>40.21</v>
      </c>
      <c r="R276" s="41"/>
      <c r="S276" s="85">
        <f t="shared" si="41"/>
        <v>-11.720000000000002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40"/>
        <v>CarrosserieTéléphone</v>
      </c>
      <c r="B277" s="11" t="s">
        <v>94</v>
      </c>
      <c r="C277" s="102" t="s">
        <v>58</v>
      </c>
      <c r="D277" s="81"/>
      <c r="E277" s="13"/>
      <c r="F277" s="30">
        <v>8.8000000000000007</v>
      </c>
      <c r="G277" s="83"/>
      <c r="H277" s="13"/>
      <c r="I277" s="30"/>
      <c r="J277" s="41"/>
      <c r="K277" s="13"/>
      <c r="L277" s="33">
        <v>17.52</v>
      </c>
      <c r="M277" s="41"/>
      <c r="N277" s="59">
        <f t="shared" si="38"/>
        <v>8.7199999999999989</v>
      </c>
      <c r="O277" s="41"/>
      <c r="P277" s="13"/>
      <c r="Q277" s="33">
        <v>7.78</v>
      </c>
      <c r="R277" s="41"/>
      <c r="S277" s="85">
        <f t="shared" si="41"/>
        <v>9.7399999999999984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40"/>
        <v>CarrosserieFrais postaux</v>
      </c>
      <c r="B278" s="11" t="s">
        <v>94</v>
      </c>
      <c r="C278" s="102" t="s">
        <v>59</v>
      </c>
      <c r="D278" s="81"/>
      <c r="E278" s="13"/>
      <c r="F278" s="30">
        <v>12.5</v>
      </c>
      <c r="G278" s="83"/>
      <c r="H278" s="13"/>
      <c r="I278" s="30"/>
      <c r="J278" s="41"/>
      <c r="K278" s="13"/>
      <c r="L278" s="33">
        <v>3.05</v>
      </c>
      <c r="M278" s="41"/>
      <c r="N278" s="59">
        <f t="shared" si="38"/>
        <v>-9.4499999999999993</v>
      </c>
      <c r="O278" s="41"/>
      <c r="P278" s="13"/>
      <c r="Q278" s="33">
        <v>6</v>
      </c>
      <c r="R278" s="41"/>
      <c r="S278" s="85">
        <f t="shared" si="41"/>
        <v>-2.95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40"/>
        <v>CarrosserieDivers</v>
      </c>
      <c r="B279" s="11" t="s">
        <v>94</v>
      </c>
      <c r="C279" s="102" t="s">
        <v>60</v>
      </c>
      <c r="D279" s="81"/>
      <c r="E279" s="13"/>
      <c r="F279" s="30">
        <v>46.45</v>
      </c>
      <c r="G279" s="83"/>
      <c r="H279" s="13"/>
      <c r="I279" s="30"/>
      <c r="J279" s="41"/>
      <c r="K279" s="13"/>
      <c r="L279" s="33">
        <v>41.09</v>
      </c>
      <c r="M279" s="41"/>
      <c r="N279" s="59">
        <f t="shared" si="38"/>
        <v>-5.3599999999999994</v>
      </c>
      <c r="O279" s="41"/>
      <c r="P279" s="13"/>
      <c r="Q279" s="33">
        <v>41.75</v>
      </c>
      <c r="R279" s="41"/>
      <c r="S279" s="85">
        <f t="shared" si="41"/>
        <v>-0.65999999999999659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40"/>
        <v>CarrosserieFormation</v>
      </c>
      <c r="B280" s="11" t="s">
        <v>94</v>
      </c>
      <c r="C280" s="102" t="s">
        <v>61</v>
      </c>
      <c r="D280" s="81"/>
      <c r="E280" s="13"/>
      <c r="F280" s="30">
        <v>20.768359999999994</v>
      </c>
      <c r="G280" s="83"/>
      <c r="H280" s="13"/>
      <c r="I280" s="30"/>
      <c r="J280" s="41"/>
      <c r="K280" s="13"/>
      <c r="L280" s="33">
        <v>-6.63</v>
      </c>
      <c r="M280" s="41"/>
      <c r="N280" s="59">
        <f t="shared" si="38"/>
        <v>-27.398359999999993</v>
      </c>
      <c r="O280" s="41"/>
      <c r="P280" s="13"/>
      <c r="Q280" s="33">
        <v>32.08</v>
      </c>
      <c r="R280" s="41"/>
      <c r="S280" s="85">
        <f t="shared" si="41"/>
        <v>-38.71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40"/>
        <v>CarrosserieFrais bancaires</v>
      </c>
      <c r="B281" s="11" t="s">
        <v>94</v>
      </c>
      <c r="C281" s="102" t="s">
        <v>62</v>
      </c>
      <c r="D281" s="81"/>
      <c r="E281" s="13"/>
      <c r="F281" s="30">
        <v>134.91738447076952</v>
      </c>
      <c r="G281" s="83"/>
      <c r="H281" s="13"/>
      <c r="I281" s="30"/>
      <c r="J281" s="41"/>
      <c r="K281" s="13"/>
      <c r="L281" s="33">
        <v>266.06</v>
      </c>
      <c r="M281" s="41"/>
      <c r="N281" s="59">
        <f t="shared" si="38"/>
        <v>131.14261552923048</v>
      </c>
      <c r="O281" s="41"/>
      <c r="P281" s="13"/>
      <c r="Q281" s="33">
        <v>194.99</v>
      </c>
      <c r="R281" s="41"/>
      <c r="S281" s="85">
        <f t="shared" si="41"/>
        <v>71.069999999999993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40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38"/>
        <v>0</v>
      </c>
      <c r="O282" s="41"/>
      <c r="P282" s="13"/>
      <c r="Q282" s="33">
        <v>0</v>
      </c>
      <c r="R282" s="41"/>
      <c r="S282" s="85">
        <f t="shared" si="41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40"/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3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40"/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38"/>
        <v>0</v>
      </c>
      <c r="O284" s="41"/>
      <c r="P284" s="13"/>
      <c r="Q284" s="33">
        <v>0</v>
      </c>
      <c r="R284" s="41"/>
      <c r="S284" s="85">
        <f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827.04086495269735</v>
      </c>
      <c r="G285" s="97"/>
      <c r="H285" s="95"/>
      <c r="I285" s="96"/>
      <c r="J285" s="97" t="s">
        <v>38</v>
      </c>
      <c r="K285" s="95" t="e">
        <f>IF(L262=0,0,L285/L$244)</f>
        <v>#DIV/0!</v>
      </c>
      <c r="L285" s="96">
        <f>+SUM(L267:L284)</f>
        <v>1064.83</v>
      </c>
      <c r="M285" s="100"/>
      <c r="N285" s="96">
        <f>+SUM(N267:N284)</f>
        <v>237.78913504730275</v>
      </c>
      <c r="O285" s="97" t="s">
        <v>38</v>
      </c>
      <c r="P285" s="95">
        <f>IF(Q$244=0,0,Q285/Q$244)</f>
        <v>0</v>
      </c>
      <c r="Q285" s="96">
        <f>+SUM(Q267:Q284)</f>
        <v>823.45</v>
      </c>
      <c r="R285" s="100"/>
      <c r="S285" s="101">
        <f>L285-Q285</f>
        <v>241.37999999999988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1796.1978659077408</v>
      </c>
      <c r="G287" s="97"/>
      <c r="H287" s="95"/>
      <c r="I287" s="96"/>
      <c r="J287" s="97" t="s">
        <v>38</v>
      </c>
      <c r="K287" s="95" t="e">
        <f>IF(L264=0,0,L287/L$244)</f>
        <v>#DIV/0!</v>
      </c>
      <c r="L287" s="96">
        <f>L266+L285</f>
        <v>2071.4699999999998</v>
      </c>
      <c r="M287" s="100"/>
      <c r="N287" s="113">
        <f>L287-F287</f>
        <v>275.27213409225897</v>
      </c>
      <c r="O287" s="97" t="s">
        <v>38</v>
      </c>
      <c r="P287" s="95">
        <f>IF(Q$244=0,0,Q287/Q$244)</f>
        <v>0</v>
      </c>
      <c r="Q287" s="96">
        <f>Q266+Q285</f>
        <v>1815.14</v>
      </c>
      <c r="R287" s="100"/>
      <c r="S287" s="114">
        <f>L287-Q287</f>
        <v>256.3299999999997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-1097.956984080346</v>
      </c>
      <c r="G289" s="153"/>
      <c r="H289" s="125"/>
      <c r="I289" s="127"/>
      <c r="J289" s="154"/>
      <c r="K289" s="126"/>
      <c r="L289" s="127">
        <f>L250-L287</f>
        <v>-1166.0499999999997</v>
      </c>
      <c r="M289" s="154"/>
      <c r="N289" s="127">
        <f>L289-F289</f>
        <v>-68.093015919653681</v>
      </c>
      <c r="O289" s="154"/>
      <c r="P289" s="126"/>
      <c r="Q289" s="127">
        <f>Q250-Q287</f>
        <v>-1573.3100000000022</v>
      </c>
      <c r="R289" s="154"/>
      <c r="S289" s="129">
        <f>L289-Q289</f>
        <v>407.26000000000249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Novembre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96" t="s">
        <v>5</v>
      </c>
      <c r="E293" s="497"/>
      <c r="F293" s="498"/>
      <c r="G293" s="499"/>
      <c r="H293" s="497"/>
      <c r="I293" s="498"/>
      <c r="J293" s="499" t="s">
        <v>7</v>
      </c>
      <c r="K293" s="497"/>
      <c r="L293" s="498"/>
      <c r="M293" s="499" t="s">
        <v>213</v>
      </c>
      <c r="N293" s="498"/>
      <c r="O293" s="496" t="s">
        <v>8</v>
      </c>
      <c r="P293" s="497"/>
      <c r="Q293" s="498"/>
      <c r="R293" s="494" t="s">
        <v>214</v>
      </c>
      <c r="S293" s="49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25" si="42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42"/>
        <v>PiècesPièces Ro Clients</v>
      </c>
      <c r="B295" s="11" t="s">
        <v>98</v>
      </c>
      <c r="C295" s="29" t="s">
        <v>100</v>
      </c>
      <c r="D295" s="82">
        <v>75092.095801150601</v>
      </c>
      <c r="E295" s="148">
        <f>IF(D295=0,0,F295/D295)</f>
        <v>0.41799999999999998</v>
      </c>
      <c r="F295" s="85">
        <v>31388.496044880951</v>
      </c>
      <c r="G295" s="82"/>
      <c r="H295" s="148"/>
      <c r="I295" s="85"/>
      <c r="J295" s="30">
        <v>76600.95</v>
      </c>
      <c r="K295" s="148">
        <f t="shared" ref="K295:K300" si="43">IF(J295&lt;=0,0,L295/J295)</f>
        <v>0.37806776547810444</v>
      </c>
      <c r="L295" s="33">
        <v>28960.350000000002</v>
      </c>
      <c r="M295" s="157">
        <f t="shared" ref="M295:M301" si="44">(+J295-D295)/D295</f>
        <v>2.0093382435948427E-2</v>
      </c>
      <c r="N295" s="59">
        <f t="shared" ref="N295:N304" si="45">L295-F295</f>
        <v>-2428.1460448809485</v>
      </c>
      <c r="O295" s="30">
        <v>71356.91</v>
      </c>
      <c r="P295" s="148">
        <f t="shared" ref="P295:P303" si="46">IF(O295=0,0,Q295/O295)</f>
        <v>0.36988877461201725</v>
      </c>
      <c r="Q295" s="33">
        <v>26394.12</v>
      </c>
      <c r="R295" s="157">
        <f>IF(O295=0,0,(J295-O295)/O295)</f>
        <v>7.3490289868213085E-2</v>
      </c>
      <c r="S295" s="85">
        <f t="shared" ref="S295:S300" si="47">L295-Q295</f>
        <v>2566.2300000000032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42"/>
        <v>PiècesPièces Ro Carrosserie</v>
      </c>
      <c r="B296" s="11" t="s">
        <v>98</v>
      </c>
      <c r="C296" s="29" t="s">
        <v>101</v>
      </c>
      <c r="D296" s="82">
        <v>834</v>
      </c>
      <c r="E296" s="148">
        <f t="shared" ref="E296:E300" si="48">IF(D296=0,0,F296/D296)</f>
        <v>0.34</v>
      </c>
      <c r="F296" s="85">
        <v>283.56</v>
      </c>
      <c r="G296" s="82"/>
      <c r="H296" s="148"/>
      <c r="I296" s="85"/>
      <c r="J296" s="30">
        <v>236.24</v>
      </c>
      <c r="K296" s="148">
        <f t="shared" si="43"/>
        <v>0.33999322722654934</v>
      </c>
      <c r="L296" s="33">
        <v>80.320000000000022</v>
      </c>
      <c r="M296" s="157">
        <f t="shared" si="44"/>
        <v>-0.71673860911270981</v>
      </c>
      <c r="N296" s="59">
        <f t="shared" si="45"/>
        <v>-203.23999999999998</v>
      </c>
      <c r="O296" s="30">
        <v>14687.23</v>
      </c>
      <c r="P296" s="148">
        <f t="shared" si="46"/>
        <v>0.28571418844805935</v>
      </c>
      <c r="Q296" s="33">
        <v>4196.3499999999904</v>
      </c>
      <c r="R296" s="157">
        <f t="shared" ref="R296:R300" si="49">IF(O296=0,0,(J296-O296)/O296)</f>
        <v>-0.98391527878299723</v>
      </c>
      <c r="S296" s="85">
        <f t="shared" si="47"/>
        <v>-4116.0299999999907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42"/>
        <v>PiècesP/A Garantie</v>
      </c>
      <c r="B297" s="11" t="s">
        <v>98</v>
      </c>
      <c r="C297" s="29" t="s">
        <v>102</v>
      </c>
      <c r="D297" s="82">
        <v>62273.649122875126</v>
      </c>
      <c r="E297" s="148">
        <f t="shared" si="48"/>
        <v>0.28799999999999998</v>
      </c>
      <c r="F297" s="85">
        <v>17934.810947388036</v>
      </c>
      <c r="G297" s="82"/>
      <c r="H297" s="148"/>
      <c r="I297" s="85"/>
      <c r="J297" s="30">
        <v>82161.429999999993</v>
      </c>
      <c r="K297" s="148">
        <f t="shared" si="43"/>
        <v>0.2859726273021293</v>
      </c>
      <c r="L297" s="33">
        <v>23495.919999999984</v>
      </c>
      <c r="M297" s="157">
        <f t="shared" si="44"/>
        <v>0.3193610966635877</v>
      </c>
      <c r="N297" s="59">
        <f t="shared" si="45"/>
        <v>5561.1090526119478</v>
      </c>
      <c r="O297" s="30">
        <v>36903.35</v>
      </c>
      <c r="P297" s="148">
        <f t="shared" si="46"/>
        <v>0.2862582936237496</v>
      </c>
      <c r="Q297" s="33">
        <v>10563.89</v>
      </c>
      <c r="R297" s="157">
        <f t="shared" si="49"/>
        <v>1.2263948936885132</v>
      </c>
      <c r="S297" s="85">
        <f t="shared" si="47"/>
        <v>12932.029999999984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42"/>
        <v>PiècesVentes Internes</v>
      </c>
      <c r="B298" s="11" t="s">
        <v>98</v>
      </c>
      <c r="C298" s="29" t="s">
        <v>103</v>
      </c>
      <c r="D298" s="82">
        <v>28274.405624682811</v>
      </c>
      <c r="E298" s="148">
        <f t="shared" si="48"/>
        <v>0.38500000000000001</v>
      </c>
      <c r="F298" s="85">
        <v>10885.646165502883</v>
      </c>
      <c r="G298" s="82"/>
      <c r="H298" s="148"/>
      <c r="I298" s="85"/>
      <c r="J298" s="30">
        <v>30386.959999999999</v>
      </c>
      <c r="K298" s="148">
        <f t="shared" si="43"/>
        <v>0.32565021311773212</v>
      </c>
      <c r="L298" s="33">
        <v>9895.52</v>
      </c>
      <c r="M298" s="157">
        <f t="shared" si="44"/>
        <v>7.4716137391513671E-2</v>
      </c>
      <c r="N298" s="59">
        <f t="shared" si="45"/>
        <v>-990.12616550288294</v>
      </c>
      <c r="O298" s="30">
        <v>24026.81</v>
      </c>
      <c r="P298" s="148">
        <f t="shared" si="46"/>
        <v>0.32265040594236188</v>
      </c>
      <c r="Q298" s="33">
        <v>7752.26</v>
      </c>
      <c r="R298" s="157">
        <f t="shared" si="49"/>
        <v>0.26471054626061458</v>
      </c>
      <c r="S298" s="85">
        <f t="shared" si="47"/>
        <v>2143.2600000000002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42"/>
        <v>PiècesVentes Détails</v>
      </c>
      <c r="B299" s="11" t="s">
        <v>98</v>
      </c>
      <c r="C299" s="29" t="s">
        <v>104</v>
      </c>
      <c r="D299" s="82">
        <v>26091.769135123679</v>
      </c>
      <c r="E299" s="148">
        <f t="shared" si="48"/>
        <v>0.31</v>
      </c>
      <c r="F299" s="85">
        <v>8088.4484318883406</v>
      </c>
      <c r="G299" s="82"/>
      <c r="H299" s="148"/>
      <c r="I299" s="85"/>
      <c r="J299" s="30">
        <v>26330.03</v>
      </c>
      <c r="K299" s="148">
        <f t="shared" si="43"/>
        <v>0.27260280371879558</v>
      </c>
      <c r="L299" s="33">
        <v>7177.6399999999994</v>
      </c>
      <c r="M299" s="157">
        <f t="shared" si="44"/>
        <v>9.1316485149940535E-3</v>
      </c>
      <c r="N299" s="59">
        <f t="shared" si="45"/>
        <v>-910.80843188834115</v>
      </c>
      <c r="O299" s="30">
        <v>25692</v>
      </c>
      <c r="P299" s="148">
        <f t="shared" si="46"/>
        <v>0.23782889615444497</v>
      </c>
      <c r="Q299" s="33">
        <v>6110.3</v>
      </c>
      <c r="R299" s="157">
        <f t="shared" si="49"/>
        <v>2.4833800404795221E-2</v>
      </c>
      <c r="S299" s="85">
        <f t="shared" si="47"/>
        <v>1067.3399999999992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42"/>
        <v>PiècesVentes de Gros</v>
      </c>
      <c r="B300" s="11" t="s">
        <v>98</v>
      </c>
      <c r="C300" s="29" t="s">
        <v>105</v>
      </c>
      <c r="D300" s="82">
        <v>66469.273336407292</v>
      </c>
      <c r="E300" s="148">
        <f t="shared" si="48"/>
        <v>0.21299999999999999</v>
      </c>
      <c r="F300" s="85">
        <v>14157.955220654752</v>
      </c>
      <c r="G300" s="82"/>
      <c r="H300" s="148"/>
      <c r="I300" s="85"/>
      <c r="J300" s="30">
        <v>54580.51</v>
      </c>
      <c r="K300" s="148">
        <f t="shared" si="43"/>
        <v>0.21461800192046573</v>
      </c>
      <c r="L300" s="33">
        <v>11713.96</v>
      </c>
      <c r="M300" s="157">
        <f t="shared" si="44"/>
        <v>-0.17886103969028114</v>
      </c>
      <c r="N300" s="59">
        <f t="shared" si="45"/>
        <v>-2443.9952206547532</v>
      </c>
      <c r="O300" s="30">
        <v>73039.990000000005</v>
      </c>
      <c r="P300" s="148">
        <f t="shared" si="46"/>
        <v>0.21180944849526948</v>
      </c>
      <c r="Q300" s="33">
        <v>15470.56</v>
      </c>
      <c r="R300" s="157">
        <f t="shared" si="49"/>
        <v>-0.25273114084489884</v>
      </c>
      <c r="S300" s="85">
        <f t="shared" si="47"/>
        <v>-3756.6000000000004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 t="shared" si="42"/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44"/>
        <v>#DIV/0!</v>
      </c>
      <c r="N301" s="59">
        <f t="shared" si="45"/>
        <v>0</v>
      </c>
      <c r="O301" s="30">
        <v>0</v>
      </c>
      <c r="P301" s="148">
        <f t="shared" si="46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si="42"/>
        <v>PiècesEscomptes</v>
      </c>
      <c r="B302" s="11" t="s">
        <v>98</v>
      </c>
      <c r="C302" s="29" t="s">
        <v>106</v>
      </c>
      <c r="D302" s="82">
        <v>0</v>
      </c>
      <c r="E302" s="148">
        <f>IF(D302=0,0,F302/D302)</f>
        <v>0</v>
      </c>
      <c r="F302" s="85">
        <v>6440.36311713941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2545.65</v>
      </c>
      <c r="M302" s="157"/>
      <c r="N302" s="59">
        <f t="shared" si="45"/>
        <v>-3894.7131171394099</v>
      </c>
      <c r="O302" s="30">
        <v>0</v>
      </c>
      <c r="P302" s="148">
        <f t="shared" si="46"/>
        <v>0</v>
      </c>
      <c r="Q302" s="33">
        <v>3151.76</v>
      </c>
      <c r="R302" s="157">
        <f>IF(O302=0,0,(J302-O302)/O302)</f>
        <v>0</v>
      </c>
      <c r="S302" s="85">
        <f>L302-Q302</f>
        <v>-606.11000000000013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42"/>
        <v>PiècesRectif. Inventaire</v>
      </c>
      <c r="B303" s="11" t="s">
        <v>98</v>
      </c>
      <c r="C303" s="86" t="s">
        <v>107</v>
      </c>
      <c r="D303" s="82">
        <v>0</v>
      </c>
      <c r="E303" s="148">
        <f>IF(D303=0,0,F303/D303)</f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45"/>
        <v>0</v>
      </c>
      <c r="O303" s="30">
        <v>0</v>
      </c>
      <c r="P303" s="148">
        <f t="shared" si="46"/>
        <v>0</v>
      </c>
      <c r="Q303" s="33">
        <v>0</v>
      </c>
      <c r="R303" s="157">
        <f>IF(O303=0,0,(J303-O303)/O303)</f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42"/>
        <v>PiècesSous-total Pièces</v>
      </c>
      <c r="B304" s="11" t="s">
        <v>98</v>
      </c>
      <c r="C304" s="53" t="s">
        <v>108</v>
      </c>
      <c r="D304" s="195">
        <f>SUM(D295:D303)</f>
        <v>259035.1930202395</v>
      </c>
      <c r="E304" s="213">
        <f>IF(D304&lt;=0,0,F304/D304)</f>
        <v>0.34427476393327922</v>
      </c>
      <c r="F304" s="199">
        <f>SUM(F295:F303)</f>
        <v>89179.279927454365</v>
      </c>
      <c r="G304" s="195"/>
      <c r="H304" s="213"/>
      <c r="I304" s="199"/>
      <c r="J304" s="195">
        <f>SUM(J295:J303)</f>
        <v>270296.12</v>
      </c>
      <c r="K304" s="213">
        <f>IF(J304&lt;=0,0,L304/J304)</f>
        <v>0.3102869549144841</v>
      </c>
      <c r="L304" s="197">
        <f>SUM(L295:L303)</f>
        <v>83869.359999999986</v>
      </c>
      <c r="M304" s="214">
        <f>(+J304-D304)/D304</f>
        <v>4.3472575476957029E-2</v>
      </c>
      <c r="N304" s="197">
        <f t="shared" si="45"/>
        <v>-5309.9199274543789</v>
      </c>
      <c r="O304" s="195">
        <f>SUM(O295:O303)</f>
        <v>245706.28999999998</v>
      </c>
      <c r="P304" s="213">
        <f>IF(O304&lt;=0,0,Q304/O304)</f>
        <v>0.29970433398347268</v>
      </c>
      <c r="Q304" s="197">
        <f>SUM(Q295:Q303)</f>
        <v>73639.239999999991</v>
      </c>
      <c r="R304" s="214">
        <f>IF(O304=0,0,(J304-O304)/O304)</f>
        <v>0.1000781461475814</v>
      </c>
      <c r="S304" s="199">
        <f>L304-Q304</f>
        <v>10230.119999999995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42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-5.9542081207360015E-2</v>
      </c>
      <c r="O305" s="41"/>
      <c r="P305" s="13"/>
      <c r="Q305" s="40"/>
      <c r="R305" s="41"/>
      <c r="S305" s="44">
        <f>IF(Q304=0,0,S304/Q304)</f>
        <v>0.13892212901708378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42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42"/>
        <v>PiècesVentes Pneus</v>
      </c>
      <c r="B307" s="11" t="s">
        <v>98</v>
      </c>
      <c r="C307" s="29" t="s">
        <v>109</v>
      </c>
      <c r="D307" s="82">
        <v>144526.35786994311</v>
      </c>
      <c r="E307" s="148">
        <f>IF(D307=0,0,F307/D307)</f>
        <v>0.25</v>
      </c>
      <c r="F307" s="110">
        <v>36131.589467485777</v>
      </c>
      <c r="G307" s="82"/>
      <c r="H307" s="148"/>
      <c r="I307" s="110"/>
      <c r="J307" s="30">
        <v>162274.26</v>
      </c>
      <c r="K307" s="148">
        <f>IF(J307&lt;=0,0,L307/J307)</f>
        <v>0.24469580080044742</v>
      </c>
      <c r="L307" s="33">
        <v>39707.830000000016</v>
      </c>
      <c r="M307" s="157">
        <f>(+J307-D307)/D307</f>
        <v>0.12280045239933289</v>
      </c>
      <c r="N307" s="59">
        <f>L307-F307</f>
        <v>3576.240532514239</v>
      </c>
      <c r="O307" s="30">
        <v>130004.68</v>
      </c>
      <c r="P307" s="148">
        <f>IF(O307=0,0,Q307/O307)</f>
        <v>0.25598024624959581</v>
      </c>
      <c r="Q307" s="33">
        <v>33278.629999999903</v>
      </c>
      <c r="R307" s="157">
        <f>IF(O307=0,0,(J307-O307)/O307)</f>
        <v>0.24821860259184531</v>
      </c>
      <c r="S307" s="85">
        <f>L307-Q307</f>
        <v>6429.2000000001135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42"/>
        <v>PiècesHuiles et Graisse</v>
      </c>
      <c r="B308" s="11" t="s">
        <v>98</v>
      </c>
      <c r="C308" s="86" t="s">
        <v>110</v>
      </c>
      <c r="D308" s="82">
        <v>12515.909295828927</v>
      </c>
      <c r="E308" s="148">
        <f>IF(D308=0,0,F308/D308)</f>
        <v>0.35000000000000003</v>
      </c>
      <c r="F308" s="92">
        <v>4380.5682535401247</v>
      </c>
      <c r="G308" s="82"/>
      <c r="H308" s="148"/>
      <c r="I308" s="92"/>
      <c r="J308" s="30">
        <v>13794.31</v>
      </c>
      <c r="K308" s="148">
        <f>IF(J308&lt;=0,0,L308/J308)</f>
        <v>0.35493402714597538</v>
      </c>
      <c r="L308" s="33">
        <v>4896.07</v>
      </c>
      <c r="M308" s="157">
        <f>(+J308-D308)/D308</f>
        <v>0.10214205567925567</v>
      </c>
      <c r="N308" s="59">
        <f>L308-F308</f>
        <v>515.50174645987499</v>
      </c>
      <c r="O308" s="30">
        <v>12176.529999999901</v>
      </c>
      <c r="P308" s="148">
        <f>IF(O308=0,0,Q308/O308)</f>
        <v>0.34376378163565685</v>
      </c>
      <c r="Q308" s="33">
        <v>4185.8499999999904</v>
      </c>
      <c r="R308" s="157">
        <f>IF(O308=0,0,(J308-O308)/O308)</f>
        <v>0.13286051116369871</v>
      </c>
      <c r="S308" s="85">
        <f>L308-Q308</f>
        <v>710.22000000000935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42"/>
        <v>PiècesSous-total Pièces et Acc.</v>
      </c>
      <c r="B309" s="11" t="s">
        <v>98</v>
      </c>
      <c r="C309" s="53" t="s">
        <v>111</v>
      </c>
      <c r="D309" s="195">
        <f>D304+D307+D308</f>
        <v>416077.46018601157</v>
      </c>
      <c r="E309" s="213">
        <f>IF(D309&lt;=0,0,F309/D309)</f>
        <v>0.3117002242575227</v>
      </c>
      <c r="F309" s="197">
        <f>F304+F307+F308</f>
        <v>129691.43764848028</v>
      </c>
      <c r="G309" s="198"/>
      <c r="H309" s="213"/>
      <c r="I309" s="197"/>
      <c r="J309" s="198">
        <f>J304+J307+J308</f>
        <v>446364.69</v>
      </c>
      <c r="K309" s="213">
        <f>IF(J309&lt;=0,0,L309/J309)</f>
        <v>0.28782128801451567</v>
      </c>
      <c r="L309" s="197">
        <f>L304+L307+L308</f>
        <v>128473.26000000001</v>
      </c>
      <c r="M309" s="214">
        <f>(+J309-D309)/D309</f>
        <v>7.2792286802674272E-2</v>
      </c>
      <c r="N309" s="197">
        <f>L309-F309</f>
        <v>-1218.1776484802685</v>
      </c>
      <c r="O309" s="198">
        <f>O304+O307+O308</f>
        <v>387887.49999999988</v>
      </c>
      <c r="P309" s="213">
        <f>IF(O309&lt;=0,0,Q309/O309)</f>
        <v>0.28643284457477985</v>
      </c>
      <c r="Q309" s="197">
        <f>Q304+Q307+Q308</f>
        <v>111103.71999999988</v>
      </c>
      <c r="R309" s="214">
        <f>IF(O309=0,0,(J309-O309)/O309)</f>
        <v>0.15075811930005514</v>
      </c>
      <c r="S309" s="199">
        <f>L309-Q309</f>
        <v>17369.540000000125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42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-9.3928918559917224E-3</v>
      </c>
      <c r="O310" s="41"/>
      <c r="P310" s="13"/>
      <c r="Q310" s="40"/>
      <c r="R310" s="41"/>
      <c r="S310" s="44">
        <f>IF(Q309=0,0,S309/Q309)</f>
        <v>0.15633625948798244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42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42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42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42"/>
        <v>PiècesTotal Dépt. Pièces</v>
      </c>
      <c r="B314" s="11" t="s">
        <v>98</v>
      </c>
      <c r="C314" s="62" t="s">
        <v>113</v>
      </c>
      <c r="D314" s="63">
        <f>D309+D312</f>
        <v>416077.46018601157</v>
      </c>
      <c r="E314" s="219">
        <f>IF(D314&lt;=0,0,F314/D314)</f>
        <v>0.3117002242575227</v>
      </c>
      <c r="F314" s="65">
        <f>F309+F312</f>
        <v>129691.43764848028</v>
      </c>
      <c r="G314" s="66"/>
      <c r="H314" s="219"/>
      <c r="I314" s="65"/>
      <c r="J314" s="66">
        <f>J309+J312</f>
        <v>446364.69</v>
      </c>
      <c r="K314" s="219">
        <f>IF(J314&lt;=0,0,L314/J314)</f>
        <v>0.28782128801451567</v>
      </c>
      <c r="L314" s="65">
        <f>L309+L312</f>
        <v>128473.26000000001</v>
      </c>
      <c r="M314" s="220">
        <f>(+J314-D314)/D314</f>
        <v>7.2792286802674272E-2</v>
      </c>
      <c r="N314" s="221">
        <f>L314-F314</f>
        <v>-1218.1776484802685</v>
      </c>
      <c r="O314" s="66">
        <f>O309+O312</f>
        <v>387887.49999999988</v>
      </c>
      <c r="P314" s="219">
        <f>IF(O314&lt;=0,0,Q314/O314)</f>
        <v>0.28643284457477985</v>
      </c>
      <c r="Q314" s="65">
        <f>Q309+Q312</f>
        <v>111103.71999999988</v>
      </c>
      <c r="R314" s="220">
        <f>IF(O314=0,0,(J314-O314)/O314)</f>
        <v>0.15075811930005514</v>
      </c>
      <c r="S314" s="222">
        <f>L314-Q314</f>
        <v>17369.540000000125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42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-9.3928918559917224E-3</v>
      </c>
      <c r="O315" s="227"/>
      <c r="P315" s="225"/>
      <c r="Q315" s="226"/>
      <c r="R315" s="228"/>
      <c r="S315" s="75">
        <f>IF(Q314=0,0,S314/Q314)</f>
        <v>0.15633625948798244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42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42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42"/>
        <v>PiècesSalaires cadres</v>
      </c>
      <c r="B318" s="11" t="s">
        <v>98</v>
      </c>
      <c r="C318" s="102" t="s">
        <v>40</v>
      </c>
      <c r="D318" s="13"/>
      <c r="E318" s="13"/>
      <c r="F318" s="30">
        <v>4127.8386768447835</v>
      </c>
      <c r="G318" s="41"/>
      <c r="H318" s="13"/>
      <c r="I318" s="30"/>
      <c r="J318" s="41"/>
      <c r="K318" s="13"/>
      <c r="L318" s="33">
        <v>2434.1999999999998</v>
      </c>
      <c r="M318" s="41"/>
      <c r="N318" s="59">
        <f t="shared" ref="N318:N348" si="50">L318-F318</f>
        <v>-1693.6386768447837</v>
      </c>
      <c r="O318" s="41"/>
      <c r="P318" s="13"/>
      <c r="Q318" s="33">
        <v>3689.26</v>
      </c>
      <c r="R318" s="41"/>
      <c r="S318" s="85">
        <f t="shared" ref="S318:S348" si="51">L318-Q318</f>
        <v>-1255.0600000000004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42"/>
        <v>PiècesSalaires commis</v>
      </c>
      <c r="B319" s="11" t="s">
        <v>98</v>
      </c>
      <c r="C319" s="103" t="s">
        <v>41</v>
      </c>
      <c r="D319" s="81"/>
      <c r="E319" s="13"/>
      <c r="F319" s="22">
        <v>2694.9877862595422</v>
      </c>
      <c r="G319" s="83"/>
      <c r="H319" s="13"/>
      <c r="I319" s="22"/>
      <c r="J319" s="41"/>
      <c r="K319" s="13"/>
      <c r="L319" s="33">
        <v>2811.6</v>
      </c>
      <c r="M319" s="41"/>
      <c r="N319" s="59">
        <f t="shared" si="50"/>
        <v>116.61221374045772</v>
      </c>
      <c r="O319" s="41"/>
      <c r="P319" s="13"/>
      <c r="Q319" s="33">
        <v>2803.85</v>
      </c>
      <c r="R319" s="41"/>
      <c r="S319" s="85">
        <f t="shared" si="51"/>
        <v>7.75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42"/>
        <v>PiècesSalaires autres</v>
      </c>
      <c r="B320" s="11" t="s">
        <v>98</v>
      </c>
      <c r="C320" s="102" t="s">
        <v>42</v>
      </c>
      <c r="D320" s="104"/>
      <c r="E320" s="105"/>
      <c r="F320" s="30">
        <v>14306.324427480917</v>
      </c>
      <c r="G320" s="106"/>
      <c r="H320" s="105"/>
      <c r="I320" s="30"/>
      <c r="J320" s="107"/>
      <c r="K320" s="105"/>
      <c r="L320" s="108">
        <v>16511.98</v>
      </c>
      <c r="M320" s="107"/>
      <c r="N320" s="109">
        <f t="shared" si="50"/>
        <v>2205.6555725190829</v>
      </c>
      <c r="O320" s="107"/>
      <c r="P320" s="105"/>
      <c r="Q320" s="108">
        <v>14447.65</v>
      </c>
      <c r="R320" s="107"/>
      <c r="S320" s="110">
        <f t="shared" si="51"/>
        <v>2064.33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42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50"/>
        <v>0</v>
      </c>
      <c r="O321" s="41"/>
      <c r="P321" s="13"/>
      <c r="Q321" s="33">
        <v>0</v>
      </c>
      <c r="R321" s="41"/>
      <c r="S321" s="85">
        <f t="shared" si="5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42"/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50"/>
        <v>0</v>
      </c>
      <c r="O322" s="41"/>
      <c r="P322" s="13"/>
      <c r="Q322" s="33">
        <v>0</v>
      </c>
      <c r="R322" s="41"/>
      <c r="S322" s="85">
        <f t="shared" si="51"/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42"/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50"/>
        <v>0</v>
      </c>
      <c r="O323" s="41"/>
      <c r="P323" s="13"/>
      <c r="Q323" s="33">
        <v>0</v>
      </c>
      <c r="R323" s="41"/>
      <c r="S323" s="85">
        <f t="shared" si="51"/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42"/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50"/>
        <v>0</v>
      </c>
      <c r="O324" s="41"/>
      <c r="P324" s="13"/>
      <c r="Q324" s="33">
        <v>0</v>
      </c>
      <c r="R324" s="41"/>
      <c r="S324" s="85">
        <f t="shared" si="51"/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si="42"/>
        <v>PiècesSalaires en absences</v>
      </c>
      <c r="B325" s="11" t="s">
        <v>98</v>
      </c>
      <c r="C325" s="103" t="s">
        <v>44</v>
      </c>
      <c r="D325" s="81"/>
      <c r="E325" s="13"/>
      <c r="F325" s="22">
        <v>2271.5973084039083</v>
      </c>
      <c r="G325" s="83"/>
      <c r="H325" s="13"/>
      <c r="I325" s="22"/>
      <c r="J325" s="41"/>
      <c r="K325" s="13"/>
      <c r="L325" s="33">
        <v>2596.4299999999998</v>
      </c>
      <c r="M325" s="41"/>
      <c r="N325" s="59">
        <f t="shared" si="50"/>
        <v>324.83269159609154</v>
      </c>
      <c r="O325" s="41"/>
      <c r="P325" s="13"/>
      <c r="Q325" s="33">
        <v>1685.09</v>
      </c>
      <c r="R325" s="41"/>
      <c r="S325" s="85">
        <f t="shared" si="51"/>
        <v>911.33999999999992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ref="A326:A357" si="52">+B326&amp;C326</f>
        <v>PiècesDéduction à la source</v>
      </c>
      <c r="B326" s="11" t="s">
        <v>98</v>
      </c>
      <c r="C326" s="102" t="s">
        <v>45</v>
      </c>
      <c r="D326" s="104"/>
      <c r="E326" s="105"/>
      <c r="F326" s="30">
        <v>3150.32555</v>
      </c>
      <c r="G326" s="106"/>
      <c r="H326" s="105"/>
      <c r="I326" s="30"/>
      <c r="J326" s="107"/>
      <c r="K326" s="105"/>
      <c r="L326" s="108">
        <v>2755.91</v>
      </c>
      <c r="M326" s="107"/>
      <c r="N326" s="109">
        <f t="shared" si="50"/>
        <v>-394.41555000000017</v>
      </c>
      <c r="O326" s="107"/>
      <c r="P326" s="105"/>
      <c r="Q326" s="108">
        <v>2759.36</v>
      </c>
      <c r="R326" s="107"/>
      <c r="S326" s="110">
        <f t="shared" si="51"/>
        <v>-3.4500000000002728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52"/>
        <v>PiècesBénéfices marginaux</v>
      </c>
      <c r="B327" s="11" t="s">
        <v>98</v>
      </c>
      <c r="C327" s="102" t="s">
        <v>46</v>
      </c>
      <c r="D327" s="81"/>
      <c r="E327" s="13"/>
      <c r="F327" s="30">
        <v>1490.9937717557252</v>
      </c>
      <c r="G327" s="83"/>
      <c r="H327" s="13"/>
      <c r="I327" s="30"/>
      <c r="J327" s="41"/>
      <c r="K327" s="13"/>
      <c r="L327" s="33">
        <v>735.92</v>
      </c>
      <c r="M327" s="41"/>
      <c r="N327" s="59">
        <f t="shared" si="50"/>
        <v>-755.07377175572526</v>
      </c>
      <c r="O327" s="41"/>
      <c r="P327" s="13"/>
      <c r="Q327" s="33">
        <v>1684.3</v>
      </c>
      <c r="R327" s="41"/>
      <c r="S327" s="85">
        <f t="shared" si="51"/>
        <v>-948.38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52"/>
        <v>PiècesCsst</v>
      </c>
      <c r="B328" s="11" t="s">
        <v>98</v>
      </c>
      <c r="C328" s="102" t="s">
        <v>47</v>
      </c>
      <c r="D328" s="81"/>
      <c r="E328" s="13"/>
      <c r="F328" s="30">
        <v>336.67601297709922</v>
      </c>
      <c r="G328" s="83"/>
      <c r="H328" s="13"/>
      <c r="I328" s="30"/>
      <c r="J328" s="41"/>
      <c r="K328" s="13"/>
      <c r="L328" s="33">
        <v>256.94</v>
      </c>
      <c r="M328" s="467"/>
      <c r="N328" s="146">
        <f t="shared" si="50"/>
        <v>-79.736012977099222</v>
      </c>
      <c r="O328" s="41"/>
      <c r="P328" s="13"/>
      <c r="Q328" s="33">
        <v>247.99</v>
      </c>
      <c r="R328" s="41"/>
      <c r="S328" s="85">
        <f t="shared" si="51"/>
        <v>8.9499999999999886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5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50"/>
        <v>0</v>
      </c>
      <c r="O329" s="23"/>
      <c r="P329" s="111"/>
      <c r="Q329" s="33">
        <v>0</v>
      </c>
      <c r="R329" s="23"/>
      <c r="S329" s="92">
        <f t="shared" si="51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5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0.21881740266185196</v>
      </c>
      <c r="F330" s="96">
        <f>+SUM(F318:F329)</f>
        <v>28378.743533721976</v>
      </c>
      <c r="G330" s="97"/>
      <c r="H330" s="95"/>
      <c r="I330" s="96"/>
      <c r="J330" s="97" t="s">
        <v>38</v>
      </c>
      <c r="K330" s="95">
        <f>L330/L$314</f>
        <v>0.21874575300727944</v>
      </c>
      <c r="L330" s="96">
        <f>+SUM(L318:L329)</f>
        <v>28102.979999999996</v>
      </c>
      <c r="M330" s="147"/>
      <c r="N330" s="113">
        <f t="shared" si="50"/>
        <v>-275.76353372197991</v>
      </c>
      <c r="O330" s="97" t="s">
        <v>38</v>
      </c>
      <c r="P330" s="95">
        <f>Q330/Q$314</f>
        <v>0.24587385552887006</v>
      </c>
      <c r="Q330" s="96">
        <f>+SUM(Q318:Q329)</f>
        <v>27317.500000000004</v>
      </c>
      <c r="R330" s="147"/>
      <c r="S330" s="114">
        <f t="shared" si="51"/>
        <v>785.47999999999229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52"/>
        <v>PiècesPublicité 2</v>
      </c>
      <c r="B331" s="11" t="s">
        <v>98</v>
      </c>
      <c r="C331" s="211" t="s">
        <v>49</v>
      </c>
      <c r="D331" s="81"/>
      <c r="E331" s="13"/>
      <c r="F331" s="30">
        <v>3197.7683068806168</v>
      </c>
      <c r="G331" s="83"/>
      <c r="H331" s="13"/>
      <c r="I331" s="30"/>
      <c r="J331" s="41"/>
      <c r="K331" s="13"/>
      <c r="L331" s="33">
        <v>1451.71</v>
      </c>
      <c r="M331" s="41"/>
      <c r="N331" s="59">
        <f t="shared" si="50"/>
        <v>-1746.0583068806168</v>
      </c>
      <c r="O331" s="41"/>
      <c r="P331" s="13"/>
      <c r="Q331" s="33">
        <v>4524.6499999999996</v>
      </c>
      <c r="R331" s="41"/>
      <c r="S331" s="85">
        <f t="shared" si="51"/>
        <v>-3072.9399999999996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52"/>
        <v>PiècesService gratuit 2</v>
      </c>
      <c r="B332" s="11" t="s">
        <v>98</v>
      </c>
      <c r="C332" s="102" t="s">
        <v>50</v>
      </c>
      <c r="D332" s="81"/>
      <c r="E332" s="13"/>
      <c r="F332" s="30">
        <v>265</v>
      </c>
      <c r="G332" s="83"/>
      <c r="H332" s="13"/>
      <c r="I332" s="30"/>
      <c r="J332" s="41"/>
      <c r="K332" s="13"/>
      <c r="L332" s="59">
        <v>817.42</v>
      </c>
      <c r="M332" s="41"/>
      <c r="N332" s="59">
        <f t="shared" si="50"/>
        <v>552.41999999999996</v>
      </c>
      <c r="O332" s="41"/>
      <c r="P332" s="13"/>
      <c r="Q332" s="33">
        <v>582.59</v>
      </c>
      <c r="R332" s="41"/>
      <c r="S332" s="85">
        <f t="shared" si="51"/>
        <v>234.82999999999993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52"/>
        <v>PiècesFrais véhicules de cie</v>
      </c>
      <c r="B333" s="11" t="s">
        <v>98</v>
      </c>
      <c r="C333" s="103" t="s">
        <v>51</v>
      </c>
      <c r="D333" s="87"/>
      <c r="E333" s="111"/>
      <c r="F333" s="22">
        <v>4423.3333333333339</v>
      </c>
      <c r="G333" s="89"/>
      <c r="H333" s="111"/>
      <c r="I333" s="22"/>
      <c r="J333" s="23"/>
      <c r="K333" s="111"/>
      <c r="L333" s="91">
        <v>6702.7899999999991</v>
      </c>
      <c r="M333" s="23"/>
      <c r="N333" s="91">
        <f t="shared" si="50"/>
        <v>2279.4566666666651</v>
      </c>
      <c r="O333" s="23"/>
      <c r="P333" s="111"/>
      <c r="Q333" s="33">
        <v>3469.48</v>
      </c>
      <c r="R333" s="23"/>
      <c r="S333" s="92">
        <f t="shared" si="51"/>
        <v>3233.309999999999</v>
      </c>
      <c r="T333" s="13"/>
      <c r="U333" s="13"/>
      <c r="V333" s="462" t="s">
        <v>263</v>
      </c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52"/>
        <v>PiècesInformatique</v>
      </c>
      <c r="B334" s="11" t="s">
        <v>98</v>
      </c>
      <c r="C334" s="102" t="s">
        <v>52</v>
      </c>
      <c r="D334" s="81"/>
      <c r="E334" s="13"/>
      <c r="F334" s="30">
        <v>1913.8000000000002</v>
      </c>
      <c r="G334" s="83"/>
      <c r="H334" s="13"/>
      <c r="I334" s="30"/>
      <c r="J334" s="41"/>
      <c r="K334" s="13"/>
      <c r="L334" s="108">
        <v>1717.09</v>
      </c>
      <c r="M334" s="41"/>
      <c r="N334" s="59">
        <f t="shared" si="50"/>
        <v>-196.71000000000026</v>
      </c>
      <c r="O334" s="41"/>
      <c r="P334" s="13"/>
      <c r="Q334" s="108">
        <v>1821.46</v>
      </c>
      <c r="R334" s="41"/>
      <c r="S334" s="85">
        <f t="shared" si="51"/>
        <v>-104.37000000000012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52"/>
        <v>PiècesFrais de déplacement</v>
      </c>
      <c r="B335" s="11" t="s">
        <v>98</v>
      </c>
      <c r="C335" s="102" t="s">
        <v>53</v>
      </c>
      <c r="D335" s="81"/>
      <c r="E335" s="13"/>
      <c r="F335" s="30">
        <v>365.6</v>
      </c>
      <c r="G335" s="83"/>
      <c r="H335" s="13"/>
      <c r="I335" s="30"/>
      <c r="J335" s="41"/>
      <c r="K335" s="13"/>
      <c r="L335" s="33">
        <v>141.25</v>
      </c>
      <c r="M335" s="41"/>
      <c r="N335" s="59">
        <f t="shared" si="50"/>
        <v>-224.35000000000002</v>
      </c>
      <c r="O335" s="41"/>
      <c r="P335" s="13"/>
      <c r="Q335" s="33">
        <v>-122.06</v>
      </c>
      <c r="R335" s="41"/>
      <c r="S335" s="85">
        <f t="shared" si="51"/>
        <v>263.31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52"/>
        <v>PiècesServices extérieurs</v>
      </c>
      <c r="B336" s="11" t="s">
        <v>98</v>
      </c>
      <c r="C336" s="230" t="s">
        <v>54</v>
      </c>
      <c r="D336" s="87"/>
      <c r="E336" s="111"/>
      <c r="F336" s="22">
        <v>1994.2000000000003</v>
      </c>
      <c r="G336" s="89"/>
      <c r="H336" s="111"/>
      <c r="I336" s="22"/>
      <c r="J336" s="23"/>
      <c r="K336" s="111"/>
      <c r="L336" s="48">
        <v>1813.58</v>
      </c>
      <c r="M336" s="23"/>
      <c r="N336" s="91">
        <f t="shared" si="50"/>
        <v>-180.62000000000035</v>
      </c>
      <c r="O336" s="23"/>
      <c r="P336" s="111"/>
      <c r="Q336" s="48">
        <v>1880.47</v>
      </c>
      <c r="R336" s="23"/>
      <c r="S336" s="92">
        <f t="shared" si="51"/>
        <v>-66.8900000000001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52"/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50"/>
        <v>0</v>
      </c>
      <c r="O337" s="41"/>
      <c r="P337" s="13"/>
      <c r="Q337" s="33">
        <v>0</v>
      </c>
      <c r="R337" s="41"/>
      <c r="S337" s="85">
        <f t="shared" si="51"/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si="52"/>
        <v>PiècesFournitures autres</v>
      </c>
      <c r="B338" s="11" t="s">
        <v>98</v>
      </c>
      <c r="C338" s="102" t="s">
        <v>55</v>
      </c>
      <c r="D338" s="81"/>
      <c r="E338" s="13"/>
      <c r="F338" s="30">
        <v>29.518072289156624</v>
      </c>
      <c r="G338" s="83"/>
      <c r="H338" s="13"/>
      <c r="I338" s="30"/>
      <c r="J338" s="41"/>
      <c r="K338" s="13"/>
      <c r="L338" s="33">
        <v>70.61</v>
      </c>
      <c r="M338" s="41"/>
      <c r="N338" s="59">
        <f t="shared" si="50"/>
        <v>41.091927710843379</v>
      </c>
      <c r="O338" s="41"/>
      <c r="P338" s="13"/>
      <c r="Q338" s="33">
        <v>0</v>
      </c>
      <c r="R338" s="41"/>
      <c r="S338" s="85">
        <f t="shared" si="51"/>
        <v>70.61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52"/>
        <v>PiècesUniformes</v>
      </c>
      <c r="B339" s="11" t="s">
        <v>98</v>
      </c>
      <c r="C339" s="102" t="s">
        <v>56</v>
      </c>
      <c r="D339" s="81"/>
      <c r="E339" s="13"/>
      <c r="F339" s="30">
        <v>33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50"/>
        <v>-33</v>
      </c>
      <c r="O339" s="41"/>
      <c r="P339" s="13"/>
      <c r="Q339" s="33">
        <v>0</v>
      </c>
      <c r="R339" s="41"/>
      <c r="S339" s="85">
        <f t="shared" si="51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52"/>
        <v>PiècesPapeterie</v>
      </c>
      <c r="B340" s="11" t="s">
        <v>98</v>
      </c>
      <c r="C340" s="102" t="s">
        <v>57</v>
      </c>
      <c r="D340" s="81"/>
      <c r="E340" s="13"/>
      <c r="F340" s="30">
        <v>350</v>
      </c>
      <c r="G340" s="83"/>
      <c r="H340" s="13"/>
      <c r="I340" s="30"/>
      <c r="J340" s="41"/>
      <c r="K340" s="13"/>
      <c r="L340" s="32">
        <v>227.93</v>
      </c>
      <c r="M340" s="41"/>
      <c r="N340" s="59">
        <f t="shared" si="50"/>
        <v>-122.07</v>
      </c>
      <c r="O340" s="41"/>
      <c r="P340" s="13"/>
      <c r="Q340" s="32">
        <v>321.83</v>
      </c>
      <c r="R340" s="41"/>
      <c r="S340" s="85">
        <f t="shared" si="51"/>
        <v>-93.899999999999977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5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186.34</v>
      </c>
      <c r="M341" s="41"/>
      <c r="N341" s="59">
        <f t="shared" si="50"/>
        <v>67.94</v>
      </c>
      <c r="O341" s="41"/>
      <c r="P341" s="13"/>
      <c r="Q341" s="33">
        <v>106.66</v>
      </c>
      <c r="R341" s="41"/>
      <c r="S341" s="85">
        <f t="shared" si="51"/>
        <v>79.680000000000007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52"/>
        <v>PiècesFrais postaux</v>
      </c>
      <c r="B342" s="11" t="s">
        <v>98</v>
      </c>
      <c r="C342" s="102" t="s">
        <v>59</v>
      </c>
      <c r="D342" s="81"/>
      <c r="E342" s="13"/>
      <c r="F342" s="30">
        <v>475</v>
      </c>
      <c r="G342" s="83"/>
      <c r="H342" s="13"/>
      <c r="I342" s="30"/>
      <c r="J342" s="41"/>
      <c r="K342" s="13"/>
      <c r="L342" s="33">
        <v>383.89</v>
      </c>
      <c r="M342" s="41"/>
      <c r="N342" s="59">
        <f t="shared" si="50"/>
        <v>-91.110000000000014</v>
      </c>
      <c r="O342" s="41"/>
      <c r="P342" s="13"/>
      <c r="Q342" s="33">
        <v>779.58</v>
      </c>
      <c r="R342" s="41"/>
      <c r="S342" s="85">
        <f t="shared" si="51"/>
        <v>-395.69000000000005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52"/>
        <v>PiècesDivers</v>
      </c>
      <c r="B343" s="11" t="s">
        <v>98</v>
      </c>
      <c r="C343" s="102" t="s">
        <v>60</v>
      </c>
      <c r="D343" s="81"/>
      <c r="E343" s="13"/>
      <c r="F343" s="30">
        <v>371.6</v>
      </c>
      <c r="G343" s="83"/>
      <c r="H343" s="13"/>
      <c r="I343" s="30"/>
      <c r="J343" s="41"/>
      <c r="K343" s="13"/>
      <c r="L343" s="33">
        <v>328.8</v>
      </c>
      <c r="M343" s="41"/>
      <c r="N343" s="59">
        <f t="shared" si="50"/>
        <v>-42.800000000000011</v>
      </c>
      <c r="O343" s="41"/>
      <c r="P343" s="13"/>
      <c r="Q343" s="33">
        <v>334.2</v>
      </c>
      <c r="R343" s="41"/>
      <c r="S343" s="85">
        <f t="shared" si="51"/>
        <v>-5.3999999999999773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52"/>
        <v>PiècesFormation</v>
      </c>
      <c r="B344" s="11" t="s">
        <v>98</v>
      </c>
      <c r="C344" s="102" t="s">
        <v>61</v>
      </c>
      <c r="D344" s="81"/>
      <c r="E344" s="13"/>
      <c r="F344" s="30">
        <v>241.14687999999995</v>
      </c>
      <c r="G344" s="83"/>
      <c r="H344" s="13"/>
      <c r="I344" s="30"/>
      <c r="J344" s="41"/>
      <c r="K344" s="13"/>
      <c r="L344" s="59">
        <v>-53</v>
      </c>
      <c r="M344" s="41"/>
      <c r="N344" s="59">
        <f t="shared" si="50"/>
        <v>-294.14687999999995</v>
      </c>
      <c r="O344" s="41"/>
      <c r="P344" s="13"/>
      <c r="Q344" s="33">
        <v>256.75</v>
      </c>
      <c r="R344" s="41"/>
      <c r="S344" s="85">
        <f t="shared" si="51"/>
        <v>-309.75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52"/>
        <v>PiècesFrais bancaires</v>
      </c>
      <c r="B345" s="11" t="s">
        <v>98</v>
      </c>
      <c r="C345" s="102" t="s">
        <v>62</v>
      </c>
      <c r="D345" s="81"/>
      <c r="E345" s="13"/>
      <c r="F345" s="30">
        <v>1079.3390757661562</v>
      </c>
      <c r="G345" s="83"/>
      <c r="H345" s="13"/>
      <c r="I345" s="30"/>
      <c r="J345" s="41"/>
      <c r="K345" s="13"/>
      <c r="L345" s="32">
        <v>2128.4699999999998</v>
      </c>
      <c r="M345" s="41"/>
      <c r="N345" s="59">
        <f t="shared" si="50"/>
        <v>1049.1309242338436</v>
      </c>
      <c r="O345" s="41"/>
      <c r="P345" s="13"/>
      <c r="Q345" s="33">
        <v>1559.77</v>
      </c>
      <c r="R345" s="41"/>
      <c r="S345" s="85">
        <f t="shared" si="51"/>
        <v>568.69999999999982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 t="shared" si="52"/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50"/>
        <v>0</v>
      </c>
      <c r="O346" s="41"/>
      <c r="P346" s="13"/>
      <c r="Q346" s="33">
        <v>0</v>
      </c>
      <c r="R346" s="41"/>
      <c r="S346" s="85">
        <f t="shared" si="51"/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52"/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50"/>
        <v>0</v>
      </c>
      <c r="O347" s="41"/>
      <c r="P347" s="13"/>
      <c r="Q347" s="33">
        <v>0</v>
      </c>
      <c r="R347" s="41"/>
      <c r="S347" s="85">
        <f t="shared" si="51"/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52"/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50"/>
        <v>0</v>
      </c>
      <c r="O348" s="41"/>
      <c r="P348" s="13"/>
      <c r="Q348" s="33">
        <v>0</v>
      </c>
      <c r="R348" s="41"/>
      <c r="S348" s="85">
        <f t="shared" si="51"/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0.11456196289950962</v>
      </c>
      <c r="F349" s="96">
        <f>+SUM(F331:F348)</f>
        <v>14857.705668269264</v>
      </c>
      <c r="G349" s="97"/>
      <c r="H349" s="95"/>
      <c r="I349" s="96"/>
      <c r="J349" s="97" t="s">
        <v>38</v>
      </c>
      <c r="K349" s="95">
        <f>L349/L$314</f>
        <v>0.12389255164849088</v>
      </c>
      <c r="L349" s="96">
        <f>+SUM(L331:L348)</f>
        <v>15916.879999999997</v>
      </c>
      <c r="M349" s="100"/>
      <c r="N349" s="96">
        <f>+SUM(N331:N348)</f>
        <v>1059.1743317307348</v>
      </c>
      <c r="O349" s="97" t="s">
        <v>38</v>
      </c>
      <c r="P349" s="95">
        <f>Q349/Q$314</f>
        <v>0.13964770936562715</v>
      </c>
      <c r="Q349" s="96">
        <f>+SUM(Q331:Q348)</f>
        <v>15515.380000000001</v>
      </c>
      <c r="R349" s="100"/>
      <c r="S349" s="101">
        <f>+SUM(S331:S348)</f>
        <v>401.49999999999898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0.33337936556136161</v>
      </c>
      <c r="F351" s="96">
        <f>F330+F349</f>
        <v>43236.449201991243</v>
      </c>
      <c r="G351" s="97"/>
      <c r="H351" s="95"/>
      <c r="I351" s="96"/>
      <c r="J351" s="97" t="s">
        <v>38</v>
      </c>
      <c r="K351" s="95">
        <f>L351/L$314</f>
        <v>0.34263830465577033</v>
      </c>
      <c r="L351" s="96">
        <f>L330+L349</f>
        <v>44019.859999999993</v>
      </c>
      <c r="M351" s="100"/>
      <c r="N351" s="113">
        <f>L351-F351</f>
        <v>783.41079800875013</v>
      </c>
      <c r="O351" s="97" t="s">
        <v>38</v>
      </c>
      <c r="P351" s="95">
        <f>Q351/Q$314</f>
        <v>0.38552156489449724</v>
      </c>
      <c r="Q351" s="96">
        <f>Q330+Q349</f>
        <v>42832.880000000005</v>
      </c>
      <c r="R351" s="100"/>
      <c r="S351" s="114">
        <f>L351-Q351</f>
        <v>1186.9799999999886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86454.988446489035</v>
      </c>
      <c r="G353" s="153"/>
      <c r="H353" s="125"/>
      <c r="I353" s="127"/>
      <c r="J353" s="154"/>
      <c r="K353" s="126"/>
      <c r="L353" s="127">
        <f>L314-L351</f>
        <v>84453.400000000023</v>
      </c>
      <c r="M353" s="154"/>
      <c r="N353" s="127">
        <f>L353-F353</f>
        <v>-2001.5884464890114</v>
      </c>
      <c r="O353" s="154"/>
      <c r="P353" s="126"/>
      <c r="Q353" s="127">
        <f>Q314-Q351</f>
        <v>68270.83999999988</v>
      </c>
      <c r="R353" s="154"/>
      <c r="S353" s="129">
        <f>L353-Q353</f>
        <v>16182.560000000143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Novembre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96" t="s">
        <v>5</v>
      </c>
      <c r="E358" s="497"/>
      <c r="F358" s="498"/>
      <c r="G358" s="499"/>
      <c r="H358" s="497"/>
      <c r="I358" s="498"/>
      <c r="J358" s="499" t="s">
        <v>7</v>
      </c>
      <c r="K358" s="497"/>
      <c r="L358" s="498"/>
      <c r="M358" s="499"/>
      <c r="N358" s="498"/>
      <c r="O358" s="496" t="s">
        <v>8</v>
      </c>
      <c r="P358" s="497"/>
      <c r="Q358" s="498"/>
      <c r="R358" s="499" t="s">
        <v>9</v>
      </c>
      <c r="S358" s="503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53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53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53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53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53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53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53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53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54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53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54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53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54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53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54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53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54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53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54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53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54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53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54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53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54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53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54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53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54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53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54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53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54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53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54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53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54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53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54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53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54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53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54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53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54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53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54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53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54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53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54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53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54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53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54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53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54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53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54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53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54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53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54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53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54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128515.69872788765</v>
      </c>
      <c r="G401" s="13"/>
      <c r="H401" s="13"/>
      <c r="I401" s="13"/>
      <c r="J401" s="13"/>
      <c r="K401" s="13"/>
      <c r="L401" s="82">
        <f>L353+L289+L233</f>
        <v>108158.05999999998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>
        <f>F289+F233</f>
        <v>42060.710281398613</v>
      </c>
      <c r="G402" s="10"/>
      <c r="H402" s="10"/>
      <c r="I402" s="10"/>
      <c r="J402" s="10"/>
      <c r="K402" s="10"/>
      <c r="L402" s="155">
        <f>L289+L233</f>
        <v>23704.659999999963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Novembre 2024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04" t="s">
        <v>117</v>
      </c>
      <c r="Y404" s="501"/>
      <c r="Z404" s="505"/>
      <c r="AA404" s="500"/>
      <c r="AB404" s="501"/>
      <c r="AC404" s="505"/>
      <c r="AD404" s="500" t="s">
        <v>7</v>
      </c>
      <c r="AE404" s="501"/>
      <c r="AF404" s="505"/>
      <c r="AG404" s="500" t="s">
        <v>213</v>
      </c>
      <c r="AH404" s="501"/>
      <c r="AI404" s="505"/>
      <c r="AJ404" s="500" t="s">
        <v>118</v>
      </c>
      <c r="AK404" s="501"/>
      <c r="AL404" s="501"/>
      <c r="AM404" s="500" t="s">
        <v>119</v>
      </c>
      <c r="AN404" s="501"/>
      <c r="AO404" s="502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55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55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3573970.449556808</v>
      </c>
      <c r="AA406" s="263"/>
      <c r="AB406" s="263"/>
      <c r="AC406" s="264"/>
      <c r="AD406" s="265"/>
      <c r="AE406" s="266"/>
      <c r="AF406" s="266">
        <f>L5+L93+K194+K250+J314+J362</f>
        <v>4910909.9400000004</v>
      </c>
      <c r="AG406" s="265"/>
      <c r="AH406" s="266"/>
      <c r="AI406" s="267"/>
      <c r="AJ406" s="265"/>
      <c r="AK406" s="266"/>
      <c r="AL406" s="266">
        <f>Q5+Q93+P194+P250+O314+O362</f>
        <v>11998554.869999999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55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462823.48432489584</v>
      </c>
      <c r="AA407" s="271"/>
      <c r="AB407" s="271"/>
      <c r="AC407" s="272"/>
      <c r="AD407" s="273"/>
      <c r="AE407" s="274"/>
      <c r="AF407" s="274">
        <f>L27+L108+L194+L250+L314+L362</f>
        <v>495524.12999999989</v>
      </c>
      <c r="AG407" s="273"/>
      <c r="AH407" s="274">
        <f>AF407-Z407</f>
        <v>32700.645675104053</v>
      </c>
      <c r="AI407" s="275">
        <f>AH407/Z407</f>
        <v>7.0654681066591341E-2</v>
      </c>
      <c r="AJ407" s="273">
        <f>+AL407/AL406</f>
        <v>3.5064891110507541E-2</v>
      </c>
      <c r="AK407" s="274"/>
      <c r="AL407" s="274">
        <f>Q27+Q108+Q194+Q250+Q314+Q362</f>
        <v>420728.0199999999</v>
      </c>
      <c r="AM407" s="276"/>
      <c r="AN407" s="274">
        <f>AF407-AL407</f>
        <v>74796.109999999986</v>
      </c>
      <c r="AO407" s="277">
        <f>IF(AL407=0,0,AN407/AL407)</f>
        <v>0.17777781950439148</v>
      </c>
      <c r="AP407" s="246"/>
      <c r="AQ407" s="246" t="s">
        <v>221</v>
      </c>
      <c r="AR407" s="310">
        <v>504263</v>
      </c>
      <c r="AS407" s="310">
        <f>AF407-AR407</f>
        <v>-8738.8700000001118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55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55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56">Z409/(D$13+D$97)</f>
        <v>1284.4510188230543</v>
      </c>
      <c r="Z409" s="280">
        <f t="shared" ref="Z409:Z415" si="57">+SUMIF($C:$C,$V409,F:F)</f>
        <v>41102.432602337736</v>
      </c>
      <c r="AA409" s="279"/>
      <c r="AB409" s="287"/>
      <c r="AC409" s="280"/>
      <c r="AD409" s="288"/>
      <c r="AE409" s="287">
        <f t="shared" ref="AE409:AE414" si="58">IF(AF409=0,0,AF409/(J$13+J$97))</f>
        <v>1334.7641025641026</v>
      </c>
      <c r="AF409" s="280">
        <f t="shared" ref="AF409:AF415" si="59">+SUMIF($C:$C,$V409,L:L)</f>
        <v>52055.8</v>
      </c>
      <c r="AG409" s="281">
        <f t="shared" ref="AG409:AH424" si="60">AE409-Y409</f>
        <v>50.313083741048331</v>
      </c>
      <c r="AH409" s="282">
        <f t="shared" si="60"/>
        <v>10953.367397662267</v>
      </c>
      <c r="AI409" s="283">
        <f t="shared" ref="AI409:AI418" si="61">IF(Z409=0,0,AH409/Z409)</f>
        <v>0.26648951665793341</v>
      </c>
      <c r="AJ409" s="288"/>
      <c r="AK409" s="282">
        <f t="shared" ref="AK409:AK418" si="62">AL409/(O$13+O$97)</f>
        <v>1145.6115789473686</v>
      </c>
      <c r="AL409" s="280">
        <f t="shared" ref="AL409:AL414" si="63">+SUMIF($C:$C,$V409,Q:Q)</f>
        <v>43533.240000000005</v>
      </c>
      <c r="AM409" s="284">
        <f t="shared" ref="AM409:AM414" si="64">AE409-Y409</f>
        <v>50.313083741048331</v>
      </c>
      <c r="AN409" s="282">
        <f t="shared" ref="AN409:AN414" si="65">AF409-AL409</f>
        <v>8522.5599999999977</v>
      </c>
      <c r="AO409" s="289">
        <f t="shared" ref="AO409:AO431" si="66">IF(AL409=0,0,AN409/AL409)</f>
        <v>0.19577132324632848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55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56"/>
        <v>430.46875</v>
      </c>
      <c r="Z410" s="264">
        <f t="shared" si="57"/>
        <v>13775</v>
      </c>
      <c r="AA410" s="263"/>
      <c r="AB410" s="291"/>
      <c r="AC410" s="264"/>
      <c r="AD410" s="292"/>
      <c r="AE410" s="291">
        <f t="shared" si="58"/>
        <v>832.63256410256406</v>
      </c>
      <c r="AF410" s="264">
        <f t="shared" si="59"/>
        <v>32472.67</v>
      </c>
      <c r="AG410" s="265">
        <f t="shared" si="60"/>
        <v>402.16381410256406</v>
      </c>
      <c r="AH410" s="266">
        <f t="shared" si="60"/>
        <v>18697.669999999998</v>
      </c>
      <c r="AI410" s="293">
        <f t="shared" si="61"/>
        <v>1.3573626134301269</v>
      </c>
      <c r="AJ410" s="292"/>
      <c r="AK410" s="266">
        <f t="shared" si="62"/>
        <v>314.48578947368424</v>
      </c>
      <c r="AL410" s="264">
        <f t="shared" si="63"/>
        <v>11950.460000000001</v>
      </c>
      <c r="AM410" s="268">
        <f t="shared" si="64"/>
        <v>402.16381410256406</v>
      </c>
      <c r="AN410" s="266">
        <f t="shared" si="65"/>
        <v>20522.21</v>
      </c>
      <c r="AO410" s="294">
        <f t="shared" si="66"/>
        <v>1.717273644696522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55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56"/>
        <v>110.625</v>
      </c>
      <c r="Z411" s="280">
        <f t="shared" si="57"/>
        <v>3540</v>
      </c>
      <c r="AA411" s="279"/>
      <c r="AB411" s="287"/>
      <c r="AC411" s="280"/>
      <c r="AD411" s="288"/>
      <c r="AE411" s="287">
        <f t="shared" si="58"/>
        <v>100.09282051282051</v>
      </c>
      <c r="AF411" s="280">
        <f t="shared" si="59"/>
        <v>3903.62</v>
      </c>
      <c r="AG411" s="281">
        <f t="shared" si="60"/>
        <v>-10.532179487179491</v>
      </c>
      <c r="AH411" s="282">
        <f t="shared" si="60"/>
        <v>363.61999999999989</v>
      </c>
      <c r="AI411" s="283">
        <f t="shared" si="61"/>
        <v>0.10271751412429375</v>
      </c>
      <c r="AJ411" s="288"/>
      <c r="AK411" s="282">
        <f t="shared" si="62"/>
        <v>99.11342105263158</v>
      </c>
      <c r="AL411" s="280">
        <f t="shared" si="63"/>
        <v>3766.31</v>
      </c>
      <c r="AM411" s="284">
        <f t="shared" si="64"/>
        <v>-10.532179487179491</v>
      </c>
      <c r="AN411" s="282">
        <f t="shared" si="65"/>
        <v>137.30999999999995</v>
      </c>
      <c r="AO411" s="289">
        <f t="shared" si="66"/>
        <v>3.6457434465033398E-2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55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56"/>
        <v>67.5</v>
      </c>
      <c r="Z412" s="280">
        <f t="shared" si="57"/>
        <v>2160</v>
      </c>
      <c r="AA412" s="279"/>
      <c r="AB412" s="287"/>
      <c r="AC412" s="280"/>
      <c r="AD412" s="288"/>
      <c r="AE412" s="287">
        <f t="shared" si="58"/>
        <v>100.06769230769231</v>
      </c>
      <c r="AF412" s="280">
        <f t="shared" si="59"/>
        <v>3902.6400000000003</v>
      </c>
      <c r="AG412" s="281">
        <f t="shared" si="60"/>
        <v>32.567692307692312</v>
      </c>
      <c r="AH412" s="282">
        <f t="shared" si="60"/>
        <v>1742.6400000000003</v>
      </c>
      <c r="AI412" s="283">
        <f t="shared" si="61"/>
        <v>0.80677777777777793</v>
      </c>
      <c r="AJ412" s="288"/>
      <c r="AK412" s="282">
        <f t="shared" si="62"/>
        <v>43.371842105263163</v>
      </c>
      <c r="AL412" s="280">
        <f t="shared" si="63"/>
        <v>1648.13</v>
      </c>
      <c r="AM412" s="284">
        <f t="shared" si="64"/>
        <v>32.567692307692312</v>
      </c>
      <c r="AN412" s="282">
        <f t="shared" si="65"/>
        <v>2254.5100000000002</v>
      </c>
      <c r="AO412" s="295">
        <f t="shared" si="66"/>
        <v>1.367920006310182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55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56"/>
        <v>90.625</v>
      </c>
      <c r="Z413" s="264">
        <f t="shared" si="57"/>
        <v>2900</v>
      </c>
      <c r="AA413" s="263"/>
      <c r="AB413" s="291"/>
      <c r="AC413" s="264"/>
      <c r="AD413" s="292"/>
      <c r="AE413" s="291">
        <f t="shared" si="58"/>
        <v>110.06410256410257</v>
      </c>
      <c r="AF413" s="264">
        <f t="shared" si="59"/>
        <v>4292.5</v>
      </c>
      <c r="AG413" s="265">
        <f t="shared" si="60"/>
        <v>19.439102564102569</v>
      </c>
      <c r="AH413" s="266">
        <f t="shared" si="60"/>
        <v>1392.5</v>
      </c>
      <c r="AI413" s="293">
        <f t="shared" si="61"/>
        <v>0.48017241379310344</v>
      </c>
      <c r="AJ413" s="292"/>
      <c r="AK413" s="266">
        <f t="shared" si="62"/>
        <v>80.133684210526312</v>
      </c>
      <c r="AL413" s="264">
        <f t="shared" si="63"/>
        <v>3045.08</v>
      </c>
      <c r="AM413" s="268">
        <f t="shared" si="64"/>
        <v>19.439102564102569</v>
      </c>
      <c r="AN413" s="266">
        <f t="shared" si="65"/>
        <v>1247.42</v>
      </c>
      <c r="AO413" s="294">
        <f t="shared" si="66"/>
        <v>0.40965097797102212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55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56"/>
        <v>530.25846354166674</v>
      </c>
      <c r="Z414" s="280">
        <f t="shared" si="57"/>
        <v>16968.270833333336</v>
      </c>
      <c r="AA414" s="283"/>
      <c r="AB414" s="287"/>
      <c r="AC414" s="280"/>
      <c r="AD414" s="288"/>
      <c r="AE414" s="287">
        <f t="shared" si="58"/>
        <v>501.10641025641019</v>
      </c>
      <c r="AF414" s="280">
        <f t="shared" si="59"/>
        <v>19543.149999999998</v>
      </c>
      <c r="AG414" s="281">
        <f t="shared" si="60"/>
        <v>-29.152053285256557</v>
      </c>
      <c r="AH414" s="282">
        <f t="shared" si="60"/>
        <v>2574.8791666666621</v>
      </c>
      <c r="AI414" s="283">
        <f t="shared" si="61"/>
        <v>0.1517467037129345</v>
      </c>
      <c r="AJ414" s="288"/>
      <c r="AK414" s="282">
        <f t="shared" si="62"/>
        <v>553.87210526315789</v>
      </c>
      <c r="AL414" s="280">
        <f t="shared" si="63"/>
        <v>21047.14</v>
      </c>
      <c r="AM414" s="284">
        <f t="shared" si="64"/>
        <v>-29.152053285256557</v>
      </c>
      <c r="AN414" s="282">
        <f t="shared" si="65"/>
        <v>-1503.9900000000016</v>
      </c>
      <c r="AO414" s="289">
        <f t="shared" si="66"/>
        <v>-7.1458164862304413E-2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55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56"/>
        <v>993.05572659746474</v>
      </c>
      <c r="Z415" s="280">
        <f t="shared" si="57"/>
        <v>31777.783251118872</v>
      </c>
      <c r="AA415" s="279"/>
      <c r="AB415" s="287"/>
      <c r="AC415" s="280"/>
      <c r="AD415" s="288"/>
      <c r="AE415" s="287">
        <f>IF(AF415=0,0,AF415/(J$13+J$13))</f>
        <v>600.53203124999993</v>
      </c>
      <c r="AF415" s="280">
        <f t="shared" si="59"/>
        <v>38434.049999999996</v>
      </c>
      <c r="AG415" s="281">
        <f t="shared" si="60"/>
        <v>-392.52369534746481</v>
      </c>
      <c r="AH415" s="282">
        <f t="shared" si="60"/>
        <v>6656.2667488811239</v>
      </c>
      <c r="AI415" s="283">
        <f t="shared" si="61"/>
        <v>0.20946290357263236</v>
      </c>
      <c r="AJ415" s="288"/>
      <c r="AK415" s="282">
        <f t="shared" si="62"/>
        <v>563.71236842105259</v>
      </c>
      <c r="AL415" s="280">
        <f>IFERROR(SUMIF($C:$C,$V415,Q:Q),0)</f>
        <v>21421.07</v>
      </c>
      <c r="AM415" s="284">
        <f>AE415-Y415</f>
        <v>-392.52369534746481</v>
      </c>
      <c r="AN415" s="282">
        <f>AF415-AL415</f>
        <v>17012.979999999996</v>
      </c>
      <c r="AO415" s="289">
        <f t="shared" si="66"/>
        <v>0.79421709559793219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55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56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60"/>
        <v>0</v>
      </c>
      <c r="AH416" s="282">
        <f t="shared" si="60"/>
        <v>0</v>
      </c>
      <c r="AI416" s="283">
        <f t="shared" si="61"/>
        <v>0</v>
      </c>
      <c r="AJ416" s="288"/>
      <c r="AK416" s="282">
        <f t="shared" si="62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66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55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56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60"/>
        <v>0</v>
      </c>
      <c r="AH417" s="282">
        <f t="shared" si="60"/>
        <v>0</v>
      </c>
      <c r="AI417" s="283">
        <f t="shared" si="61"/>
        <v>0</v>
      </c>
      <c r="AJ417" s="288"/>
      <c r="AK417" s="282">
        <f t="shared" si="62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66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55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56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60"/>
        <v>0</v>
      </c>
      <c r="AH418" s="282">
        <f t="shared" si="60"/>
        <v>0</v>
      </c>
      <c r="AI418" s="283">
        <f t="shared" si="61"/>
        <v>0</v>
      </c>
      <c r="AJ418" s="288"/>
      <c r="AK418" s="282">
        <f t="shared" si="62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66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55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0.2424757828580941</v>
      </c>
      <c r="Y419" s="297"/>
      <c r="Z419" s="299">
        <f>SUM(Z409:Z418)</f>
        <v>112223.48668678995</v>
      </c>
      <c r="AA419" s="298"/>
      <c r="AB419" s="297"/>
      <c r="AC419" s="299"/>
      <c r="AD419" s="300">
        <f>AF419/AF407</f>
        <v>0.31200181916468939</v>
      </c>
      <c r="AE419" s="297"/>
      <c r="AF419" s="299">
        <f>SUM(AF409:AF418)</f>
        <v>154604.43</v>
      </c>
      <c r="AG419" s="301"/>
      <c r="AH419" s="302">
        <f t="shared" si="60"/>
        <v>42380.943313210038</v>
      </c>
      <c r="AI419" s="298">
        <f>AH419/Z419</f>
        <v>0.37764771496980037</v>
      </c>
      <c r="AJ419" s="300">
        <f>IF($AL$407=0,0,AL419/$AL$407)</f>
        <v>0.25292213720398282</v>
      </c>
      <c r="AK419" s="297"/>
      <c r="AL419" s="299">
        <f>SUM(AL409:AL418)</f>
        <v>106411.43</v>
      </c>
      <c r="AM419" s="303"/>
      <c r="AN419" s="302">
        <f t="shared" ref="AN419:AN431" si="67">AF419-AL419</f>
        <v>48193</v>
      </c>
      <c r="AO419" s="277">
        <f t="shared" si="66"/>
        <v>0.45289307736960216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55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14595.678753180664</v>
      </c>
      <c r="AA420" s="279"/>
      <c r="AB420" s="279"/>
      <c r="AC420" s="280"/>
      <c r="AD420" s="288"/>
      <c r="AE420" s="287"/>
      <c r="AF420" s="280">
        <v>13343.380000000001</v>
      </c>
      <c r="AG420" s="281"/>
      <c r="AH420" s="282">
        <f t="shared" si="60"/>
        <v>-1252.298753180663</v>
      </c>
      <c r="AI420" s="283">
        <f t="shared" ref="AI420:AI432" si="68">IF(Z420=0,0,AH420/Z420)</f>
        <v>-8.5799281716019152E-2</v>
      </c>
      <c r="AJ420" s="288"/>
      <c r="AK420" s="279"/>
      <c r="AL420" s="280">
        <v>14238.35</v>
      </c>
      <c r="AM420" s="284"/>
      <c r="AN420" s="282">
        <f t="shared" si="67"/>
        <v>-894.96999999999935</v>
      </c>
      <c r="AO420" s="289">
        <f t="shared" si="66"/>
        <v>-6.2856300062858361E-2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55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69">+SUMIF($C:$C,$V421,F:F)</f>
        <v>31218.073791348601</v>
      </c>
      <c r="AA421" s="279"/>
      <c r="AB421" s="279"/>
      <c r="AC421" s="280"/>
      <c r="AD421" s="288"/>
      <c r="AE421" s="287"/>
      <c r="AF421" s="280">
        <f t="shared" ref="AF421:AF432" si="70">+SUMIF($C:$C,$V421,L:L)</f>
        <v>32577.440000000002</v>
      </c>
      <c r="AG421" s="281"/>
      <c r="AH421" s="282">
        <f t="shared" si="60"/>
        <v>1359.3662086514014</v>
      </c>
      <c r="AI421" s="283">
        <f t="shared" si="68"/>
        <v>4.3544205120948871E-2</v>
      </c>
      <c r="AJ421" s="288"/>
      <c r="AK421" s="279"/>
      <c r="AL421" s="280">
        <f t="shared" ref="AL421:AL429" si="71">+SUMIF($C:$C,$V421,Q:Q)</f>
        <v>29108.18</v>
      </c>
      <c r="AM421" s="284"/>
      <c r="AN421" s="282">
        <f t="shared" si="67"/>
        <v>3469.260000000002</v>
      </c>
      <c r="AO421" s="289">
        <f t="shared" si="66"/>
        <v>0.11918505382335831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55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69"/>
        <v>19075.495547073791</v>
      </c>
      <c r="AA422" s="263"/>
      <c r="AB422" s="263"/>
      <c r="AC422" s="264"/>
      <c r="AD422" s="292"/>
      <c r="AE422" s="291"/>
      <c r="AF422" s="264">
        <f t="shared" si="70"/>
        <v>23025.23</v>
      </c>
      <c r="AG422" s="265"/>
      <c r="AH422" s="266">
        <f t="shared" si="60"/>
        <v>3949.7344529262082</v>
      </c>
      <c r="AI422" s="293">
        <f t="shared" si="68"/>
        <v>0.20705802599881099</v>
      </c>
      <c r="AJ422" s="292"/>
      <c r="AK422" s="263"/>
      <c r="AL422" s="264">
        <f t="shared" si="71"/>
        <v>18747.400000000001</v>
      </c>
      <c r="AM422" s="268"/>
      <c r="AN422" s="266">
        <f t="shared" si="67"/>
        <v>4277.8299999999981</v>
      </c>
      <c r="AO422" s="269">
        <f t="shared" si="66"/>
        <v>0.22818257465035138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55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69"/>
        <v>25473.446564885497</v>
      </c>
      <c r="AA423" s="279"/>
      <c r="AB423" s="279"/>
      <c r="AC423" s="280"/>
      <c r="AD423" s="288"/>
      <c r="AE423" s="287"/>
      <c r="AF423" s="280">
        <f t="shared" si="70"/>
        <v>29715.16</v>
      </c>
      <c r="AG423" s="281"/>
      <c r="AH423" s="282">
        <f t="shared" si="60"/>
        <v>4241.7134351145032</v>
      </c>
      <c r="AI423" s="283">
        <f t="shared" si="68"/>
        <v>0.16651509737051437</v>
      </c>
      <c r="AJ423" s="288"/>
      <c r="AK423" s="279"/>
      <c r="AL423" s="280">
        <f t="shared" si="71"/>
        <v>26784.41</v>
      </c>
      <c r="AM423" s="284"/>
      <c r="AN423" s="282">
        <f t="shared" si="67"/>
        <v>2930.75</v>
      </c>
      <c r="AO423" s="289">
        <f t="shared" si="66"/>
        <v>0.10941999469094149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55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69"/>
        <v>13283.797831091724</v>
      </c>
      <c r="AA424" s="279"/>
      <c r="AB424" s="279"/>
      <c r="AC424" s="280"/>
      <c r="AD424" s="288"/>
      <c r="AE424" s="287"/>
      <c r="AF424" s="280">
        <f t="shared" si="70"/>
        <v>15341.02</v>
      </c>
      <c r="AG424" s="281"/>
      <c r="AH424" s="282">
        <f t="shared" si="60"/>
        <v>2057.2221689082762</v>
      </c>
      <c r="AI424" s="283">
        <f t="shared" si="68"/>
        <v>0.15486701883501972</v>
      </c>
      <c r="AJ424" s="288"/>
      <c r="AK424" s="279"/>
      <c r="AL424" s="280">
        <f t="shared" si="71"/>
        <v>13574.37</v>
      </c>
      <c r="AM424" s="284"/>
      <c r="AN424" s="282">
        <f t="shared" si="67"/>
        <v>1766.6499999999996</v>
      </c>
      <c r="AO424" s="289">
        <f t="shared" si="66"/>
        <v>0.13014600309259283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55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69"/>
        <v>0</v>
      </c>
      <c r="AA425" s="279"/>
      <c r="AB425" s="279"/>
      <c r="AC425" s="282"/>
      <c r="AD425" s="288"/>
      <c r="AE425" s="287"/>
      <c r="AF425" s="280">
        <f t="shared" si="70"/>
        <v>0</v>
      </c>
      <c r="AG425" s="281"/>
      <c r="AH425" s="282">
        <f t="shared" ref="AH425:AH451" si="72">AF425-Z425</f>
        <v>0</v>
      </c>
      <c r="AI425" s="283">
        <f t="shared" si="68"/>
        <v>0</v>
      </c>
      <c r="AJ425" s="288"/>
      <c r="AK425" s="279"/>
      <c r="AL425" s="280">
        <f t="shared" si="71"/>
        <v>0</v>
      </c>
      <c r="AM425" s="284"/>
      <c r="AN425" s="282">
        <f t="shared" si="67"/>
        <v>0</v>
      </c>
      <c r="AO425" s="289">
        <f t="shared" si="66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55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69"/>
        <v>0</v>
      </c>
      <c r="AA426" s="279"/>
      <c r="AB426" s="279"/>
      <c r="AC426" s="282"/>
      <c r="AD426" s="288"/>
      <c r="AE426" s="287"/>
      <c r="AF426" s="280">
        <f t="shared" si="70"/>
        <v>0</v>
      </c>
      <c r="AG426" s="281"/>
      <c r="AH426" s="282">
        <f t="shared" si="72"/>
        <v>0</v>
      </c>
      <c r="AI426" s="283">
        <f t="shared" si="68"/>
        <v>0</v>
      </c>
      <c r="AJ426" s="288"/>
      <c r="AK426" s="279"/>
      <c r="AL426" s="280">
        <f t="shared" si="71"/>
        <v>0</v>
      </c>
      <c r="AM426" s="284"/>
      <c r="AN426" s="282">
        <f t="shared" si="67"/>
        <v>0</v>
      </c>
      <c r="AO426" s="289">
        <f t="shared" si="66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55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69"/>
        <v>0</v>
      </c>
      <c r="AA427" s="279"/>
      <c r="AB427" s="279"/>
      <c r="AC427" s="282"/>
      <c r="AD427" s="288"/>
      <c r="AE427" s="287"/>
      <c r="AF427" s="280">
        <f t="shared" si="70"/>
        <v>0</v>
      </c>
      <c r="AG427" s="281"/>
      <c r="AH427" s="282">
        <f t="shared" si="72"/>
        <v>0</v>
      </c>
      <c r="AI427" s="283">
        <f t="shared" si="68"/>
        <v>0</v>
      </c>
      <c r="AJ427" s="288"/>
      <c r="AK427" s="279"/>
      <c r="AL427" s="280">
        <f t="shared" si="71"/>
        <v>0</v>
      </c>
      <c r="AM427" s="284"/>
      <c r="AN427" s="282">
        <f t="shared" si="67"/>
        <v>0</v>
      </c>
      <c r="AO427" s="289">
        <f t="shared" si="66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55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69"/>
        <v>18674.676692114695</v>
      </c>
      <c r="AA428" s="263"/>
      <c r="AB428" s="263"/>
      <c r="AC428" s="264"/>
      <c r="AD428" s="292"/>
      <c r="AE428" s="291"/>
      <c r="AF428" s="264">
        <f t="shared" si="70"/>
        <v>17886.45</v>
      </c>
      <c r="AG428" s="265"/>
      <c r="AH428" s="266">
        <f t="shared" si="72"/>
        <v>-788.22669211469474</v>
      </c>
      <c r="AI428" s="293">
        <f t="shared" si="68"/>
        <v>-4.220831798643776E-2</v>
      </c>
      <c r="AJ428" s="292"/>
      <c r="AK428" s="263"/>
      <c r="AL428" s="264">
        <f t="shared" si="71"/>
        <v>16189.77</v>
      </c>
      <c r="AM428" s="268"/>
      <c r="AN428" s="266">
        <f t="shared" si="67"/>
        <v>1696.6800000000003</v>
      </c>
      <c r="AO428" s="294">
        <f t="shared" si="66"/>
        <v>0.10479951228460938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55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69"/>
        <v>25898.653297179262</v>
      </c>
      <c r="AA429" s="279"/>
      <c r="AB429" s="279"/>
      <c r="AC429" s="280"/>
      <c r="AD429" s="288"/>
      <c r="AE429" s="287"/>
      <c r="AF429" s="280">
        <f t="shared" si="70"/>
        <v>22912.42</v>
      </c>
      <c r="AG429" s="281"/>
      <c r="AH429" s="282">
        <f t="shared" si="72"/>
        <v>-2986.2332971792639</v>
      </c>
      <c r="AI429" s="283">
        <f t="shared" si="68"/>
        <v>-0.11530457830811257</v>
      </c>
      <c r="AJ429" s="288"/>
      <c r="AK429" s="279"/>
      <c r="AL429" s="280">
        <f t="shared" si="71"/>
        <v>21924.579999999998</v>
      </c>
      <c r="AM429" s="284"/>
      <c r="AN429" s="282">
        <f t="shared" si="67"/>
        <v>987.84000000000015</v>
      </c>
      <c r="AO429" s="289">
        <f t="shared" si="66"/>
        <v>4.5056279299307E-2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55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69"/>
        <v>12257.377896374916</v>
      </c>
      <c r="AA430" s="279"/>
      <c r="AB430" s="279"/>
      <c r="AC430" s="280"/>
      <c r="AD430" s="288"/>
      <c r="AE430" s="287"/>
      <c r="AF430" s="280">
        <f t="shared" si="70"/>
        <v>7969.4400000000005</v>
      </c>
      <c r="AG430" s="281"/>
      <c r="AH430" s="282">
        <f t="shared" si="72"/>
        <v>-4287.937896374915</v>
      </c>
      <c r="AI430" s="283">
        <f t="shared" si="68"/>
        <v>-0.34982505496897998</v>
      </c>
      <c r="AJ430" s="288"/>
      <c r="AK430" s="279"/>
      <c r="AL430" s="280">
        <f>IFERROR(SUMIF($C:$C,$V430,Q:Q),0)</f>
        <v>12665.97</v>
      </c>
      <c r="AM430" s="284"/>
      <c r="AN430" s="282">
        <f t="shared" si="67"/>
        <v>-4696.5299999999988</v>
      </c>
      <c r="AO430" s="289">
        <f t="shared" si="66"/>
        <v>-0.37079907815982505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55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69"/>
        <v>2767.7950088588518</v>
      </c>
      <c r="AA431" s="279"/>
      <c r="AB431" s="279"/>
      <c r="AC431" s="280"/>
      <c r="AD431" s="288"/>
      <c r="AE431" s="287"/>
      <c r="AF431" s="280">
        <f t="shared" si="70"/>
        <v>1966.2600000000002</v>
      </c>
      <c r="AG431" s="281"/>
      <c r="AH431" s="282">
        <f t="shared" si="72"/>
        <v>-801.5350088588516</v>
      </c>
      <c r="AI431" s="306">
        <f t="shared" si="68"/>
        <v>-0.28959334282104965</v>
      </c>
      <c r="AJ431" s="288"/>
      <c r="AK431" s="279"/>
      <c r="AL431" s="280">
        <f>IFERROR(SUMIF($C:$C,$V431,Q:Q),0)</f>
        <v>1477.47</v>
      </c>
      <c r="AM431" s="284"/>
      <c r="AN431" s="282">
        <f t="shared" si="67"/>
        <v>488.79000000000019</v>
      </c>
      <c r="AO431" s="294">
        <f t="shared" si="66"/>
        <v>0.33082905236654564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55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70"/>
        <v>0</v>
      </c>
      <c r="AG432" s="281"/>
      <c r="AH432" s="282">
        <f t="shared" si="72"/>
        <v>0</v>
      </c>
      <c r="AI432" s="283">
        <f t="shared" si="68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55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0.35271545397102666</v>
      </c>
      <c r="Y433" s="297"/>
      <c r="Z433" s="299">
        <f>SUM(Z420:Z432)</f>
        <v>163244.99538210797</v>
      </c>
      <c r="AA433" s="298"/>
      <c r="AB433" s="297"/>
      <c r="AC433" s="299"/>
      <c r="AD433" s="300">
        <f>AF433/AF407</f>
        <v>0.33244960240382254</v>
      </c>
      <c r="AE433" s="307"/>
      <c r="AF433" s="299">
        <f>SUM(AF420:AF432)</f>
        <v>164736.80000000005</v>
      </c>
      <c r="AG433" s="308"/>
      <c r="AH433" s="302">
        <f t="shared" si="72"/>
        <v>1491.8046178920777</v>
      </c>
      <c r="AI433" s="298">
        <f>AH433/Z433</f>
        <v>9.1384401365579813E-3</v>
      </c>
      <c r="AJ433" s="300">
        <f>IF($AL$407=0,0,AL433/$AL$407)</f>
        <v>0.36772093287250046</v>
      </c>
      <c r="AK433" s="297"/>
      <c r="AL433" s="299">
        <f>SUM(AL420:AL432)</f>
        <v>154710.5</v>
      </c>
      <c r="AM433" s="309"/>
      <c r="AN433" s="302">
        <f t="shared" ref="AN433:AN447" si="73">AF433-AL433</f>
        <v>10026.300000000047</v>
      </c>
      <c r="AO433" s="277">
        <f>IF(AL433=0,0,AN433/AL433)</f>
        <v>6.4806848921049612E-2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55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74">+SUMIF($C:$C,$V434,F:F)</f>
        <v>9136.4808768017629</v>
      </c>
      <c r="AA434" s="312"/>
      <c r="AB434" s="312"/>
      <c r="AC434" s="313"/>
      <c r="AD434" s="314"/>
      <c r="AE434" s="315"/>
      <c r="AF434" s="313">
        <f t="shared" ref="AF434:AF451" si="75">+SUMIF($C:$C,$V434,L:L)</f>
        <v>15355.34</v>
      </c>
      <c r="AG434" s="314"/>
      <c r="AH434" s="316">
        <f t="shared" si="72"/>
        <v>6218.8591231982373</v>
      </c>
      <c r="AI434" s="317">
        <f t="shared" ref="AI434:AI451" si="76">IF(Z434=0,0,AH434/Z434)</f>
        <v>0.68066241335746736</v>
      </c>
      <c r="AJ434" s="314"/>
      <c r="AK434" s="312"/>
      <c r="AL434" s="313">
        <f t="shared" ref="AL434:AL448" si="77">+SUMIF($C:$C,$V434,Q:Q)</f>
        <v>13476.789999999999</v>
      </c>
      <c r="AM434" s="318"/>
      <c r="AN434" s="316">
        <f t="shared" si="73"/>
        <v>1878.5500000000011</v>
      </c>
      <c r="AO434" s="285">
        <f t="shared" ref="AO434:AO447" si="78">IF(AL434=0,0,AN434/AL434)</f>
        <v>0.13939150198229705</v>
      </c>
      <c r="AP434" s="246"/>
      <c r="AQ434" s="246">
        <f>27672-12317</f>
        <v>15355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55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74"/>
        <v>3965</v>
      </c>
      <c r="AA435" s="279"/>
      <c r="AB435" s="279"/>
      <c r="AC435" s="280"/>
      <c r="AD435" s="288"/>
      <c r="AE435" s="287"/>
      <c r="AF435" s="280">
        <f t="shared" si="75"/>
        <v>4650.79</v>
      </c>
      <c r="AG435" s="281"/>
      <c r="AH435" s="282">
        <f t="shared" si="72"/>
        <v>685.79</v>
      </c>
      <c r="AI435" s="283">
        <f t="shared" si="76"/>
        <v>0.17296090794451449</v>
      </c>
      <c r="AJ435" s="288"/>
      <c r="AK435" s="279"/>
      <c r="AL435" s="280">
        <f t="shared" si="77"/>
        <v>3462.6399999999903</v>
      </c>
      <c r="AM435" s="284"/>
      <c r="AN435" s="282">
        <f t="shared" si="73"/>
        <v>1188.1500000000096</v>
      </c>
      <c r="AO435" s="289">
        <f t="shared" si="78"/>
        <v>0.34313414042465085</v>
      </c>
      <c r="AP435" s="246"/>
      <c r="AQ435" s="246">
        <v>4651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55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74"/>
        <v>15303.333333333334</v>
      </c>
      <c r="AA436" s="263"/>
      <c r="AB436" s="263"/>
      <c r="AC436" s="264"/>
      <c r="AD436" s="292"/>
      <c r="AE436" s="291"/>
      <c r="AF436" s="264">
        <f t="shared" si="75"/>
        <v>26018.78</v>
      </c>
      <c r="AG436" s="265"/>
      <c r="AH436" s="266">
        <f t="shared" si="72"/>
        <v>10715.446666666665</v>
      </c>
      <c r="AI436" s="293">
        <f t="shared" si="76"/>
        <v>0.70020344151600944</v>
      </c>
      <c r="AJ436" s="292"/>
      <c r="AK436" s="263"/>
      <c r="AL436" s="264">
        <f t="shared" si="77"/>
        <v>16656.37</v>
      </c>
      <c r="AM436" s="268"/>
      <c r="AN436" s="266">
        <f t="shared" si="73"/>
        <v>9362.41</v>
      </c>
      <c r="AO436" s="269">
        <f t="shared" si="78"/>
        <v>0.56209186035132508</v>
      </c>
      <c r="AP436" s="246"/>
      <c r="AQ436" s="246">
        <v>26019</v>
      </c>
      <c r="AR436" s="485" t="s">
        <v>264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55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74"/>
        <v>14093</v>
      </c>
      <c r="AA437" s="279"/>
      <c r="AB437" s="279"/>
      <c r="AC437" s="280"/>
      <c r="AD437" s="288"/>
      <c r="AE437" s="287"/>
      <c r="AF437" s="280">
        <f t="shared" si="75"/>
        <v>13448.39</v>
      </c>
      <c r="AG437" s="281"/>
      <c r="AH437" s="282">
        <f>AF437-Z437</f>
        <v>-644.61000000000058</v>
      </c>
      <c r="AI437" s="283">
        <f t="shared" si="76"/>
        <v>-4.573972894344714E-2</v>
      </c>
      <c r="AJ437" s="288"/>
      <c r="AK437" s="279"/>
      <c r="AL437" s="280">
        <f t="shared" si="77"/>
        <v>14607.89</v>
      </c>
      <c r="AM437" s="284"/>
      <c r="AN437" s="282">
        <f t="shared" si="73"/>
        <v>-1159.5</v>
      </c>
      <c r="AO437" s="289">
        <f t="shared" si="78"/>
        <v>-7.9374913146251794E-2</v>
      </c>
      <c r="AP437" s="485"/>
      <c r="AQ437" s="246">
        <v>13448</v>
      </c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55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74"/>
        <v>1828</v>
      </c>
      <c r="AA438" s="279"/>
      <c r="AB438" s="279"/>
      <c r="AC438" s="280"/>
      <c r="AD438" s="288"/>
      <c r="AE438" s="287"/>
      <c r="AF438" s="280">
        <f t="shared" si="75"/>
        <v>1920.1400000000003</v>
      </c>
      <c r="AG438" s="281"/>
      <c r="AH438" s="282">
        <f t="shared" si="72"/>
        <v>92.140000000000327</v>
      </c>
      <c r="AI438" s="283">
        <f t="shared" si="76"/>
        <v>5.0404814004376547E-2</v>
      </c>
      <c r="AJ438" s="288"/>
      <c r="AK438" s="279"/>
      <c r="AL438" s="280">
        <f t="shared" si="77"/>
        <v>2480.77</v>
      </c>
      <c r="AM438" s="284"/>
      <c r="AN438" s="282">
        <f t="shared" si="73"/>
        <v>-560.62999999999965</v>
      </c>
      <c r="AO438" s="289">
        <f t="shared" si="78"/>
        <v>-0.22599031752238202</v>
      </c>
      <c r="AP438" s="485"/>
      <c r="AQ438" s="246">
        <v>1920</v>
      </c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55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74"/>
        <v>10966.000000000002</v>
      </c>
      <c r="AA439" s="279"/>
      <c r="AB439" s="279"/>
      <c r="AC439" s="280"/>
      <c r="AD439" s="288"/>
      <c r="AE439" s="287"/>
      <c r="AF439" s="280">
        <f t="shared" si="75"/>
        <v>14739.76</v>
      </c>
      <c r="AG439" s="281"/>
      <c r="AH439" s="282">
        <f t="shared" si="72"/>
        <v>3773.7599999999984</v>
      </c>
      <c r="AI439" s="283">
        <f t="shared" si="76"/>
        <v>0.34413277402881615</v>
      </c>
      <c r="AJ439" s="288"/>
      <c r="AK439" s="279"/>
      <c r="AL439" s="280">
        <f t="shared" si="77"/>
        <v>11928.33</v>
      </c>
      <c r="AM439" s="284"/>
      <c r="AN439" s="282">
        <f t="shared" si="73"/>
        <v>2811.4300000000003</v>
      </c>
      <c r="AO439" s="289">
        <f t="shared" si="78"/>
        <v>0.23569351283876286</v>
      </c>
      <c r="AP439" s="246"/>
      <c r="AQ439" s="246">
        <f>17115-2375</f>
        <v>14740</v>
      </c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74"/>
        <v>0</v>
      </c>
      <c r="AA440" s="320"/>
      <c r="AB440" s="320"/>
      <c r="AC440" s="321"/>
      <c r="AD440" s="322"/>
      <c r="AE440" s="323"/>
      <c r="AF440" s="321">
        <f t="shared" si="75"/>
        <v>0</v>
      </c>
      <c r="AG440" s="324"/>
      <c r="AH440" s="325">
        <f t="shared" si="72"/>
        <v>0</v>
      </c>
      <c r="AI440" s="326">
        <f t="shared" si="76"/>
        <v>0</v>
      </c>
      <c r="AJ440" s="322"/>
      <c r="AK440" s="320"/>
      <c r="AL440" s="321">
        <f t="shared" si="77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55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74"/>
        <v>1356.7558469170799</v>
      </c>
      <c r="AA441" s="279"/>
      <c r="AB441" s="287"/>
      <c r="AC441" s="280"/>
      <c r="AD441" s="288"/>
      <c r="AE441" s="287"/>
      <c r="AF441" s="280">
        <f t="shared" si="75"/>
        <v>612.36000000000013</v>
      </c>
      <c r="AG441" s="281"/>
      <c r="AH441" s="282">
        <f t="shared" si="72"/>
        <v>-744.39584691707978</v>
      </c>
      <c r="AI441" s="283">
        <f t="shared" si="76"/>
        <v>-0.54865866147439168</v>
      </c>
      <c r="AJ441" s="288"/>
      <c r="AK441" s="279"/>
      <c r="AL441" s="280">
        <f t="shared" si="77"/>
        <v>2371.11</v>
      </c>
      <c r="AM441" s="284"/>
      <c r="AN441" s="282">
        <f t="shared" si="73"/>
        <v>-1758.75</v>
      </c>
      <c r="AO441" s="289">
        <f t="shared" si="78"/>
        <v>-0.74174120981312541</v>
      </c>
      <c r="AP441" s="246"/>
      <c r="AQ441" s="246">
        <v>612</v>
      </c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55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74"/>
        <v>1003</v>
      </c>
      <c r="AA442" s="279"/>
      <c r="AB442" s="279"/>
      <c r="AC442" s="280"/>
      <c r="AD442" s="288"/>
      <c r="AE442" s="287"/>
      <c r="AF442" s="280">
        <f t="shared" si="75"/>
        <v>2026.62</v>
      </c>
      <c r="AG442" s="281"/>
      <c r="AH442" s="282">
        <f t="shared" si="72"/>
        <v>1023.6199999999999</v>
      </c>
      <c r="AI442" s="306">
        <f t="shared" si="76"/>
        <v>1.0205583250249251</v>
      </c>
      <c r="AJ442" s="288"/>
      <c r="AK442" s="279"/>
      <c r="AL442" s="280">
        <f t="shared" si="77"/>
        <v>710.75</v>
      </c>
      <c r="AM442" s="284"/>
      <c r="AN442" s="282">
        <f t="shared" si="73"/>
        <v>1315.87</v>
      </c>
      <c r="AO442" s="289">
        <f t="shared" si="78"/>
        <v>1.8513823425958493</v>
      </c>
      <c r="AP442" s="246"/>
      <c r="AQ442" s="246">
        <v>2027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55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74"/>
        <v>1750</v>
      </c>
      <c r="AA443" s="279"/>
      <c r="AB443" s="279"/>
      <c r="AC443" s="280"/>
      <c r="AD443" s="288"/>
      <c r="AE443" s="287"/>
      <c r="AF443" s="280">
        <f t="shared" si="75"/>
        <v>1644.41</v>
      </c>
      <c r="AG443" s="281"/>
      <c r="AH443" s="282">
        <f t="shared" si="72"/>
        <v>-105.58999999999992</v>
      </c>
      <c r="AI443" s="283">
        <f t="shared" si="76"/>
        <v>-6.0337142857142811E-2</v>
      </c>
      <c r="AJ443" s="288"/>
      <c r="AK443" s="279"/>
      <c r="AL443" s="280">
        <f t="shared" si="77"/>
        <v>1703.29</v>
      </c>
      <c r="AM443" s="284"/>
      <c r="AN443" s="282">
        <f t="shared" si="73"/>
        <v>-58.879999999999882</v>
      </c>
      <c r="AO443" s="289">
        <f t="shared" si="78"/>
        <v>-3.4568394107873518E-2</v>
      </c>
      <c r="AP443" s="246"/>
      <c r="AQ443" s="246">
        <f>1344+300</f>
        <v>1644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55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74"/>
        <v>512</v>
      </c>
      <c r="AA444" s="279"/>
      <c r="AB444" s="279"/>
      <c r="AC444" s="280"/>
      <c r="AD444" s="288"/>
      <c r="AE444" s="287"/>
      <c r="AF444" s="280">
        <f t="shared" si="75"/>
        <v>987.09</v>
      </c>
      <c r="AG444" s="281"/>
      <c r="AH444" s="282">
        <f t="shared" si="72"/>
        <v>475.09000000000003</v>
      </c>
      <c r="AI444" s="306">
        <f t="shared" si="76"/>
        <v>0.92791015625000006</v>
      </c>
      <c r="AJ444" s="288"/>
      <c r="AK444" s="279"/>
      <c r="AL444" s="280">
        <f t="shared" si="77"/>
        <v>496.31999999999994</v>
      </c>
      <c r="AM444" s="284"/>
      <c r="AN444" s="282">
        <f t="shared" si="73"/>
        <v>490.7700000000001</v>
      </c>
      <c r="AO444" s="289">
        <f t="shared" si="78"/>
        <v>0.98881769825918797</v>
      </c>
      <c r="AP444" s="246"/>
      <c r="AQ444" s="246">
        <v>987</v>
      </c>
      <c r="AR444" s="246" t="s">
        <v>265</v>
      </c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55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74"/>
        <v>875</v>
      </c>
      <c r="AA445" s="279"/>
      <c r="AB445" s="279"/>
      <c r="AC445" s="280"/>
      <c r="AD445" s="288"/>
      <c r="AE445" s="287"/>
      <c r="AF445" s="280">
        <f t="shared" si="75"/>
        <v>933.29</v>
      </c>
      <c r="AG445" s="281"/>
      <c r="AH445" s="282">
        <f t="shared" si="72"/>
        <v>58.289999999999964</v>
      </c>
      <c r="AI445" s="283">
        <f t="shared" si="76"/>
        <v>6.6617142857142819E-2</v>
      </c>
      <c r="AJ445" s="288"/>
      <c r="AK445" s="279"/>
      <c r="AL445" s="280">
        <f t="shared" si="77"/>
        <v>1253.58</v>
      </c>
      <c r="AM445" s="284"/>
      <c r="AN445" s="282">
        <f t="shared" si="73"/>
        <v>-320.28999999999996</v>
      </c>
      <c r="AO445" s="289">
        <f t="shared" si="78"/>
        <v>-0.25550024729175641</v>
      </c>
      <c r="AP445" s="246"/>
      <c r="AQ445" s="246">
        <v>933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55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74"/>
        <v>1858</v>
      </c>
      <c r="AA446" s="279"/>
      <c r="AB446" s="287"/>
      <c r="AC446" s="280"/>
      <c r="AD446" s="288"/>
      <c r="AE446" s="287"/>
      <c r="AF446" s="280">
        <f t="shared" si="75"/>
        <v>1643.9999999999998</v>
      </c>
      <c r="AG446" s="281"/>
      <c r="AH446" s="282">
        <f t="shared" si="72"/>
        <v>-214.00000000000023</v>
      </c>
      <c r="AI446" s="306">
        <f t="shared" si="76"/>
        <v>-0.11517761033369227</v>
      </c>
      <c r="AJ446" s="288"/>
      <c r="AK446" s="279"/>
      <c r="AL446" s="280">
        <f t="shared" si="77"/>
        <v>1670.99</v>
      </c>
      <c r="AM446" s="284"/>
      <c r="AN446" s="282">
        <f t="shared" si="73"/>
        <v>-26.990000000000236</v>
      </c>
      <c r="AO446" s="289">
        <f t="shared" si="78"/>
        <v>-1.6152101448841848E-2</v>
      </c>
      <c r="AP446" s="246"/>
      <c r="AQ446" s="246">
        <v>1446</v>
      </c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55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74"/>
        <v>2609.9010666666663</v>
      </c>
      <c r="AA447" s="279"/>
      <c r="AB447" s="287"/>
      <c r="AC447" s="280"/>
      <c r="AD447" s="288"/>
      <c r="AE447" s="287"/>
      <c r="AF447" s="280">
        <f t="shared" si="75"/>
        <v>2468.7299999999996</v>
      </c>
      <c r="AG447" s="281"/>
      <c r="AH447" s="282">
        <f t="shared" si="72"/>
        <v>-141.17106666666677</v>
      </c>
      <c r="AI447" s="283">
        <f t="shared" si="76"/>
        <v>-5.4090581620003221E-2</v>
      </c>
      <c r="AJ447" s="288"/>
      <c r="AK447" s="279"/>
      <c r="AL447" s="280">
        <f t="shared" si="77"/>
        <v>3247.26</v>
      </c>
      <c r="AM447" s="284"/>
      <c r="AN447" s="282">
        <f t="shared" si="73"/>
        <v>-778.53000000000065</v>
      </c>
      <c r="AO447" s="289">
        <f t="shared" si="78"/>
        <v>-0.2397498198481183</v>
      </c>
      <c r="AP447" s="246"/>
      <c r="AQ447" s="246">
        <v>2469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55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1.5100000000000001E-3</v>
      </c>
      <c r="Z448" s="280">
        <f t="shared" si="74"/>
        <v>5396.6953788307801</v>
      </c>
      <c r="AA448" s="279"/>
      <c r="AB448" s="287"/>
      <c r="AC448" s="280"/>
      <c r="AD448" s="288"/>
      <c r="AE448" s="287"/>
      <c r="AF448" s="280">
        <f t="shared" si="75"/>
        <v>10642.349999999999</v>
      </c>
      <c r="AG448" s="281"/>
      <c r="AH448" s="282">
        <f t="shared" si="72"/>
        <v>5245.6546211692184</v>
      </c>
      <c r="AI448" s="283">
        <f t="shared" si="76"/>
        <v>0.97201236181422468</v>
      </c>
      <c r="AJ448" s="288"/>
      <c r="AK448" s="279"/>
      <c r="AL448" s="280">
        <f t="shared" si="77"/>
        <v>7798.8599999999988</v>
      </c>
      <c r="AM448" s="284"/>
      <c r="AN448" s="282">
        <f>AF448-AL448</f>
        <v>2843.49</v>
      </c>
      <c r="AO448" s="289">
        <f>IF(AL448=0,0,AN448/AL448)</f>
        <v>0.36460328817288684</v>
      </c>
      <c r="AP448" s="246"/>
      <c r="AQ448" s="246">
        <v>10642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55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75"/>
        <v>0</v>
      </c>
      <c r="AG449" s="281"/>
      <c r="AH449" s="282">
        <f t="shared" si="72"/>
        <v>0</v>
      </c>
      <c r="AI449" s="283">
        <f t="shared" si="76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55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75"/>
        <v>0</v>
      </c>
      <c r="AG450" s="281"/>
      <c r="AH450" s="282">
        <f t="shared" si="72"/>
        <v>0</v>
      </c>
      <c r="AI450" s="283">
        <f t="shared" si="76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55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75"/>
        <v>0</v>
      </c>
      <c r="AG451" s="281"/>
      <c r="AH451" s="282">
        <f t="shared" si="72"/>
        <v>0</v>
      </c>
      <c r="AI451" s="283">
        <f t="shared" si="76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55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0.15265683115801457</v>
      </c>
      <c r="Y452" s="297"/>
      <c r="Z452" s="299">
        <f>+SUM(Z434:Z451)</f>
        <v>70653.166502549619</v>
      </c>
      <c r="AA452" s="298"/>
      <c r="AB452" s="297"/>
      <c r="AC452" s="299"/>
      <c r="AD452" s="300">
        <f>AF452/AF407</f>
        <v>0.19593808680921354</v>
      </c>
      <c r="AE452" s="297"/>
      <c r="AF452" s="299">
        <f>+SUM(AF434:AF451)</f>
        <v>97092.049999999988</v>
      </c>
      <c r="AG452" s="308"/>
      <c r="AH452" s="302">
        <f>+SUM(AH434:AH451)</f>
        <v>26438.883497450373</v>
      </c>
      <c r="AI452" s="298">
        <f>AH452/Z452</f>
        <v>0.37420663228867868</v>
      </c>
      <c r="AJ452" s="300">
        <f>IF($AL$407=0,0,AL452/$AL$407)</f>
        <v>0.19457926762282202</v>
      </c>
      <c r="AK452" s="298"/>
      <c r="AL452" s="299">
        <f>+SUM(AL434:AL451)</f>
        <v>81864.95</v>
      </c>
      <c r="AM452" s="309"/>
      <c r="AN452" s="302">
        <f>+SUM(AN434:AN451)</f>
        <v>15227.100000000015</v>
      </c>
      <c r="AO452" s="331">
        <f>IF(AL452=0,0,AN452/AL452)</f>
        <v>0.18600267880210047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55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79">AF453-Z453</f>
        <v>0</v>
      </c>
      <c r="AI453" s="283">
        <f t="shared" ref="AI453:AI461" si="80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81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55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5872.14</v>
      </c>
      <c r="AA454" s="279"/>
      <c r="AB454" s="287"/>
      <c r="AC454" s="280"/>
      <c r="AD454" s="288"/>
      <c r="AE454" s="287"/>
      <c r="AF454" s="280">
        <v>5535.51</v>
      </c>
      <c r="AG454" s="281"/>
      <c r="AH454" s="282">
        <f t="shared" si="79"/>
        <v>-336.63000000000011</v>
      </c>
      <c r="AI454" s="283">
        <f t="shared" si="80"/>
        <v>-5.7326630495866941E-2</v>
      </c>
      <c r="AJ454" s="288"/>
      <c r="AK454" s="279"/>
      <c r="AL454" s="280">
        <v>5619.66</v>
      </c>
      <c r="AM454" s="284"/>
      <c r="AN454" s="282">
        <f t="shared" ref="AN454:AN461" si="82">AF454-AL454</f>
        <v>-84.149999999999636</v>
      </c>
      <c r="AO454" s="289">
        <f t="shared" si="81"/>
        <v>-1.4974215521935426E-2</v>
      </c>
      <c r="AP454" s="246"/>
      <c r="AQ454" s="486">
        <v>5536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55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2516.63</v>
      </c>
      <c r="AA455" s="263"/>
      <c r="AB455" s="291"/>
      <c r="AC455" s="264"/>
      <c r="AD455" s="292"/>
      <c r="AE455" s="291"/>
      <c r="AF455" s="264">
        <v>2372.3599999999997</v>
      </c>
      <c r="AG455" s="265"/>
      <c r="AH455" s="266">
        <f t="shared" si="79"/>
        <v>-144.27000000000044</v>
      </c>
      <c r="AI455" s="293">
        <f t="shared" si="80"/>
        <v>-5.7326663037474891E-2</v>
      </c>
      <c r="AJ455" s="292"/>
      <c r="AK455" s="263"/>
      <c r="AL455" s="264">
        <v>2408.4299999999998</v>
      </c>
      <c r="AM455" s="268"/>
      <c r="AN455" s="266">
        <f t="shared" si="82"/>
        <v>-36.070000000000164</v>
      </c>
      <c r="AO455" s="269">
        <f t="shared" si="81"/>
        <v>-1.4976561494417595E-2</v>
      </c>
      <c r="AP455" s="246"/>
      <c r="AQ455" s="486">
        <v>2372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55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79"/>
        <v>0</v>
      </c>
      <c r="AI456" s="283">
        <f t="shared" si="80"/>
        <v>0</v>
      </c>
      <c r="AJ456" s="288"/>
      <c r="AK456" s="279"/>
      <c r="AL456" s="280">
        <v>0</v>
      </c>
      <c r="AM456" s="284"/>
      <c r="AN456" s="282">
        <f t="shared" si="82"/>
        <v>0</v>
      </c>
      <c r="AO456" s="289">
        <f t="shared" si="81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55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4349.75</v>
      </c>
      <c r="AA457" s="263"/>
      <c r="AB457" s="291"/>
      <c r="AC457" s="264"/>
      <c r="AD457" s="292"/>
      <c r="AE457" s="291"/>
      <c r="AF457" s="264">
        <v>4349.75</v>
      </c>
      <c r="AG457" s="265"/>
      <c r="AH457" s="266">
        <f t="shared" si="79"/>
        <v>0</v>
      </c>
      <c r="AI457" s="293">
        <f t="shared" si="80"/>
        <v>0</v>
      </c>
      <c r="AJ457" s="292"/>
      <c r="AK457" s="263"/>
      <c r="AL457" s="264">
        <v>4772</v>
      </c>
      <c r="AM457" s="268"/>
      <c r="AN457" s="266">
        <f t="shared" si="82"/>
        <v>-422.25</v>
      </c>
      <c r="AO457" s="269">
        <f t="shared" si="81"/>
        <v>-8.8484911986588435E-2</v>
      </c>
      <c r="AP457" s="246"/>
      <c r="AQ457" s="486">
        <f>4350</f>
        <v>4350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55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4600</v>
      </c>
      <c r="AA458" s="332"/>
      <c r="AB458" s="333"/>
      <c r="AC458" s="280"/>
      <c r="AD458" s="288"/>
      <c r="AE458" s="287"/>
      <c r="AF458" s="280">
        <v>4522.5</v>
      </c>
      <c r="AG458" s="281"/>
      <c r="AH458" s="282">
        <f t="shared" si="79"/>
        <v>-77.5</v>
      </c>
      <c r="AI458" s="283">
        <f t="shared" si="80"/>
        <v>-1.6847826086956522E-2</v>
      </c>
      <c r="AJ458" s="288"/>
      <c r="AK458" s="279"/>
      <c r="AL458" s="280">
        <v>4462.62</v>
      </c>
      <c r="AM458" s="284"/>
      <c r="AN458" s="282">
        <f t="shared" si="82"/>
        <v>59.880000000000109</v>
      </c>
      <c r="AO458" s="289">
        <f t="shared" si="81"/>
        <v>1.341812657138634E-2</v>
      </c>
      <c r="AP458" s="246"/>
      <c r="AQ458" s="246">
        <f>3523+1000</f>
        <v>4523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55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6643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79"/>
        <v>-335.67000000000007</v>
      </c>
      <c r="AI459" s="283">
        <f t="shared" si="80"/>
        <v>-5.0529881077826293E-2</v>
      </c>
      <c r="AJ459" s="288"/>
      <c r="AK459" s="279"/>
      <c r="AL459" s="280">
        <v>6402.47</v>
      </c>
      <c r="AM459" s="284"/>
      <c r="AN459" s="282">
        <f t="shared" si="82"/>
        <v>-95.140000000000327</v>
      </c>
      <c r="AO459" s="289">
        <f t="shared" si="81"/>
        <v>-1.4859890011198853E-2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55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500</v>
      </c>
      <c r="AA460" s="263"/>
      <c r="AB460" s="291"/>
      <c r="AC460" s="264"/>
      <c r="AD460" s="292"/>
      <c r="AE460" s="291"/>
      <c r="AF460" s="264">
        <v>371.68</v>
      </c>
      <c r="AG460" s="265"/>
      <c r="AH460" s="266">
        <f t="shared" si="79"/>
        <v>-128.32</v>
      </c>
      <c r="AI460" s="293">
        <f t="shared" si="80"/>
        <v>-0.25663999999999998</v>
      </c>
      <c r="AJ460" s="292"/>
      <c r="AK460" s="263"/>
      <c r="AL460" s="264">
        <v>0</v>
      </c>
      <c r="AM460" s="268"/>
      <c r="AN460" s="266">
        <f t="shared" si="82"/>
        <v>371.68</v>
      </c>
      <c r="AO460" s="269">
        <f t="shared" si="81"/>
        <v>0</v>
      </c>
      <c r="AP460" s="246"/>
      <c r="AQ460" s="246">
        <f>1122-750</f>
        <v>372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55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275</v>
      </c>
      <c r="AA461" s="279"/>
      <c r="AB461" s="287"/>
      <c r="AC461" s="280"/>
      <c r="AD461" s="288"/>
      <c r="AE461" s="287"/>
      <c r="AF461" s="280">
        <v>618.86</v>
      </c>
      <c r="AG461" s="281"/>
      <c r="AH461" s="282">
        <f t="shared" si="79"/>
        <v>343.86</v>
      </c>
      <c r="AI461" s="335">
        <f t="shared" si="80"/>
        <v>1.2504</v>
      </c>
      <c r="AJ461" s="279"/>
      <c r="AK461" s="279"/>
      <c r="AL461" s="280">
        <v>667.479999999999</v>
      </c>
      <c r="AM461" s="284"/>
      <c r="AN461" s="282">
        <f t="shared" si="82"/>
        <v>-48.619999999998981</v>
      </c>
      <c r="AO461" s="289">
        <f t="shared" si="81"/>
        <v>-7.2841133816742162E-2</v>
      </c>
      <c r="AP461" s="246"/>
      <c r="AQ461" s="246">
        <v>619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55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55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55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55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55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0.16152274578081247</v>
      </c>
      <c r="Y466" s="297"/>
      <c r="Z466" s="299">
        <f>SUM(Z453:Z465)</f>
        <v>74756.51999999999</v>
      </c>
      <c r="AA466" s="298"/>
      <c r="AB466" s="297"/>
      <c r="AC466" s="299"/>
      <c r="AD466" s="300">
        <f>AF466/AF407</f>
        <v>0.1494942133292278</v>
      </c>
      <c r="AE466" s="297"/>
      <c r="AF466" s="299">
        <f>SUM(AF453:AF465)</f>
        <v>74077.989999999991</v>
      </c>
      <c r="AG466" s="308"/>
      <c r="AH466" s="302">
        <f>SUM(AH453:AH465)</f>
        <v>-678.53000000000054</v>
      </c>
      <c r="AI466" s="298">
        <f>IF(Z466=0,0,AH466/Z466)</f>
        <v>-9.0765327224969893E-3</v>
      </c>
      <c r="AJ466" s="300">
        <f>IF($AL$407=0,0,AL466/$AL$407)</f>
        <v>0.17667627651707157</v>
      </c>
      <c r="AK466" s="298"/>
      <c r="AL466" s="299">
        <f>SUM(AL453:AL465)</f>
        <v>74332.66</v>
      </c>
      <c r="AM466" s="309"/>
      <c r="AN466" s="302">
        <f>SUM(AN453:AN465)</f>
        <v>-254.66999999999899</v>
      </c>
      <c r="AO466" s="331">
        <f t="shared" ref="AO466:AO483" si="83">IF(AL466=0,0,AN466/AL466)</f>
        <v>-3.4260848461497139E-3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55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84">AF467-Z467</f>
        <v>0</v>
      </c>
      <c r="AI467" s="283"/>
      <c r="AJ467" s="288"/>
      <c r="AK467" s="279"/>
      <c r="AL467" s="336"/>
      <c r="AM467" s="337"/>
      <c r="AN467" s="282">
        <f t="shared" ref="AN467:AN483" si="85">AF467-AL467</f>
        <v>0</v>
      </c>
      <c r="AO467" s="338">
        <f t="shared" si="83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55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0.90937081376794759</v>
      </c>
      <c r="Y468" s="297"/>
      <c r="Z468" s="299">
        <f>Z419+Z433+Z452+Z466</f>
        <v>420878.16857144749</v>
      </c>
      <c r="AA468" s="298"/>
      <c r="AB468" s="297"/>
      <c r="AC468" s="299"/>
      <c r="AD468" s="300">
        <f>AF468/AF407</f>
        <v>0.98988372170695327</v>
      </c>
      <c r="AE468" s="297"/>
      <c r="AF468" s="299">
        <f>AF419+AF433+AF452+AF466</f>
        <v>490511.27</v>
      </c>
      <c r="AG468" s="308"/>
      <c r="AH468" s="302">
        <f t="shared" si="84"/>
        <v>69633.101428552531</v>
      </c>
      <c r="AI468" s="298">
        <f>AH468/Z468</f>
        <v>0.16544716886813707</v>
      </c>
      <c r="AJ468" s="300">
        <f>IF($AL$407=0,0,AL468/$AL$407)</f>
        <v>0.99189861421637693</v>
      </c>
      <c r="AK468" s="298"/>
      <c r="AL468" s="299">
        <f>AL419+AL433+AL452+AL466</f>
        <v>417319.54000000004</v>
      </c>
      <c r="AM468" s="309"/>
      <c r="AN468" s="302">
        <f t="shared" si="85"/>
        <v>73191.729999999981</v>
      </c>
      <c r="AO468" s="277">
        <f t="shared" si="83"/>
        <v>0.17538534141008585</v>
      </c>
      <c r="AP468" s="310">
        <f>AF468+AF491+AF492+AF493+AF494+AF495+AF496</f>
        <v>508473.35000000003</v>
      </c>
      <c r="AQ468" s="246" t="s">
        <v>221</v>
      </c>
      <c r="AR468" s="246">
        <f>397160+46479</f>
        <v>443639</v>
      </c>
      <c r="AS468" s="310">
        <f>AP468-AR468</f>
        <v>64834.350000000035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55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900</v>
      </c>
      <c r="AA469" s="339"/>
      <c r="AB469" s="340"/>
      <c r="AC469" s="313"/>
      <c r="AD469" s="341"/>
      <c r="AE469" s="340"/>
      <c r="AF469" s="280">
        <v>2213.87</v>
      </c>
      <c r="AG469" s="342"/>
      <c r="AH469" s="282">
        <f t="shared" si="84"/>
        <v>1313.87</v>
      </c>
      <c r="AI469" s="335">
        <f>IF(AH469=0,0,AH469/Z469)</f>
        <v>1.4598555555555555</v>
      </c>
      <c r="AJ469" s="341"/>
      <c r="AK469" s="339"/>
      <c r="AL469" s="343">
        <v>3408.08</v>
      </c>
      <c r="AM469" s="344"/>
      <c r="AN469" s="282">
        <f t="shared" si="85"/>
        <v>-1194.21</v>
      </c>
      <c r="AO469" s="289">
        <f t="shared" si="83"/>
        <v>-0.35040550691298328</v>
      </c>
      <c r="AP469" s="246"/>
      <c r="AQ469" s="246">
        <v>2214</v>
      </c>
      <c r="AR469" s="246" t="s">
        <v>266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55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86">+SUMIF($C:$C,$V470,F:F)</f>
        <v>33281.009230769239</v>
      </c>
      <c r="AA470" s="332"/>
      <c r="AB470" s="333"/>
      <c r="AC470" s="280"/>
      <c r="AD470" s="345"/>
      <c r="AE470" s="333"/>
      <c r="AF470" s="280">
        <f t="shared" ref="AF470:AF476" si="87">+SUMIF($C:$C,$V470,L:L)</f>
        <v>76456</v>
      </c>
      <c r="AG470" s="346"/>
      <c r="AH470" s="282">
        <f t="shared" si="84"/>
        <v>43174.990769230761</v>
      </c>
      <c r="AI470" s="306">
        <f>IF(Z470=0,0,AH470/Z470)</f>
        <v>1.2972861030101892</v>
      </c>
      <c r="AJ470" s="345"/>
      <c r="AK470" s="332"/>
      <c r="AL470" s="347">
        <f t="shared" ref="AL470:AL479" si="88">+SUMIF($C:$C,$V470,Q:Q)</f>
        <v>28951</v>
      </c>
      <c r="AM470" s="348"/>
      <c r="AN470" s="282">
        <f t="shared" si="85"/>
        <v>47505</v>
      </c>
      <c r="AO470" s="289">
        <f t="shared" si="83"/>
        <v>1.6408759628337535</v>
      </c>
      <c r="AP470" s="246"/>
      <c r="AQ470" s="246">
        <v>76456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55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 t="shared" si="86"/>
        <v>29120.883076923088</v>
      </c>
      <c r="AA471" s="332"/>
      <c r="AB471" s="333"/>
      <c r="AC471" s="280"/>
      <c r="AD471" s="345"/>
      <c r="AE471" s="333"/>
      <c r="AF471" s="280">
        <f t="shared" si="87"/>
        <v>53053.83</v>
      </c>
      <c r="AG471" s="346"/>
      <c r="AH471" s="282">
        <f t="shared" si="84"/>
        <v>23932.946923076914</v>
      </c>
      <c r="AI471" s="306">
        <f t="shared" ref="AI471:AI480" si="89">IF(AH471=0,0,AH471/Z471)</f>
        <v>0.82184825439042519</v>
      </c>
      <c r="AJ471" s="345"/>
      <c r="AK471" s="332"/>
      <c r="AL471" s="347">
        <f>+SUMIF($C:$C,$V471,Q:Q)</f>
        <v>36663.839999999997</v>
      </c>
      <c r="AM471" s="348"/>
      <c r="AN471" s="282">
        <f t="shared" si="85"/>
        <v>16389.990000000005</v>
      </c>
      <c r="AO471" s="289">
        <f t="shared" si="83"/>
        <v>0.44703418954479418</v>
      </c>
      <c r="AP471" s="246"/>
      <c r="AQ471" s="246">
        <v>53054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55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86"/>
        <v>0</v>
      </c>
      <c r="AA472" s="332"/>
      <c r="AB472" s="333"/>
      <c r="AC472" s="280"/>
      <c r="AD472" s="345"/>
      <c r="AE472" s="333"/>
      <c r="AF472" s="280">
        <f t="shared" si="87"/>
        <v>0</v>
      </c>
      <c r="AG472" s="346"/>
      <c r="AH472" s="282">
        <f t="shared" si="84"/>
        <v>0</v>
      </c>
      <c r="AI472" s="306">
        <f t="shared" si="89"/>
        <v>0</v>
      </c>
      <c r="AJ472" s="345"/>
      <c r="AK472" s="332"/>
      <c r="AL472" s="347">
        <f t="shared" si="88"/>
        <v>0</v>
      </c>
      <c r="AM472" s="348"/>
      <c r="AN472" s="282">
        <f t="shared" si="85"/>
        <v>0</v>
      </c>
      <c r="AO472" s="289">
        <f t="shared" si="83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55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86"/>
        <v>0</v>
      </c>
      <c r="AA473" s="332"/>
      <c r="AB473" s="333"/>
      <c r="AC473" s="280"/>
      <c r="AD473" s="345"/>
      <c r="AE473" s="333"/>
      <c r="AF473" s="280">
        <f t="shared" si="87"/>
        <v>0</v>
      </c>
      <c r="AG473" s="346"/>
      <c r="AH473" s="282">
        <f t="shared" si="84"/>
        <v>0</v>
      </c>
      <c r="AI473" s="306">
        <f t="shared" si="89"/>
        <v>0</v>
      </c>
      <c r="AJ473" s="345"/>
      <c r="AK473" s="332"/>
      <c r="AL473" s="347">
        <f t="shared" si="88"/>
        <v>0</v>
      </c>
      <c r="AM473" s="348"/>
      <c r="AN473" s="282">
        <f t="shared" si="85"/>
        <v>0</v>
      </c>
      <c r="AO473" s="289">
        <f t="shared" si="83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55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 t="shared" si="86"/>
        <v>1875</v>
      </c>
      <c r="AA474" s="332"/>
      <c r="AB474" s="333"/>
      <c r="AC474" s="280"/>
      <c r="AD474" s="345"/>
      <c r="AE474" s="333"/>
      <c r="AF474" s="280">
        <f t="shared" si="87"/>
        <v>0</v>
      </c>
      <c r="AG474" s="346"/>
      <c r="AH474" s="282">
        <f t="shared" si="84"/>
        <v>-1875</v>
      </c>
      <c r="AI474" s="306">
        <f t="shared" si="89"/>
        <v>-1</v>
      </c>
      <c r="AJ474" s="345"/>
      <c r="AK474" s="332"/>
      <c r="AL474" s="347">
        <f t="shared" si="88"/>
        <v>1875</v>
      </c>
      <c r="AM474" s="348"/>
      <c r="AN474" s="282">
        <f t="shared" si="85"/>
        <v>-1875</v>
      </c>
      <c r="AO474" s="289">
        <f t="shared" si="83"/>
        <v>-1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55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 t="shared" si="86"/>
        <v>1214.7058823529412</v>
      </c>
      <c r="AA475" s="332"/>
      <c r="AB475" s="333"/>
      <c r="AC475" s="280"/>
      <c r="AD475" s="345"/>
      <c r="AE475" s="333"/>
      <c r="AF475" s="280">
        <f t="shared" si="87"/>
        <v>0</v>
      </c>
      <c r="AG475" s="346"/>
      <c r="AH475" s="282">
        <f t="shared" si="84"/>
        <v>-1214.7058823529412</v>
      </c>
      <c r="AI475" s="306">
        <f t="shared" si="89"/>
        <v>-1</v>
      </c>
      <c r="AJ475" s="345"/>
      <c r="AK475" s="332"/>
      <c r="AL475" s="347">
        <f t="shared" si="88"/>
        <v>0</v>
      </c>
      <c r="AM475" s="348"/>
      <c r="AN475" s="282">
        <f t="shared" si="85"/>
        <v>0</v>
      </c>
      <c r="AO475" s="289">
        <f t="shared" si="83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55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86"/>
        <v>0</v>
      </c>
      <c r="AA476" s="332"/>
      <c r="AB476" s="333"/>
      <c r="AC476" s="280"/>
      <c r="AD476" s="345"/>
      <c r="AE476" s="333"/>
      <c r="AF476" s="280">
        <f t="shared" si="87"/>
        <v>0</v>
      </c>
      <c r="AG476" s="346"/>
      <c r="AH476" s="282">
        <f t="shared" si="84"/>
        <v>0</v>
      </c>
      <c r="AI476" s="306">
        <f t="shared" si="89"/>
        <v>0</v>
      </c>
      <c r="AJ476" s="345"/>
      <c r="AK476" s="332"/>
      <c r="AL476" s="347">
        <f t="shared" si="88"/>
        <v>0</v>
      </c>
      <c r="AM476" s="348"/>
      <c r="AN476" s="282">
        <f t="shared" si="85"/>
        <v>0</v>
      </c>
      <c r="AO476" s="289">
        <f t="shared" si="83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55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17472.529846153851</v>
      </c>
      <c r="AA477" s="332"/>
      <c r="AB477" s="333"/>
      <c r="AC477" s="280"/>
      <c r="AD477" s="345"/>
      <c r="AE477" s="333"/>
      <c r="AF477" s="280">
        <v>33761.279999999999</v>
      </c>
      <c r="AG477" s="346"/>
      <c r="AH477" s="282">
        <f t="shared" si="84"/>
        <v>16288.750153846147</v>
      </c>
      <c r="AI477" s="306">
        <f t="shared" si="89"/>
        <v>0.93224909599634853</v>
      </c>
      <c r="AJ477" s="345"/>
      <c r="AK477" s="332"/>
      <c r="AL477" s="347">
        <v>19610.89</v>
      </c>
      <c r="AM477" s="348"/>
      <c r="AN477" s="282">
        <f t="shared" si="85"/>
        <v>14150.39</v>
      </c>
      <c r="AO477" s="289">
        <f t="shared" si="83"/>
        <v>0.72155776713856434</v>
      </c>
      <c r="AP477" s="246"/>
      <c r="AQ477" s="246">
        <v>33761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55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84"/>
        <v>0</v>
      </c>
      <c r="AI478" s="283">
        <f t="shared" si="89"/>
        <v>0</v>
      </c>
      <c r="AJ478" s="288"/>
      <c r="AK478" s="279"/>
      <c r="AL478" s="280">
        <f t="shared" si="88"/>
        <v>0</v>
      </c>
      <c r="AM478" s="348"/>
      <c r="AN478" s="282">
        <f t="shared" si="85"/>
        <v>0</v>
      </c>
      <c r="AO478" s="289">
        <f t="shared" si="83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55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84"/>
        <v>0</v>
      </c>
      <c r="AI479" s="283">
        <f t="shared" si="89"/>
        <v>0</v>
      </c>
      <c r="AJ479" s="288"/>
      <c r="AK479" s="279"/>
      <c r="AL479" s="280">
        <f t="shared" si="88"/>
        <v>0</v>
      </c>
      <c r="AM479" s="348"/>
      <c r="AN479" s="282">
        <f t="shared" si="85"/>
        <v>0</v>
      </c>
      <c r="AO479" s="289">
        <f t="shared" si="83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55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18861.5</v>
      </c>
      <c r="AA480" s="332"/>
      <c r="AB480" s="333"/>
      <c r="AC480" s="280"/>
      <c r="AD480" s="345"/>
      <c r="AE480" s="333"/>
      <c r="AF480" s="280">
        <f>+SUMIF($C:$C,$V480,L:L)</f>
        <v>24990</v>
      </c>
      <c r="AG480" s="346"/>
      <c r="AH480" s="282">
        <f t="shared" si="84"/>
        <v>6128.5</v>
      </c>
      <c r="AI480" s="306">
        <f t="shared" si="89"/>
        <v>0.32492113564668768</v>
      </c>
      <c r="AJ480" s="345"/>
      <c r="AK480" s="332"/>
      <c r="AL480" s="347">
        <v>20825</v>
      </c>
      <c r="AM480" s="348"/>
      <c r="AN480" s="282">
        <f t="shared" si="85"/>
        <v>4165</v>
      </c>
      <c r="AO480" s="289">
        <f t="shared" si="83"/>
        <v>0.2</v>
      </c>
      <c r="AP480" s="246"/>
      <c r="AQ480" s="246">
        <v>24990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55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0.2219542255640751</v>
      </c>
      <c r="Y481" s="330"/>
      <c r="Z481" s="299">
        <f>SUM(Z469:Z480)</f>
        <v>102725.62803619911</v>
      </c>
      <c r="AA481" s="298"/>
      <c r="AB481" s="330"/>
      <c r="AC481" s="299"/>
      <c r="AD481" s="298">
        <f>AF481/+AF407</f>
        <v>0.38439092764261562</v>
      </c>
      <c r="AE481" s="330"/>
      <c r="AF481" s="299">
        <f>SUM(AF469:AF480)</f>
        <v>190474.98</v>
      </c>
      <c r="AG481" s="308"/>
      <c r="AH481" s="302">
        <f t="shared" si="84"/>
        <v>87749.351963800902</v>
      </c>
      <c r="AI481" s="298">
        <f>AH481/Z481</f>
        <v>0.85421090765080776</v>
      </c>
      <c r="AJ481" s="349"/>
      <c r="AK481" s="350"/>
      <c r="AL481" s="299">
        <f>SUM(AL469:AL480)</f>
        <v>111333.81</v>
      </c>
      <c r="AM481" s="351"/>
      <c r="AN481" s="302">
        <f t="shared" si="85"/>
        <v>79141.170000000013</v>
      </c>
      <c r="AO481" s="331">
        <f t="shared" si="83"/>
        <v>0.71084578889377825</v>
      </c>
      <c r="AP481" s="246"/>
      <c r="AQ481" s="246" t="s">
        <v>221</v>
      </c>
      <c r="AR481" s="246">
        <v>155000</v>
      </c>
      <c r="AS481" s="310">
        <f>AF481-AR481</f>
        <v>35474.98000000001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55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85"/>
        <v>0</v>
      </c>
      <c r="AO482" s="364">
        <f t="shared" si="83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55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4.0479054270744587E-2</v>
      </c>
      <c r="Z483" s="369">
        <f>Z407-Z468+Z481</f>
        <v>144670.94378964746</v>
      </c>
      <c r="AA483" s="367"/>
      <c r="AB483" s="368"/>
      <c r="AC483" s="369"/>
      <c r="AD483" s="367" t="s">
        <v>180</v>
      </c>
      <c r="AE483" s="368">
        <f>AF483/AF406</f>
        <v>3.9806846875306341E-2</v>
      </c>
      <c r="AF483" s="370">
        <f>AF407-AF468+AF481</f>
        <v>195487.83999999988</v>
      </c>
      <c r="AG483" s="371"/>
      <c r="AH483" s="370">
        <f>AF483-Z483</f>
        <v>50816.896210352425</v>
      </c>
      <c r="AI483" s="487">
        <f>AH483/Z483</f>
        <v>0.35125848272781396</v>
      </c>
      <c r="AJ483" s="373" t="s">
        <v>180</v>
      </c>
      <c r="AK483" s="368">
        <f>IF($AL$406=0,0,AL483/$AL$406)</f>
        <v>9.5630091492843149E-3</v>
      </c>
      <c r="AL483" s="370">
        <f>AL407-AL468+AL481</f>
        <v>114742.28999999986</v>
      </c>
      <c r="AM483" s="374"/>
      <c r="AN483" s="370">
        <f t="shared" si="85"/>
        <v>80745.550000000017</v>
      </c>
      <c r="AO483" s="375">
        <f t="shared" si="83"/>
        <v>0.70371220584842875</v>
      </c>
      <c r="AP483" s="246"/>
      <c r="AQ483" s="246"/>
      <c r="AR483" s="310">
        <f>AR407-AR468+AR481</f>
        <v>215624</v>
      </c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55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9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Novembre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9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9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4.9370505305282239E-2</v>
      </c>
      <c r="Z488" s="449">
        <f>Z489+Z415</f>
        <v>176448.72704076633</v>
      </c>
      <c r="AA488" s="446"/>
      <c r="AB488" s="447"/>
      <c r="AC488" s="448"/>
      <c r="AD488" s="446" t="s">
        <v>180</v>
      </c>
      <c r="AE488" s="447">
        <f>AF488/AF406</f>
        <v>4.7633105240777407E-2</v>
      </c>
      <c r="AF488" s="449">
        <f>AF489+AF415</f>
        <v>233921.88999999987</v>
      </c>
      <c r="AG488" s="450"/>
      <c r="AH488" s="450">
        <f>AF488-Z488</f>
        <v>57473.162959233538</v>
      </c>
      <c r="AI488" s="451">
        <f>AH488/Z488</f>
        <v>0.32572160719501853</v>
      </c>
      <c r="AJ488" s="446" t="s">
        <v>180</v>
      </c>
      <c r="AK488" s="447">
        <f>IF($AL$406=0,0,AL488/$AL$406)</f>
        <v>1.134831331566848E-2</v>
      </c>
      <c r="AL488" s="449">
        <f>AL489+AL415</f>
        <v>136163.35999999987</v>
      </c>
      <c r="AM488" s="452"/>
      <c r="AN488" s="449">
        <f>AF488-AL488</f>
        <v>97758.53</v>
      </c>
      <c r="AO488" s="453">
        <f>IF(AL488=0,0,AN488/AL488)</f>
        <v>0.71795033553813659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thickTop="1" thickBot="1">
      <c r="A489" t="str">
        <f t="shared" si="9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4.0479054270744587E-2</v>
      </c>
      <c r="Z489" s="381">
        <f>Z483</f>
        <v>144670.94378964746</v>
      </c>
      <c r="AA489" s="379"/>
      <c r="AB489" s="380"/>
      <c r="AC489" s="381"/>
      <c r="AD489" s="379" t="s">
        <v>180</v>
      </c>
      <c r="AE489" s="380">
        <f>AF489/AF406</f>
        <v>3.9806846875306341E-2</v>
      </c>
      <c r="AF489" s="381">
        <f>AF483</f>
        <v>195487.83999999988</v>
      </c>
      <c r="AG489" s="382"/>
      <c r="AH489" s="370">
        <f>AF489-Z489</f>
        <v>50816.896210352425</v>
      </c>
      <c r="AI489" s="487">
        <f>AH489/Z489</f>
        <v>0.35125848272781396</v>
      </c>
      <c r="AJ489" s="379" t="s">
        <v>180</v>
      </c>
      <c r="AK489" s="380">
        <f>IF($AL$406=0,0,AL489/$AL$406)</f>
        <v>9.5630091492843149E-3</v>
      </c>
      <c r="AL489" s="383">
        <f>AL483</f>
        <v>114742.28999999986</v>
      </c>
      <c r="AM489" s="384"/>
      <c r="AN489" s="385">
        <f>AF489-AL489</f>
        <v>80745.550000000017</v>
      </c>
      <c r="AO489" s="386">
        <f>IF(AL489=0,0,AN489/AL489)</f>
        <v>0.70371220584842875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9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9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20970</v>
      </c>
      <c r="AA491" s="279"/>
      <c r="AB491" s="287"/>
      <c r="AC491" s="280"/>
      <c r="AD491" s="279"/>
      <c r="AE491" s="287"/>
      <c r="AF491" s="280">
        <v>20970</v>
      </c>
      <c r="AG491" s="279"/>
      <c r="AH491" s="282">
        <f t="shared" ref="AH491:AH498" si="91">AF491-Z491</f>
        <v>0</v>
      </c>
      <c r="AI491" s="306">
        <f t="shared" ref="AI491:AI497" si="92">IF(Z491=0,0,AH491/Z491)</f>
        <v>0</v>
      </c>
      <c r="AJ491" s="279"/>
      <c r="AK491" s="279"/>
      <c r="AL491" s="280">
        <v>19520</v>
      </c>
      <c r="AM491" s="284"/>
      <c r="AN491" s="282">
        <f t="shared" ref="AN491:AN498" si="93">AF491-AL491</f>
        <v>1450</v>
      </c>
      <c r="AO491" s="289">
        <f t="shared" ref="AO491:AO498" si="94">IF(AL491=0,0,AN491/AL491)</f>
        <v>7.4282786885245908E-2</v>
      </c>
      <c r="AP491" s="246"/>
      <c r="AQ491" s="486">
        <v>20970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9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91"/>
        <v>0</v>
      </c>
      <c r="AI492" s="306">
        <f t="shared" si="92"/>
        <v>0</v>
      </c>
      <c r="AJ492" s="10"/>
      <c r="AK492" s="10"/>
      <c r="AL492" s="280">
        <v>0</v>
      </c>
      <c r="AM492" s="393"/>
      <c r="AN492" s="282">
        <f t="shared" si="93"/>
        <v>0</v>
      </c>
      <c r="AO492" s="289">
        <f t="shared" si="94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9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91"/>
        <v>0</v>
      </c>
      <c r="AI493" s="306">
        <f t="shared" si="92"/>
        <v>0</v>
      </c>
      <c r="AJ493" s="10"/>
      <c r="AK493" s="10"/>
      <c r="AL493" s="280">
        <v>0</v>
      </c>
      <c r="AM493" s="393"/>
      <c r="AN493" s="282">
        <f t="shared" si="93"/>
        <v>0</v>
      </c>
      <c r="AO493" s="289">
        <f t="shared" si="94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9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91"/>
        <v>0</v>
      </c>
      <c r="AI494" s="306">
        <f t="shared" si="92"/>
        <v>0</v>
      </c>
      <c r="AJ494" s="10"/>
      <c r="AK494" s="10"/>
      <c r="AL494" s="280">
        <v>0</v>
      </c>
      <c r="AM494" s="393"/>
      <c r="AN494" s="282">
        <f t="shared" si="93"/>
        <v>0</v>
      </c>
      <c r="AO494" s="289">
        <f t="shared" si="94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9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91"/>
        <v>0</v>
      </c>
      <c r="AI495" s="283">
        <f t="shared" si="92"/>
        <v>0</v>
      </c>
      <c r="AJ495" s="288"/>
      <c r="AK495" s="279"/>
      <c r="AL495" s="280">
        <v>0</v>
      </c>
      <c r="AM495" s="393"/>
      <c r="AN495" s="282">
        <f t="shared" si="93"/>
        <v>0</v>
      </c>
      <c r="AO495" s="289">
        <f t="shared" si="94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9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239</v>
      </c>
      <c r="W496" s="13"/>
      <c r="X496" s="13"/>
      <c r="Y496" s="13"/>
      <c r="Z496" s="282">
        <v>-8893.4426229508208</v>
      </c>
      <c r="AA496" s="279"/>
      <c r="AB496" s="279"/>
      <c r="AC496" s="282"/>
      <c r="AD496" s="288"/>
      <c r="AE496" s="287"/>
      <c r="AF496" s="280">
        <v>-3007.92</v>
      </c>
      <c r="AG496" s="281"/>
      <c r="AH496" s="282">
        <f t="shared" si="91"/>
        <v>5885.5226229508207</v>
      </c>
      <c r="AI496" s="283">
        <f t="shared" si="92"/>
        <v>-0.66178226728110601</v>
      </c>
      <c r="AJ496" s="288"/>
      <c r="AK496" s="279"/>
      <c r="AL496" s="280">
        <v>0</v>
      </c>
      <c r="AM496" s="393"/>
      <c r="AN496" s="282">
        <f t="shared" si="93"/>
        <v>-3007.92</v>
      </c>
      <c r="AO496" s="289">
        <f t="shared" si="94"/>
        <v>0</v>
      </c>
      <c r="AP496" s="246"/>
      <c r="AQ496" s="246">
        <v>-3008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9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91"/>
        <v>0</v>
      </c>
      <c r="AI497" s="283">
        <f t="shared" si="92"/>
        <v>0</v>
      </c>
      <c r="AJ497" s="288"/>
      <c r="AK497" s="279"/>
      <c r="AL497" s="280">
        <v>0</v>
      </c>
      <c r="AM497" s="393"/>
      <c r="AN497" s="282">
        <f t="shared" si="93"/>
        <v>0</v>
      </c>
      <c r="AO497" s="289">
        <f t="shared" si="94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9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3.7100023149055618E-2</v>
      </c>
      <c r="Z498" s="369">
        <f>Z489-Z491-Z492-Z493-Z497-Z496-Z494-Z495</f>
        <v>132594.38641259828</v>
      </c>
      <c r="AA498" s="367"/>
      <c r="AB498" s="368"/>
      <c r="AC498" s="369"/>
      <c r="AD498" s="367" t="s">
        <v>180</v>
      </c>
      <c r="AE498" s="368">
        <f>AF498/AF406</f>
        <v>3.6149259947536296E-2</v>
      </c>
      <c r="AF498" s="370">
        <f>AF489-AF491-AF492-AF493-AF497-AF496-AF494-AF495</f>
        <v>177525.75999999989</v>
      </c>
      <c r="AG498" s="371"/>
      <c r="AH498" s="370">
        <f t="shared" si="91"/>
        <v>44931.373587401613</v>
      </c>
      <c r="AI498" s="487">
        <f>AH498/Z498</f>
        <v>0.33886331694003385</v>
      </c>
      <c r="AJ498" s="373" t="s">
        <v>180</v>
      </c>
      <c r="AK498" s="368">
        <f>IF($AL$406=0,0,AL498/$AL$406)</f>
        <v>7.9361465636236129E-3</v>
      </c>
      <c r="AL498" s="370">
        <f>AL489-AL491-AL492-AL493-AL497-AL496-AL494-AL495</f>
        <v>95222.289999999863</v>
      </c>
      <c r="AM498" s="374"/>
      <c r="AN498" s="370">
        <f t="shared" si="93"/>
        <v>82303.47000000003</v>
      </c>
      <c r="AO498" s="394">
        <f t="shared" si="94"/>
        <v>0.86432987486438473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240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46156.7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241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131369.05999999988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0.26000001351916491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242</v>
      </c>
      <c r="AE505" s="246"/>
      <c r="AF505" s="246">
        <v>215624</v>
      </c>
      <c r="AG505" s="246"/>
      <c r="AH505" s="246" t="s">
        <v>244</v>
      </c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-38098.240000000107</v>
      </c>
      <c r="AG507" s="246"/>
      <c r="AH507" s="246"/>
      <c r="AI507" s="246"/>
      <c r="AJ507" s="246" t="e">
        <f>AF511/AJ505</f>
        <v>#DIV/0!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267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253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310">
        <f>AF498+AF509+AF510</f>
        <v>177525.75999999989</v>
      </c>
      <c r="AG511" s="310">
        <f>AF511-AF505</f>
        <v>-38098.240000000107</v>
      </c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338" priority="6" stopIfTrue="1">
      <formula>"esterreur(reference)"</formula>
    </cfRule>
  </conditionalFormatting>
  <conditionalFormatting sqref="D112:D113">
    <cfRule type="expression" dxfId="337" priority="1" stopIfTrue="1">
      <formula>"esterreur(reference)"</formula>
    </cfRule>
  </conditionalFormatting>
  <conditionalFormatting sqref="F5">
    <cfRule type="expression" dxfId="336" priority="67" stopIfTrue="1">
      <formula>"esterreur(reference)"</formula>
    </cfRule>
  </conditionalFormatting>
  <conditionalFormatting sqref="F184">
    <cfRule type="expression" dxfId="335" priority="77" stopIfTrue="1">
      <formula>"esterreur(reference)"</formula>
    </cfRule>
  </conditionalFormatting>
  <conditionalFormatting sqref="G31:G32">
    <cfRule type="expression" dxfId="334" priority="5" stopIfTrue="1">
      <formula>"esterreur(reference)"</formula>
    </cfRule>
  </conditionalFormatting>
  <conditionalFormatting sqref="G112:G113">
    <cfRule type="expression" dxfId="333" priority="2" stopIfTrue="1">
      <formula>"esterreur(reference)"</formula>
    </cfRule>
  </conditionalFormatting>
  <conditionalFormatting sqref="H136:H152">
    <cfRule type="expression" dxfId="332" priority="31" stopIfTrue="1">
      <formula>"esterreur(reference)"</formula>
    </cfRule>
  </conditionalFormatting>
  <conditionalFormatting sqref="H360">
    <cfRule type="expression" dxfId="331" priority="110" stopIfTrue="1">
      <formula>"esterreur(reference)"</formula>
    </cfRule>
  </conditionalFormatting>
  <conditionalFormatting sqref="H197:L197">
    <cfRule type="expression" dxfId="330" priority="112" stopIfTrue="1">
      <formula>"esterreur(reference)"</formula>
    </cfRule>
  </conditionalFormatting>
  <conditionalFormatting sqref="H396:L399">
    <cfRule type="expression" dxfId="329" priority="108" stopIfTrue="1">
      <formula>"esterreur(reference)"</formula>
    </cfRule>
  </conditionalFormatting>
  <conditionalFormatting sqref="I377:L377 H378:H395">
    <cfRule type="expression" dxfId="328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7" priority="102" stopIfTrue="1">
      <formula>"esterreur(reference)"</formula>
    </cfRule>
  </conditionalFormatting>
  <conditionalFormatting sqref="J55:K71">
    <cfRule type="expression" dxfId="326" priority="113" stopIfTrue="1">
      <formula>"esterreur(reference)"</formula>
    </cfRule>
  </conditionalFormatting>
  <conditionalFormatting sqref="J102:L104">
    <cfRule type="expression" dxfId="325" priority="98" stopIfTrue="1">
      <formula>"esterreur(reference)"</formula>
    </cfRule>
  </conditionalFormatting>
  <conditionalFormatting sqref="J149:L152">
    <cfRule type="expression" dxfId="324" priority="30" stopIfTrue="1">
      <formula>"esterreur(reference)"</formula>
    </cfRule>
  </conditionalFormatting>
  <conditionalFormatting sqref="J295:L303">
    <cfRule type="expression" dxfId="323" priority="94" stopIfTrue="1">
      <formula>"esterreur(reference)"</formula>
    </cfRule>
  </conditionalFormatting>
  <conditionalFormatting sqref="J307:L308">
    <cfRule type="expression" dxfId="322" priority="84" stopIfTrue="1">
      <formula>"esterreur(reference)"</formula>
    </cfRule>
  </conditionalFormatting>
  <conditionalFormatting sqref="J360:L360">
    <cfRule type="expression" dxfId="321" priority="76" stopIfTrue="1">
      <formula>"esterreur(reference)"</formula>
    </cfRule>
  </conditionalFormatting>
  <conditionalFormatting sqref="J365:L376">
    <cfRule type="expression" dxfId="320" priority="81" stopIfTrue="1">
      <formula>"esterreur(reference)"</formula>
    </cfRule>
  </conditionalFormatting>
  <conditionalFormatting sqref="J378:L394">
    <cfRule type="expression" dxfId="319" priority="80" stopIfTrue="1">
      <formula>"esterreur(reference)"</formula>
    </cfRule>
  </conditionalFormatting>
  <conditionalFormatting sqref="J312:M312">
    <cfRule type="expression" dxfId="318" priority="82" stopIfTrue="1">
      <formula>"esterreur(reference)"</formula>
    </cfRule>
  </conditionalFormatting>
  <conditionalFormatting sqref="J112:Q121">
    <cfRule type="expression" dxfId="317" priority="3" stopIfTrue="1">
      <formula>"esterreur(reference)"</formula>
    </cfRule>
  </conditionalFormatting>
  <conditionalFormatting sqref="J123:Q134">
    <cfRule type="expression" dxfId="316" priority="57" stopIfTrue="1">
      <formula>"esterreur(reference)"</formula>
    </cfRule>
  </conditionalFormatting>
  <conditionalFormatting sqref="K5">
    <cfRule type="expression" dxfId="315" priority="91" stopIfTrue="1">
      <formula>"esterreur(reference)"</formula>
    </cfRule>
  </conditionalFormatting>
  <conditionalFormatting sqref="K175">
    <cfRule type="expression" dxfId="314" priority="88" stopIfTrue="1">
      <formula>"esterreur(reference)"</formula>
    </cfRule>
  </conditionalFormatting>
  <conditionalFormatting sqref="K183:K184">
    <cfRule type="expression" dxfId="313" priority="90" stopIfTrue="1">
      <formula>"esterreur(reference)"</formula>
    </cfRule>
  </conditionalFormatting>
  <conditionalFormatting sqref="K287">
    <cfRule type="expression" dxfId="312" priority="74" stopIfTrue="1">
      <formula>"esterreur(reference)"</formula>
    </cfRule>
  </conditionalFormatting>
  <conditionalFormatting sqref="K395">
    <cfRule type="expression" dxfId="311" priority="111" stopIfTrue="1">
      <formula>"esterreur(reference)"</formula>
    </cfRule>
  </conditionalFormatting>
  <conditionalFormatting sqref="K93:L96">
    <cfRule type="expression" dxfId="310" priority="79" stopIfTrue="1">
      <formula>"esterreur(reference)"</formula>
    </cfRule>
  </conditionalFormatting>
  <conditionalFormatting sqref="K99:L100">
    <cfRule type="expression" dxfId="309" priority="99" stopIfTrue="1">
      <formula>"esterreur(reference)"</formula>
    </cfRule>
  </conditionalFormatting>
  <conditionalFormatting sqref="K171:L173">
    <cfRule type="expression" dxfId="308" priority="89" stopIfTrue="1">
      <formula>"esterreur(reference)"</formula>
    </cfRule>
  </conditionalFormatting>
  <conditionalFormatting sqref="K176:L182">
    <cfRule type="expression" dxfId="307" priority="87" stopIfTrue="1">
      <formula>"esterreur(reference)"</formula>
    </cfRule>
  </conditionalFormatting>
  <conditionalFormatting sqref="K185:L196">
    <cfRule type="expression" dxfId="306" priority="83" stopIfTrue="1">
      <formula>"esterreur(reference)"</formula>
    </cfRule>
  </conditionalFormatting>
  <conditionalFormatting sqref="K239:L241">
    <cfRule type="expression" dxfId="305" priority="78" stopIfTrue="1">
      <formula>"esterreur(reference)"</formula>
    </cfRule>
  </conditionalFormatting>
  <conditionalFormatting sqref="K244:L244">
    <cfRule type="expression" dxfId="304" priority="86" stopIfTrue="1">
      <formula>"esterreur(reference)"</formula>
    </cfRule>
  </conditionalFormatting>
  <conditionalFormatting sqref="K247:L247">
    <cfRule type="expression" dxfId="303" priority="85" stopIfTrue="1">
      <formula>"esterreur(reference)"</formula>
    </cfRule>
  </conditionalFormatting>
  <conditionalFormatting sqref="L16:L24">
    <cfRule type="expression" dxfId="302" priority="101" stopIfTrue="1">
      <formula>"esterreur(reference)"</formula>
    </cfRule>
  </conditionalFormatting>
  <conditionalFormatting sqref="L42:L48">
    <cfRule type="expression" dxfId="301" priority="100" stopIfTrue="1">
      <formula>"esterreur(reference)"</formula>
    </cfRule>
  </conditionalFormatting>
  <conditionalFormatting sqref="L55:L66">
    <cfRule type="expression" dxfId="300" priority="68" stopIfTrue="1">
      <formula>"esterreur(reference)"</formula>
    </cfRule>
  </conditionalFormatting>
  <conditionalFormatting sqref="L68:L71">
    <cfRule type="expression" dxfId="299" priority="32" stopIfTrue="1">
      <formula>"esterreur(reference)"</formula>
    </cfRule>
  </conditionalFormatting>
  <conditionalFormatting sqref="L75:L82">
    <cfRule type="expression" dxfId="298" priority="69" stopIfTrue="1">
      <formula>"esterreur(reference)"</formula>
    </cfRule>
  </conditionalFormatting>
  <conditionalFormatting sqref="L136:L147">
    <cfRule type="expression" dxfId="297" priority="73" stopIfTrue="1">
      <formula>"esterreur(reference)"</formula>
    </cfRule>
  </conditionalFormatting>
  <conditionalFormatting sqref="L174:L175">
    <cfRule type="expression" dxfId="296" priority="97" stopIfTrue="1">
      <formula>"esterreur(reference)"</formula>
    </cfRule>
  </conditionalFormatting>
  <conditionalFormatting sqref="L198:L209">
    <cfRule type="expression" dxfId="295" priority="96" stopIfTrue="1">
      <formula>"esterreur(reference)"</formula>
    </cfRule>
  </conditionalFormatting>
  <conditionalFormatting sqref="L211:L228">
    <cfRule type="expression" dxfId="294" priority="72" stopIfTrue="1">
      <formula>"esterreur(reference)"</formula>
    </cfRule>
  </conditionalFormatting>
  <conditionalFormatting sqref="L254:L265">
    <cfRule type="expression" dxfId="293" priority="95" stopIfTrue="1">
      <formula>"esterreur(reference)"</formula>
    </cfRule>
  </conditionalFormatting>
  <conditionalFormatting sqref="L267:L284">
    <cfRule type="expression" dxfId="292" priority="71" stopIfTrue="1">
      <formula>"esterreur(reference)"</formula>
    </cfRule>
  </conditionalFormatting>
  <conditionalFormatting sqref="L318:L329">
    <cfRule type="expression" dxfId="291" priority="93" stopIfTrue="1">
      <formula>"esterreur(reference)"</formula>
    </cfRule>
  </conditionalFormatting>
  <conditionalFormatting sqref="L331">
    <cfRule type="expression" dxfId="290" priority="70" stopIfTrue="1">
      <formula>"esterreur(reference)"</formula>
    </cfRule>
  </conditionalFormatting>
  <conditionalFormatting sqref="L334:L343 L345:L348">
    <cfRule type="expression" dxfId="289" priority="92" stopIfTrue="1">
      <formula>"esterreur(reference)"</formula>
    </cfRule>
  </conditionalFormatting>
  <conditionalFormatting sqref="L356:L357 H357:I357 K357 J357:J358 H359:L359">
    <cfRule type="expression" dxfId="288" priority="107" stopIfTrue="1">
      <formula>"esterreur(reference)"</formula>
    </cfRule>
  </conditionalFormatting>
  <conditionalFormatting sqref="L5:Q14">
    <cfRule type="expression" dxfId="287" priority="62" stopIfTrue="1">
      <formula>"esterreur(reference)"</formula>
    </cfRule>
  </conditionalFormatting>
  <conditionalFormatting sqref="L156:Q162">
    <cfRule type="expression" dxfId="286" priority="28" stopIfTrue="1">
      <formula>"esterreur(reference)"</formula>
    </cfRule>
  </conditionalFormatting>
  <conditionalFormatting sqref="M95:M97">
    <cfRule type="expression" dxfId="285" priority="103" stopIfTrue="1">
      <formula>"esterreur(reference)"</formula>
    </cfRule>
  </conditionalFormatting>
  <conditionalFormatting sqref="O13:O14 O16 O18:O24 O83:Q85">
    <cfRule type="expression" dxfId="284" priority="66" stopIfTrue="1">
      <formula>"esterreur(reference)"</formula>
    </cfRule>
  </conditionalFormatting>
  <conditionalFormatting sqref="O172:O196 Q183 O198:P229 O232:Q232 O233:P233">
    <cfRule type="expression" dxfId="283" priority="55" stopIfTrue="1">
      <formula>"esterreur(reference)"</formula>
    </cfRule>
  </conditionalFormatting>
  <conditionalFormatting sqref="O318:P348 O349:Q349 O352:Q352 O353:P353">
    <cfRule type="expression" dxfId="282" priority="39" stopIfTrue="1">
      <formula>"esterreur(reference)"</formula>
    </cfRule>
  </conditionalFormatting>
  <conditionalFormatting sqref="O25:Q72">
    <cfRule type="expression" dxfId="281" priority="4" stopIfTrue="1">
      <formula>"esterreur(reference)"</formula>
    </cfRule>
  </conditionalFormatting>
  <conditionalFormatting sqref="O97:Q98 O122:Q122 O156:P157 O164:Q164 O165:P165">
    <cfRule type="expression" dxfId="280" priority="61" stopIfTrue="1">
      <formula>"esterreur(reference)"</formula>
    </cfRule>
  </conditionalFormatting>
  <conditionalFormatting sqref="O101:Q111">
    <cfRule type="expression" dxfId="279" priority="59" stopIfTrue="1">
      <formula>"esterreur(reference)"</formula>
    </cfRule>
  </conditionalFormatting>
  <conditionalFormatting sqref="O135:Q153">
    <cfRule type="expression" dxfId="278" priority="29" stopIfTrue="1">
      <formula>"esterreur(reference)"</formula>
    </cfRule>
  </conditionalFormatting>
  <conditionalFormatting sqref="O197:Q197">
    <cfRule type="expression" dxfId="277" priority="56" stopIfTrue="1">
      <formula>"esterreur(reference)"</formula>
    </cfRule>
  </conditionalFormatting>
  <conditionalFormatting sqref="O243:Q243 O252:Q253 O254:P284 O285:Q285 O288:Q288 O289:P289">
    <cfRule type="expression" dxfId="276" priority="46" stopIfTrue="1">
      <formula>"esterreur(reference)"</formula>
    </cfRule>
  </conditionalFormatting>
  <conditionalFormatting sqref="O295:Q317">
    <cfRule type="expression" dxfId="275" priority="37" stopIfTrue="1">
      <formula>"esterreur(reference)"</formula>
    </cfRule>
  </conditionalFormatting>
  <conditionalFormatting sqref="O359:Q394">
    <cfRule type="expression" dxfId="274" priority="33" stopIfTrue="1">
      <formula>"esterreur(reference)"</formula>
    </cfRule>
  </conditionalFormatting>
  <conditionalFormatting sqref="O396:Q399">
    <cfRule type="expression" dxfId="273" priority="34" stopIfTrue="1">
      <formula>"esterreur(reference)"</formula>
    </cfRule>
  </conditionalFormatting>
  <conditionalFormatting sqref="P5">
    <cfRule type="expression" dxfId="272" priority="63" stopIfTrue="1">
      <formula>"esterreur(reference)"</formula>
    </cfRule>
  </conditionalFormatting>
  <conditionalFormatting sqref="P175">
    <cfRule type="expression" dxfId="271" priority="50" stopIfTrue="1">
      <formula>"esterreur(reference)"</formula>
    </cfRule>
  </conditionalFormatting>
  <conditionalFormatting sqref="P183:P184">
    <cfRule type="expression" dxfId="270" priority="52" stopIfTrue="1">
      <formula>"esterreur(reference)"</formula>
    </cfRule>
  </conditionalFormatting>
  <conditionalFormatting sqref="P287">
    <cfRule type="expression" dxfId="269" priority="41" stopIfTrue="1">
      <formula>"esterreur(reference)"</formula>
    </cfRule>
  </conditionalFormatting>
  <conditionalFormatting sqref="P395">
    <cfRule type="expression" dxfId="268" priority="35" stopIfTrue="1">
      <formula>"esterreur(reference)"</formula>
    </cfRule>
  </conditionalFormatting>
  <conditionalFormatting sqref="P93:Q96">
    <cfRule type="expression" dxfId="267" priority="58" stopIfTrue="1">
      <formula>"esterreur(reference)"</formula>
    </cfRule>
  </conditionalFormatting>
  <conditionalFormatting sqref="P99:Q100">
    <cfRule type="expression" dxfId="266" priority="60" stopIfTrue="1">
      <formula>"esterreur(reference)"</formula>
    </cfRule>
  </conditionalFormatting>
  <conditionalFormatting sqref="P172:Q173">
    <cfRule type="expression" dxfId="265" priority="51" stopIfTrue="1">
      <formula>"esterreur(reference)"</formula>
    </cfRule>
  </conditionalFormatting>
  <conditionalFormatting sqref="P176:Q182">
    <cfRule type="expression" dxfId="264" priority="49" stopIfTrue="1">
      <formula>"esterreur(reference)"</formula>
    </cfRule>
  </conditionalFormatting>
  <conditionalFormatting sqref="P185:Q196">
    <cfRule type="expression" dxfId="263" priority="48" stopIfTrue="1">
      <formula>"esterreur(reference)"</formula>
    </cfRule>
  </conditionalFormatting>
  <conditionalFormatting sqref="P241:Q241">
    <cfRule type="expression" dxfId="262" priority="42" stopIfTrue="1">
      <formula>"esterreur(reference)"</formula>
    </cfRule>
  </conditionalFormatting>
  <conditionalFormatting sqref="P244:Q244">
    <cfRule type="expression" dxfId="261" priority="44" stopIfTrue="1">
      <formula>"esterreur(reference)"</formula>
    </cfRule>
  </conditionalFormatting>
  <conditionalFormatting sqref="P247:Q247">
    <cfRule type="expression" dxfId="260" priority="43" stopIfTrue="1">
      <formula>"esterreur(reference)"</formula>
    </cfRule>
  </conditionalFormatting>
  <conditionalFormatting sqref="Q16:Q24">
    <cfRule type="expression" dxfId="259" priority="65" stopIfTrue="1">
      <formula>"esterreur(reference)"</formula>
    </cfRule>
  </conditionalFormatting>
  <conditionalFormatting sqref="Q75:Q82">
    <cfRule type="expression" dxfId="258" priority="64" stopIfTrue="1">
      <formula>"esterreur(reference)"</formula>
    </cfRule>
  </conditionalFormatting>
  <conditionalFormatting sqref="Q174:Q175">
    <cfRule type="expression" dxfId="257" priority="54" stopIfTrue="1">
      <formula>"esterreur(reference)"</formula>
    </cfRule>
  </conditionalFormatting>
  <conditionalFormatting sqref="Q198:Q209">
    <cfRule type="expression" dxfId="256" priority="53" stopIfTrue="1">
      <formula>"esterreur(reference)"</formula>
    </cfRule>
  </conditionalFormatting>
  <conditionalFormatting sqref="Q211:Q228">
    <cfRule type="expression" dxfId="255" priority="47" stopIfTrue="1">
      <formula>"esterreur(reference)"</formula>
    </cfRule>
  </conditionalFormatting>
  <conditionalFormatting sqref="Q254:Q265">
    <cfRule type="expression" dxfId="254" priority="45" stopIfTrue="1">
      <formula>"esterreur(reference)"</formula>
    </cfRule>
  </conditionalFormatting>
  <conditionalFormatting sqref="Q267:Q284">
    <cfRule type="expression" dxfId="253" priority="40" stopIfTrue="1">
      <formula>"esterreur(reference)"</formula>
    </cfRule>
  </conditionalFormatting>
  <conditionalFormatting sqref="Q318:Q329">
    <cfRule type="expression" dxfId="252" priority="38" stopIfTrue="1">
      <formula>"esterreur(reference)"</formula>
    </cfRule>
  </conditionalFormatting>
  <conditionalFormatting sqref="Q331:Q348">
    <cfRule type="expression" dxfId="251" priority="36" stopIfTrue="1">
      <formula>"esterreur(reference)"</formula>
    </cfRule>
  </conditionalFormatting>
  <conditionalFormatting sqref="R312">
    <cfRule type="expression" dxfId="250" priority="104" stopIfTrue="1">
      <formula>"esterreur(reference)"</formula>
    </cfRule>
  </conditionalFormatting>
  <conditionalFormatting sqref="S186">
    <cfRule type="expression" dxfId="249" priority="75" stopIfTrue="1">
      <formula>"esterreur(reference)"</formula>
    </cfRule>
  </conditionalFormatting>
  <conditionalFormatting sqref="Z425:Z427">
    <cfRule type="cellIs" dxfId="248" priority="24" operator="greaterThan">
      <formula>0</formula>
    </cfRule>
  </conditionalFormatting>
  <conditionalFormatting sqref="Z432">
    <cfRule type="cellIs" dxfId="247" priority="21" operator="greaterThan">
      <formula>0</formula>
    </cfRule>
  </conditionalFormatting>
  <conditionalFormatting sqref="Z449:Z451">
    <cfRule type="cellIs" dxfId="246" priority="17" operator="greaterThan">
      <formula>0</formula>
    </cfRule>
  </conditionalFormatting>
  <conditionalFormatting sqref="Z463:Z465">
    <cfRule type="cellIs" dxfId="245" priority="13" operator="greaterThan">
      <formula>0</formula>
    </cfRule>
  </conditionalFormatting>
  <conditionalFormatting sqref="Z478:Z479">
    <cfRule type="cellIs" dxfId="244" priority="10" operator="greaterThan">
      <formula>0</formula>
    </cfRule>
  </conditionalFormatting>
  <conditionalFormatting sqref="Z495:Z497">
    <cfRule type="cellIs" dxfId="243" priority="7" operator="greaterThan">
      <formula>0</formula>
    </cfRule>
  </conditionalFormatting>
  <conditionalFormatting sqref="AC425:AC427">
    <cfRule type="cellIs" dxfId="242" priority="25" operator="greaterThan">
      <formula>0</formula>
    </cfRule>
  </conditionalFormatting>
  <conditionalFormatting sqref="AC432">
    <cfRule type="cellIs" dxfId="241" priority="22" operator="greaterThan">
      <formula>0</formula>
    </cfRule>
  </conditionalFormatting>
  <conditionalFormatting sqref="AC449:AC451">
    <cfRule type="cellIs" dxfId="240" priority="18" operator="greaterThan">
      <formula>0</formula>
    </cfRule>
  </conditionalFormatting>
  <conditionalFormatting sqref="AC463:AC465">
    <cfRule type="cellIs" dxfId="239" priority="14" operator="greaterThan">
      <formula>0</formula>
    </cfRule>
  </conditionalFormatting>
  <conditionalFormatting sqref="AC478:AC479">
    <cfRule type="cellIs" dxfId="238" priority="11" operator="greaterThan">
      <formula>0</formula>
    </cfRule>
  </conditionalFormatting>
  <conditionalFormatting sqref="AC495:AC497">
    <cfRule type="cellIs" dxfId="237" priority="8" operator="greaterThan">
      <formula>0</formula>
    </cfRule>
  </conditionalFormatting>
  <conditionalFormatting sqref="AG409:AI418">
    <cfRule type="cellIs" dxfId="236" priority="27" operator="greaterThan">
      <formula>0</formula>
    </cfRule>
  </conditionalFormatting>
  <conditionalFormatting sqref="AH449:AH452">
    <cfRule type="cellIs" dxfId="235" priority="19" operator="greaterThan">
      <formula>0</formula>
    </cfRule>
  </conditionalFormatting>
  <conditionalFormatting sqref="AH461:AH466">
    <cfRule type="cellIs" dxfId="234" priority="15" operator="greaterThan">
      <formula>0</formula>
    </cfRule>
  </conditionalFormatting>
  <conditionalFormatting sqref="AH420:AI448">
    <cfRule type="cellIs" dxfId="233" priority="23" operator="greaterThan">
      <formula>0</formula>
    </cfRule>
  </conditionalFormatting>
  <conditionalFormatting sqref="AH453:AI460 AH467:AI468">
    <cfRule type="cellIs" dxfId="232" priority="105" operator="greaterThan">
      <formula>0</formula>
    </cfRule>
  </conditionalFormatting>
  <conditionalFormatting sqref="AH469:AI477 AH480:AI480">
    <cfRule type="cellIs" dxfId="231" priority="106" operator="lessThan">
      <formula>0</formula>
    </cfRule>
  </conditionalFormatting>
  <conditionalFormatting sqref="AH478:AI479">
    <cfRule type="cellIs" dxfId="230" priority="12" operator="greaterThan">
      <formula>0</formula>
    </cfRule>
  </conditionalFormatting>
  <conditionalFormatting sqref="AH491:AI497">
    <cfRule type="cellIs" dxfId="229" priority="9" operator="greaterThan">
      <formula>0</formula>
    </cfRule>
  </conditionalFormatting>
  <conditionalFormatting sqref="AI449:AI451">
    <cfRule type="cellIs" dxfId="228" priority="20" operator="greaterThan">
      <formula>0</formula>
    </cfRule>
  </conditionalFormatting>
  <conditionalFormatting sqref="AI463:AI465">
    <cfRule type="cellIs" dxfId="227" priority="16" operator="greaterThan">
      <formula>0</formula>
    </cfRule>
  </conditionalFormatting>
  <conditionalFormatting sqref="AO409:AO418">
    <cfRule type="cellIs" dxfId="226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02"/>
  <sheetViews>
    <sheetView topLeftCell="Q483" zoomScale="70" zoomScaleNormal="70" workbookViewId="0">
      <selection activeCell="Q483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281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496" t="s">
        <v>5</v>
      </c>
      <c r="E3" s="497"/>
      <c r="F3" s="498"/>
      <c r="G3" s="499"/>
      <c r="H3" s="497"/>
      <c r="I3" s="498"/>
      <c r="J3" s="499" t="s">
        <v>7</v>
      </c>
      <c r="K3" s="497"/>
      <c r="L3" s="498"/>
      <c r="M3" s="499" t="s">
        <v>213</v>
      </c>
      <c r="N3" s="498"/>
      <c r="O3" s="496" t="s">
        <v>8</v>
      </c>
      <c r="P3" s="497"/>
      <c r="Q3" s="498"/>
      <c r="R3" s="494" t="s">
        <v>214</v>
      </c>
      <c r="S3" s="495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1462292.2373959699</v>
      </c>
      <c r="G5" s="23"/>
      <c r="H5" s="21"/>
      <c r="I5" s="24"/>
      <c r="J5" s="23"/>
      <c r="K5" s="25"/>
      <c r="L5" s="22">
        <v>2488233.5999999996</v>
      </c>
      <c r="M5" s="26"/>
      <c r="N5" s="27"/>
      <c r="O5" s="23"/>
      <c r="P5" s="25"/>
      <c r="Q5" s="22">
        <v>8099296.1699999999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5</v>
      </c>
      <c r="E6" s="30">
        <f>IF(D6=0,0,F6/D6)</f>
        <v>5144.9382716049386</v>
      </c>
      <c r="F6" s="30">
        <v>25724.691358024691</v>
      </c>
      <c r="G6" s="31"/>
      <c r="H6" s="30"/>
      <c r="I6" s="30"/>
      <c r="J6" s="31">
        <v>12</v>
      </c>
      <c r="K6" s="30">
        <f>IF(J6=0,0,L6/J6)</f>
        <v>6636.944166666658</v>
      </c>
      <c r="L6" s="32">
        <v>79643.3299999999</v>
      </c>
      <c r="M6" s="31">
        <f t="shared" ref="M6:M12" si="2">J6-D6</f>
        <v>7</v>
      </c>
      <c r="N6" s="33">
        <f t="shared" ref="N6:N12" si="3">L6-F6</f>
        <v>53918.638641975209</v>
      </c>
      <c r="O6" s="31">
        <v>6</v>
      </c>
      <c r="P6" s="30">
        <f t="shared" ref="P6:P12" si="4">IF(O6=0,0,Q6/O6)</f>
        <v>5499.4000000000005</v>
      </c>
      <c r="Q6" s="32">
        <v>32996.400000000001</v>
      </c>
      <c r="R6" s="31">
        <f>J6-O6</f>
        <v>6</v>
      </c>
      <c r="S6" s="34">
        <f>L6-Q6</f>
        <v>46646.929999999898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10</v>
      </c>
      <c r="E7" s="30">
        <f t="shared" ref="E7:E12" si="5">IF(D7=0,0,F7/D7)</f>
        <v>5386.4238410596026</v>
      </c>
      <c r="F7" s="30">
        <v>53864.238410596023</v>
      </c>
      <c r="G7" s="31"/>
      <c r="H7" s="30"/>
      <c r="I7" s="30"/>
      <c r="J7" s="31">
        <v>11</v>
      </c>
      <c r="K7" s="30">
        <f t="shared" ref="K7:K12" si="6">IF(J7=0,0,L7/J7)</f>
        <v>5085.2609090909391</v>
      </c>
      <c r="L7" s="32">
        <v>55937.87000000033</v>
      </c>
      <c r="M7" s="31">
        <f t="shared" si="2"/>
        <v>1</v>
      </c>
      <c r="N7" s="33">
        <f t="shared" si="3"/>
        <v>2073.6315894043073</v>
      </c>
      <c r="O7" s="31">
        <v>7</v>
      </c>
      <c r="P7" s="30">
        <f t="shared" si="4"/>
        <v>5328.744285714286</v>
      </c>
      <c r="Q7" s="32">
        <v>37301.21</v>
      </c>
      <c r="R7" s="31">
        <f t="shared" ref="R7:R12" si="7">J7-O7</f>
        <v>4</v>
      </c>
      <c r="S7" s="34">
        <f t="shared" ref="S7:S12" si="8">L7-Q7</f>
        <v>18636.660000000331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15</v>
      </c>
      <c r="E13" s="36">
        <f>IF(D13&lt;=0,0,F13/D13)</f>
        <v>5305.928651241381</v>
      </c>
      <c r="F13" s="37">
        <f>+SUM(F6:F12)</f>
        <v>79588.929768620714</v>
      </c>
      <c r="G13" s="38"/>
      <c r="H13" s="36"/>
      <c r="I13" s="37"/>
      <c r="J13" s="38">
        <f>+SUM(J6:J12)</f>
        <v>23</v>
      </c>
      <c r="K13" s="36">
        <f>IF(J13&lt;=0,0,L13/J13)</f>
        <v>5894.8347826087065</v>
      </c>
      <c r="L13" s="37">
        <f>+SUM(L6:L12)</f>
        <v>135581.20000000024</v>
      </c>
      <c r="M13" s="38">
        <f>+SUM(M6:M12)</f>
        <v>8</v>
      </c>
      <c r="N13" s="37">
        <f t="shared" ref="N13" si="10">+SUM(N6:N12)</f>
        <v>55992.270231379516</v>
      </c>
      <c r="O13" s="38">
        <f>+SUM(O6:O12)</f>
        <v>13</v>
      </c>
      <c r="P13" s="36">
        <f>IF(O13&lt;=0,0,Q13/O13)</f>
        <v>5407.5084615384612</v>
      </c>
      <c r="Q13" s="37">
        <f t="shared" ref="Q13" si="11">+SUM(Q6:Q12)</f>
        <v>70297.61</v>
      </c>
      <c r="R13" s="38">
        <f>+SUM(R6:R12)</f>
        <v>10</v>
      </c>
      <c r="S13" s="39">
        <f>+SUM(S6:S12)</f>
        <v>65283.590000000229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0.53333333333333333</v>
      </c>
      <c r="N14" s="43">
        <f>IF(F13=0,0,N13/F13)</f>
        <v>0.70351832087903532</v>
      </c>
      <c r="O14" s="41"/>
      <c r="P14" s="30"/>
      <c r="Q14" s="40"/>
      <c r="R14" s="42">
        <f>R13/O13</f>
        <v>0.76923076923076927</v>
      </c>
      <c r="S14" s="44">
        <f>IF(Q13=0,0,(S13/Q13))</f>
        <v>0.92867438878790087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1</v>
      </c>
      <c r="E15" s="25">
        <f>IF(D15=0,0,F15/D15)</f>
        <v>2500</v>
      </c>
      <c r="F15" s="22">
        <v>2500</v>
      </c>
      <c r="G15" s="46"/>
      <c r="H15" s="47"/>
      <c r="I15" s="48"/>
      <c r="J15" s="49">
        <v>2</v>
      </c>
      <c r="K15" s="50">
        <f>IF(J15=0,0,L15/J15)</f>
        <v>874.47999999999593</v>
      </c>
      <c r="L15" s="50">
        <v>1748.9599999999919</v>
      </c>
      <c r="M15" s="51">
        <f>J15-D15</f>
        <v>1</v>
      </c>
      <c r="N15" s="48">
        <f>L15-F15</f>
        <v>-751.04000000000815</v>
      </c>
      <c r="O15" s="49">
        <v>3</v>
      </c>
      <c r="P15" s="50">
        <f>IF(O15=0,0,Q15/O15)</f>
        <v>-4260.6233333333003</v>
      </c>
      <c r="Q15" s="50">
        <v>-12781.869999999901</v>
      </c>
      <c r="R15" s="51">
        <f>J15-O15</f>
        <v>-1</v>
      </c>
      <c r="S15" s="52">
        <f>L15-Q15</f>
        <v>14530.829999999893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0</v>
      </c>
      <c r="N17" s="33">
        <f>L17-F17</f>
        <v>0</v>
      </c>
      <c r="O17" s="51">
        <v>0</v>
      </c>
      <c r="P17" s="30">
        <f>IF(O17=0,0,Q17/O17)</f>
        <v>0</v>
      </c>
      <c r="Q17" s="33">
        <v>0</v>
      </c>
      <c r="R17" s="31">
        <f>J17-O17</f>
        <v>0</v>
      </c>
      <c r="S17" s="34">
        <f>L17-Q17</f>
        <v>0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2116.2541572569453</v>
      </c>
      <c r="G19" s="31"/>
      <c r="H19" s="30"/>
      <c r="I19" s="30"/>
      <c r="J19" s="46"/>
      <c r="K19" s="30"/>
      <c r="L19" s="33">
        <v>1506.8799999999974</v>
      </c>
      <c r="M19" s="31"/>
      <c r="N19" s="33">
        <f>L19-F19</f>
        <v>-609.37415725694791</v>
      </c>
      <c r="O19" s="46"/>
      <c r="P19" s="30"/>
      <c r="Q19" s="33">
        <v>9495</v>
      </c>
      <c r="R19" s="31">
        <f>O19-K19</f>
        <v>0</v>
      </c>
      <c r="S19" s="34">
        <f>L19-Q19</f>
        <v>-7988.1200000000026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1360</v>
      </c>
      <c r="G21" s="41"/>
      <c r="H21" s="30"/>
      <c r="I21" s="30"/>
      <c r="J21" s="31"/>
      <c r="K21" s="30">
        <f>IF(J13=0,0,L21/(J13+J15))</f>
        <v>49.664399999999993</v>
      </c>
      <c r="L21" s="33">
        <v>1241.6099999999999</v>
      </c>
      <c r="M21" s="31"/>
      <c r="N21" s="33">
        <f>L21-F21</f>
        <v>-118.3900000000001</v>
      </c>
      <c r="O21" s="31"/>
      <c r="P21" s="30"/>
      <c r="Q21" s="33">
        <v>0</v>
      </c>
      <c r="R21" s="31">
        <f>O21-K21</f>
        <v>-49.664399999999993</v>
      </c>
      <c r="S21" s="34">
        <f>L21-Q21</f>
        <v>1241.6099999999999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16320</v>
      </c>
      <c r="G22" s="41"/>
      <c r="H22" s="30"/>
      <c r="I22" s="30"/>
      <c r="J22" s="31"/>
      <c r="K22" s="30">
        <f>IF(J13=0,0,L22/(J13+J15))</f>
        <v>1096.3848</v>
      </c>
      <c r="L22" s="33">
        <v>27409.620000000003</v>
      </c>
      <c r="M22" s="31"/>
      <c r="N22" s="33">
        <f>L22-F22</f>
        <v>11089.620000000003</v>
      </c>
      <c r="O22" s="31"/>
      <c r="P22" s="30"/>
      <c r="Q22" s="33">
        <v>21222</v>
      </c>
      <c r="R22" s="31">
        <f>O22-K22</f>
        <v>-1096.3848</v>
      </c>
      <c r="S22" s="34">
        <f>L22-Q22</f>
        <v>6187.6200000000026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7920</v>
      </c>
      <c r="G23" s="41"/>
      <c r="H23" s="30"/>
      <c r="I23" s="30"/>
      <c r="J23" s="31"/>
      <c r="K23" s="30">
        <f>IF(J13=0,0,L23/(J13+J15))</f>
        <v>460.32159999999988</v>
      </c>
      <c r="L23" s="33">
        <v>11508.039999999997</v>
      </c>
      <c r="M23" s="51"/>
      <c r="N23" s="33">
        <f>L23-F23</f>
        <v>3588.0399999999972</v>
      </c>
      <c r="O23" s="31"/>
      <c r="P23" s="30"/>
      <c r="Q23" s="33">
        <v>7444</v>
      </c>
      <c r="R23" s="31">
        <f>O23-K23</f>
        <v>-460.32159999999988</v>
      </c>
      <c r="S23" s="34">
        <f>L23-Q23</f>
        <v>4064.0399999999972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16</v>
      </c>
      <c r="E24" s="36">
        <f>IF(D24&lt;=0,0,F24/D24)</f>
        <v>1600</v>
      </c>
      <c r="F24" s="37">
        <f>F21+F22+F23</f>
        <v>25600</v>
      </c>
      <c r="G24" s="38"/>
      <c r="H24" s="36"/>
      <c r="I24" s="37"/>
      <c r="J24" s="38">
        <f>+J15+J13</f>
        <v>25</v>
      </c>
      <c r="K24" s="36">
        <f>IF(J24&lt;=0,0,L24/J24)</f>
        <v>1606.3708000000001</v>
      </c>
      <c r="L24" s="37">
        <f>L21+L22+L23</f>
        <v>40159.270000000004</v>
      </c>
      <c r="M24" s="58">
        <f>J24-D24</f>
        <v>9</v>
      </c>
      <c r="N24" s="37">
        <f>L24-F24</f>
        <v>14559.270000000004</v>
      </c>
      <c r="O24" s="38">
        <f>+O15+O13</f>
        <v>16</v>
      </c>
      <c r="P24" s="36">
        <f>IF(O24&lt;=0,0,Q24/O24)</f>
        <v>1791.625</v>
      </c>
      <c r="Q24" s="37">
        <f>Q21+Q22+Q23</f>
        <v>28666</v>
      </c>
      <c r="R24" s="56"/>
      <c r="S24" s="39">
        <f>L24-Q24</f>
        <v>11493.270000000004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0.56872148437500014</v>
      </c>
      <c r="O25" s="41"/>
      <c r="P25" s="13"/>
      <c r="Q25" s="59"/>
      <c r="R25" s="60"/>
      <c r="S25" s="44">
        <f>IF(Q24=0,0,(S24/Q24))</f>
        <v>0.40093734738017178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16</v>
      </c>
      <c r="E27" s="64">
        <f>IF(D27&lt;=0,0,F27/D27)</f>
        <v>6862.8239953673537</v>
      </c>
      <c r="F27" s="65">
        <f>F13+F17+F24+F19+F15</f>
        <v>109805.18392587766</v>
      </c>
      <c r="G27" s="66"/>
      <c r="H27" s="67"/>
      <c r="I27" s="65"/>
      <c r="J27" s="66">
        <f>+J13+J15+J17</f>
        <v>25</v>
      </c>
      <c r="K27" s="67">
        <f>IF(J27&lt;=0,0,L27/J27)</f>
        <v>7159.8524000000107</v>
      </c>
      <c r="L27" s="65">
        <f>L13+L17+L24+L19+L15</f>
        <v>178996.31000000026</v>
      </c>
      <c r="M27" s="66">
        <f>J27-D27</f>
        <v>9</v>
      </c>
      <c r="N27" s="65">
        <f>L27-F27</f>
        <v>69191.1260741226</v>
      </c>
      <c r="O27" s="66">
        <f>+O13+O15+O17</f>
        <v>16</v>
      </c>
      <c r="P27" s="67">
        <f>IF(O27&lt;=0,0,Q27/O27)</f>
        <v>5979.7962500000067</v>
      </c>
      <c r="Q27" s="65">
        <f>Q13+Q17+Q24+Q19+Q15</f>
        <v>95676.740000000107</v>
      </c>
      <c r="R27" s="66">
        <f>J27-O27</f>
        <v>9</v>
      </c>
      <c r="S27" s="68">
        <f>L27-Q27</f>
        <v>83319.570000000153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0.5625</v>
      </c>
      <c r="N28" s="74">
        <f>N27/F27</f>
        <v>0.63012622537774743</v>
      </c>
      <c r="O28" s="72"/>
      <c r="P28" s="70"/>
      <c r="Q28" s="71"/>
      <c r="R28" s="73">
        <f>R27/O27</f>
        <v>0.5625</v>
      </c>
      <c r="S28" s="75">
        <f>IF(Q27=0,0,S27/Q27)</f>
        <v>0.87084457518096936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0.30101931268609</v>
      </c>
      <c r="E31" s="82">
        <f t="shared" ref="E31:E36" si="12">F31/D$24</f>
        <v>1544.3970761304327</v>
      </c>
      <c r="F31" s="30">
        <v>24710.353218086922</v>
      </c>
      <c r="G31" s="157"/>
      <c r="H31" s="82"/>
      <c r="I31" s="30"/>
      <c r="J31" s="157">
        <f>L31/(L13+L15)</f>
        <v>0.26071519905023</v>
      </c>
      <c r="K31" s="82">
        <f t="shared" ref="K31:K36" si="13">IF(L31=0,0,L31/J$24)</f>
        <v>1432.1623999999999</v>
      </c>
      <c r="L31" s="30">
        <v>35804.06</v>
      </c>
      <c r="M31" s="41"/>
      <c r="N31" s="59">
        <f t="shared" ref="N31:N53" si="14">L31-F31</f>
        <v>11093.706781913075</v>
      </c>
      <c r="O31" s="157">
        <f>Q31/(Q13+Q15+Q17)</f>
        <v>0.38665641787795763</v>
      </c>
      <c r="P31" s="82">
        <f t="shared" ref="P31:P40" si="15">Q31/O$24</f>
        <v>1389.9268750000001</v>
      </c>
      <c r="Q31" s="33">
        <v>22238.83</v>
      </c>
      <c r="R31" s="41"/>
      <c r="S31" s="85">
        <f t="shared" ref="S31:S41" si="16">L31-Q31</f>
        <v>13565.229999999996</v>
      </c>
      <c r="T31" s="13"/>
      <c r="U31" s="13"/>
      <c r="V31" s="11" t="s">
        <v>268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0.25</v>
      </c>
      <c r="E32" s="88">
        <f t="shared" si="12"/>
        <v>400</v>
      </c>
      <c r="F32" s="22">
        <v>6400</v>
      </c>
      <c r="G32" s="162"/>
      <c r="H32" s="90"/>
      <c r="I32" s="22"/>
      <c r="J32" s="162">
        <f>L32/L24</f>
        <v>0.3329261214160516</v>
      </c>
      <c r="K32" s="88">
        <f t="shared" si="13"/>
        <v>534.80279999999993</v>
      </c>
      <c r="L32" s="22">
        <v>13370.07</v>
      </c>
      <c r="M32" s="23"/>
      <c r="N32" s="91">
        <f t="shared" si="14"/>
        <v>6970.07</v>
      </c>
      <c r="O32" s="162">
        <f>Q32/Q24</f>
        <v>0.25174422660992118</v>
      </c>
      <c r="P32" s="88">
        <f t="shared" si="15"/>
        <v>451.03125</v>
      </c>
      <c r="Q32" s="22">
        <v>7216.5</v>
      </c>
      <c r="R32" s="23"/>
      <c r="S32" s="92">
        <f t="shared" si="16"/>
        <v>6153.57</v>
      </c>
      <c r="T32" s="13"/>
      <c r="U32" s="13"/>
      <c r="V32" s="11" t="s">
        <v>269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2"/>
        <v>100</v>
      </c>
      <c r="F33" s="30">
        <v>1600</v>
      </c>
      <c r="G33" s="83"/>
      <c r="H33" s="82"/>
      <c r="I33" s="30"/>
      <c r="J33" s="41"/>
      <c r="K33" s="82">
        <f t="shared" si="13"/>
        <v>100.46719999999999</v>
      </c>
      <c r="L33" s="30">
        <v>2511.6799999999998</v>
      </c>
      <c r="M33" s="41"/>
      <c r="N33" s="59">
        <f t="shared" si="14"/>
        <v>911.67999999999984</v>
      </c>
      <c r="O33" s="41"/>
      <c r="P33" s="82">
        <f t="shared" si="15"/>
        <v>64.158124999999998</v>
      </c>
      <c r="Q33" s="33">
        <v>1026.53</v>
      </c>
      <c r="R33" s="41"/>
      <c r="S33" s="85">
        <f t="shared" si="16"/>
        <v>1485.1499999999999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2"/>
        <v>45</v>
      </c>
      <c r="F34" s="30">
        <v>720</v>
      </c>
      <c r="G34" s="83"/>
      <c r="H34" s="82"/>
      <c r="I34" s="30"/>
      <c r="J34" s="41"/>
      <c r="K34" s="82">
        <f t="shared" si="13"/>
        <v>37.722799999999999</v>
      </c>
      <c r="L34" s="30">
        <v>943.07</v>
      </c>
      <c r="M34" s="41"/>
      <c r="N34" s="59">
        <f t="shared" si="14"/>
        <v>223.07000000000005</v>
      </c>
      <c r="O34" s="41"/>
      <c r="P34" s="82">
        <f t="shared" si="15"/>
        <v>37.365000000000002</v>
      </c>
      <c r="Q34" s="33">
        <v>597.84</v>
      </c>
      <c r="R34" s="41"/>
      <c r="S34" s="85">
        <f t="shared" si="16"/>
        <v>345.23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2"/>
        <v>49.375</v>
      </c>
      <c r="F35" s="22">
        <v>790</v>
      </c>
      <c r="G35" s="89"/>
      <c r="H35" s="90"/>
      <c r="I35" s="22"/>
      <c r="J35" s="23"/>
      <c r="K35" s="88">
        <f t="shared" si="13"/>
        <v>83.334800000000001</v>
      </c>
      <c r="L35" s="22">
        <v>2083.37</v>
      </c>
      <c r="M35" s="23"/>
      <c r="N35" s="91">
        <f t="shared" si="14"/>
        <v>1293.3699999999999</v>
      </c>
      <c r="O35" s="23"/>
      <c r="P35" s="88">
        <f t="shared" si="15"/>
        <v>66.993750000000006</v>
      </c>
      <c r="Q35" s="33">
        <v>1071.9000000000001</v>
      </c>
      <c r="R35" s="23"/>
      <c r="S35" s="92">
        <f t="shared" si="16"/>
        <v>1011.4699999999998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2"/>
        <v>496.609375</v>
      </c>
      <c r="F36" s="30">
        <v>7945.75</v>
      </c>
      <c r="G36" s="83"/>
      <c r="H36" s="82"/>
      <c r="I36" s="30"/>
      <c r="J36" s="41"/>
      <c r="K36" s="82">
        <f t="shared" si="13"/>
        <v>813.90160000000003</v>
      </c>
      <c r="L36" s="506">
        <v>20347.54</v>
      </c>
      <c r="M36" s="13"/>
      <c r="N36" s="59">
        <f t="shared" si="14"/>
        <v>12401.79</v>
      </c>
      <c r="O36" s="41"/>
      <c r="P36" s="82">
        <f t="shared" si="15"/>
        <v>716.42375000000004</v>
      </c>
      <c r="Q36" s="55">
        <v>11462.78</v>
      </c>
      <c r="R36" s="41"/>
      <c r="S36" s="85">
        <f t="shared" si="16"/>
        <v>8884.76</v>
      </c>
      <c r="T36" s="13"/>
      <c r="U36" s="13"/>
      <c r="V36" s="11"/>
      <c r="W36" s="458" t="s">
        <v>256</v>
      </c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1448.9303613650695</v>
      </c>
      <c r="F37" s="30">
        <v>23182.885781841112</v>
      </c>
      <c r="G37" s="83"/>
      <c r="H37" s="82"/>
      <c r="I37" s="30"/>
      <c r="J37" s="41"/>
      <c r="K37" s="82">
        <f>IF(L37=0,0,L37/J$24)</f>
        <v>1073.2664</v>
      </c>
      <c r="L37" s="460">
        <v>26831.66</v>
      </c>
      <c r="M37" s="13"/>
      <c r="N37" s="59">
        <f t="shared" si="14"/>
        <v>3648.7742181588874</v>
      </c>
      <c r="O37" s="41"/>
      <c r="P37" s="82">
        <f t="shared" si="15"/>
        <v>1012.295625</v>
      </c>
      <c r="Q37" s="33">
        <v>16196.73</v>
      </c>
      <c r="R37" s="41"/>
      <c r="S37" s="85">
        <f>L37-Q37</f>
        <v>10634.93</v>
      </c>
      <c r="T37" s="13"/>
      <c r="U37" s="13"/>
      <c r="V37" s="458">
        <v>26832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4"/>
        <v>0</v>
      </c>
      <c r="O38" s="41"/>
      <c r="P38" s="82">
        <f t="shared" si="15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4"/>
        <v>0</v>
      </c>
      <c r="O39" s="41"/>
      <c r="P39" s="82">
        <f t="shared" si="15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119" si="17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4"/>
        <v>0</v>
      </c>
      <c r="O40" s="41"/>
      <c r="P40" s="82">
        <f t="shared" si="15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7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0.59513573643336259</v>
      </c>
      <c r="F41" s="96">
        <f>SUM(F31:F40)</f>
        <v>65348.988999928035</v>
      </c>
      <c r="G41" s="97"/>
      <c r="H41" s="95"/>
      <c r="I41" s="96"/>
      <c r="J41" s="97" t="s">
        <v>38</v>
      </c>
      <c r="K41" s="95">
        <f>L41/L$27</f>
        <v>0.56923771221875952</v>
      </c>
      <c r="L41" s="96">
        <f>SUM(L31:L40)</f>
        <v>101891.45000000001</v>
      </c>
      <c r="M41" s="98"/>
      <c r="N41" s="96">
        <f t="shared" si="14"/>
        <v>36542.461000071977</v>
      </c>
      <c r="O41" s="97" t="s">
        <v>38</v>
      </c>
      <c r="P41" s="95">
        <f>Q41/Q$27</f>
        <v>0.62513741584422644</v>
      </c>
      <c r="Q41" s="99">
        <f>SUM(Q31:Q40)</f>
        <v>59811.11</v>
      </c>
      <c r="R41" s="100"/>
      <c r="S41" s="101">
        <f t="shared" ref="S41:S51" si="18">L41-Q41</f>
        <v>42080.340000000011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7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12551.695547073792</v>
      </c>
      <c r="G42" s="41"/>
      <c r="H42" s="13"/>
      <c r="I42" s="30"/>
      <c r="J42" s="41"/>
      <c r="K42" s="13"/>
      <c r="L42" s="33">
        <v>10172.200000000001</v>
      </c>
      <c r="M42" s="41"/>
      <c r="N42" s="59">
        <f t="shared" si="14"/>
        <v>-2379.4955470737914</v>
      </c>
      <c r="O42" s="41"/>
      <c r="P42" s="13"/>
      <c r="Q42" s="33">
        <v>14450.43</v>
      </c>
      <c r="R42" s="41"/>
      <c r="S42" s="85">
        <f t="shared" si="18"/>
        <v>-4278.2299999999996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7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8725.6839694656483</v>
      </c>
      <c r="G43" s="83"/>
      <c r="H43" s="13"/>
      <c r="I43" s="22"/>
      <c r="J43" s="41"/>
      <c r="K43" s="13"/>
      <c r="L43" s="33">
        <v>10762.7</v>
      </c>
      <c r="M43" s="41"/>
      <c r="N43" s="59">
        <f t="shared" si="14"/>
        <v>2037.0160305343525</v>
      </c>
      <c r="O43" s="41"/>
      <c r="P43" s="13"/>
      <c r="Q43" s="33">
        <v>5380.06</v>
      </c>
      <c r="R43" s="41"/>
      <c r="S43" s="85">
        <f t="shared" si="18"/>
        <v>5382.64</v>
      </c>
      <c r="T43" s="13"/>
      <c r="U43" s="13"/>
      <c r="V43" s="11" t="s">
        <v>257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7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4"/>
        <v>0</v>
      </c>
      <c r="O44" s="107"/>
      <c r="P44" s="105"/>
      <c r="Q44" s="108">
        <v>342</v>
      </c>
      <c r="R44" s="107"/>
      <c r="S44" s="110">
        <f t="shared" si="18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7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4"/>
        <v>0</v>
      </c>
      <c r="O45" s="41"/>
      <c r="P45" s="13"/>
      <c r="Q45" s="33">
        <v>0</v>
      </c>
      <c r="R45" s="41"/>
      <c r="S45" s="85">
        <f t="shared" si="18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4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4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4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128" si="19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6515.0070075733447</v>
      </c>
      <c r="G49" s="83"/>
      <c r="H49" s="13"/>
      <c r="I49" s="22"/>
      <c r="J49" s="41"/>
      <c r="K49" s="13"/>
      <c r="L49" s="22">
        <v>11874.64</v>
      </c>
      <c r="M49" s="41"/>
      <c r="N49" s="59">
        <f t="shared" si="14"/>
        <v>5359.6329924266547</v>
      </c>
      <c r="O49" s="41"/>
      <c r="P49" s="13"/>
      <c r="Q49" s="22">
        <v>10714.98</v>
      </c>
      <c r="R49" s="41"/>
      <c r="S49" s="85">
        <f t="shared" ref="S49:S60" si="20">L49-Q49</f>
        <v>1159.6599999999999</v>
      </c>
      <c r="T49" s="13"/>
      <c r="U49" s="13"/>
      <c r="V49" s="13" t="s">
        <v>270</v>
      </c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9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7737.4292640892136</v>
      </c>
      <c r="G50" s="106"/>
      <c r="H50" s="105"/>
      <c r="I50" s="30"/>
      <c r="J50" s="107"/>
      <c r="K50" s="105"/>
      <c r="L50" s="33">
        <v>5824.81</v>
      </c>
      <c r="M50" s="107"/>
      <c r="N50" s="109">
        <f t="shared" si="14"/>
        <v>-1912.6192640892132</v>
      </c>
      <c r="O50" s="107"/>
      <c r="P50" s="105"/>
      <c r="Q50" s="33">
        <v>7044.12</v>
      </c>
      <c r="R50" s="107"/>
      <c r="S50" s="110">
        <f t="shared" si="20"/>
        <v>-1219.3099999999995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9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3690.1585721040865</v>
      </c>
      <c r="G51" s="83"/>
      <c r="H51" s="13"/>
      <c r="I51" s="30"/>
      <c r="J51" s="41"/>
      <c r="K51" s="13"/>
      <c r="L51" s="33">
        <v>6289</v>
      </c>
      <c r="M51" s="41"/>
      <c r="N51" s="59">
        <f t="shared" si="14"/>
        <v>2598.8414278959135</v>
      </c>
      <c r="O51" s="41"/>
      <c r="P51" s="13"/>
      <c r="Q51" s="33">
        <v>3579.97</v>
      </c>
      <c r="R51" s="41"/>
      <c r="S51" s="85">
        <f t="shared" si="20"/>
        <v>2709.03</v>
      </c>
      <c r="T51" s="13"/>
      <c r="U51" s="13"/>
      <c r="V51" s="13" t="s">
        <v>271</v>
      </c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9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833.26161305576147</v>
      </c>
      <c r="G52" s="83"/>
      <c r="H52" s="13"/>
      <c r="I52" s="30"/>
      <c r="J52" s="41"/>
      <c r="K52" s="13"/>
      <c r="L52" s="33">
        <v>124.53</v>
      </c>
      <c r="M52" s="41"/>
      <c r="N52" s="59">
        <f t="shared" si="14"/>
        <v>-708.7316130557615</v>
      </c>
      <c r="O52" s="41"/>
      <c r="P52" s="13"/>
      <c r="Q52" s="33">
        <v>337.41</v>
      </c>
      <c r="R52" s="41"/>
      <c r="S52" s="85">
        <f t="shared" si="20"/>
        <v>-212.88000000000002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9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4"/>
        <v>0</v>
      </c>
      <c r="O53" s="23"/>
      <c r="P53" s="111"/>
      <c r="Q53" s="33">
        <v>0</v>
      </c>
      <c r="R53" s="23"/>
      <c r="S53" s="92">
        <f t="shared" si="20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9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0.36788095542583898</v>
      </c>
      <c r="F54" s="96">
        <f>+SUM(F42:F53)</f>
        <v>40395.23597336185</v>
      </c>
      <c r="G54" s="97"/>
      <c r="H54" s="95"/>
      <c r="I54" s="96"/>
      <c r="J54" s="97" t="s">
        <v>38</v>
      </c>
      <c r="K54" s="95">
        <f>L54/L$27</f>
        <v>0.25357997603414245</v>
      </c>
      <c r="L54" s="96">
        <f>+SUM(L42:L53)</f>
        <v>45389.88</v>
      </c>
      <c r="M54" s="100"/>
      <c r="N54" s="96">
        <f>+SUM(N42:N53)</f>
        <v>4994.6440266381542</v>
      </c>
      <c r="O54" s="97" t="s">
        <v>38</v>
      </c>
      <c r="P54" s="95">
        <f>Q54/Q$27</f>
        <v>0.43739962293865742</v>
      </c>
      <c r="Q54" s="96">
        <f>+SUM(Q42:Q53)</f>
        <v>41848.970000000008</v>
      </c>
      <c r="R54" s="100"/>
      <c r="S54" s="101">
        <f>+SUM(S42:S53)</f>
        <v>3540.9100000000012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9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21">L55-F55</f>
        <v>0</v>
      </c>
      <c r="O55" s="41"/>
      <c r="P55" s="13"/>
      <c r="Q55" s="33">
        <v>0</v>
      </c>
      <c r="R55" s="41"/>
      <c r="S55" s="85">
        <f t="shared" ref="S55:S71" si="22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9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1"/>
        <v>0</v>
      </c>
      <c r="O56" s="41"/>
      <c r="P56" s="13"/>
      <c r="Q56" s="33">
        <v>0</v>
      </c>
      <c r="R56" s="41"/>
      <c r="S56" s="85">
        <f t="shared" si="22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9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5080.0833333333339</v>
      </c>
      <c r="G57" s="89"/>
      <c r="H57" s="111"/>
      <c r="I57" s="22"/>
      <c r="J57" s="23"/>
      <c r="K57" s="111"/>
      <c r="L57" s="22">
        <v>8154.36</v>
      </c>
      <c r="M57" s="23"/>
      <c r="N57" s="91">
        <f t="shared" si="21"/>
        <v>3074.2766666666657</v>
      </c>
      <c r="O57" s="23"/>
      <c r="P57" s="111"/>
      <c r="Q57" s="22">
        <v>4352.12</v>
      </c>
      <c r="R57" s="23"/>
      <c r="S57" s="92">
        <f t="shared" si="22"/>
        <v>3802.24</v>
      </c>
      <c r="T57" s="112"/>
      <c r="U57" s="13"/>
      <c r="V57" s="11" t="s">
        <v>247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9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4993.05</v>
      </c>
      <c r="G58" s="83"/>
      <c r="H58" s="13"/>
      <c r="I58" s="30"/>
      <c r="J58" s="41"/>
      <c r="K58" s="13"/>
      <c r="L58" s="33">
        <v>4494.42</v>
      </c>
      <c r="M58" s="41"/>
      <c r="N58" s="59">
        <f t="shared" si="21"/>
        <v>-498.63000000000011</v>
      </c>
      <c r="O58" s="41"/>
      <c r="P58" s="13"/>
      <c r="Q58" s="33">
        <v>4877.37</v>
      </c>
      <c r="R58" s="41"/>
      <c r="S58" s="85">
        <f t="shared" si="22"/>
        <v>-382.94999999999982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9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822.6</v>
      </c>
      <c r="G59" s="83"/>
      <c r="H59" s="13"/>
      <c r="I59" s="30"/>
      <c r="J59" s="41"/>
      <c r="K59" s="13"/>
      <c r="L59" s="33">
        <v>1127.21</v>
      </c>
      <c r="M59" s="41"/>
      <c r="N59" s="59">
        <f t="shared" si="21"/>
        <v>304.61</v>
      </c>
      <c r="O59" s="41"/>
      <c r="P59" s="13"/>
      <c r="Q59" s="33">
        <v>1550.58</v>
      </c>
      <c r="R59" s="41"/>
      <c r="S59" s="85">
        <f t="shared" si="22"/>
        <v>-423.36999999999989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9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2754.4500000000003</v>
      </c>
      <c r="G60" s="89"/>
      <c r="H60" s="111"/>
      <c r="I60" s="22"/>
      <c r="J60" s="23"/>
      <c r="K60" s="111"/>
      <c r="L60" s="22">
        <v>3002.62</v>
      </c>
      <c r="M60" s="23"/>
      <c r="N60" s="91">
        <f t="shared" si="21"/>
        <v>248.16999999999962</v>
      </c>
      <c r="O60" s="23"/>
      <c r="P60" s="111"/>
      <c r="Q60" s="22">
        <v>2580.81</v>
      </c>
      <c r="R60" s="23"/>
      <c r="S60" s="92">
        <f t="shared" si="22"/>
        <v>421.80999999999995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9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50</v>
      </c>
      <c r="G61" s="83"/>
      <c r="H61" s="13"/>
      <c r="I61" s="30"/>
      <c r="J61" s="41"/>
      <c r="K61" s="13"/>
      <c r="L61" s="33">
        <v>486.48</v>
      </c>
      <c r="M61" s="41"/>
      <c r="N61" s="59">
        <f t="shared" si="21"/>
        <v>436.48</v>
      </c>
      <c r="O61" s="41"/>
      <c r="P61" s="13"/>
      <c r="Q61" s="33">
        <v>0</v>
      </c>
      <c r="R61" s="41"/>
      <c r="S61" s="85">
        <f t="shared" si="22"/>
        <v>486.48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9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15</v>
      </c>
      <c r="G62" s="83"/>
      <c r="H62" s="13"/>
      <c r="I62" s="30"/>
      <c r="J62" s="41"/>
      <c r="K62" s="13"/>
      <c r="L62" s="33">
        <v>0</v>
      </c>
      <c r="M62" s="41"/>
      <c r="N62" s="59">
        <f t="shared" si="21"/>
        <v>-15</v>
      </c>
      <c r="O62" s="41"/>
      <c r="P62" s="13"/>
      <c r="Q62" s="33">
        <v>0</v>
      </c>
      <c r="R62" s="41"/>
      <c r="S62" s="85">
        <f t="shared" si="22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9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787.5</v>
      </c>
      <c r="G63" s="83"/>
      <c r="H63" s="13"/>
      <c r="I63" s="30"/>
      <c r="J63" s="41"/>
      <c r="K63" s="13"/>
      <c r="L63" s="32">
        <v>483.35</v>
      </c>
      <c r="M63" s="41"/>
      <c r="N63" s="59">
        <f t="shared" si="21"/>
        <v>-304.14999999999998</v>
      </c>
      <c r="O63" s="41"/>
      <c r="P63" s="13"/>
      <c r="Q63" s="32">
        <v>329.54</v>
      </c>
      <c r="R63" s="41"/>
      <c r="S63" s="85">
        <f t="shared" si="22"/>
        <v>153.81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9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190.85</v>
      </c>
      <c r="M64" s="41"/>
      <c r="N64" s="59">
        <f t="shared" si="21"/>
        <v>-19.550000000000011</v>
      </c>
      <c r="O64" s="41"/>
      <c r="P64" s="13"/>
      <c r="Q64" s="33">
        <v>220.11</v>
      </c>
      <c r="R64" s="41"/>
      <c r="S64" s="85">
        <f t="shared" si="22"/>
        <v>-29.260000000000019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9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225</v>
      </c>
      <c r="G65" s="83"/>
      <c r="H65" s="13"/>
      <c r="I65" s="30"/>
      <c r="J65" s="41"/>
      <c r="K65" s="13"/>
      <c r="L65" s="33">
        <v>242.21</v>
      </c>
      <c r="M65" s="41"/>
      <c r="N65" s="59">
        <f t="shared" si="21"/>
        <v>17.210000000000008</v>
      </c>
      <c r="O65" s="41"/>
      <c r="P65" s="13"/>
      <c r="Q65" s="33">
        <v>537.78</v>
      </c>
      <c r="R65" s="41"/>
      <c r="S65" s="85">
        <f t="shared" si="22"/>
        <v>-295.56999999999994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9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836.1</v>
      </c>
      <c r="G66" s="83"/>
      <c r="H66" s="13"/>
      <c r="I66" s="30"/>
      <c r="J66" s="41"/>
      <c r="K66" s="13"/>
      <c r="L66" s="33">
        <v>733.95</v>
      </c>
      <c r="M66" s="41"/>
      <c r="N66" s="59">
        <f t="shared" si="21"/>
        <v>-102.14999999999998</v>
      </c>
      <c r="O66" s="41"/>
      <c r="P66" s="13"/>
      <c r="Q66" s="33">
        <v>953.63</v>
      </c>
      <c r="R66" s="41"/>
      <c r="S66" s="85">
        <f t="shared" si="22"/>
        <v>-219.67999999999995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482.16381333333317</v>
      </c>
      <c r="G67" s="83"/>
      <c r="H67" s="13"/>
      <c r="I67" s="30"/>
      <c r="J67" s="41"/>
      <c r="K67" s="13"/>
      <c r="L67" s="59">
        <v>331.76</v>
      </c>
      <c r="M67" s="41"/>
      <c r="N67" s="59">
        <f t="shared" si="21"/>
        <v>-150.40381333333318</v>
      </c>
      <c r="O67" s="41"/>
      <c r="P67" s="13"/>
      <c r="Q67" s="33">
        <v>867.64</v>
      </c>
      <c r="R67" s="41"/>
      <c r="S67" s="85">
        <f>L67-Q67</f>
        <v>-535.88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1771.5186237746566</v>
      </c>
      <c r="G68" s="83"/>
      <c r="H68" s="13"/>
      <c r="I68" s="30"/>
      <c r="J68" s="41"/>
      <c r="K68" s="13"/>
      <c r="L68" s="32">
        <v>2556.62</v>
      </c>
      <c r="M68" s="41"/>
      <c r="N68" s="59">
        <f t="shared" si="21"/>
        <v>785.1013762253433</v>
      </c>
      <c r="O68" s="41"/>
      <c r="P68" s="13"/>
      <c r="Q68" s="33">
        <v>1585.13</v>
      </c>
      <c r="R68" s="41"/>
      <c r="S68" s="85">
        <f>L68-Q68</f>
        <v>971.48999999999978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1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149" si="23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1"/>
        <v>0</v>
      </c>
      <c r="O70" s="41"/>
      <c r="P70" s="13"/>
      <c r="Q70" s="33">
        <v>0</v>
      </c>
      <c r="R70" s="41"/>
      <c r="S70" s="85">
        <f t="shared" ref="S70:S86" si="24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3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1"/>
        <v>0</v>
      </c>
      <c r="O71" s="41"/>
      <c r="P71" s="13"/>
      <c r="Q71" s="33"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3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0.16418046148541374</v>
      </c>
      <c r="F72" s="96">
        <f>+SUM(F55:F71)</f>
        <v>18027.865770441327</v>
      </c>
      <c r="G72" s="97"/>
      <c r="H72" s="95"/>
      <c r="I72" s="96"/>
      <c r="J72" s="97" t="s">
        <v>38</v>
      </c>
      <c r="K72" s="95">
        <f>L72/L$27</f>
        <v>0.12181161723389694</v>
      </c>
      <c r="L72" s="96">
        <f>+SUM(L55:L71)</f>
        <v>21803.829999999991</v>
      </c>
      <c r="M72" s="100"/>
      <c r="N72" s="96">
        <f>+SUM(N55:N71)</f>
        <v>3775.964229558675</v>
      </c>
      <c r="O72" s="97" t="s">
        <v>38</v>
      </c>
      <c r="P72" s="95">
        <f>Q72/Q$27</f>
        <v>0.18661494946420604</v>
      </c>
      <c r="Q72" s="96">
        <f>+SUM(Q55:Q71)</f>
        <v>17854.71</v>
      </c>
      <c r="R72" s="100"/>
      <c r="S72" s="101">
        <f>+SUM(S55:S71)</f>
        <v>3949.1199999999994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3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3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1.1271971533446155</v>
      </c>
      <c r="F74" s="96">
        <f>F41+F54+F72</f>
        <v>123772.09074373121</v>
      </c>
      <c r="G74" s="97"/>
      <c r="H74" s="95"/>
      <c r="I74" s="96"/>
      <c r="J74" s="97" t="s">
        <v>38</v>
      </c>
      <c r="K74" s="95">
        <f>L74/L$27</f>
        <v>0.94462930548679891</v>
      </c>
      <c r="L74" s="96">
        <f>L41+L54+L72</f>
        <v>169085.16</v>
      </c>
      <c r="M74" s="100"/>
      <c r="N74" s="113">
        <f t="shared" ref="N74:N82" si="25">L74-F74</f>
        <v>45313.069256268791</v>
      </c>
      <c r="O74" s="97" t="s">
        <v>38</v>
      </c>
      <c r="P74" s="95">
        <f>Q74/Q$27</f>
        <v>1.2491519882470898</v>
      </c>
      <c r="Q74" s="96">
        <f>Q41+Q54+Q72</f>
        <v>119514.79000000001</v>
      </c>
      <c r="R74" s="100"/>
      <c r="S74" s="114">
        <f>L74-Q74</f>
        <v>49570.369999999995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3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23296.70646153847</v>
      </c>
      <c r="G75" s="83"/>
      <c r="H75" s="13"/>
      <c r="I75" s="30"/>
      <c r="J75" s="41"/>
      <c r="K75" s="13"/>
      <c r="L75" s="32">
        <v>31920</v>
      </c>
      <c r="M75" s="41"/>
      <c r="N75" s="59">
        <f t="shared" si="25"/>
        <v>8623.2935384615303</v>
      </c>
      <c r="O75" s="41"/>
      <c r="P75" s="13"/>
      <c r="Q75" s="32">
        <v>27413</v>
      </c>
      <c r="R75" s="41"/>
      <c r="S75" s="85">
        <f>L75-Q75</f>
        <v>4507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3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5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3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5"/>
        <v>0</v>
      </c>
      <c r="O77" s="41"/>
      <c r="P77" s="13"/>
      <c r="Q77" s="32">
        <v>0</v>
      </c>
      <c r="R77" s="41"/>
      <c r="S77" s="85">
        <f t="shared" ref="S77:S82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3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26624.807384615393</v>
      </c>
      <c r="G78" s="83"/>
      <c r="H78" s="13"/>
      <c r="I78" s="30"/>
      <c r="J78" s="41"/>
      <c r="K78" s="13"/>
      <c r="L78" s="33">
        <v>44065</v>
      </c>
      <c r="M78" s="41"/>
      <c r="N78" s="59">
        <f t="shared" si="25"/>
        <v>17440.192615384607</v>
      </c>
      <c r="O78" s="41"/>
      <c r="P78" s="13"/>
      <c r="Q78" s="32">
        <v>35555.9</v>
      </c>
      <c r="R78" s="41"/>
      <c r="S78" s="85">
        <f t="shared" si="26"/>
        <v>8509.0999999999985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5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5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5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161" si="27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9424.7999999999993</v>
      </c>
      <c r="G82" s="83"/>
      <c r="H82" s="13"/>
      <c r="I82" s="30"/>
      <c r="J82" s="41"/>
      <c r="K82" s="13"/>
      <c r="L82" s="32">
        <v>14875</v>
      </c>
      <c r="M82" s="41"/>
      <c r="N82" s="59">
        <f t="shared" si="25"/>
        <v>5450.2000000000007</v>
      </c>
      <c r="O82" s="41"/>
      <c r="P82" s="13"/>
      <c r="Q82" s="32">
        <v>9520</v>
      </c>
      <c r="R82" s="41"/>
      <c r="S82" s="85">
        <f t="shared" ref="S82:S87" si="28">L82-Q82</f>
        <v>5355</v>
      </c>
      <c r="T82" s="13"/>
      <c r="U82" s="13"/>
      <c r="V82" s="11">
        <f>L82/595</f>
        <v>25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7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59346.313846153862</v>
      </c>
      <c r="G83" s="97"/>
      <c r="H83" s="95"/>
      <c r="I83" s="96"/>
      <c r="J83" s="97"/>
      <c r="K83" s="95"/>
      <c r="L83" s="96">
        <f>+SUM(L75:L82)</f>
        <v>90860</v>
      </c>
      <c r="M83" s="100"/>
      <c r="N83" s="96">
        <f>+SUM(N75:N82)</f>
        <v>31513.686153846138</v>
      </c>
      <c r="O83" s="97"/>
      <c r="P83" s="95"/>
      <c r="Q83" s="96">
        <f>+SUM(Q75:Q82)</f>
        <v>72488.899999999994</v>
      </c>
      <c r="R83" s="100"/>
      <c r="S83" s="101">
        <f>+SUM(S75:S82)</f>
        <v>18371.099999999999</v>
      </c>
      <c r="T83" s="13"/>
      <c r="U83" s="13"/>
      <c r="V83" s="11"/>
      <c r="W83" s="11" t="s">
        <v>242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7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7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45379.407028300309</v>
      </c>
      <c r="G85" s="128"/>
      <c r="H85" s="126"/>
      <c r="I85" s="127"/>
      <c r="J85" s="128"/>
      <c r="K85" s="125"/>
      <c r="L85" s="127">
        <f>L27-L74+L83</f>
        <v>100771.15000000026</v>
      </c>
      <c r="M85" s="128"/>
      <c r="N85" s="127">
        <f>N27-N41-N54-N72+N83</f>
        <v>55391.742971699932</v>
      </c>
      <c r="O85" s="128"/>
      <c r="P85" s="125"/>
      <c r="Q85" s="127">
        <f>Q27-Q74+Q83</f>
        <v>48650.850000000093</v>
      </c>
      <c r="R85" s="128"/>
      <c r="S85" s="129">
        <f>S27-S41-S54-S72+S83</f>
        <v>52120.300000000134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Décembre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96" t="s">
        <v>5</v>
      </c>
      <c r="E91" s="497"/>
      <c r="F91" s="498"/>
      <c r="G91" s="499"/>
      <c r="H91" s="497"/>
      <c r="I91" s="498"/>
      <c r="J91" s="499" t="s">
        <v>7</v>
      </c>
      <c r="K91" s="497"/>
      <c r="L91" s="498"/>
      <c r="M91" s="499" t="s">
        <v>213</v>
      </c>
      <c r="N91" s="498"/>
      <c r="O91" s="496" t="s">
        <v>8</v>
      </c>
      <c r="P91" s="497"/>
      <c r="Q91" s="498"/>
      <c r="R91" s="494" t="s">
        <v>214</v>
      </c>
      <c r="S91" s="495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9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786448.27586206899</v>
      </c>
      <c r="G93" s="46"/>
      <c r="H93" s="25"/>
      <c r="I93" s="22"/>
      <c r="J93" s="23"/>
      <c r="K93" s="25"/>
      <c r="L93" s="22">
        <v>1409394.12</v>
      </c>
      <c r="M93" s="137"/>
      <c r="N93" s="138"/>
      <c r="O93" s="23"/>
      <c r="P93" s="25"/>
      <c r="Q93" s="22">
        <v>770592.27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9"/>
        <v>Véhicules usagésCertifié</v>
      </c>
      <c r="B94" s="11" t="s">
        <v>70</v>
      </c>
      <c r="C94" s="29" t="s">
        <v>72</v>
      </c>
      <c r="D94" s="30">
        <v>3</v>
      </c>
      <c r="E94" s="30">
        <f>IF(D94=0,0,F94/D94)</f>
        <v>3000</v>
      </c>
      <c r="F94" s="30">
        <v>9000</v>
      </c>
      <c r="G94" s="31"/>
      <c r="H94" s="30"/>
      <c r="I94" s="30"/>
      <c r="J94" s="31">
        <v>5</v>
      </c>
      <c r="K94" s="30">
        <f>IF(J94=0,0,L94/J94)</f>
        <v>2218.5900000000024</v>
      </c>
      <c r="L94" s="33">
        <v>11092.950000000012</v>
      </c>
      <c r="M94" s="31">
        <f>J94-D94</f>
        <v>2</v>
      </c>
      <c r="N94" s="33">
        <f>L94-F94</f>
        <v>2092.9500000000116</v>
      </c>
      <c r="O94" s="31">
        <v>7</v>
      </c>
      <c r="P94" s="30">
        <f t="shared" ref="P94:P96" si="30">IF(O94=0,0,Q94/O94)</f>
        <v>511.65000000000146</v>
      </c>
      <c r="Q94" s="33">
        <v>3581.5500000000102</v>
      </c>
      <c r="R94" s="31">
        <f>J94-O94</f>
        <v>-2</v>
      </c>
      <c r="S94" s="34">
        <f>L94-Q94</f>
        <v>7511.4000000000015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9"/>
        <v>Véhicules usagésNon Certifié</v>
      </c>
      <c r="B95" s="11" t="s">
        <v>70</v>
      </c>
      <c r="C95" s="29" t="s">
        <v>73</v>
      </c>
      <c r="D95" s="30">
        <v>3</v>
      </c>
      <c r="E95" s="30">
        <f t="shared" ref="E95:E105" si="31">IF(D95=0,0,F95/D95)</f>
        <v>2200</v>
      </c>
      <c r="F95" s="30">
        <v>6600</v>
      </c>
      <c r="G95" s="31"/>
      <c r="H95" s="30"/>
      <c r="I95" s="30"/>
      <c r="J95" s="31">
        <v>7</v>
      </c>
      <c r="K95" s="30">
        <f>IF(J95=0,0,L95/J95)</f>
        <v>-183.16857142857043</v>
      </c>
      <c r="L95" s="32">
        <v>-1282.179999999993</v>
      </c>
      <c r="M95" s="31">
        <f>J95-D95</f>
        <v>4</v>
      </c>
      <c r="N95" s="33">
        <f>L95-F95</f>
        <v>-7882.179999999993</v>
      </c>
      <c r="O95" s="31">
        <v>6</v>
      </c>
      <c r="P95" s="30">
        <f t="shared" si="30"/>
        <v>957.59166666666169</v>
      </c>
      <c r="Q95" s="32">
        <v>5745.5499999999702</v>
      </c>
      <c r="R95" s="31">
        <f>J95-O95</f>
        <v>1</v>
      </c>
      <c r="S95" s="34">
        <f>L95-Q95</f>
        <v>-7027.7299999999632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9"/>
        <v>Véhicules usagésAutres marques</v>
      </c>
      <c r="B96" s="11" t="s">
        <v>70</v>
      </c>
      <c r="C96" s="29" t="s">
        <v>207</v>
      </c>
      <c r="D96" s="30">
        <v>4</v>
      </c>
      <c r="E96" s="25">
        <f t="shared" si="31"/>
        <v>1850</v>
      </c>
      <c r="F96" s="30">
        <v>7400</v>
      </c>
      <c r="G96" s="31"/>
      <c r="H96" s="30"/>
      <c r="I96" s="30"/>
      <c r="J96" s="31">
        <v>1</v>
      </c>
      <c r="K96" s="30">
        <f>IF(J96=0,0,L96/J96)</f>
        <v>500</v>
      </c>
      <c r="L96" s="32">
        <v>500</v>
      </c>
      <c r="M96" s="31">
        <f>J96-D96</f>
        <v>-3</v>
      </c>
      <c r="N96" s="33">
        <f>L96-F96</f>
        <v>-6900</v>
      </c>
      <c r="O96" s="31">
        <v>0</v>
      </c>
      <c r="P96" s="30">
        <f t="shared" si="30"/>
        <v>0</v>
      </c>
      <c r="Q96" s="32">
        <v>0</v>
      </c>
      <c r="R96" s="31">
        <f>J96-O96</f>
        <v>1</v>
      </c>
      <c r="S96" s="34">
        <f>L96-Q96</f>
        <v>500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9"/>
        <v>Véhicules usagésTotal Usagés</v>
      </c>
      <c r="B97" s="11" t="s">
        <v>70</v>
      </c>
      <c r="C97" s="35" t="s">
        <v>74</v>
      </c>
      <c r="D97" s="36">
        <f>+D95+D94+D96</f>
        <v>10</v>
      </c>
      <c r="E97" s="30">
        <f t="shared" si="31"/>
        <v>2300</v>
      </c>
      <c r="F97" s="37">
        <f>+F94+F95+F96</f>
        <v>23000</v>
      </c>
      <c r="G97" s="38"/>
      <c r="H97" s="36"/>
      <c r="I97" s="37"/>
      <c r="J97" s="38">
        <f>+J94+J95+J96</f>
        <v>13</v>
      </c>
      <c r="K97" s="36">
        <f>IF(J97&lt;=0,0,L97/J97)</f>
        <v>793.13615384615525</v>
      </c>
      <c r="L97" s="37">
        <f>+L94+L95+L96</f>
        <v>10310.770000000019</v>
      </c>
      <c r="M97" s="38">
        <f>J97-D97</f>
        <v>3</v>
      </c>
      <c r="N97" s="37">
        <f>L97-F97</f>
        <v>-12689.229999999981</v>
      </c>
      <c r="O97" s="38">
        <f>+O95+O94+O96</f>
        <v>13</v>
      </c>
      <c r="P97" s="36">
        <f>IF(O97=0,0,Q97/O97)</f>
        <v>717.46923076922928</v>
      </c>
      <c r="Q97" s="37">
        <f>+Q94+Q95+Q96</f>
        <v>9327.0999999999804</v>
      </c>
      <c r="R97" s="38">
        <f>R94+R95</f>
        <v>-1</v>
      </c>
      <c r="S97" s="39">
        <f>S94+S95</f>
        <v>483.67000000003827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9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0.3</v>
      </c>
      <c r="N98" s="43">
        <f>N97/F97</f>
        <v>-0.55170565217391221</v>
      </c>
      <c r="O98" s="41"/>
      <c r="P98" s="13"/>
      <c r="Q98" s="40"/>
      <c r="R98" s="42">
        <f>R97/O97</f>
        <v>-7.6923076923076927E-2</v>
      </c>
      <c r="S98" s="44">
        <f>IF(Q97=0,0,(S97/Q97))</f>
        <v>5.1856418393717157E-2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9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9"/>
        <v>Véhicules usagésVentes au Gros</v>
      </c>
      <c r="B100" s="11" t="s">
        <v>70</v>
      </c>
      <c r="C100" s="29" t="s">
        <v>75</v>
      </c>
      <c r="D100" s="30">
        <v>11</v>
      </c>
      <c r="E100" s="30">
        <f t="shared" si="31"/>
        <v>375</v>
      </c>
      <c r="F100" s="30">
        <v>4125</v>
      </c>
      <c r="G100" s="31"/>
      <c r="H100" s="30"/>
      <c r="I100" s="30"/>
      <c r="J100" s="31">
        <v>23</v>
      </c>
      <c r="K100" s="30">
        <f>IF(J100=0,0,L100/J100)</f>
        <v>509.69086956521801</v>
      </c>
      <c r="L100" s="33">
        <v>11722.890000000014</v>
      </c>
      <c r="M100" s="31">
        <f>J100-D100</f>
        <v>12</v>
      </c>
      <c r="N100" s="33">
        <f>L100-F100</f>
        <v>7597.890000000014</v>
      </c>
      <c r="O100" s="31">
        <v>6</v>
      </c>
      <c r="P100" s="30">
        <f>IF(O100=0,0,Q100/O100)</f>
        <v>233.35</v>
      </c>
      <c r="Q100" s="33">
        <v>1400.1</v>
      </c>
      <c r="R100" s="31">
        <f>J100-O100</f>
        <v>17</v>
      </c>
      <c r="S100" s="34">
        <f>L100-Q100</f>
        <v>10322.790000000014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9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9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12" si="32">IF(D102=0,0,F102/D102)</f>
        <v>0</v>
      </c>
      <c r="F102" s="33">
        <v>6000</v>
      </c>
      <c r="G102" s="31"/>
      <c r="H102" s="30"/>
      <c r="I102" s="30"/>
      <c r="J102" s="31"/>
      <c r="K102" s="30">
        <f>IF(J97=0,0,L102/J97)</f>
        <v>227.90461538461537</v>
      </c>
      <c r="L102" s="33">
        <v>2962.7599999999998</v>
      </c>
      <c r="M102" s="31"/>
      <c r="N102" s="33">
        <f>L102-F102</f>
        <v>-3037.2400000000002</v>
      </c>
      <c r="O102" s="31"/>
      <c r="P102" s="30"/>
      <c r="Q102" s="33">
        <v>6063.94</v>
      </c>
      <c r="R102" s="31">
        <f>O102-K102</f>
        <v>-227.90461538461537</v>
      </c>
      <c r="S102" s="34">
        <f>L102-Q102</f>
        <v>-3101.18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9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2"/>
        <v>0</v>
      </c>
      <c r="F103" s="33">
        <v>8800</v>
      </c>
      <c r="G103" s="31"/>
      <c r="H103" s="30"/>
      <c r="I103" s="30"/>
      <c r="J103" s="31"/>
      <c r="K103" s="30">
        <f>IF(J97=0,0,L103/J97)</f>
        <v>1074.0846153846153</v>
      </c>
      <c r="L103" s="33">
        <v>13963.099999999999</v>
      </c>
      <c r="M103" s="31"/>
      <c r="N103" s="33">
        <f>L103-F103</f>
        <v>5163.0999999999985</v>
      </c>
      <c r="O103" s="31"/>
      <c r="P103" s="30"/>
      <c r="Q103" s="33">
        <v>8425</v>
      </c>
      <c r="R103" s="31">
        <f>O103-K103</f>
        <v>-1074.0846153846153</v>
      </c>
      <c r="S103" s="34">
        <f>L103-Q103</f>
        <v>5538.0999999999985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9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2"/>
        <v>0</v>
      </c>
      <c r="F104" s="33">
        <v>1700</v>
      </c>
      <c r="G104" s="31"/>
      <c r="H104" s="47"/>
      <c r="I104" s="30"/>
      <c r="J104" s="31"/>
      <c r="K104" s="47">
        <f>IF(J97=0,0,L104/J97)</f>
        <v>126.53846153846153</v>
      </c>
      <c r="L104" s="33">
        <v>1645</v>
      </c>
      <c r="M104" s="51"/>
      <c r="N104" s="33">
        <f>L104-F104</f>
        <v>-55</v>
      </c>
      <c r="O104" s="31"/>
      <c r="P104" s="47"/>
      <c r="Q104" s="33">
        <v>2125</v>
      </c>
      <c r="R104" s="31">
        <f>O104-K104</f>
        <v>-126.53846153846153</v>
      </c>
      <c r="S104" s="34">
        <f>L104-Q104</f>
        <v>-480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9"/>
        <v>Véhicules usagésTotal F&amp;I</v>
      </c>
      <c r="B105" s="11" t="s">
        <v>70</v>
      </c>
      <c r="C105" s="35" t="s">
        <v>27</v>
      </c>
      <c r="D105" s="36">
        <f>D97</f>
        <v>10</v>
      </c>
      <c r="E105" s="30">
        <f t="shared" si="32"/>
        <v>1650</v>
      </c>
      <c r="F105" s="37">
        <f>F102+F103+F104</f>
        <v>16500</v>
      </c>
      <c r="G105" s="38"/>
      <c r="H105" s="36"/>
      <c r="I105" s="37"/>
      <c r="J105" s="38">
        <f>J97</f>
        <v>13</v>
      </c>
      <c r="K105" s="36">
        <f>IF(J105&lt;=0,0,L105/J105)</f>
        <v>1428.5276923076922</v>
      </c>
      <c r="L105" s="37">
        <f>L102+L103+L104</f>
        <v>18570.859999999997</v>
      </c>
      <c r="M105" s="31">
        <f>J105-D105</f>
        <v>3</v>
      </c>
      <c r="N105" s="37">
        <f>L105-F105</f>
        <v>2070.8599999999969</v>
      </c>
      <c r="O105" s="38">
        <f>O97</f>
        <v>13</v>
      </c>
      <c r="P105" s="36">
        <f t="shared" ref="P105" si="33">IF(O105=0,0,Q105/O105)</f>
        <v>1277.9953846153844</v>
      </c>
      <c r="Q105" s="37">
        <f>Q102+Q103+Q104</f>
        <v>16613.939999999999</v>
      </c>
      <c r="R105" s="56"/>
      <c r="S105" s="39">
        <f>L105-Q105</f>
        <v>1956.9199999999983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9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0.12550666666666649</v>
      </c>
      <c r="O106" s="41"/>
      <c r="P106" s="13"/>
      <c r="Q106" s="59"/>
      <c r="R106" s="60"/>
      <c r="S106" s="44">
        <f>IF(Q105=0,0,(S105/Q105))</f>
        <v>0.11778783359034632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9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9"/>
        <v>Véhicules usagésTotal Dépt. Usagés</v>
      </c>
      <c r="B108" s="11" t="s">
        <v>70</v>
      </c>
      <c r="C108" s="62" t="s">
        <v>76</v>
      </c>
      <c r="D108" s="63">
        <f>D97+D100</f>
        <v>21</v>
      </c>
      <c r="E108" s="67">
        <f>IF(D108&lt;=0,0,F108/D108)</f>
        <v>2077.3809523809523</v>
      </c>
      <c r="F108" s="65">
        <f>F97+F105+F100</f>
        <v>43625</v>
      </c>
      <c r="G108" s="66"/>
      <c r="H108" s="67"/>
      <c r="I108" s="65"/>
      <c r="J108" s="66">
        <f>J97+J100</f>
        <v>36</v>
      </c>
      <c r="K108" s="67">
        <f>IF(J108&lt;=0,0,L108/J108)</f>
        <v>1127.9033333333343</v>
      </c>
      <c r="L108" s="65">
        <f>L97+L105+L100</f>
        <v>40604.520000000033</v>
      </c>
      <c r="M108" s="66">
        <f>J108-D108</f>
        <v>15</v>
      </c>
      <c r="N108" s="65">
        <f>L108-F108</f>
        <v>-3020.4799999999668</v>
      </c>
      <c r="O108" s="66">
        <f>O97+O100</f>
        <v>19</v>
      </c>
      <c r="P108" s="67">
        <f>IF(O108&lt;=0,0,Q108/O108)</f>
        <v>1439.0073684210515</v>
      </c>
      <c r="Q108" s="65">
        <f>Q97+Q105+Q100</f>
        <v>27341.139999999978</v>
      </c>
      <c r="R108" s="66">
        <f>J108-O108</f>
        <v>17</v>
      </c>
      <c r="S108" s="68">
        <f>L108-Q108</f>
        <v>13263.380000000056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9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0.7142857142857143</v>
      </c>
      <c r="N109" s="74">
        <f>N108/F108</f>
        <v>-6.923736389684737E-2</v>
      </c>
      <c r="O109" s="72"/>
      <c r="P109" s="70"/>
      <c r="Q109" s="71"/>
      <c r="R109" s="73">
        <f>O108/R108</f>
        <v>1.1176470588235294</v>
      </c>
      <c r="S109" s="145">
        <f>IF(Q108=0,0,(S108/Q108))</f>
        <v>0.48510705844745561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9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9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 t="s">
        <v>272</v>
      </c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9"/>
        <v>Véhicules usagésComm. vendeurs</v>
      </c>
      <c r="B112" s="11" t="s">
        <v>70</v>
      </c>
      <c r="C112" s="29" t="s">
        <v>30</v>
      </c>
      <c r="D112" s="148">
        <f>F112/(F97+F105)</f>
        <v>0.21337327277997872</v>
      </c>
      <c r="E112" s="82">
        <f t="shared" ref="E112:E121" si="34">F112/D$97</f>
        <v>842.82442748091603</v>
      </c>
      <c r="F112" s="30">
        <v>8428.2442748091598</v>
      </c>
      <c r="G112" s="157"/>
      <c r="H112" s="82"/>
      <c r="I112" s="30"/>
      <c r="J112" s="157">
        <f>L112/L97</f>
        <v>1.0376392839720003</v>
      </c>
      <c r="K112" s="82">
        <f>IF($J$97=0,0,L112/(J$94+J$95+J96))</f>
        <v>822.98923076923086</v>
      </c>
      <c r="L112" s="33">
        <v>10698.86</v>
      </c>
      <c r="M112" s="41"/>
      <c r="N112" s="59">
        <f t="shared" ref="N112:N153" si="35">L112-F112</f>
        <v>2270.6157251908407</v>
      </c>
      <c r="O112" s="157">
        <f>Q112/Q97</f>
        <v>0.8383688391890316</v>
      </c>
      <c r="P112" s="82">
        <f t="shared" ref="P112:P121" si="36">Q112/O$97</f>
        <v>601.50384615384621</v>
      </c>
      <c r="Q112" s="33">
        <v>7819.55</v>
      </c>
      <c r="R112" s="41"/>
      <c r="S112" s="85">
        <f t="shared" ref="S112:S122" si="37">L112-Q112</f>
        <v>2879.3100000000004</v>
      </c>
      <c r="T112" s="13"/>
      <c r="U112" s="13"/>
      <c r="V112" s="11" t="s">
        <v>273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9"/>
        <v>Véhicules usagésComm. F&amp;I</v>
      </c>
      <c r="B113" s="11" t="s">
        <v>70</v>
      </c>
      <c r="C113" s="86" t="s">
        <v>31</v>
      </c>
      <c r="D113" s="218">
        <f>F113/(F105+F19)</f>
        <v>0.2215805588575939</v>
      </c>
      <c r="E113" s="88">
        <f t="shared" si="34"/>
        <v>412.5</v>
      </c>
      <c r="F113" s="22">
        <v>4125</v>
      </c>
      <c r="G113" s="162"/>
      <c r="H113" s="88"/>
      <c r="I113" s="22"/>
      <c r="J113" s="162">
        <f>L113/L105</f>
        <v>0.27148069610131148</v>
      </c>
      <c r="K113" s="88">
        <f>IF($J$97=0,0,L113/(J$94+J$95+J96))</f>
        <v>387.81769230769231</v>
      </c>
      <c r="L113" s="33">
        <v>5041.63</v>
      </c>
      <c r="M113" s="23"/>
      <c r="N113" s="91">
        <f t="shared" si="35"/>
        <v>916.63000000000011</v>
      </c>
      <c r="O113" s="162">
        <f>Q113/(Q105+Q19)</f>
        <v>0.1532808302443531</v>
      </c>
      <c r="P113" s="88">
        <f t="shared" si="36"/>
        <v>307.84615384615387</v>
      </c>
      <c r="Q113" s="33">
        <v>4002</v>
      </c>
      <c r="R113" s="23"/>
      <c r="S113" s="92">
        <f t="shared" si="37"/>
        <v>1039.6300000000001</v>
      </c>
      <c r="T113" s="13"/>
      <c r="U113" s="13"/>
      <c r="V113" s="11" t="s">
        <v>274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9"/>
        <v>Véhicules usagésFrais de livraison</v>
      </c>
      <c r="B114" s="11" t="s">
        <v>70</v>
      </c>
      <c r="C114" s="29" t="s">
        <v>32</v>
      </c>
      <c r="D114" s="81"/>
      <c r="E114" s="82">
        <f t="shared" si="34"/>
        <v>110</v>
      </c>
      <c r="F114" s="30">
        <v>1100</v>
      </c>
      <c r="G114" s="83"/>
      <c r="H114" s="82"/>
      <c r="I114" s="30"/>
      <c r="J114" s="41"/>
      <c r="K114" s="82">
        <f>IF($J$97=0,0,L114/(J$94+J$95+J96))</f>
        <v>50.706153846153839</v>
      </c>
      <c r="L114" s="108">
        <v>659.18</v>
      </c>
      <c r="M114" s="41"/>
      <c r="N114" s="59">
        <f t="shared" si="35"/>
        <v>-440.82000000000005</v>
      </c>
      <c r="O114" s="41"/>
      <c r="P114" s="82">
        <f t="shared" si="36"/>
        <v>166.06692307692308</v>
      </c>
      <c r="Q114" s="108">
        <v>2158.87</v>
      </c>
      <c r="R114" s="41"/>
      <c r="S114" s="85">
        <f t="shared" si="37"/>
        <v>-1499.69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9"/>
        <v>Véhicules usagésService gratuit 1</v>
      </c>
      <c r="B115" s="11" t="s">
        <v>70</v>
      </c>
      <c r="C115" s="29" t="s">
        <v>33</v>
      </c>
      <c r="D115" s="81"/>
      <c r="E115" s="82">
        <f t="shared" si="34"/>
        <v>90</v>
      </c>
      <c r="F115" s="30">
        <v>900</v>
      </c>
      <c r="G115" s="83"/>
      <c r="H115" s="82"/>
      <c r="I115" s="30"/>
      <c r="J115" s="41"/>
      <c r="K115" s="82">
        <f>IF($J$97=0,0,L115/(J$94+J$95+J96))</f>
        <v>151.87615384615384</v>
      </c>
      <c r="L115" s="507">
        <v>1974.39</v>
      </c>
      <c r="M115" s="41"/>
      <c r="N115" s="59">
        <f t="shared" si="35"/>
        <v>1074.3900000000001</v>
      </c>
      <c r="O115" s="41"/>
      <c r="P115" s="82">
        <f t="shared" si="36"/>
        <v>30.459230769230771</v>
      </c>
      <c r="Q115" s="33">
        <v>395.97</v>
      </c>
      <c r="R115" s="41"/>
      <c r="S115" s="85">
        <f t="shared" si="37"/>
        <v>1578.42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9"/>
        <v>Véhicules usagésEntretien stock</v>
      </c>
      <c r="B116" s="11" t="s">
        <v>70</v>
      </c>
      <c r="C116" s="86" t="s">
        <v>34</v>
      </c>
      <c r="D116" s="87"/>
      <c r="E116" s="88">
        <f t="shared" si="34"/>
        <v>185</v>
      </c>
      <c r="F116" s="22">
        <v>1850</v>
      </c>
      <c r="G116" s="89"/>
      <c r="H116" s="88"/>
      <c r="I116" s="22"/>
      <c r="J116" s="23"/>
      <c r="K116" s="88">
        <f>IF($J$97=0,0,L116/(J$94+J$95+J96))</f>
        <v>132.74769230769232</v>
      </c>
      <c r="L116" s="48">
        <v>1725.72</v>
      </c>
      <c r="M116" s="23"/>
      <c r="N116" s="91">
        <f t="shared" si="35"/>
        <v>-124.27999999999997</v>
      </c>
      <c r="O116" s="23"/>
      <c r="P116" s="88">
        <f t="shared" si="36"/>
        <v>134.97923076923078</v>
      </c>
      <c r="Q116" s="48">
        <v>1754.73</v>
      </c>
      <c r="R116" s="23"/>
      <c r="S116" s="92">
        <f t="shared" si="37"/>
        <v>-29.009999999999991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9"/>
        <v>Véhicules usagésPublicité 1</v>
      </c>
      <c r="B117" s="11" t="s">
        <v>70</v>
      </c>
      <c r="C117" s="29" t="s">
        <v>35</v>
      </c>
      <c r="D117" s="81"/>
      <c r="E117" s="82">
        <f t="shared" si="34"/>
        <v>743.60833333333335</v>
      </c>
      <c r="F117" s="30">
        <v>7436.0833333333339</v>
      </c>
      <c r="G117" s="83"/>
      <c r="H117" s="82"/>
      <c r="I117" s="30"/>
      <c r="J117" s="41"/>
      <c r="K117" s="82">
        <f>IF($J$97=0,0,L117/(J$94+J$95+J96))</f>
        <v>552.71769230769235</v>
      </c>
      <c r="L117" s="507">
        <v>7185.33</v>
      </c>
      <c r="M117" s="41"/>
      <c r="N117" s="59">
        <f t="shared" si="35"/>
        <v>-250.75333333333401</v>
      </c>
      <c r="O117" s="41"/>
      <c r="P117" s="82">
        <f t="shared" si="36"/>
        <v>1032.6723076923076</v>
      </c>
      <c r="Q117" s="33">
        <v>13424.74</v>
      </c>
      <c r="R117" s="41"/>
      <c r="S117" s="85">
        <f t="shared" si="37"/>
        <v>-6239.41</v>
      </c>
      <c r="T117" s="13"/>
      <c r="U117" s="13"/>
      <c r="V117" s="13"/>
      <c r="W117" s="13" t="s">
        <v>243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4"/>
        <v>694.32758819511412</v>
      </c>
      <c r="F118" s="30">
        <v>6943.2758819511409</v>
      </c>
      <c r="G118" s="83"/>
      <c r="H118" s="82"/>
      <c r="I118" s="30"/>
      <c r="J118" s="41"/>
      <c r="K118" s="82">
        <f>IF($J$97=0,0,L118/(J$94+J$95+J96))</f>
        <v>357.30538461538464</v>
      </c>
      <c r="L118" s="33">
        <v>4644.97</v>
      </c>
      <c r="M118" s="41"/>
      <c r="N118" s="59">
        <f t="shared" si="35"/>
        <v>-2298.3058819511407</v>
      </c>
      <c r="O118" s="41"/>
      <c r="P118" s="82">
        <f t="shared" si="36"/>
        <v>532.7992307692308</v>
      </c>
      <c r="Q118" s="33">
        <v>6926.39</v>
      </c>
      <c r="R118" s="41"/>
      <c r="S118" s="85">
        <f>L118-Q118</f>
        <v>-2281.42</v>
      </c>
      <c r="T118" s="13"/>
      <c r="U118" s="13"/>
      <c r="V118" s="13">
        <v>4645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4"/>
        <v>0</v>
      </c>
      <c r="F119" s="30">
        <v>0</v>
      </c>
      <c r="G119" s="83"/>
      <c r="H119" s="82"/>
      <c r="I119" s="30"/>
      <c r="J119" s="41"/>
      <c r="K119" s="82">
        <f t="shared" ref="K119:K121" si="38">IF($J$97=0,0,L119/(J$94+J$95))</f>
        <v>0</v>
      </c>
      <c r="L119" s="33">
        <v>0</v>
      </c>
      <c r="M119" s="41"/>
      <c r="N119" s="59">
        <f t="shared" si="35"/>
        <v>0</v>
      </c>
      <c r="O119" s="41"/>
      <c r="P119" s="82">
        <f t="shared" si="36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4"/>
        <v>0</v>
      </c>
      <c r="F120" s="30">
        <v>0</v>
      </c>
      <c r="G120" s="83"/>
      <c r="H120" s="82"/>
      <c r="I120" s="30"/>
      <c r="J120" s="41"/>
      <c r="K120" s="82">
        <f t="shared" si="38"/>
        <v>0</v>
      </c>
      <c r="L120" s="33">
        <v>0</v>
      </c>
      <c r="M120" s="41"/>
      <c r="N120" s="59">
        <f t="shared" si="35"/>
        <v>0</v>
      </c>
      <c r="O120" s="41"/>
      <c r="P120" s="82">
        <f t="shared" si="36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4"/>
        <v>0</v>
      </c>
      <c r="F121" s="30">
        <v>0</v>
      </c>
      <c r="G121" s="83"/>
      <c r="H121" s="82"/>
      <c r="I121" s="30"/>
      <c r="J121" s="41"/>
      <c r="K121" s="82">
        <f t="shared" si="38"/>
        <v>0</v>
      </c>
      <c r="L121" s="33">
        <v>0</v>
      </c>
      <c r="M121" s="41"/>
      <c r="N121" s="59">
        <f t="shared" si="35"/>
        <v>0</v>
      </c>
      <c r="O121" s="41"/>
      <c r="P121" s="82">
        <f t="shared" si="36"/>
        <v>0</v>
      </c>
      <c r="Q121" s="33">
        <v>0</v>
      </c>
      <c r="R121" s="41"/>
      <c r="S121" s="85">
        <f t="shared" ref="S121:S131" si="39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87" si="40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0.70561841811102877</v>
      </c>
      <c r="F122" s="96">
        <f>SUM(F112:F121)</f>
        <v>30782.603490093632</v>
      </c>
      <c r="G122" s="97"/>
      <c r="H122" s="95"/>
      <c r="I122" s="96"/>
      <c r="J122" s="97" t="s">
        <v>38</v>
      </c>
      <c r="K122" s="95">
        <f>L122/L$108</f>
        <v>0.78636762606724508</v>
      </c>
      <c r="L122" s="96">
        <f>SUM(L112:L121)</f>
        <v>31930.080000000002</v>
      </c>
      <c r="M122" s="100"/>
      <c r="N122" s="96">
        <f t="shared" si="35"/>
        <v>1147.4765099063698</v>
      </c>
      <c r="O122" s="97" t="s">
        <v>38</v>
      </c>
      <c r="P122" s="95">
        <f>Q122/Q$108</f>
        <v>1.3343353642167091</v>
      </c>
      <c r="Q122" s="96">
        <f>SUM(Q112:Q121)</f>
        <v>36482.25</v>
      </c>
      <c r="R122" s="100"/>
      <c r="S122" s="101">
        <f t="shared" si="39"/>
        <v>-4552.1699999999983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40"/>
        <v>Véhicules usagésSalaires cadres</v>
      </c>
      <c r="B123" s="11" t="s">
        <v>70</v>
      </c>
      <c r="C123" s="102" t="s">
        <v>40</v>
      </c>
      <c r="D123" s="13"/>
      <c r="E123" s="13"/>
      <c r="F123" s="30">
        <v>5026.5783715012722</v>
      </c>
      <c r="G123" s="41"/>
      <c r="H123" s="13"/>
      <c r="I123" s="30"/>
      <c r="J123" s="41"/>
      <c r="K123" s="13"/>
      <c r="L123" s="33">
        <v>3018.38</v>
      </c>
      <c r="M123" s="41"/>
      <c r="N123" s="59">
        <f t="shared" si="35"/>
        <v>-2008.198371501272</v>
      </c>
      <c r="O123" s="41"/>
      <c r="P123" s="13"/>
      <c r="Q123" s="33">
        <v>1417.1</v>
      </c>
      <c r="R123" s="41"/>
      <c r="S123" s="85">
        <f t="shared" si="39"/>
        <v>1601.2800000000002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commis</v>
      </c>
      <c r="B124" s="11" t="s">
        <v>70</v>
      </c>
      <c r="C124" s="103" t="s">
        <v>41</v>
      </c>
      <c r="D124" s="81"/>
      <c r="E124" s="13"/>
      <c r="F124" s="22">
        <v>2725.1480916030532</v>
      </c>
      <c r="G124" s="83"/>
      <c r="H124" s="13"/>
      <c r="I124" s="22"/>
      <c r="J124" s="41"/>
      <c r="K124" s="13"/>
      <c r="L124" s="22">
        <v>3804.18</v>
      </c>
      <c r="M124" s="41"/>
      <c r="N124" s="59">
        <f t="shared" si="35"/>
        <v>1079.0319083969466</v>
      </c>
      <c r="O124" s="41"/>
      <c r="P124" s="13"/>
      <c r="Q124" s="22">
        <v>3976.04</v>
      </c>
      <c r="R124" s="41"/>
      <c r="S124" s="85">
        <f t="shared" si="39"/>
        <v>-171.86000000000013</v>
      </c>
      <c r="T124" s="13"/>
      <c r="U124" s="13"/>
      <c r="V124" s="13" t="s">
        <v>257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5"/>
        <v>0</v>
      </c>
      <c r="O125" s="107"/>
      <c r="P125" s="105"/>
      <c r="Q125" s="33">
        <v>2809</v>
      </c>
      <c r="R125" s="107"/>
      <c r="S125" s="110">
        <f t="shared" si="3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4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5"/>
        <v>0</v>
      </c>
      <c r="O126" s="41"/>
      <c r="P126" s="13"/>
      <c r="Q126" s="33">
        <v>0</v>
      </c>
      <c r="R126" s="41"/>
      <c r="S126" s="85">
        <f t="shared" si="3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5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5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5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95" si="41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2695.2306502104134</v>
      </c>
      <c r="G130" s="83"/>
      <c r="H130" s="13"/>
      <c r="I130" s="30"/>
      <c r="J130" s="41"/>
      <c r="K130" s="13"/>
      <c r="L130" s="33">
        <v>7702.21</v>
      </c>
      <c r="M130" s="41"/>
      <c r="N130" s="59">
        <f t="shared" si="35"/>
        <v>5006.9793497895862</v>
      </c>
      <c r="O130" s="41"/>
      <c r="P130" s="13"/>
      <c r="Q130" s="33">
        <v>6000.29</v>
      </c>
      <c r="R130" s="41"/>
      <c r="S130" s="85">
        <f>L130-Q130</f>
        <v>1701.92</v>
      </c>
      <c r="T130" s="13"/>
      <c r="U130" s="13"/>
      <c r="V130" s="13" t="s">
        <v>270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41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3200.9415311704834</v>
      </c>
      <c r="G131" s="106"/>
      <c r="H131" s="105"/>
      <c r="I131" s="54"/>
      <c r="J131" s="107"/>
      <c r="K131" s="105"/>
      <c r="L131" s="55">
        <v>2638.45</v>
      </c>
      <c r="M131" s="107"/>
      <c r="N131" s="109">
        <f t="shared" si="35"/>
        <v>-562.49153117048354</v>
      </c>
      <c r="O131" s="107"/>
      <c r="P131" s="105"/>
      <c r="Q131" s="55">
        <v>3107.71</v>
      </c>
      <c r="R131" s="107"/>
      <c r="S131" s="110">
        <f t="shared" ref="S131:S148" si="42">L131-Q131</f>
        <v>-469.26000000000022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1526.6028840966922</v>
      </c>
      <c r="G132" s="83"/>
      <c r="H132" s="13"/>
      <c r="I132" s="30"/>
      <c r="J132" s="41"/>
      <c r="K132" s="13"/>
      <c r="L132" s="33">
        <v>3132.07</v>
      </c>
      <c r="M132" s="41"/>
      <c r="N132" s="59">
        <f t="shared" si="35"/>
        <v>1605.467115903308</v>
      </c>
      <c r="O132" s="41"/>
      <c r="P132" s="13"/>
      <c r="Q132" s="33">
        <v>1891.93</v>
      </c>
      <c r="R132" s="41"/>
      <c r="S132" s="85">
        <f t="shared" si="42"/>
        <v>1240.1400000000001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usagésCsst</v>
      </c>
      <c r="B133" s="11" t="s">
        <v>70</v>
      </c>
      <c r="C133" s="102" t="s">
        <v>47</v>
      </c>
      <c r="D133" s="81"/>
      <c r="E133" s="13"/>
      <c r="F133" s="30">
        <v>344.71678027989822</v>
      </c>
      <c r="G133" s="83"/>
      <c r="H133" s="13"/>
      <c r="I133" s="30"/>
      <c r="J133" s="41"/>
      <c r="K133" s="13"/>
      <c r="L133" s="33">
        <v>81.52</v>
      </c>
      <c r="M133" s="41"/>
      <c r="N133" s="59">
        <f t="shared" si="35"/>
        <v>-263.19678027989823</v>
      </c>
      <c r="O133" s="41"/>
      <c r="P133" s="13"/>
      <c r="Q133" s="33">
        <v>187.26</v>
      </c>
      <c r="R133" s="41"/>
      <c r="S133" s="85">
        <f t="shared" si="42"/>
        <v>-105.74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41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5"/>
        <v>0</v>
      </c>
      <c r="O134" s="23"/>
      <c r="P134" s="111"/>
      <c r="Q134" s="33">
        <v>0</v>
      </c>
      <c r="R134" s="23"/>
      <c r="S134" s="92">
        <f t="shared" si="4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41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0.42013107871316474</v>
      </c>
      <c r="F135" s="96">
        <f>+SUM(F123:F134)</f>
        <v>18328.218308861811</v>
      </c>
      <c r="G135" s="97"/>
      <c r="H135" s="95"/>
      <c r="I135" s="96"/>
      <c r="J135" s="97" t="s">
        <v>38</v>
      </c>
      <c r="K135" s="95">
        <f>L135/L$108</f>
        <v>0.57101549285645992</v>
      </c>
      <c r="L135" s="96">
        <f>SUM(L123:L134)</f>
        <v>23185.81</v>
      </c>
      <c r="M135" s="463"/>
      <c r="N135" s="464">
        <f t="shared" si="35"/>
        <v>4857.5916911381901</v>
      </c>
      <c r="O135" s="97" t="s">
        <v>38</v>
      </c>
      <c r="P135" s="95">
        <f>Q135/Q$108</f>
        <v>0.70916318778222176</v>
      </c>
      <c r="Q135" s="96">
        <f>+SUM(Q123:Q134)</f>
        <v>19389.329999999998</v>
      </c>
      <c r="R135" s="147"/>
      <c r="S135" s="114">
        <f t="shared" si="42"/>
        <v>3796.4800000000032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41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5"/>
        <v>0</v>
      </c>
      <c r="O136" s="41"/>
      <c r="P136" s="13"/>
      <c r="Q136" s="33">
        <v>0</v>
      </c>
      <c r="R136" s="41"/>
      <c r="S136" s="85">
        <f t="shared" si="4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41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5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41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857.83333333333326</v>
      </c>
      <c r="G138" s="89"/>
      <c r="H138" s="111"/>
      <c r="I138" s="22"/>
      <c r="J138" s="23"/>
      <c r="K138" s="111"/>
      <c r="L138" s="22">
        <v>1293.31</v>
      </c>
      <c r="M138" s="23"/>
      <c r="N138" s="91">
        <f t="shared" si="35"/>
        <v>435.47666666666669</v>
      </c>
      <c r="O138" s="23"/>
      <c r="P138" s="111"/>
      <c r="Q138" s="22">
        <v>758.05</v>
      </c>
      <c r="R138" s="23"/>
      <c r="S138" s="92">
        <f t="shared" si="42"/>
        <v>535.26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usagésInformatique</v>
      </c>
      <c r="B139" s="11" t="s">
        <v>70</v>
      </c>
      <c r="C139" s="29" t="s">
        <v>52</v>
      </c>
      <c r="D139" s="81"/>
      <c r="E139" s="13"/>
      <c r="F139" s="30">
        <v>1419.9</v>
      </c>
      <c r="G139" s="83"/>
      <c r="H139" s="13"/>
      <c r="I139" s="30"/>
      <c r="J139" s="41"/>
      <c r="K139" s="13"/>
      <c r="L139" s="33">
        <v>1542.33</v>
      </c>
      <c r="M139" s="41"/>
      <c r="N139" s="59">
        <f t="shared" si="35"/>
        <v>122.42999999999984</v>
      </c>
      <c r="O139" s="41"/>
      <c r="P139" s="13"/>
      <c r="Q139" s="33">
        <v>1360.53</v>
      </c>
      <c r="R139" s="41"/>
      <c r="S139" s="85">
        <f t="shared" si="42"/>
        <v>181.79999999999995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182.8</v>
      </c>
      <c r="G140" s="83"/>
      <c r="H140" s="13"/>
      <c r="I140" s="30"/>
      <c r="J140" s="41"/>
      <c r="K140" s="13"/>
      <c r="L140" s="33">
        <v>794.63</v>
      </c>
      <c r="M140" s="41"/>
      <c r="N140" s="59">
        <f t="shared" si="35"/>
        <v>611.82999999999993</v>
      </c>
      <c r="O140" s="41"/>
      <c r="P140" s="13"/>
      <c r="Q140" s="33">
        <v>651.53</v>
      </c>
      <c r="R140" s="41"/>
      <c r="S140" s="85">
        <f t="shared" si="42"/>
        <v>143.10000000000002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612.1</v>
      </c>
      <c r="G141" s="89"/>
      <c r="H141" s="111"/>
      <c r="I141" s="22"/>
      <c r="J141" s="23"/>
      <c r="K141" s="111"/>
      <c r="L141" s="22">
        <v>986.74</v>
      </c>
      <c r="M141" s="23"/>
      <c r="N141" s="91">
        <f t="shared" si="35"/>
        <v>374.64</v>
      </c>
      <c r="O141" s="23"/>
      <c r="P141" s="111"/>
      <c r="Q141" s="22">
        <v>573.53</v>
      </c>
      <c r="R141" s="23"/>
      <c r="S141" s="92">
        <f t="shared" si="42"/>
        <v>413.21000000000004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22.058823529411768</v>
      </c>
      <c r="G142" s="83"/>
      <c r="H142" s="13"/>
      <c r="I142" s="30"/>
      <c r="J142" s="41"/>
      <c r="K142" s="13"/>
      <c r="L142" s="33">
        <v>108.11</v>
      </c>
      <c r="M142" s="41"/>
      <c r="N142" s="59">
        <f t="shared" si="35"/>
        <v>86.051176470588231</v>
      </c>
      <c r="O142" s="41"/>
      <c r="P142" s="13"/>
      <c r="Q142" s="33">
        <v>0</v>
      </c>
      <c r="R142" s="41"/>
      <c r="S142" s="85">
        <f t="shared" si="42"/>
        <v>108.11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usagésUniformes</v>
      </c>
      <c r="B143" s="11" t="s">
        <v>70</v>
      </c>
      <c r="C143" s="29" t="s">
        <v>56</v>
      </c>
      <c r="D143" s="81"/>
      <c r="E143" s="13"/>
      <c r="F143" s="30">
        <v>5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5"/>
        <v>-5</v>
      </c>
      <c r="O143" s="41"/>
      <c r="P143" s="13"/>
      <c r="Q143" s="33">
        <v>0</v>
      </c>
      <c r="R143" s="41"/>
      <c r="S143" s="85">
        <f t="shared" si="42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usagésPapeterie</v>
      </c>
      <c r="B144" s="11" t="s">
        <v>70</v>
      </c>
      <c r="C144" s="29" t="s">
        <v>57</v>
      </c>
      <c r="D144" s="81"/>
      <c r="E144" s="13"/>
      <c r="F144" s="30">
        <v>175</v>
      </c>
      <c r="G144" s="83"/>
      <c r="H144" s="13"/>
      <c r="I144" s="30"/>
      <c r="J144" s="41"/>
      <c r="K144" s="13"/>
      <c r="L144" s="32">
        <v>107.41</v>
      </c>
      <c r="M144" s="41"/>
      <c r="N144" s="59">
        <f t="shared" si="35"/>
        <v>-67.59</v>
      </c>
      <c r="O144" s="41"/>
      <c r="P144" s="13"/>
      <c r="Q144" s="32">
        <v>73.239999999999995</v>
      </c>
      <c r="R144" s="41"/>
      <c r="S144" s="85">
        <f t="shared" si="42"/>
        <v>34.17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62.09</v>
      </c>
      <c r="M145" s="41"/>
      <c r="N145" s="59">
        <f t="shared" si="35"/>
        <v>-1.1099999999999994</v>
      </c>
      <c r="O145" s="41"/>
      <c r="P145" s="13"/>
      <c r="Q145" s="33">
        <v>85.8</v>
      </c>
      <c r="R145" s="41"/>
      <c r="S145" s="85">
        <f t="shared" si="42"/>
        <v>-23.709999999999994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usagésFrais postaux</v>
      </c>
      <c r="B146" s="11" t="s">
        <v>70</v>
      </c>
      <c r="C146" s="29" t="s">
        <v>59</v>
      </c>
      <c r="D146" s="81"/>
      <c r="E146" s="13"/>
      <c r="F146" s="30">
        <v>50</v>
      </c>
      <c r="G146" s="83"/>
      <c r="H146" s="13"/>
      <c r="I146" s="30"/>
      <c r="J146" s="41"/>
      <c r="K146" s="13"/>
      <c r="L146" s="33">
        <v>53.84</v>
      </c>
      <c r="M146" s="41"/>
      <c r="N146" s="59">
        <f t="shared" si="35"/>
        <v>3.8400000000000034</v>
      </c>
      <c r="O146" s="41"/>
      <c r="P146" s="13"/>
      <c r="Q146" s="33">
        <v>305.52</v>
      </c>
      <c r="R146" s="41"/>
      <c r="S146" s="85">
        <f t="shared" si="42"/>
        <v>-251.67999999999998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usagésDivers</v>
      </c>
      <c r="B147" s="11" t="s">
        <v>70</v>
      </c>
      <c r="C147" s="29" t="s">
        <v>60</v>
      </c>
      <c r="D147" s="81"/>
      <c r="E147" s="13"/>
      <c r="F147" s="30">
        <v>185.8</v>
      </c>
      <c r="G147" s="83"/>
      <c r="H147" s="13"/>
      <c r="I147" s="30"/>
      <c r="J147" s="41"/>
      <c r="K147" s="13"/>
      <c r="L147" s="33">
        <v>163.1</v>
      </c>
      <c r="M147" s="41"/>
      <c r="N147" s="59">
        <f t="shared" si="35"/>
        <v>-22.700000000000017</v>
      </c>
      <c r="O147" s="41"/>
      <c r="P147" s="13"/>
      <c r="Q147" s="33">
        <v>325.25</v>
      </c>
      <c r="R147" s="41"/>
      <c r="S147" s="85">
        <f t="shared" si="42"/>
        <v>-162.15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usagésFormation</v>
      </c>
      <c r="B148" s="11" t="s">
        <v>70</v>
      </c>
      <c r="C148" s="29" t="s">
        <v>61</v>
      </c>
      <c r="D148" s="81"/>
      <c r="E148" s="13"/>
      <c r="F148" s="30">
        <v>137.24010666666663</v>
      </c>
      <c r="G148" s="83"/>
      <c r="H148" s="13"/>
      <c r="I148" s="30"/>
      <c r="J148" s="41"/>
      <c r="K148" s="13"/>
      <c r="L148" s="59">
        <v>73.73</v>
      </c>
      <c r="M148" s="41"/>
      <c r="N148" s="59">
        <f t="shared" si="35"/>
        <v>-63.51010666666663</v>
      </c>
      <c r="O148" s="41"/>
      <c r="P148" s="13"/>
      <c r="Q148" s="33">
        <v>192.81</v>
      </c>
      <c r="R148" s="41"/>
      <c r="S148" s="85">
        <f t="shared" si="42"/>
        <v>-119.08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393.67080528325704</v>
      </c>
      <c r="G149" s="83"/>
      <c r="H149" s="13"/>
      <c r="I149" s="30"/>
      <c r="J149" s="41"/>
      <c r="K149" s="13"/>
      <c r="L149" s="33">
        <v>568.13</v>
      </c>
      <c r="M149" s="41"/>
      <c r="N149" s="59">
        <f t="shared" si="35"/>
        <v>174.45919471674296</v>
      </c>
      <c r="O149" s="41"/>
      <c r="P149" s="13"/>
      <c r="Q149" s="33">
        <v>352.25</v>
      </c>
      <c r="R149" s="41"/>
      <c r="S149" s="85">
        <f>L149-Q149</f>
        <v>215.88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5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5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5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218" si="43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9.4088322494273222E-2</v>
      </c>
      <c r="F153" s="96">
        <f>+SUM(F136:F152)</f>
        <v>4104.6030688126693</v>
      </c>
      <c r="G153" s="97"/>
      <c r="H153" s="95"/>
      <c r="I153" s="96"/>
      <c r="J153" s="97" t="s">
        <v>38</v>
      </c>
      <c r="K153" s="95">
        <f>L153/L$108</f>
        <v>0.14169407740813081</v>
      </c>
      <c r="L153" s="96">
        <f>+SUM(L136:L152)</f>
        <v>5753.42</v>
      </c>
      <c r="M153" s="100"/>
      <c r="N153" s="96">
        <f t="shared" si="35"/>
        <v>1648.8169311873307</v>
      </c>
      <c r="O153" s="97" t="s">
        <v>38</v>
      </c>
      <c r="P153" s="95">
        <f>Q153/Q$108</f>
        <v>0.17111612756454206</v>
      </c>
      <c r="Q153" s="96">
        <f>+SUM(Q136:Q152)</f>
        <v>4678.5099999999993</v>
      </c>
      <c r="R153" s="100"/>
      <c r="S153" s="101">
        <f>L153-Q153</f>
        <v>1074.9100000000008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3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1.2198378193184667</v>
      </c>
      <c r="F155" s="96">
        <f>F122+F135+F153</f>
        <v>53215.42486776811</v>
      </c>
      <c r="G155" s="97"/>
      <c r="H155" s="95"/>
      <c r="I155" s="96"/>
      <c r="J155" s="97" t="s">
        <v>38</v>
      </c>
      <c r="K155" s="95">
        <f>L155/L$108</f>
        <v>1.4990771963318357</v>
      </c>
      <c r="L155" s="96">
        <f>L122+L135+L153</f>
        <v>60869.31</v>
      </c>
      <c r="M155" s="100"/>
      <c r="N155" s="113">
        <f t="shared" ref="N155:N162" si="44">L155-F155</f>
        <v>7653.8851322318878</v>
      </c>
      <c r="O155" s="97" t="s">
        <v>38</v>
      </c>
      <c r="P155" s="95">
        <f>Q155/Q$108</f>
        <v>2.2146146795634731</v>
      </c>
      <c r="Q155" s="96">
        <f>Q122+Q135+Q153</f>
        <v>60550.090000000004</v>
      </c>
      <c r="R155" s="100"/>
      <c r="S155" s="114">
        <f t="shared" ref="S155:S162" si="45">L155-Q155</f>
        <v>319.21999999999389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usagésRBSC used</v>
      </c>
      <c r="B156" s="11" t="s">
        <v>70</v>
      </c>
      <c r="C156" s="29" t="s">
        <v>218</v>
      </c>
      <c r="D156" s="149"/>
      <c r="E156" s="150"/>
      <c r="F156" s="30">
        <v>1125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4"/>
        <v>-1125</v>
      </c>
      <c r="O156" s="151"/>
      <c r="P156" s="150"/>
      <c r="Q156" s="33">
        <v>2250</v>
      </c>
      <c r="R156" s="41"/>
      <c r="S156" s="85">
        <f t="shared" si="45"/>
        <v>-2250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usagésProgramme 360</v>
      </c>
      <c r="B157" s="11" t="s">
        <v>70</v>
      </c>
      <c r="C157" s="29" t="s">
        <v>219</v>
      </c>
      <c r="D157" s="149"/>
      <c r="E157" s="150"/>
      <c r="F157" s="30">
        <v>867.64705882352951</v>
      </c>
      <c r="G157" s="151"/>
      <c r="H157" s="150"/>
      <c r="I157" s="30"/>
      <c r="J157" s="151"/>
      <c r="K157" s="150"/>
      <c r="L157" s="33">
        <v>-1450</v>
      </c>
      <c r="M157" s="41"/>
      <c r="N157" s="59">
        <f t="shared" si="44"/>
        <v>-2317.6470588235297</v>
      </c>
      <c r="O157" s="151"/>
      <c r="P157" s="150"/>
      <c r="Q157" s="33">
        <v>0</v>
      </c>
      <c r="R157" s="41"/>
      <c r="S157" s="85">
        <f t="shared" si="45"/>
        <v>-1450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3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4"/>
        <v>0</v>
      </c>
      <c r="O158" s="41"/>
      <c r="P158" s="13"/>
      <c r="Q158" s="33">
        <v>0</v>
      </c>
      <c r="R158" s="41"/>
      <c r="S158" s="85">
        <f t="shared" si="4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5057.5</v>
      </c>
      <c r="G159" s="83"/>
      <c r="H159" s="13"/>
      <c r="I159" s="30"/>
      <c r="J159" s="41"/>
      <c r="K159" s="13"/>
      <c r="L159" s="32">
        <v>6545</v>
      </c>
      <c r="M159" s="41"/>
      <c r="N159" s="59">
        <f t="shared" si="44"/>
        <v>1487.5</v>
      </c>
      <c r="O159" s="41"/>
      <c r="P159" s="13"/>
      <c r="Q159" s="33">
        <v>4760</v>
      </c>
      <c r="R159" s="41"/>
      <c r="S159" s="85">
        <f t="shared" si="45"/>
        <v>1785</v>
      </c>
      <c r="T159" s="112"/>
      <c r="U159" s="13"/>
      <c r="V159" s="13">
        <f>L159/595</f>
        <v>11</v>
      </c>
      <c r="W159" s="454">
        <f>V159/J97</f>
        <v>0.84615384615384615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7050.1470588235297</v>
      </c>
      <c r="G163" s="97"/>
      <c r="H163" s="95"/>
      <c r="I163" s="96"/>
      <c r="J163" s="97"/>
      <c r="K163" s="95"/>
      <c r="L163" s="96">
        <f>+SUM(L156:L162)</f>
        <v>5095</v>
      </c>
      <c r="M163" s="100"/>
      <c r="N163" s="96">
        <f>SUM(N156:N159)</f>
        <v>-1955.1470588235297</v>
      </c>
      <c r="O163" s="97"/>
      <c r="P163" s="95"/>
      <c r="Q163" s="96">
        <f>+SUM(Q156:Q162)</f>
        <v>7010</v>
      </c>
      <c r="R163" s="100"/>
      <c r="S163" s="101">
        <f>+SUM(S156:S162)</f>
        <v>-1915</v>
      </c>
      <c r="T163" s="112"/>
      <c r="U163" s="13"/>
      <c r="V163" s="13"/>
      <c r="W163" s="13" t="s">
        <v>242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-2540.2778089445801</v>
      </c>
      <c r="G165" s="153"/>
      <c r="H165" s="125"/>
      <c r="I165" s="127"/>
      <c r="J165" s="154"/>
      <c r="K165" s="126"/>
      <c r="L165" s="127">
        <f>L108-L155+L163</f>
        <v>-15169.789999999964</v>
      </c>
      <c r="M165" s="154"/>
      <c r="N165" s="127">
        <f>L165-F165</f>
        <v>-12629.512191055384</v>
      </c>
      <c r="O165" s="154"/>
      <c r="P165" s="126"/>
      <c r="Q165" s="127">
        <f>Q108-Q155+Q163</f>
        <v>-26198.950000000026</v>
      </c>
      <c r="R165" s="154"/>
      <c r="S165" s="129">
        <f>L165-Q165</f>
        <v>11029.160000000062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Décembre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96" t="s">
        <v>5</v>
      </c>
      <c r="E170" s="497"/>
      <c r="F170" s="498"/>
      <c r="G170" s="499"/>
      <c r="H170" s="497"/>
      <c r="I170" s="498"/>
      <c r="J170" s="499" t="s">
        <v>7</v>
      </c>
      <c r="K170" s="497"/>
      <c r="L170" s="498"/>
      <c r="M170" s="499" t="s">
        <v>213</v>
      </c>
      <c r="N170" s="498"/>
      <c r="O170" s="496" t="s">
        <v>8</v>
      </c>
      <c r="P170" s="497"/>
      <c r="Q170" s="498"/>
      <c r="R170" s="494" t="s">
        <v>214</v>
      </c>
      <c r="S170" s="495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4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6"/>
        <v>ServiceM/O Client</v>
      </c>
      <c r="B172" s="11" t="s">
        <v>78</v>
      </c>
      <c r="C172" s="29" t="s">
        <v>81</v>
      </c>
      <c r="D172" s="13">
        <v>0</v>
      </c>
      <c r="E172" s="82">
        <v>36769.659440175557</v>
      </c>
      <c r="F172" s="82">
        <v>29268.648914379744</v>
      </c>
      <c r="G172" s="156"/>
      <c r="H172" s="82"/>
      <c r="I172" s="82"/>
      <c r="J172" s="60">
        <v>97</v>
      </c>
      <c r="K172" s="30">
        <v>29494.33</v>
      </c>
      <c r="L172" s="33">
        <v>23199.910000000003</v>
      </c>
      <c r="M172" s="157">
        <f>(K172-E172)/E172</f>
        <v>-0.19786230144482458</v>
      </c>
      <c r="N172" s="59">
        <f>L172-F172</f>
        <v>-6068.7389143797409</v>
      </c>
      <c r="O172" s="60">
        <v>100</v>
      </c>
      <c r="P172" s="30">
        <v>32880.47</v>
      </c>
      <c r="Q172" s="33">
        <v>25528.720000000001</v>
      </c>
      <c r="R172" s="157">
        <f>IF(O172=0,0,J172/O172)</f>
        <v>0.97</v>
      </c>
      <c r="S172" s="85">
        <f>L172-Q172</f>
        <v>-2328.8099999999977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0.79600000000000004</v>
      </c>
      <c r="G173" s="41"/>
      <c r="H173" s="144"/>
      <c r="I173" s="158"/>
      <c r="J173" s="60"/>
      <c r="K173" s="13"/>
      <c r="L173" s="158">
        <f>IF(L172=0,0,L172/K172)</f>
        <v>0.78658881215474308</v>
      </c>
      <c r="M173" s="157"/>
      <c r="N173" s="59"/>
      <c r="O173" s="60"/>
      <c r="P173" s="13"/>
      <c r="Q173" s="158">
        <f>Q172/P172</f>
        <v>0.77640982625856625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/>
      <c r="I174" s="160"/>
      <c r="J174" s="161"/>
      <c r="K174" s="465">
        <f>IFERROR(K172/J172,0)</f>
        <v>304.06525773195881</v>
      </c>
      <c r="L174" s="160"/>
      <c r="M174" s="162"/>
      <c r="N174" s="91"/>
      <c r="O174" s="161"/>
      <c r="P174" s="465">
        <f>IFERROR(P172/O172,0)</f>
        <v>328.80470000000003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ServiceM/O Garantie</v>
      </c>
      <c r="B175" s="11" t="s">
        <v>78</v>
      </c>
      <c r="C175" s="14" t="s">
        <v>83</v>
      </c>
      <c r="D175" s="163">
        <v>0</v>
      </c>
      <c r="E175" s="82">
        <v>24809.811211465814</v>
      </c>
      <c r="F175" s="82">
        <v>17887.873883466851</v>
      </c>
      <c r="G175" s="164"/>
      <c r="H175" s="82"/>
      <c r="I175" s="82"/>
      <c r="J175" s="164">
        <v>143</v>
      </c>
      <c r="K175" s="165">
        <v>35002.620000000003</v>
      </c>
      <c r="L175" s="33">
        <v>23761.640000000003</v>
      </c>
      <c r="M175" s="157">
        <f>(K175-E175)/E175</f>
        <v>0.41083782144313935</v>
      </c>
      <c r="N175" s="109">
        <f>L175-F175</f>
        <v>5873.7661165331519</v>
      </c>
      <c r="O175" s="164">
        <v>119</v>
      </c>
      <c r="P175" s="165">
        <v>16038.7499999999</v>
      </c>
      <c r="Q175" s="33">
        <v>11117.7699999999</v>
      </c>
      <c r="R175" s="157">
        <f>IF(O175=0,0,J175/O175)</f>
        <v>1.2016806722689075</v>
      </c>
      <c r="S175" s="85">
        <f>L175-Q175</f>
        <v>12643.870000000103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/>
      <c r="J176" s="41"/>
      <c r="K176" s="13"/>
      <c r="L176" s="158">
        <f>IF(L175=0,0,L175/K175)</f>
        <v>0.67885318299030195</v>
      </c>
      <c r="M176" s="42"/>
      <c r="N176" s="43"/>
      <c r="O176" s="41"/>
      <c r="P176" s="13"/>
      <c r="Q176" s="158">
        <f>Q175/P175</f>
        <v>0.69318182526692973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134.77941176470503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ServiceM/O Interne</v>
      </c>
      <c r="B178" s="11" t="s">
        <v>78</v>
      </c>
      <c r="C178" s="29" t="s">
        <v>84</v>
      </c>
      <c r="D178" s="13">
        <v>0</v>
      </c>
      <c r="E178" s="82">
        <v>31284.187214123664</v>
      </c>
      <c r="F178" s="82">
        <v>19333.627698328422</v>
      </c>
      <c r="G178" s="41"/>
      <c r="H178" s="82"/>
      <c r="I178" s="82"/>
      <c r="J178" s="60">
        <v>155</v>
      </c>
      <c r="K178" s="165">
        <v>43073.030000000006</v>
      </c>
      <c r="L178" s="33">
        <v>26387.310000000005</v>
      </c>
      <c r="M178" s="157">
        <f>(K178-E178)/E178</f>
        <v>0.37683071978785859</v>
      </c>
      <c r="N178" s="59">
        <f>L178-F178</f>
        <v>7053.6823016715825</v>
      </c>
      <c r="O178" s="60">
        <v>103</v>
      </c>
      <c r="P178" s="165">
        <v>20038.759999999998</v>
      </c>
      <c r="Q178" s="33">
        <v>12639.809999999899</v>
      </c>
      <c r="R178" s="157">
        <f>IF(O178=0,0,J178/O178)</f>
        <v>1.5048543689320388</v>
      </c>
      <c r="S178" s="85">
        <f>L178-Q178</f>
        <v>13747.500000000106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/>
      <c r="J179" s="60"/>
      <c r="K179" s="144"/>
      <c r="L179" s="158">
        <f>IF(L178=0,0,L178/K178)</f>
        <v>0.6126179189158506</v>
      </c>
      <c r="M179" s="157"/>
      <c r="N179" s="59">
        <f>L179-F179</f>
        <v>-5.3820810841493927E-3</v>
      </c>
      <c r="O179" s="60"/>
      <c r="P179" s="144"/>
      <c r="Q179" s="158">
        <f>Q178/P178</f>
        <v>0.63076807147747171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194.55106796116505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ServiceM/O Esthétique</v>
      </c>
      <c r="B181" s="11" t="s">
        <v>78</v>
      </c>
      <c r="C181" s="14" t="s">
        <v>85</v>
      </c>
      <c r="D181" s="105">
        <v>0</v>
      </c>
      <c r="E181" s="82">
        <v>5556.108710943673</v>
      </c>
      <c r="F181" s="82">
        <v>2222.4434843774693</v>
      </c>
      <c r="G181" s="107"/>
      <c r="H181" s="82"/>
      <c r="I181" s="82"/>
      <c r="J181" s="164">
        <v>18</v>
      </c>
      <c r="K181" s="165">
        <v>3523.4</v>
      </c>
      <c r="L181" s="108">
        <v>1241.7400000000002</v>
      </c>
      <c r="M181" s="173">
        <f>IF(E181=0,0,(K181-E181)/E181)</f>
        <v>-0.36585114091448889</v>
      </c>
      <c r="N181" s="109">
        <f>L181-F181</f>
        <v>-980.70348437746907</v>
      </c>
      <c r="O181" s="164">
        <v>48</v>
      </c>
      <c r="P181" s="165">
        <v>7133.84</v>
      </c>
      <c r="Q181" s="108">
        <v>2507.19</v>
      </c>
      <c r="R181" s="157">
        <f>IF(O181=0,0,J181/O181)</f>
        <v>0.375</v>
      </c>
      <c r="S181" s="110">
        <f>L181-Q181</f>
        <v>-1265.4499999999998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0.35242663336549929</v>
      </c>
      <c r="M182" s="60">
        <f>J182-D182</f>
        <v>0</v>
      </c>
      <c r="N182" s="176"/>
      <c r="O182" s="175"/>
      <c r="P182" s="174"/>
      <c r="Q182" s="158">
        <f>IFERROR(Q181/P181,0)</f>
        <v>0.35145027082188557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148.62166666666667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6"/>
        <v>ServiceAjustement M/O</v>
      </c>
      <c r="B184" s="11" t="s">
        <v>78</v>
      </c>
      <c r="C184" s="29" t="s">
        <v>86</v>
      </c>
      <c r="D184" s="13"/>
      <c r="E184" s="13"/>
      <c r="F184" s="59">
        <v>-1485.3586298078108</v>
      </c>
      <c r="G184" s="41"/>
      <c r="H184" s="82"/>
      <c r="I184" s="82"/>
      <c r="J184" s="60"/>
      <c r="K184" s="82"/>
      <c r="L184" s="82">
        <v>-2565.34</v>
      </c>
      <c r="M184" s="175"/>
      <c r="N184" s="59">
        <f>L184-F184</f>
        <v>-1079.9813701921894</v>
      </c>
      <c r="O184" s="60"/>
      <c r="P184" s="82"/>
      <c r="Q184" s="82">
        <v>-417.99</v>
      </c>
      <c r="R184" s="184"/>
      <c r="S184" s="85">
        <f>L184-Q184</f>
        <v>-2147.3500000000004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6"/>
        <v>ServiceSous-total M/O</v>
      </c>
      <c r="B185" s="11" t="s">
        <v>78</v>
      </c>
      <c r="C185" s="185" t="s">
        <v>87</v>
      </c>
      <c r="D185" s="186">
        <f>D172+D175+D178+D181+D184</f>
        <v>0</v>
      </c>
      <c r="E185" s="186">
        <f>E172+E175+E178+E181+E184</f>
        <v>98419.766576708716</v>
      </c>
      <c r="F185" s="187">
        <f>F172+F175+F178+F181+F184</f>
        <v>67227.235350744668</v>
      </c>
      <c r="G185" s="188"/>
      <c r="H185" s="186"/>
      <c r="I185" s="187"/>
      <c r="J185" s="188">
        <f>J172+J175+J178+J181+J184</f>
        <v>413</v>
      </c>
      <c r="K185" s="186">
        <f>K172+K175+K178+K181+K184</f>
        <v>111093.38</v>
      </c>
      <c r="L185" s="187">
        <f>L172+L175+L178+L181+L184</f>
        <v>72025.260000000024</v>
      </c>
      <c r="M185" s="189">
        <f>(K185-E185)/E185</f>
        <v>0.12877101688118137</v>
      </c>
      <c r="N185" s="187">
        <f>L185-F185</f>
        <v>4798.0246492553561</v>
      </c>
      <c r="O185" s="188">
        <f t="shared" ref="O185:Q185" si="47">O172+O175+O178+O181+O184</f>
        <v>370</v>
      </c>
      <c r="P185" s="186">
        <f t="shared" si="47"/>
        <v>76091.819999999891</v>
      </c>
      <c r="Q185" s="187">
        <f t="shared" si="47"/>
        <v>51375.499999999804</v>
      </c>
      <c r="R185" s="42">
        <f>IF(O185=0,0,J185/O185)</f>
        <v>1.1162162162162161</v>
      </c>
      <c r="S185" s="190">
        <f>L185-Q185</f>
        <v>20649.76000000022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6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0.68306639701637095</v>
      </c>
      <c r="G186" s="194"/>
      <c r="H186" s="192"/>
      <c r="I186" s="43"/>
      <c r="J186" s="194"/>
      <c r="K186" s="443">
        <f>IF(J185=0,0,K185/J185)</f>
        <v>268.99123486682811</v>
      </c>
      <c r="L186" s="43">
        <f>IF(L185=0,0,L185/K185)</f>
        <v>0.64833080062916459</v>
      </c>
      <c r="M186" s="194"/>
      <c r="N186" s="193">
        <f>N185/F185</f>
        <v>7.1370250825020853E-2</v>
      </c>
      <c r="O186" s="194"/>
      <c r="P186" s="443">
        <f>IF(O185=0,0,P185/O185)</f>
        <v>205.65356756756728</v>
      </c>
      <c r="Q186" s="43">
        <f>Q185/P185</f>
        <v>0.67517769978428532</v>
      </c>
      <c r="R186" s="194"/>
      <c r="S186" s="44">
        <f>IF(R185=0,0,S185/R185)</f>
        <v>18499.784987893661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ServiceSous-traitement</v>
      </c>
      <c r="B188" s="11" t="s">
        <v>78</v>
      </c>
      <c r="C188" s="29" t="s">
        <v>89</v>
      </c>
      <c r="D188" s="82"/>
      <c r="E188" s="82">
        <v>3470.8982796091709</v>
      </c>
      <c r="F188" s="82">
        <v>593.52360581316827</v>
      </c>
      <c r="G188" s="60"/>
      <c r="H188" s="82"/>
      <c r="I188" s="82"/>
      <c r="J188" s="60"/>
      <c r="K188" s="30">
        <v>11177.310000000001</v>
      </c>
      <c r="L188" s="33">
        <v>227.09000000000196</v>
      </c>
      <c r="M188" s="84">
        <f>IF(E188=0,0,(K188-E188)/E188)</f>
        <v>2.2202931632034417</v>
      </c>
      <c r="N188" s="59">
        <f>L188-F188</f>
        <v>-366.43360581316631</v>
      </c>
      <c r="O188" s="60"/>
      <c r="P188" s="30">
        <v>287.94</v>
      </c>
      <c r="Q188" s="33">
        <v>45</v>
      </c>
      <c r="R188" s="157">
        <f>IF(O188=0,0,J188/O188)</f>
        <v>0</v>
      </c>
      <c r="S188" s="85">
        <f>L188-Q188</f>
        <v>182.09000000000196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0.17100000000000001</v>
      </c>
      <c r="G189" s="41"/>
      <c r="H189" s="144"/>
      <c r="I189" s="158"/>
      <c r="J189" s="175"/>
      <c r="K189" s="174"/>
      <c r="L189" s="158">
        <f>IF(L188=0,0,L188/K188)</f>
        <v>2.0317053029754201E-2</v>
      </c>
      <c r="M189" s="175"/>
      <c r="N189" s="176"/>
      <c r="O189" s="175"/>
      <c r="P189" s="174"/>
      <c r="Q189" s="158">
        <f>IFERROR(Q188/P188,0)</f>
        <v>0.1562825588664305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6"/>
        <v>ServiceTotal Mécanique</v>
      </c>
      <c r="B194" s="11" t="s">
        <v>78</v>
      </c>
      <c r="C194" s="62" t="s">
        <v>91</v>
      </c>
      <c r="D194" s="63"/>
      <c r="E194" s="63">
        <f>E185+E188+E191</f>
        <v>101890.66485631789</v>
      </c>
      <c r="F194" s="65">
        <f>F185+F188+F191</f>
        <v>67820.758956557838</v>
      </c>
      <c r="G194" s="66"/>
      <c r="H194" s="63"/>
      <c r="I194" s="65"/>
      <c r="J194" s="66"/>
      <c r="K194" s="63">
        <f>K185+K188+K191</f>
        <v>122270.69</v>
      </c>
      <c r="L194" s="65">
        <f>L185+L188+L191</f>
        <v>72252.35000000002</v>
      </c>
      <c r="M194" s="206">
        <f>L195-F195</f>
        <v>-7.4701633082677299E-2</v>
      </c>
      <c r="N194" s="65">
        <f>L194-F194</f>
        <v>4431.5910434421821</v>
      </c>
      <c r="O194" s="66"/>
      <c r="P194" s="63">
        <f t="shared" ref="P194:Q194" si="48">P185+P188+P191</f>
        <v>76379.759999999893</v>
      </c>
      <c r="Q194" s="65">
        <f t="shared" si="48"/>
        <v>51420.499999999804</v>
      </c>
      <c r="R194" s="206">
        <f>L195-Q195</f>
        <v>-8.2300286157713565E-2</v>
      </c>
      <c r="S194" s="68">
        <f>L194-Q194</f>
        <v>20831.850000000217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6"/>
        <v>Service</v>
      </c>
      <c r="B195" s="11" t="s">
        <v>78</v>
      </c>
      <c r="C195" s="69"/>
      <c r="D195" s="70"/>
      <c r="E195" s="70"/>
      <c r="F195" s="74">
        <f>F194/E194</f>
        <v>0.66562289148074494</v>
      </c>
      <c r="G195" s="72"/>
      <c r="H195" s="70"/>
      <c r="I195" s="74"/>
      <c r="J195" s="72"/>
      <c r="K195" s="70"/>
      <c r="L195" s="74">
        <f>L194/K194</f>
        <v>0.59092125839806764</v>
      </c>
      <c r="M195" s="73"/>
      <c r="N195" s="74">
        <f>N194/F194</f>
        <v>6.5342693175710551E-2</v>
      </c>
      <c r="O195" s="72"/>
      <c r="P195" s="70"/>
      <c r="Q195" s="74">
        <f>Q194/P194</f>
        <v>0.6732215445557812</v>
      </c>
      <c r="R195" s="73"/>
      <c r="S195" s="75">
        <f>L194/S194</f>
        <v>3.4683597472139667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ServiceSalaires cadres</v>
      </c>
      <c r="B198" s="11" t="s">
        <v>78</v>
      </c>
      <c r="C198" s="102" t="s">
        <v>40</v>
      </c>
      <c r="D198" s="13"/>
      <c r="E198" s="13"/>
      <c r="F198" s="30">
        <v>9703.5640585241727</v>
      </c>
      <c r="G198" s="41"/>
      <c r="H198" s="13"/>
      <c r="I198" s="30"/>
      <c r="J198" s="41"/>
      <c r="K198" s="13"/>
      <c r="L198" s="33">
        <v>10104.73</v>
      </c>
      <c r="M198" s="41"/>
      <c r="N198" s="59">
        <f t="shared" ref="N198:N229" si="49">L198-F198</f>
        <v>401.16594147582691</v>
      </c>
      <c r="O198" s="41"/>
      <c r="P198" s="13"/>
      <c r="Q198" s="33">
        <v>7302.63</v>
      </c>
      <c r="R198" s="41"/>
      <c r="S198" s="85">
        <f t="shared" ref="S198:S228" si="50">L198-Q198</f>
        <v>2802.0999999999995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commis</v>
      </c>
      <c r="B199" s="11" t="s">
        <v>78</v>
      </c>
      <c r="C199" s="103" t="s">
        <v>41</v>
      </c>
      <c r="D199" s="81"/>
      <c r="E199" s="13"/>
      <c r="F199" s="22">
        <v>5070.0260814249359</v>
      </c>
      <c r="G199" s="83"/>
      <c r="H199" s="13"/>
      <c r="I199" s="22"/>
      <c r="J199" s="41"/>
      <c r="K199" s="13"/>
      <c r="L199" s="33">
        <v>5958.02</v>
      </c>
      <c r="M199" s="41"/>
      <c r="N199" s="59">
        <f t="shared" si="49"/>
        <v>887.99391857506453</v>
      </c>
      <c r="O199" s="41"/>
      <c r="P199" s="13"/>
      <c r="Q199" s="33">
        <v>4431.91</v>
      </c>
      <c r="R199" s="41"/>
      <c r="S199" s="85">
        <f t="shared" si="50"/>
        <v>1526.1100000000006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autres</v>
      </c>
      <c r="B200" s="11" t="s">
        <v>78</v>
      </c>
      <c r="C200" s="102" t="s">
        <v>42</v>
      </c>
      <c r="D200" s="104"/>
      <c r="E200" s="105"/>
      <c r="F200" s="30">
        <v>4472.1755725190842</v>
      </c>
      <c r="G200" s="106"/>
      <c r="H200" s="105"/>
      <c r="I200" s="30"/>
      <c r="J200" s="107"/>
      <c r="K200" s="105"/>
      <c r="L200" s="108">
        <v>3642.54</v>
      </c>
      <c r="M200" s="107"/>
      <c r="N200" s="109">
        <f t="shared" si="49"/>
        <v>-829.63557251908423</v>
      </c>
      <c r="O200" s="107"/>
      <c r="P200" s="105"/>
      <c r="Q200" s="108">
        <v>4585.8599999999997</v>
      </c>
      <c r="R200" s="107"/>
      <c r="S200" s="110">
        <f t="shared" si="50"/>
        <v>-943.31999999999971</v>
      </c>
      <c r="T200" s="13"/>
      <c r="U200" s="13"/>
      <c r="V200" s="462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spécialistes</v>
      </c>
      <c r="B201" s="11" t="s">
        <v>78</v>
      </c>
      <c r="C201" s="102" t="s">
        <v>43</v>
      </c>
      <c r="D201" s="81"/>
      <c r="E201" s="13"/>
      <c r="F201" s="30">
        <v>6821.9300254452919</v>
      </c>
      <c r="G201" s="83"/>
      <c r="H201" s="13"/>
      <c r="I201" s="30"/>
      <c r="J201" s="41"/>
      <c r="K201" s="13"/>
      <c r="L201" s="33">
        <v>16655.73</v>
      </c>
      <c r="M201" s="41"/>
      <c r="N201" s="59">
        <f t="shared" si="49"/>
        <v>9833.7999745547077</v>
      </c>
      <c r="O201" s="41"/>
      <c r="P201" s="13"/>
      <c r="Q201" s="33">
        <v>6040.89</v>
      </c>
      <c r="R201" s="41"/>
      <c r="S201" s="85">
        <f t="shared" si="50"/>
        <v>10614.84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9"/>
        <v>0</v>
      </c>
      <c r="O202" s="41"/>
      <c r="P202" s="13"/>
      <c r="Q202" s="33">
        <v>0</v>
      </c>
      <c r="R202" s="41"/>
      <c r="S202" s="85">
        <f t="shared" si="50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6"/>
        <v>ServiceSalaires en absences</v>
      </c>
      <c r="B205" s="11" t="s">
        <v>78</v>
      </c>
      <c r="C205" s="103" t="s">
        <v>44</v>
      </c>
      <c r="D205" s="81"/>
      <c r="E205" s="13"/>
      <c r="F205" s="30">
        <v>5850.4243860784263</v>
      </c>
      <c r="G205" s="83"/>
      <c r="H205" s="13"/>
      <c r="I205" s="30"/>
      <c r="J205" s="41"/>
      <c r="K205" s="13"/>
      <c r="L205" s="33">
        <v>14494.32</v>
      </c>
      <c r="M205" s="41"/>
      <c r="N205" s="59">
        <f t="shared" si="49"/>
        <v>8643.8956139215734</v>
      </c>
      <c r="O205" s="41"/>
      <c r="P205" s="13"/>
      <c r="Q205" s="33">
        <v>10040.049999999999</v>
      </c>
      <c r="R205" s="41"/>
      <c r="S205" s="85">
        <f>L205-Q205</f>
        <v>4454.2700000000004</v>
      </c>
      <c r="T205" s="13"/>
      <c r="U205" s="13"/>
      <c r="V205" s="13" t="s">
        <v>270</v>
      </c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ServiceDéduction à la source</v>
      </c>
      <c r="B206" s="11" t="s">
        <v>78</v>
      </c>
      <c r="C206" s="102" t="s">
        <v>45</v>
      </c>
      <c r="D206" s="104"/>
      <c r="E206" s="105"/>
      <c r="F206" s="55">
        <v>6948.1498330797886</v>
      </c>
      <c r="G206" s="106"/>
      <c r="H206" s="105"/>
      <c r="I206" s="55"/>
      <c r="J206" s="107"/>
      <c r="K206" s="105"/>
      <c r="L206" s="108">
        <v>8131.14</v>
      </c>
      <c r="M206" s="107"/>
      <c r="N206" s="109">
        <f t="shared" si="49"/>
        <v>1182.9901669202118</v>
      </c>
      <c r="O206" s="107"/>
      <c r="P206" s="105"/>
      <c r="Q206" s="108">
        <v>7106.47</v>
      </c>
      <c r="R206" s="107"/>
      <c r="S206" s="110">
        <f t="shared" ref="S206:S236" si="51">L206-Q206</f>
        <v>1024.67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ServiceBénéfices marginaux</v>
      </c>
      <c r="B207" s="11" t="s">
        <v>78</v>
      </c>
      <c r="C207" s="102" t="s">
        <v>46</v>
      </c>
      <c r="D207" s="81"/>
      <c r="E207" s="13"/>
      <c r="F207" s="30">
        <v>3313.7329973149763</v>
      </c>
      <c r="G207" s="83"/>
      <c r="H207" s="13"/>
      <c r="I207" s="30"/>
      <c r="J207" s="41"/>
      <c r="K207" s="13"/>
      <c r="L207" s="33">
        <v>4048.18</v>
      </c>
      <c r="M207" s="41"/>
      <c r="N207" s="59">
        <f t="shared" si="49"/>
        <v>734.44700268502356</v>
      </c>
      <c r="O207" s="41"/>
      <c r="P207" s="13"/>
      <c r="Q207" s="33">
        <v>4162.46</v>
      </c>
      <c r="R207" s="41"/>
      <c r="S207" s="85">
        <f t="shared" si="51"/>
        <v>-114.2800000000002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ServiceCsst</v>
      </c>
      <c r="B208" s="11" t="s">
        <v>78</v>
      </c>
      <c r="C208" s="102" t="s">
        <v>47</v>
      </c>
      <c r="D208" s="81"/>
      <c r="E208" s="13"/>
      <c r="F208" s="30">
        <v>748.26228971628495</v>
      </c>
      <c r="G208" s="83"/>
      <c r="H208" s="13"/>
      <c r="I208" s="30"/>
      <c r="J208" s="41"/>
      <c r="K208" s="13"/>
      <c r="L208" s="33">
        <v>1203.56</v>
      </c>
      <c r="M208" s="467"/>
      <c r="N208" s="146">
        <f t="shared" si="49"/>
        <v>455.29771028371499</v>
      </c>
      <c r="O208" s="467"/>
      <c r="P208" s="468"/>
      <c r="Q208" s="22">
        <v>817.8</v>
      </c>
      <c r="R208" s="467"/>
      <c r="S208" s="469">
        <f t="shared" si="51"/>
        <v>385.76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9"/>
        <v>0</v>
      </c>
      <c r="O209" s="23"/>
      <c r="P209" s="111"/>
      <c r="Q209" s="33">
        <v>0</v>
      </c>
      <c r="R209" s="23"/>
      <c r="S209" s="92">
        <f t="shared" si="51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0.63296645311209798</v>
      </c>
      <c r="F210" s="96">
        <f>+SUM(F198:F209)</f>
        <v>42928.265244102964</v>
      </c>
      <c r="G210" s="97"/>
      <c r="H210" s="95"/>
      <c r="I210" s="96"/>
      <c r="J210" s="97" t="s">
        <v>92</v>
      </c>
      <c r="K210" s="95">
        <f>L210/L$194</f>
        <v>0.88908139320035939</v>
      </c>
      <c r="L210" s="96">
        <f>+SUM(L198:L209)</f>
        <v>64238.22</v>
      </c>
      <c r="M210" s="147"/>
      <c r="N210" s="113">
        <f t="shared" si="49"/>
        <v>21309.954755897037</v>
      </c>
      <c r="O210" s="97" t="s">
        <v>92</v>
      </c>
      <c r="P210" s="95">
        <f>Q210/Q$194</f>
        <v>0.86518159099970182</v>
      </c>
      <c r="Q210" s="96">
        <f>+SUM(Q198:Q209)</f>
        <v>44488.07</v>
      </c>
      <c r="R210" s="147"/>
      <c r="S210" s="114">
        <f t="shared" si="51"/>
        <v>19750.150000000001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ServicePublicité 2</v>
      </c>
      <c r="B211" s="11" t="s">
        <v>78</v>
      </c>
      <c r="C211" s="29" t="s">
        <v>49</v>
      </c>
      <c r="D211" s="81"/>
      <c r="E211" s="13"/>
      <c r="F211" s="30">
        <v>5793.5458498960234</v>
      </c>
      <c r="G211" s="83"/>
      <c r="H211" s="13"/>
      <c r="I211" s="30"/>
      <c r="J211" s="41"/>
      <c r="K211" s="13"/>
      <c r="L211" s="33">
        <v>6436.33</v>
      </c>
      <c r="M211" s="41"/>
      <c r="N211" s="59">
        <f t="shared" si="49"/>
        <v>642.78415010397657</v>
      </c>
      <c r="O211" s="41"/>
      <c r="P211" s="13"/>
      <c r="Q211" s="33">
        <v>3472.01</v>
      </c>
      <c r="R211" s="41"/>
      <c r="S211" s="85">
        <f t="shared" si="51"/>
        <v>2964.3199999999997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ServiceService gratuit 2</v>
      </c>
      <c r="B212" s="11" t="s">
        <v>78</v>
      </c>
      <c r="C212" s="29" t="s">
        <v>50</v>
      </c>
      <c r="D212" s="81"/>
      <c r="E212" s="13"/>
      <c r="F212" s="30">
        <v>3700</v>
      </c>
      <c r="G212" s="83"/>
      <c r="H212" s="13"/>
      <c r="I212" s="30"/>
      <c r="J212" s="41"/>
      <c r="K212" s="13"/>
      <c r="L212" s="33">
        <v>366.11</v>
      </c>
      <c r="M212" s="41"/>
      <c r="N212" s="59">
        <f t="shared" si="49"/>
        <v>-3333.89</v>
      </c>
      <c r="O212" s="41"/>
      <c r="P212" s="13"/>
      <c r="Q212" s="33">
        <v>1406.05</v>
      </c>
      <c r="R212" s="41"/>
      <c r="S212" s="85">
        <f t="shared" si="51"/>
        <v>-1039.94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ServiceFrais véhicules de cie</v>
      </c>
      <c r="B213" s="11" t="s">
        <v>78</v>
      </c>
      <c r="C213" s="86" t="s">
        <v>51</v>
      </c>
      <c r="D213" s="87"/>
      <c r="E213" s="111"/>
      <c r="F213" s="22">
        <v>4822.7083333333339</v>
      </c>
      <c r="G213" s="89"/>
      <c r="H213" s="111"/>
      <c r="I213" s="22"/>
      <c r="J213" s="23"/>
      <c r="K213" s="111"/>
      <c r="L213" s="33">
        <v>6211.02</v>
      </c>
      <c r="M213" s="23"/>
      <c r="N213" s="91">
        <f t="shared" si="49"/>
        <v>1388.3116666666665</v>
      </c>
      <c r="O213" s="23"/>
      <c r="P213" s="111"/>
      <c r="Q213" s="33">
        <v>3987.5499999999902</v>
      </c>
      <c r="R213" s="23"/>
      <c r="S213" s="92">
        <f t="shared" si="51"/>
        <v>2223.4700000000103</v>
      </c>
      <c r="T213" s="13"/>
      <c r="U213" s="13"/>
      <c r="V213" s="462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ServiceInformatique</v>
      </c>
      <c r="B214" s="11" t="s">
        <v>78</v>
      </c>
      <c r="C214" s="29" t="s">
        <v>52</v>
      </c>
      <c r="D214" s="81"/>
      <c r="E214" s="13"/>
      <c r="F214" s="30">
        <v>5527.0249999999996</v>
      </c>
      <c r="G214" s="83"/>
      <c r="H214" s="13"/>
      <c r="I214" s="30"/>
      <c r="J214" s="41"/>
      <c r="K214" s="13"/>
      <c r="L214" s="108">
        <v>6378.66</v>
      </c>
      <c r="M214" s="41"/>
      <c r="N214" s="59">
        <f t="shared" si="49"/>
        <v>851.63500000000022</v>
      </c>
      <c r="O214" s="41"/>
      <c r="P214" s="13"/>
      <c r="Q214" s="108">
        <v>5809.39</v>
      </c>
      <c r="R214" s="41"/>
      <c r="S214" s="85">
        <f t="shared" si="51"/>
        <v>569.26999999999953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ServiceFrais de déplacement</v>
      </c>
      <c r="B215" s="11" t="s">
        <v>78</v>
      </c>
      <c r="C215" s="29" t="s">
        <v>53</v>
      </c>
      <c r="D215" s="81"/>
      <c r="E215" s="13"/>
      <c r="F215" s="30">
        <v>411.3</v>
      </c>
      <c r="G215" s="83"/>
      <c r="H215" s="13"/>
      <c r="I215" s="30"/>
      <c r="J215" s="41"/>
      <c r="K215" s="13"/>
      <c r="L215" s="33">
        <v>-12.92</v>
      </c>
      <c r="M215" s="41"/>
      <c r="N215" s="59">
        <f t="shared" si="49"/>
        <v>-424.22</v>
      </c>
      <c r="O215" s="41"/>
      <c r="P215" s="13"/>
      <c r="Q215" s="33">
        <v>468.63</v>
      </c>
      <c r="R215" s="41"/>
      <c r="S215" s="85">
        <f t="shared" si="51"/>
        <v>-481.55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ServiceServices extérieurs</v>
      </c>
      <c r="B216" s="11" t="s">
        <v>78</v>
      </c>
      <c r="C216" s="86" t="s">
        <v>54</v>
      </c>
      <c r="D216" s="87"/>
      <c r="E216" s="111"/>
      <c r="F216" s="22">
        <v>5452.2250000000004</v>
      </c>
      <c r="G216" s="89"/>
      <c r="H216" s="111"/>
      <c r="I216" s="22"/>
      <c r="J216" s="23"/>
      <c r="K216" s="111"/>
      <c r="L216" s="33">
        <v>3592.09</v>
      </c>
      <c r="M216" s="23"/>
      <c r="N216" s="91">
        <f t="shared" si="49"/>
        <v>-1860.1350000000002</v>
      </c>
      <c r="O216" s="23"/>
      <c r="P216" s="111"/>
      <c r="Q216" s="33">
        <v>5200.93</v>
      </c>
      <c r="R216" s="23"/>
      <c r="S216" s="92">
        <f t="shared" si="51"/>
        <v>-1608.8400000000001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108">
        <v>0</v>
      </c>
      <c r="M217" s="41"/>
      <c r="N217" s="59">
        <f t="shared" si="49"/>
        <v>0</v>
      </c>
      <c r="O217" s="41"/>
      <c r="P217" s="13"/>
      <c r="Q217" s="108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75" si="52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1055.4216867469879</v>
      </c>
      <c r="G218" s="83"/>
      <c r="H218" s="13"/>
      <c r="I218" s="30"/>
      <c r="J218" s="41"/>
      <c r="K218" s="13"/>
      <c r="L218" s="33">
        <v>3082.06</v>
      </c>
      <c r="M218" s="41"/>
      <c r="N218" s="59">
        <f t="shared" si="49"/>
        <v>2026.638313253012</v>
      </c>
      <c r="O218" s="41"/>
      <c r="P218" s="13"/>
      <c r="Q218" s="33">
        <v>3667.54</v>
      </c>
      <c r="R218" s="41"/>
      <c r="S218" s="85">
        <f t="shared" ref="S218:S248" si="53">L218-Q218</f>
        <v>-585.48</v>
      </c>
      <c r="T218" s="13"/>
      <c r="U218" s="13"/>
      <c r="V218" s="13" t="s">
        <v>275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2"/>
        <v>ServiceUniformes</v>
      </c>
      <c r="B219" s="11" t="s">
        <v>78</v>
      </c>
      <c r="C219" s="29" t="s">
        <v>56</v>
      </c>
      <c r="D219" s="81"/>
      <c r="E219" s="13"/>
      <c r="F219" s="30">
        <v>950</v>
      </c>
      <c r="G219" s="83"/>
      <c r="H219" s="13"/>
      <c r="I219" s="30"/>
      <c r="J219" s="41"/>
      <c r="K219" s="13"/>
      <c r="L219" s="33">
        <v>1242.2</v>
      </c>
      <c r="M219" s="41"/>
      <c r="N219" s="59">
        <f t="shared" si="49"/>
        <v>292.20000000000005</v>
      </c>
      <c r="O219" s="41"/>
      <c r="P219" s="13"/>
      <c r="Q219" s="33">
        <v>2410.4699999999998</v>
      </c>
      <c r="R219" s="41"/>
      <c r="S219" s="85">
        <f t="shared" si="53"/>
        <v>-1168.2699999999998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241.67</v>
      </c>
      <c r="M220" s="41"/>
      <c r="N220" s="59">
        <f t="shared" si="49"/>
        <v>-152.08000000000001</v>
      </c>
      <c r="O220" s="41"/>
      <c r="P220" s="13"/>
      <c r="Q220" s="32">
        <v>199.77</v>
      </c>
      <c r="R220" s="41"/>
      <c r="S220" s="85">
        <f t="shared" si="53"/>
        <v>41.899999999999977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ServiceTéléphone</v>
      </c>
      <c r="B221" s="11" t="s">
        <v>78</v>
      </c>
      <c r="C221" s="29" t="s">
        <v>58</v>
      </c>
      <c r="D221" s="81"/>
      <c r="E221" s="13"/>
      <c r="F221" s="30">
        <v>111.2</v>
      </c>
      <c r="G221" s="83"/>
      <c r="H221" s="13"/>
      <c r="I221" s="30"/>
      <c r="J221" s="41"/>
      <c r="K221" s="13"/>
      <c r="L221" s="33">
        <v>110.2</v>
      </c>
      <c r="M221" s="41"/>
      <c r="N221" s="59">
        <f t="shared" si="49"/>
        <v>-1</v>
      </c>
      <c r="O221" s="41"/>
      <c r="P221" s="13"/>
      <c r="Q221" s="33">
        <v>105.41</v>
      </c>
      <c r="R221" s="41"/>
      <c r="S221" s="85">
        <f t="shared" si="53"/>
        <v>4.7900000000000063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130.30000000000001</v>
      </c>
      <c r="M222" s="41"/>
      <c r="N222" s="59">
        <f t="shared" si="49"/>
        <v>17.800000000000011</v>
      </c>
      <c r="O222" s="41"/>
      <c r="P222" s="13"/>
      <c r="Q222" s="33">
        <v>178.16</v>
      </c>
      <c r="R222" s="41"/>
      <c r="S222" s="85">
        <f t="shared" si="53"/>
        <v>-47.859999999999985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ServiceDivers</v>
      </c>
      <c r="B223" s="11" t="s">
        <v>78</v>
      </c>
      <c r="C223" s="29" t="s">
        <v>60</v>
      </c>
      <c r="D223" s="81"/>
      <c r="E223" s="13"/>
      <c r="F223" s="30">
        <v>418.05</v>
      </c>
      <c r="G223" s="83"/>
      <c r="H223" s="13"/>
      <c r="I223" s="30"/>
      <c r="J223" s="41"/>
      <c r="K223" s="13"/>
      <c r="L223" s="33">
        <v>372.24</v>
      </c>
      <c r="M223" s="41"/>
      <c r="N223" s="59">
        <f t="shared" si="49"/>
        <v>-45.81</v>
      </c>
      <c r="O223" s="41"/>
      <c r="P223" s="13"/>
      <c r="Q223" s="33">
        <v>349.33</v>
      </c>
      <c r="R223" s="41"/>
      <c r="S223" s="85">
        <f t="shared" si="53"/>
        <v>22.910000000000025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ServiceFormation</v>
      </c>
      <c r="B224" s="11" t="s">
        <v>78</v>
      </c>
      <c r="C224" s="29" t="s">
        <v>61</v>
      </c>
      <c r="D224" s="81"/>
      <c r="E224" s="13"/>
      <c r="F224" s="30">
        <v>1728.5819066666668</v>
      </c>
      <c r="G224" s="83"/>
      <c r="H224" s="13"/>
      <c r="I224" s="30"/>
      <c r="J224" s="41"/>
      <c r="K224" s="13"/>
      <c r="L224" s="33">
        <v>-301.52</v>
      </c>
      <c r="M224" s="41"/>
      <c r="N224" s="59">
        <f t="shared" si="49"/>
        <v>-2030.1019066666668</v>
      </c>
      <c r="O224" s="41"/>
      <c r="P224" s="13"/>
      <c r="Q224" s="33">
        <v>1264.3499999999999</v>
      </c>
      <c r="R224" s="41"/>
      <c r="S224" s="85">
        <f t="shared" si="53"/>
        <v>-1565.87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ServiceFrais bancaires</v>
      </c>
      <c r="B225" s="11" t="s">
        <v>78</v>
      </c>
      <c r="C225" s="29" t="s">
        <v>62</v>
      </c>
      <c r="D225" s="81"/>
      <c r="E225" s="13"/>
      <c r="F225" s="30">
        <v>885.75931188732829</v>
      </c>
      <c r="G225" s="83"/>
      <c r="H225" s="13"/>
      <c r="I225" s="30"/>
      <c r="J225" s="41"/>
      <c r="K225" s="13"/>
      <c r="L225" s="33">
        <v>1415.82</v>
      </c>
      <c r="M225" s="41"/>
      <c r="N225" s="59">
        <f t="shared" si="49"/>
        <v>530.06068811267164</v>
      </c>
      <c r="O225" s="41"/>
      <c r="P225" s="13"/>
      <c r="Q225" s="33">
        <v>792.57</v>
      </c>
      <c r="R225" s="41"/>
      <c r="S225" s="85">
        <f t="shared" si="53"/>
        <v>623.24999999999989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2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9"/>
        <v>0</v>
      </c>
      <c r="O226" s="41"/>
      <c r="P226" s="13"/>
      <c r="Q226" s="33">
        <v>0</v>
      </c>
      <c r="R226" s="41"/>
      <c r="S226" s="85">
        <f t="shared" si="53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:A285" si="54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 t="shared" ref="S228:S258" si="55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0.46242577598724777</v>
      </c>
      <c r="F229" s="96">
        <f>+SUM(F211:F228)</f>
        <v>31362.067088530341</v>
      </c>
      <c r="G229" s="97"/>
      <c r="H229" s="95"/>
      <c r="I229" s="96"/>
      <c r="J229" s="97" t="s">
        <v>92</v>
      </c>
      <c r="K229" s="95">
        <f>L229/L$194</f>
        <v>0.40502848696270771</v>
      </c>
      <c r="L229" s="96">
        <f>+SUM(L211:L228)</f>
        <v>29264.260000000002</v>
      </c>
      <c r="M229" s="100"/>
      <c r="N229" s="96">
        <f t="shared" si="49"/>
        <v>-2097.8070885303387</v>
      </c>
      <c r="O229" s="97" t="s">
        <v>92</v>
      </c>
      <c r="P229" s="95">
        <f>Q229/Q$194</f>
        <v>0.570048132554139</v>
      </c>
      <c r="Q229" s="96">
        <f>+SUM(Q211:Q228)</f>
        <v>29312.159999999993</v>
      </c>
      <c r="R229" s="100"/>
      <c r="S229" s="101">
        <f>L229-Q229</f>
        <v>-47.899999999990541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1.0953922290993456</v>
      </c>
      <c r="F231" s="96">
        <f>F210+F229</f>
        <v>74290.332332633305</v>
      </c>
      <c r="G231" s="97"/>
      <c r="H231" s="95"/>
      <c r="I231" s="96"/>
      <c r="J231" s="97" t="s">
        <v>38</v>
      </c>
      <c r="K231" s="95">
        <f>L231/L$194</f>
        <v>1.2941098801630671</v>
      </c>
      <c r="L231" s="96">
        <f>L210+L229</f>
        <v>93502.48000000001</v>
      </c>
      <c r="M231" s="100"/>
      <c r="N231" s="113">
        <f>L231-F231</f>
        <v>19212.147667366706</v>
      </c>
      <c r="O231" s="97" t="s">
        <v>38</v>
      </c>
      <c r="P231" s="95">
        <f>Q231/Q$194</f>
        <v>1.4352297235538409</v>
      </c>
      <c r="Q231" s="96">
        <f>Q210+Q229</f>
        <v>73800.23</v>
      </c>
      <c r="R231" s="100"/>
      <c r="S231" s="114">
        <f>L231-Q231</f>
        <v>19702.250000000015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-6469.5733760754665</v>
      </c>
      <c r="G233" s="153"/>
      <c r="H233" s="125"/>
      <c r="I233" s="127"/>
      <c r="J233" s="154"/>
      <c r="K233" s="126"/>
      <c r="L233" s="127">
        <f>L194-L231</f>
        <v>-21250.12999999999</v>
      </c>
      <c r="M233" s="154"/>
      <c r="N233" s="127">
        <f>L233-F233</f>
        <v>-14780.556623924524</v>
      </c>
      <c r="O233" s="154"/>
      <c r="P233" s="126"/>
      <c r="Q233" s="127">
        <f>Q194-Q231</f>
        <v>-22379.730000000192</v>
      </c>
      <c r="R233" s="154"/>
      <c r="S233" s="129">
        <f>L233-Q233</f>
        <v>1129.6000000002023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Décembre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96" t="s">
        <v>5</v>
      </c>
      <c r="E238" s="497"/>
      <c r="F238" s="498"/>
      <c r="G238" s="499"/>
      <c r="H238" s="497"/>
      <c r="I238" s="498"/>
      <c r="J238" s="499" t="s">
        <v>7</v>
      </c>
      <c r="K238" s="497"/>
      <c r="L238" s="498"/>
      <c r="M238" s="499" t="s">
        <v>213</v>
      </c>
      <c r="N238" s="498"/>
      <c r="O238" s="496" t="s">
        <v>8</v>
      </c>
      <c r="P238" s="497"/>
      <c r="Q238" s="498"/>
      <c r="R238" s="494" t="s">
        <v>214</v>
      </c>
      <c r="S238" s="495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56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6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6"/>
        <v>CarrosserieM/O Sous-traitement</v>
      </c>
      <c r="B241" s="11" t="s">
        <v>94</v>
      </c>
      <c r="C241" s="29" t="s">
        <v>95</v>
      </c>
      <c r="D241" s="80">
        <v>0</v>
      </c>
      <c r="E241" s="82">
        <v>22708.557042338987</v>
      </c>
      <c r="F241" s="82">
        <v>4087.5402676210174</v>
      </c>
      <c r="G241" s="156"/>
      <c r="H241" s="82"/>
      <c r="I241" s="82"/>
      <c r="J241" s="60">
        <v>3</v>
      </c>
      <c r="K241" s="30">
        <v>1175.1099999999999</v>
      </c>
      <c r="L241" s="33">
        <v>101.69999999999982</v>
      </c>
      <c r="M241" s="157">
        <f>IFERROR((K241-E241)/E241,0)</f>
        <v>-0.94825254648240898</v>
      </c>
      <c r="N241" s="59">
        <f>L241-F241</f>
        <v>-3985.8402676210176</v>
      </c>
      <c r="O241" s="60">
        <v>8</v>
      </c>
      <c r="P241" s="30">
        <v>3508.4</v>
      </c>
      <c r="Q241" s="33">
        <v>180.57999999999899</v>
      </c>
      <c r="R241" s="157">
        <f>IF(O241=0,0,J241/O241)</f>
        <v>0.375</v>
      </c>
      <c r="S241" s="85">
        <f>L241-Q241</f>
        <v>-78.879999999999171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6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/>
      <c r="J242" s="60"/>
      <c r="K242" s="13"/>
      <c r="L242" s="158">
        <f>IFERROR(L241/K241,0)</f>
        <v>8.6545089395886191E-2</v>
      </c>
      <c r="M242" s="157"/>
      <c r="N242" s="470">
        <f>IFERROR(N241/M241,0)</f>
        <v>4203.3530860599267</v>
      </c>
      <c r="O242" s="60"/>
      <c r="P242" s="13"/>
      <c r="Q242" s="158">
        <f>IFERROR(Q241/P241,0)</f>
        <v>5.1470755900125127E-2</v>
      </c>
      <c r="R242" s="60"/>
      <c r="S242" s="85">
        <f>IFERROR(S241/R241,0)</f>
        <v>-210.34666666666445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6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6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6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6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6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6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6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6"/>
        <v>CarrosserieTotal Mécanique</v>
      </c>
      <c r="B250" s="11" t="s">
        <v>94</v>
      </c>
      <c r="C250" s="62" t="s">
        <v>91</v>
      </c>
      <c r="D250" s="63"/>
      <c r="E250" s="63">
        <f>E244+E247+E241</f>
        <v>22708.557042338987</v>
      </c>
      <c r="F250" s="65">
        <f>F244+F247+F241</f>
        <v>4087.5402676210174</v>
      </c>
      <c r="G250" s="66"/>
      <c r="H250" s="63"/>
      <c r="I250" s="65"/>
      <c r="J250" s="66"/>
      <c r="K250" s="63">
        <f>K244+K247+K241</f>
        <v>1175.1099999999999</v>
      </c>
      <c r="L250" s="65">
        <f>L244+L247+L241</f>
        <v>101.69999999999982</v>
      </c>
      <c r="M250" s="206">
        <f>L251-F251</f>
        <v>-9.3454910604113803E-2</v>
      </c>
      <c r="N250" s="65">
        <f>L250-F250</f>
        <v>-3985.8402676210176</v>
      </c>
      <c r="O250" s="66"/>
      <c r="P250" s="63">
        <f t="shared" ref="P250:Q250" si="57">P244+P247+P241</f>
        <v>3508.4</v>
      </c>
      <c r="Q250" s="65">
        <f t="shared" si="57"/>
        <v>180.57999999999899</v>
      </c>
      <c r="R250" s="206">
        <f>L251-Q251</f>
        <v>3.5074333495761063E-2</v>
      </c>
      <c r="S250" s="68">
        <f>L250-Q250</f>
        <v>-78.879999999999171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6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/>
      <c r="J251" s="72"/>
      <c r="K251" s="70"/>
      <c r="L251" s="74">
        <f>IF(K250=0,0,L250/K250)</f>
        <v>8.6545089395886191E-2</v>
      </c>
      <c r="M251" s="73"/>
      <c r="N251" s="74">
        <f>N250/F250</f>
        <v>-0.97511951116283679</v>
      </c>
      <c r="O251" s="72"/>
      <c r="P251" s="70"/>
      <c r="Q251" s="74">
        <f>Q250/P250</f>
        <v>5.1470755900125127E-2</v>
      </c>
      <c r="R251" s="73"/>
      <c r="S251" s="75">
        <f>IF(R250=0,0,S250/R250)</f>
        <v>-2248.9379594207335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6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6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6"/>
        <v>CarrosserieSalaires cadres</v>
      </c>
      <c r="B254" s="11" t="s">
        <v>94</v>
      </c>
      <c r="C254" s="102" t="s">
        <v>40</v>
      </c>
      <c r="D254" s="13"/>
      <c r="E254" s="13"/>
      <c r="F254" s="30">
        <v>304.27500000000003</v>
      </c>
      <c r="G254" s="41"/>
      <c r="H254" s="13"/>
      <c r="I254" s="30"/>
      <c r="J254" s="41"/>
      <c r="K254" s="13"/>
      <c r="L254" s="33">
        <v>304.27</v>
      </c>
      <c r="M254" s="41"/>
      <c r="N254" s="59">
        <f t="shared" ref="N254:N284" si="58">L254-F254</f>
        <v>-5.0000000000522959E-3</v>
      </c>
      <c r="O254" s="41"/>
      <c r="P254" s="13"/>
      <c r="Q254" s="33">
        <v>304.27</v>
      </c>
      <c r="R254" s="41"/>
      <c r="S254" s="85">
        <f t="shared" ref="S254:S265" si="59"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6"/>
        <v>CarrosserieSalaires commis</v>
      </c>
      <c r="B255" s="11" t="s">
        <v>94</v>
      </c>
      <c r="C255" s="103" t="s">
        <v>41</v>
      </c>
      <c r="D255" s="81"/>
      <c r="E255" s="13"/>
      <c r="F255" s="22">
        <v>346.66030534351142</v>
      </c>
      <c r="G255" s="83"/>
      <c r="H255" s="13"/>
      <c r="I255" s="22"/>
      <c r="J255" s="41"/>
      <c r="K255" s="13"/>
      <c r="L255" s="33">
        <v>339.43</v>
      </c>
      <c r="M255" s="41"/>
      <c r="N255" s="59">
        <f t="shared" si="58"/>
        <v>-7.230305343511418</v>
      </c>
      <c r="O255" s="41"/>
      <c r="P255" s="13"/>
      <c r="Q255" s="33">
        <v>257.98</v>
      </c>
      <c r="R255" s="41"/>
      <c r="S255" s="85">
        <f>L255-Q255</f>
        <v>81.449999999999989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6"/>
        <v>CarrosserieSalaires autres</v>
      </c>
      <c r="B256" s="11" t="s">
        <v>94</v>
      </c>
      <c r="C256" s="102" t="s">
        <v>42</v>
      </c>
      <c r="D256" s="104"/>
      <c r="E256" s="105"/>
      <c r="F256" s="30">
        <v>19</v>
      </c>
      <c r="G256" s="106"/>
      <c r="H256" s="105"/>
      <c r="I256" s="30"/>
      <c r="J256" s="107"/>
      <c r="K256" s="105"/>
      <c r="L256" s="108">
        <v>19</v>
      </c>
      <c r="M256" s="107"/>
      <c r="N256" s="109">
        <f t="shared" si="58"/>
        <v>0</v>
      </c>
      <c r="O256" s="107"/>
      <c r="P256" s="105"/>
      <c r="Q256" s="108">
        <v>19</v>
      </c>
      <c r="R256" s="107"/>
      <c r="S256" s="110">
        <f t="shared" ref="S256:S272" si="60">L256-Q256</f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6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8"/>
        <v>0</v>
      </c>
      <c r="O257" s="41"/>
      <c r="P257" s="13"/>
      <c r="Q257" s="33">
        <v>0</v>
      </c>
      <c r="R257" s="41"/>
      <c r="S257" s="85">
        <f t="shared" si="60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6"/>
        <v>CarrosserieSalaires en absences</v>
      </c>
      <c r="B261" s="11" t="s">
        <v>94</v>
      </c>
      <c r="C261" s="103" t="s">
        <v>44</v>
      </c>
      <c r="D261" s="81"/>
      <c r="E261" s="13"/>
      <c r="F261" s="22">
        <v>114.61711251345666</v>
      </c>
      <c r="G261" s="83"/>
      <c r="H261" s="13"/>
      <c r="I261" s="22"/>
      <c r="J261" s="41"/>
      <c r="K261" s="13"/>
      <c r="L261" s="33">
        <v>57.79</v>
      </c>
      <c r="M261" s="41"/>
      <c r="N261" s="59">
        <f t="shared" si="58"/>
        <v>-56.827112513456662</v>
      </c>
      <c r="O261" s="41"/>
      <c r="P261" s="13"/>
      <c r="Q261" s="33">
        <v>64.16</v>
      </c>
      <c r="R261" s="41"/>
      <c r="S261" s="85">
        <f t="shared" si="60"/>
        <v>-6.3699999999999974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6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136.12292350508906</v>
      </c>
      <c r="G262" s="106"/>
      <c r="H262" s="105"/>
      <c r="I262" s="30"/>
      <c r="J262" s="107"/>
      <c r="K262" s="105"/>
      <c r="L262" s="108">
        <v>214.1</v>
      </c>
      <c r="M262" s="107"/>
      <c r="N262" s="109">
        <f t="shared" si="58"/>
        <v>77.977076494910932</v>
      </c>
      <c r="O262" s="107"/>
      <c r="P262" s="105"/>
      <c r="Q262" s="108">
        <v>210.11</v>
      </c>
      <c r="R262" s="107"/>
      <c r="S262" s="110">
        <f t="shared" si="60"/>
        <v>3.9899999999999807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6"/>
        <v>CarrosserieBénéfices marginaux</v>
      </c>
      <c r="B263" s="11" t="s">
        <v>94</v>
      </c>
      <c r="C263" s="102" t="s">
        <v>46</v>
      </c>
      <c r="D263" s="81"/>
      <c r="E263" s="13"/>
      <c r="F263" s="30">
        <v>64.920163517811702</v>
      </c>
      <c r="G263" s="83"/>
      <c r="H263" s="13"/>
      <c r="I263" s="30"/>
      <c r="J263" s="41"/>
      <c r="K263" s="13"/>
      <c r="L263" s="33">
        <v>42.5</v>
      </c>
      <c r="M263" s="41"/>
      <c r="N263" s="59">
        <f t="shared" si="58"/>
        <v>-22.420163517811702</v>
      </c>
      <c r="O263" s="41"/>
      <c r="P263" s="13"/>
      <c r="Q263" s="33">
        <v>33.340000000000003</v>
      </c>
      <c r="R263" s="41"/>
      <c r="S263" s="85">
        <f t="shared" si="60"/>
        <v>9.1599999999999966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6"/>
        <v>CarrosserieCsst</v>
      </c>
      <c r="B264" s="11" t="s">
        <v>94</v>
      </c>
      <c r="C264" s="102" t="s">
        <v>47</v>
      </c>
      <c r="D264" s="81"/>
      <c r="E264" s="13"/>
      <c r="F264" s="30">
        <v>14.659391762086514</v>
      </c>
      <c r="G264" s="83"/>
      <c r="H264" s="13"/>
      <c r="I264" s="30"/>
      <c r="J264" s="41"/>
      <c r="K264" s="13"/>
      <c r="L264" s="33">
        <v>4.3600000000000003</v>
      </c>
      <c r="M264" s="467"/>
      <c r="N264" s="146">
        <f t="shared" si="58"/>
        <v>-10.299391762086515</v>
      </c>
      <c r="O264" s="41"/>
      <c r="P264" s="13"/>
      <c r="Q264" s="33">
        <v>4.0599999999999996</v>
      </c>
      <c r="R264" s="41"/>
      <c r="S264" s="85">
        <f t="shared" si="60"/>
        <v>0.30000000000000071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8"/>
        <v>0</v>
      </c>
      <c r="O265" s="23"/>
      <c r="P265" s="111"/>
      <c r="Q265" s="33">
        <v>0</v>
      </c>
      <c r="R265" s="23"/>
      <c r="S265" s="92">
        <f t="shared" si="60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6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1000.2548966419554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981.45</v>
      </c>
      <c r="M266" s="147"/>
      <c r="N266" s="113">
        <f t="shared" si="58"/>
        <v>-18.804896641955338</v>
      </c>
      <c r="O266" s="97" t="s">
        <v>38</v>
      </c>
      <c r="P266" s="95">
        <f>IF(Q244=0,0,Q266/Q$244)</f>
        <v>0</v>
      </c>
      <c r="Q266" s="96">
        <f>+SUM(Q254:Q265)</f>
        <v>892.92</v>
      </c>
      <c r="R266" s="147"/>
      <c r="S266" s="114">
        <f t="shared" si="60"/>
        <v>88.530000000000086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6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104</v>
      </c>
      <c r="M267" s="41"/>
      <c r="N267" s="59">
        <f t="shared" si="58"/>
        <v>104</v>
      </c>
      <c r="O267" s="41"/>
      <c r="P267" s="13"/>
      <c r="Q267" s="33">
        <v>0</v>
      </c>
      <c r="R267" s="41"/>
      <c r="S267" s="85">
        <f t="shared" si="60"/>
        <v>104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6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8"/>
        <v>0</v>
      </c>
      <c r="O268" s="41"/>
      <c r="P268" s="13"/>
      <c r="Q268" s="33">
        <v>0</v>
      </c>
      <c r="R268" s="41"/>
      <c r="S268" s="85">
        <f t="shared" si="60"/>
        <v>0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6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119.375</v>
      </c>
      <c r="G269" s="89"/>
      <c r="H269" s="111"/>
      <c r="I269" s="22"/>
      <c r="J269" s="23"/>
      <c r="K269" s="111"/>
      <c r="L269" s="33">
        <v>75.2</v>
      </c>
      <c r="M269" s="23"/>
      <c r="N269" s="91">
        <f t="shared" si="58"/>
        <v>-44.174999999999997</v>
      </c>
      <c r="O269" s="23"/>
      <c r="P269" s="111"/>
      <c r="Q269" s="33">
        <v>116.01</v>
      </c>
      <c r="R269" s="23"/>
      <c r="S269" s="92">
        <f t="shared" si="60"/>
        <v>-40.81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6"/>
        <v>CarrosserieInformatique</v>
      </c>
      <c r="B270" s="11" t="s">
        <v>94</v>
      </c>
      <c r="C270" s="102" t="s">
        <v>52</v>
      </c>
      <c r="D270" s="81"/>
      <c r="E270" s="13"/>
      <c r="F270" s="30">
        <v>239.22500000000002</v>
      </c>
      <c r="G270" s="83"/>
      <c r="H270" s="13"/>
      <c r="I270" s="30"/>
      <c r="J270" s="41"/>
      <c r="K270" s="13"/>
      <c r="L270" s="108">
        <v>176.9</v>
      </c>
      <c r="M270" s="41"/>
      <c r="N270" s="59">
        <f t="shared" si="58"/>
        <v>-62.325000000000017</v>
      </c>
      <c r="O270" s="41"/>
      <c r="P270" s="13"/>
      <c r="Q270" s="108">
        <v>236.36</v>
      </c>
      <c r="R270" s="41"/>
      <c r="S270" s="85">
        <f t="shared" si="60"/>
        <v>-59.460000000000008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6"/>
        <v>CarrosserieFrais de déplacement</v>
      </c>
      <c r="B271" s="11" t="s">
        <v>94</v>
      </c>
      <c r="C271" s="102" t="s">
        <v>53</v>
      </c>
      <c r="D271" s="81"/>
      <c r="E271" s="13"/>
      <c r="F271" s="30">
        <v>45.7</v>
      </c>
      <c r="G271" s="83"/>
      <c r="H271" s="13"/>
      <c r="I271" s="30"/>
      <c r="J271" s="41"/>
      <c r="K271" s="13"/>
      <c r="L271" s="33">
        <v>4.4400000000000004</v>
      </c>
      <c r="M271" s="41"/>
      <c r="N271" s="59">
        <f t="shared" si="58"/>
        <v>-41.260000000000005</v>
      </c>
      <c r="O271" s="41"/>
      <c r="P271" s="13"/>
      <c r="Q271" s="33">
        <v>10.32</v>
      </c>
      <c r="R271" s="41"/>
      <c r="S271" s="85">
        <f t="shared" si="60"/>
        <v>-5.88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6"/>
        <v>CarrosserieServices extérieurs</v>
      </c>
      <c r="B272" s="11" t="s">
        <v>94</v>
      </c>
      <c r="C272" s="102" t="s">
        <v>54</v>
      </c>
      <c r="D272" s="87"/>
      <c r="E272" s="111"/>
      <c r="F272" s="22">
        <v>153.02500000000001</v>
      </c>
      <c r="G272" s="89"/>
      <c r="H272" s="111"/>
      <c r="I272" s="22"/>
      <c r="J272" s="23"/>
      <c r="K272" s="111"/>
      <c r="L272" s="33">
        <v>120.15</v>
      </c>
      <c r="M272" s="23"/>
      <c r="N272" s="91">
        <f t="shared" si="58"/>
        <v>-32.875</v>
      </c>
      <c r="O272" s="23"/>
      <c r="P272" s="111"/>
      <c r="Q272" s="22">
        <v>143.33000000000001</v>
      </c>
      <c r="R272" s="23"/>
      <c r="S272" s="92">
        <f t="shared" si="60"/>
        <v>-23.180000000000007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319" si="61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2.1686746987951806</v>
      </c>
      <c r="G274" s="83"/>
      <c r="H274" s="13"/>
      <c r="I274" s="30"/>
      <c r="J274" s="41"/>
      <c r="K274" s="13"/>
      <c r="L274" s="33">
        <v>0.54</v>
      </c>
      <c r="M274" s="41"/>
      <c r="N274" s="59">
        <f t="shared" si="58"/>
        <v>-1.6286746987951806</v>
      </c>
      <c r="O274" s="41"/>
      <c r="P274" s="13"/>
      <c r="Q274" s="33">
        <v>0</v>
      </c>
      <c r="R274" s="41"/>
      <c r="S274" s="85">
        <f t="shared" ref="S274:S292" si="62">L274-Q274</f>
        <v>0.54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61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0</v>
      </c>
      <c r="R275" s="41"/>
      <c r="S275" s="85">
        <f t="shared" si="62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61"/>
        <v>CarrosseriePapeterie</v>
      </c>
      <c r="B276" s="11" t="s">
        <v>94</v>
      </c>
      <c r="C276" s="102" t="s">
        <v>57</v>
      </c>
      <c r="D276" s="81"/>
      <c r="E276" s="13"/>
      <c r="F276" s="30">
        <v>43.75</v>
      </c>
      <c r="G276" s="83"/>
      <c r="H276" s="13"/>
      <c r="I276" s="30"/>
      <c r="J276" s="41"/>
      <c r="K276" s="13"/>
      <c r="L276" s="32">
        <v>26.85</v>
      </c>
      <c r="M276" s="41"/>
      <c r="N276" s="59">
        <f t="shared" si="58"/>
        <v>-16.899999999999999</v>
      </c>
      <c r="O276" s="41"/>
      <c r="P276" s="13"/>
      <c r="Q276" s="32">
        <v>18.29</v>
      </c>
      <c r="R276" s="41"/>
      <c r="S276" s="85">
        <f t="shared" si="62"/>
        <v>8.5600000000000023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61"/>
        <v>CarrosserieTéléphone</v>
      </c>
      <c r="B277" s="11" t="s">
        <v>94</v>
      </c>
      <c r="C277" s="102" t="s">
        <v>58</v>
      </c>
      <c r="D277" s="81"/>
      <c r="E277" s="13"/>
      <c r="F277" s="30">
        <v>8.8000000000000007</v>
      </c>
      <c r="G277" s="83"/>
      <c r="H277" s="13"/>
      <c r="I277" s="30"/>
      <c r="J277" s="41"/>
      <c r="K277" s="13"/>
      <c r="L277" s="33">
        <v>8.1300000000000008</v>
      </c>
      <c r="M277" s="41"/>
      <c r="N277" s="59">
        <f t="shared" si="58"/>
        <v>-0.66999999999999993</v>
      </c>
      <c r="O277" s="41"/>
      <c r="P277" s="13"/>
      <c r="Q277" s="33">
        <v>7.61</v>
      </c>
      <c r="R277" s="41"/>
      <c r="S277" s="85">
        <f t="shared" si="62"/>
        <v>0.52000000000000046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61"/>
        <v>CarrosserieFrais postaux</v>
      </c>
      <c r="B278" s="11" t="s">
        <v>94</v>
      </c>
      <c r="C278" s="102" t="s">
        <v>59</v>
      </c>
      <c r="D278" s="81"/>
      <c r="E278" s="13"/>
      <c r="F278" s="30">
        <v>12.5</v>
      </c>
      <c r="G278" s="83"/>
      <c r="H278" s="13"/>
      <c r="I278" s="30"/>
      <c r="J278" s="41"/>
      <c r="K278" s="13"/>
      <c r="L278" s="33">
        <v>4.2699999999999996</v>
      </c>
      <c r="M278" s="41"/>
      <c r="N278" s="59">
        <f t="shared" si="58"/>
        <v>-8.23</v>
      </c>
      <c r="O278" s="41"/>
      <c r="P278" s="13"/>
      <c r="Q278" s="33">
        <v>6.62</v>
      </c>
      <c r="R278" s="41"/>
      <c r="S278" s="85">
        <f t="shared" si="62"/>
        <v>-2.3500000000000005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61"/>
        <v>CarrosserieDivers</v>
      </c>
      <c r="B279" s="11" t="s">
        <v>94</v>
      </c>
      <c r="C279" s="102" t="s">
        <v>60</v>
      </c>
      <c r="D279" s="81"/>
      <c r="E279" s="13"/>
      <c r="F279" s="30">
        <v>46.45</v>
      </c>
      <c r="G279" s="83"/>
      <c r="H279" s="13"/>
      <c r="I279" s="30"/>
      <c r="J279" s="41"/>
      <c r="K279" s="13"/>
      <c r="L279" s="33">
        <v>35.51</v>
      </c>
      <c r="M279" s="41"/>
      <c r="N279" s="59">
        <f t="shared" si="58"/>
        <v>-10.940000000000005</v>
      </c>
      <c r="O279" s="41"/>
      <c r="P279" s="13"/>
      <c r="Q279" s="33">
        <v>38.79</v>
      </c>
      <c r="R279" s="41"/>
      <c r="S279" s="85">
        <f t="shared" si="62"/>
        <v>-3.2800000000000011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61"/>
        <v>CarrosserieFormation</v>
      </c>
      <c r="B280" s="11" t="s">
        <v>94</v>
      </c>
      <c r="C280" s="102" t="s">
        <v>61</v>
      </c>
      <c r="D280" s="81"/>
      <c r="E280" s="13"/>
      <c r="F280" s="30">
        <v>20.768359999999994</v>
      </c>
      <c r="G280" s="83"/>
      <c r="H280" s="13"/>
      <c r="I280" s="30"/>
      <c r="J280" s="41"/>
      <c r="K280" s="13"/>
      <c r="L280" s="33">
        <v>89.83</v>
      </c>
      <c r="M280" s="41"/>
      <c r="N280" s="59">
        <f t="shared" si="58"/>
        <v>69.061640000000011</v>
      </c>
      <c r="O280" s="41"/>
      <c r="P280" s="13"/>
      <c r="Q280" s="33">
        <v>48.19</v>
      </c>
      <c r="R280" s="41"/>
      <c r="S280" s="85">
        <f t="shared" si="62"/>
        <v>41.64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61"/>
        <v>CarrosserieFrais bancaires</v>
      </c>
      <c r="B281" s="11" t="s">
        <v>94</v>
      </c>
      <c r="C281" s="102" t="s">
        <v>62</v>
      </c>
      <c r="D281" s="81"/>
      <c r="E281" s="13"/>
      <c r="F281" s="30">
        <v>98.41770132081426</v>
      </c>
      <c r="G281" s="83"/>
      <c r="H281" s="13"/>
      <c r="I281" s="30"/>
      <c r="J281" s="41"/>
      <c r="K281" s="13"/>
      <c r="L281" s="33">
        <v>4.5199999999999996</v>
      </c>
      <c r="M281" s="41"/>
      <c r="N281" s="59">
        <f t="shared" si="58"/>
        <v>-93.897701320814264</v>
      </c>
      <c r="O281" s="41"/>
      <c r="P281" s="13"/>
      <c r="Q281" s="33">
        <v>88.07</v>
      </c>
      <c r="R281" s="41"/>
      <c r="S281" s="85">
        <f t="shared" si="62"/>
        <v>-83.55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:A329" si="63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 t="shared" ref="S284:S302" si="64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790.17973601960944</v>
      </c>
      <c r="G285" s="97"/>
      <c r="H285" s="95"/>
      <c r="I285" s="96"/>
      <c r="J285" s="97" t="s">
        <v>38</v>
      </c>
      <c r="K285" s="95" t="e">
        <f>IF(L262=0,0,L285/L$244)</f>
        <v>#DIV/0!</v>
      </c>
      <c r="L285" s="96">
        <f>+SUM(L267:L284)</f>
        <v>650.34000000000015</v>
      </c>
      <c r="M285" s="100"/>
      <c r="N285" s="96">
        <f>+SUM(N267:N284)</f>
        <v>-139.83973601960946</v>
      </c>
      <c r="O285" s="97" t="s">
        <v>38</v>
      </c>
      <c r="P285" s="95">
        <f>IF(Q$244=0,0,Q285/Q$244)</f>
        <v>0</v>
      </c>
      <c r="Q285" s="96">
        <f>+SUM(Q267:Q284)</f>
        <v>713.58999999999992</v>
      </c>
      <c r="R285" s="100"/>
      <c r="S285" s="101">
        <f>L285-Q285</f>
        <v>-63.249999999999773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1790.4346326615648</v>
      </c>
      <c r="G287" s="97"/>
      <c r="H287" s="95"/>
      <c r="I287" s="96"/>
      <c r="J287" s="97" t="s">
        <v>38</v>
      </c>
      <c r="K287" s="95" t="e">
        <f>IF(L264=0,0,L287/L$244)</f>
        <v>#DIV/0!</v>
      </c>
      <c r="L287" s="96">
        <f>L266+L285</f>
        <v>1631.7900000000002</v>
      </c>
      <c r="M287" s="100"/>
      <c r="N287" s="113">
        <f>L287-F287</f>
        <v>-158.64463266156463</v>
      </c>
      <c r="O287" s="97" t="s">
        <v>38</v>
      </c>
      <c r="P287" s="95">
        <f>IF(Q$244=0,0,Q287/Q$244)</f>
        <v>0</v>
      </c>
      <c r="Q287" s="96">
        <f>Q266+Q285</f>
        <v>1606.5099999999998</v>
      </c>
      <c r="R287" s="100"/>
      <c r="S287" s="114">
        <f>L287-Q287</f>
        <v>25.280000000000427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2297.1056349594528</v>
      </c>
      <c r="G289" s="153"/>
      <c r="H289" s="125"/>
      <c r="I289" s="127"/>
      <c r="J289" s="154"/>
      <c r="K289" s="126"/>
      <c r="L289" s="127">
        <f>L250-L287</f>
        <v>-1530.0900000000004</v>
      </c>
      <c r="M289" s="154"/>
      <c r="N289" s="127">
        <f>L289-F289</f>
        <v>-3827.1956349594529</v>
      </c>
      <c r="O289" s="154"/>
      <c r="P289" s="126"/>
      <c r="Q289" s="127">
        <f>Q250-Q287</f>
        <v>-1425.9300000000007</v>
      </c>
      <c r="R289" s="154"/>
      <c r="S289" s="129">
        <f>L289-Q289</f>
        <v>-104.15999999999963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Décembre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96" t="s">
        <v>5</v>
      </c>
      <c r="E293" s="497"/>
      <c r="F293" s="498"/>
      <c r="G293" s="499"/>
      <c r="H293" s="497"/>
      <c r="I293" s="498"/>
      <c r="J293" s="499" t="s">
        <v>7</v>
      </c>
      <c r="K293" s="497"/>
      <c r="L293" s="498"/>
      <c r="M293" s="499" t="s">
        <v>213</v>
      </c>
      <c r="N293" s="498"/>
      <c r="O293" s="496" t="s">
        <v>8</v>
      </c>
      <c r="P293" s="497"/>
      <c r="Q293" s="498"/>
      <c r="R293" s="494" t="s">
        <v>214</v>
      </c>
      <c r="S293" s="49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3" si="65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5"/>
        <v>PiècesPièces Ro Clients</v>
      </c>
      <c r="B295" s="11" t="s">
        <v>98</v>
      </c>
      <c r="C295" s="29" t="s">
        <v>100</v>
      </c>
      <c r="D295" s="82">
        <v>36010.327021002944</v>
      </c>
      <c r="E295" s="148">
        <f>IF(D295=0,0,F295/D295)</f>
        <v>0.41799999999999998</v>
      </c>
      <c r="F295" s="85">
        <v>15052.316694779231</v>
      </c>
      <c r="G295" s="82"/>
      <c r="H295" s="148"/>
      <c r="I295" s="85"/>
      <c r="J295" s="30">
        <v>33417.71</v>
      </c>
      <c r="K295" s="148">
        <f t="shared" ref="K295:K300" si="66">IF(J295&lt;=0,0,L295/J295)</f>
        <v>0.42927447751506609</v>
      </c>
      <c r="L295" s="33">
        <v>14345.369999999999</v>
      </c>
      <c r="M295" s="157">
        <f t="shared" ref="M295:M301" si="67">(+J295-D295)/D295</f>
        <v>-7.199648643820443E-2</v>
      </c>
      <c r="N295" s="59">
        <f t="shared" ref="N295:N304" si="68">L295-F295</f>
        <v>-706.94669477923162</v>
      </c>
      <c r="O295" s="30">
        <v>44940.84</v>
      </c>
      <c r="P295" s="148">
        <f t="shared" ref="P295:P303" si="69">IF(O295=0,0,Q295/O295)</f>
        <v>0.37141517604032326</v>
      </c>
      <c r="Q295" s="33">
        <v>16691.71</v>
      </c>
      <c r="R295" s="157">
        <f>IF(O295=0,0,(J295-O295)/O295)</f>
        <v>-0.25640664482461828</v>
      </c>
      <c r="S295" s="85">
        <f t="shared" ref="S295:S300" si="70">L295-Q295</f>
        <v>-2346.34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Carrosserie</v>
      </c>
      <c r="B296" s="11" t="s">
        <v>98</v>
      </c>
      <c r="C296" s="29" t="s">
        <v>101</v>
      </c>
      <c r="D296" s="82">
        <v>833</v>
      </c>
      <c r="E296" s="148">
        <f t="shared" ref="E296:E303" si="71">IF(D296=0,0,F296/D296)</f>
        <v>0.34</v>
      </c>
      <c r="F296" s="85">
        <v>283.22000000000003</v>
      </c>
      <c r="G296" s="82"/>
      <c r="H296" s="148"/>
      <c r="I296" s="85"/>
      <c r="J296" s="30">
        <v>0</v>
      </c>
      <c r="K296" s="148">
        <f t="shared" si="66"/>
        <v>0</v>
      </c>
      <c r="L296" s="33">
        <v>0</v>
      </c>
      <c r="M296" s="157">
        <f t="shared" si="67"/>
        <v>-1</v>
      </c>
      <c r="N296" s="59">
        <f t="shared" si="68"/>
        <v>-283.22000000000003</v>
      </c>
      <c r="O296" s="30">
        <v>0</v>
      </c>
      <c r="P296" s="148">
        <f t="shared" si="69"/>
        <v>0</v>
      </c>
      <c r="Q296" s="33">
        <v>0</v>
      </c>
      <c r="R296" s="157">
        <f t="shared" ref="R296:R303" si="72">IF(O296=0,0,(J296-O296)/O296)</f>
        <v>0</v>
      </c>
      <c r="S296" s="85">
        <f t="shared" si="70"/>
        <v>0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PiècesP/A Garantie</v>
      </c>
      <c r="B297" s="11" t="s">
        <v>98</v>
      </c>
      <c r="C297" s="29" t="s">
        <v>102</v>
      </c>
      <c r="D297" s="82">
        <v>31314.973404235658</v>
      </c>
      <c r="E297" s="148">
        <f t="shared" si="71"/>
        <v>0.28799999999999998</v>
      </c>
      <c r="F297" s="85">
        <v>9018.7123404198683</v>
      </c>
      <c r="G297" s="82"/>
      <c r="H297" s="148"/>
      <c r="I297" s="85"/>
      <c r="J297" s="30">
        <v>57248.619999999995</v>
      </c>
      <c r="K297" s="148">
        <f t="shared" si="66"/>
        <v>0.28436999878774355</v>
      </c>
      <c r="L297" s="33">
        <v>16279.78999999999</v>
      </c>
      <c r="M297" s="157">
        <f t="shared" si="67"/>
        <v>0.82815483382325206</v>
      </c>
      <c r="N297" s="59">
        <f t="shared" si="68"/>
        <v>7261.0776595801217</v>
      </c>
      <c r="O297" s="30">
        <v>32194.61</v>
      </c>
      <c r="P297" s="148">
        <f t="shared" si="69"/>
        <v>0.28285914940420154</v>
      </c>
      <c r="Q297" s="33">
        <v>9106.5400000000009</v>
      </c>
      <c r="R297" s="157">
        <f t="shared" si="72"/>
        <v>0.77820510948882415</v>
      </c>
      <c r="S297" s="85">
        <f t="shared" si="70"/>
        <v>7173.2499999999891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PiècesVentes Internes</v>
      </c>
      <c r="B298" s="11" t="s">
        <v>98</v>
      </c>
      <c r="C298" s="29" t="s">
        <v>103</v>
      </c>
      <c r="D298" s="82">
        <v>19061.991938051044</v>
      </c>
      <c r="E298" s="148">
        <f t="shared" si="71"/>
        <v>0.38500000000000001</v>
      </c>
      <c r="F298" s="85">
        <v>7338.8668961496523</v>
      </c>
      <c r="G298" s="82"/>
      <c r="H298" s="148"/>
      <c r="I298" s="85"/>
      <c r="J298" s="30">
        <v>23297.47</v>
      </c>
      <c r="K298" s="148">
        <f t="shared" si="66"/>
        <v>0.37471150300869593</v>
      </c>
      <c r="L298" s="33">
        <v>8729.8300000000036</v>
      </c>
      <c r="M298" s="157">
        <f t="shared" si="67"/>
        <v>0.22219493512082586</v>
      </c>
      <c r="N298" s="59">
        <f t="shared" si="68"/>
        <v>1390.9631038503512</v>
      </c>
      <c r="O298" s="30">
        <v>17651.310000000001</v>
      </c>
      <c r="P298" s="148">
        <f t="shared" si="69"/>
        <v>0.22753948573788571</v>
      </c>
      <c r="Q298" s="33">
        <v>4016.37</v>
      </c>
      <c r="R298" s="157">
        <f t="shared" si="72"/>
        <v>0.31987200949957817</v>
      </c>
      <c r="S298" s="85">
        <f t="shared" si="70"/>
        <v>4713.4600000000037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Détails</v>
      </c>
      <c r="B299" s="11" t="s">
        <v>98</v>
      </c>
      <c r="C299" s="29" t="s">
        <v>104</v>
      </c>
      <c r="D299" s="82">
        <v>20314.291097518926</v>
      </c>
      <c r="E299" s="148">
        <f t="shared" si="71"/>
        <v>0.31</v>
      </c>
      <c r="F299" s="85">
        <v>6297.4302402308667</v>
      </c>
      <c r="G299" s="82"/>
      <c r="H299" s="148"/>
      <c r="I299" s="85"/>
      <c r="J299" s="30">
        <v>18825.169999999998</v>
      </c>
      <c r="K299" s="148">
        <f t="shared" si="66"/>
        <v>0.30107829039525258</v>
      </c>
      <c r="L299" s="33">
        <v>5667.8499999999967</v>
      </c>
      <c r="M299" s="157">
        <f t="shared" si="67"/>
        <v>-7.3304113363857462E-2</v>
      </c>
      <c r="N299" s="59">
        <f t="shared" si="68"/>
        <v>-629.58024023087</v>
      </c>
      <c r="O299" s="30">
        <v>20803.72</v>
      </c>
      <c r="P299" s="148">
        <f t="shared" si="69"/>
        <v>0.2890473434558819</v>
      </c>
      <c r="Q299" s="33">
        <v>6013.26</v>
      </c>
      <c r="R299" s="157">
        <f t="shared" si="72"/>
        <v>-9.5105586885422547E-2</v>
      </c>
      <c r="S299" s="85">
        <f t="shared" si="70"/>
        <v>-345.41000000000349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66887.717959526301</v>
      </c>
      <c r="E300" s="148">
        <f t="shared" si="71"/>
        <v>0.21299999999999999</v>
      </c>
      <c r="F300" s="85">
        <v>14247.083925379102</v>
      </c>
      <c r="G300" s="82"/>
      <c r="H300" s="148"/>
      <c r="I300" s="85"/>
      <c r="J300" s="30">
        <v>33456.9</v>
      </c>
      <c r="K300" s="148">
        <f t="shared" si="66"/>
        <v>0.15631663423688394</v>
      </c>
      <c r="L300" s="33">
        <v>5229.8700000000026</v>
      </c>
      <c r="M300" s="157">
        <f t="shared" si="67"/>
        <v>-0.49980503116813252</v>
      </c>
      <c r="N300" s="59">
        <f t="shared" si="68"/>
        <v>-9017.2139253790992</v>
      </c>
      <c r="O300" s="30">
        <v>46572.959999999999</v>
      </c>
      <c r="P300" s="148">
        <f t="shared" si="69"/>
        <v>0.16481516313328592</v>
      </c>
      <c r="Q300" s="33">
        <v>7675.93</v>
      </c>
      <c r="R300" s="157">
        <f t="shared" si="72"/>
        <v>-0.28162392942170733</v>
      </c>
      <c r="S300" s="85">
        <f t="shared" si="70"/>
        <v>-2446.0599999999977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7"/>
        <v>#DIV/0!</v>
      </c>
      <c r="N301" s="59">
        <f t="shared" si="68"/>
        <v>0</v>
      </c>
      <c r="O301" s="30">
        <v>0</v>
      </c>
      <c r="P301" s="148">
        <f t="shared" si="69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51" si="73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9" si="74">IF(D302=0,0,F302/D302)</f>
        <v>0</v>
      </c>
      <c r="F302" s="85">
        <v>4336.6422290979053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12689.56</v>
      </c>
      <c r="M302" s="157"/>
      <c r="N302" s="59">
        <f t="shared" si="68"/>
        <v>8352.9177709020951</v>
      </c>
      <c r="O302" s="30">
        <v>0</v>
      </c>
      <c r="P302" s="148">
        <f t="shared" si="69"/>
        <v>0</v>
      </c>
      <c r="Q302" s="33">
        <v>561.87</v>
      </c>
      <c r="R302" s="157">
        <f t="shared" ref="R302:R309" si="75">IF(O302=0,0,(J302-O302)/O302)</f>
        <v>0</v>
      </c>
      <c r="S302" s="85">
        <f>L302-Q302</f>
        <v>12127.689999999999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3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4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10385.1</v>
      </c>
      <c r="M303" s="157"/>
      <c r="N303" s="59">
        <f t="shared" si="68"/>
        <v>10385.1</v>
      </c>
      <c r="O303" s="30">
        <v>0</v>
      </c>
      <c r="P303" s="148">
        <f t="shared" si="69"/>
        <v>0</v>
      </c>
      <c r="Q303" s="33">
        <v>20772.07</v>
      </c>
      <c r="R303" s="157">
        <f t="shared" si="75"/>
        <v>0</v>
      </c>
      <c r="S303" s="85">
        <f>L303-Q303</f>
        <v>-10386.969999999999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PiècesSous-total Pièces</v>
      </c>
      <c r="B304" s="11" t="s">
        <v>98</v>
      </c>
      <c r="C304" s="53" t="s">
        <v>108</v>
      </c>
      <c r="D304" s="195">
        <f>SUM(D295:D303)</f>
        <v>174422.30142033487</v>
      </c>
      <c r="E304" s="213">
        <f>IF(D304&lt;=0,0,F304/D304)</f>
        <v>0.32435228675099315</v>
      </c>
      <c r="F304" s="199">
        <f>SUM(F295:F303)</f>
        <v>56574.27232605662</v>
      </c>
      <c r="G304" s="195"/>
      <c r="H304" s="213"/>
      <c r="I304" s="199"/>
      <c r="J304" s="195">
        <f>SUM(J295:J303)</f>
        <v>166245.86999999997</v>
      </c>
      <c r="K304" s="213">
        <f>IF(J304&lt;=0,0,L304/J304)</f>
        <v>0.44107784452028798</v>
      </c>
      <c r="L304" s="197">
        <f>SUM(L295:L303)</f>
        <v>73327.37</v>
      </c>
      <c r="M304" s="214">
        <f>(+J304-D304)/D304</f>
        <v>-4.6877213256295583E-2</v>
      </c>
      <c r="N304" s="197">
        <f t="shared" si="68"/>
        <v>16753.097673943375</v>
      </c>
      <c r="O304" s="195">
        <f>SUM(O295:O303)</f>
        <v>162163.44</v>
      </c>
      <c r="P304" s="213">
        <f>IF(O304&lt;=0,0,Q304/O304)</f>
        <v>0.39982964100909552</v>
      </c>
      <c r="Q304" s="197">
        <f t="shared" ref="Q304" si="76">SUM(Q295:Q303)</f>
        <v>64837.75</v>
      </c>
      <c r="R304" s="214">
        <f>IF(O304=0,0,(J304-O304)/O304)</f>
        <v>2.5174786622681189E-2</v>
      </c>
      <c r="S304" s="199">
        <f>L304-Q304</f>
        <v>8489.6199999999953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0.29612572968485784</v>
      </c>
      <c r="O305" s="41"/>
      <c r="P305" s="13"/>
      <c r="Q305" s="40"/>
      <c r="R305" s="41"/>
      <c r="S305" s="44">
        <f>IF(Q304=0,0,S304/Q304)</f>
        <v>0.130936375799592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PiècesVentes Pneus</v>
      </c>
      <c r="B307" s="11" t="s">
        <v>98</v>
      </c>
      <c r="C307" s="29" t="s">
        <v>109</v>
      </c>
      <c r="D307" s="82">
        <v>51354.370401961576</v>
      </c>
      <c r="E307" s="148">
        <f>IF(D307=0,0,F307/D307)</f>
        <v>0.25</v>
      </c>
      <c r="F307" s="110">
        <v>12838.592600490394</v>
      </c>
      <c r="G307" s="82"/>
      <c r="H307" s="148"/>
      <c r="I307" s="110"/>
      <c r="J307" s="30">
        <v>62110.35</v>
      </c>
      <c r="K307" s="148">
        <f>IF(J307&lt;=0,0,L307/J307)</f>
        <v>0.24730451526999925</v>
      </c>
      <c r="L307" s="33">
        <v>15360.169999999998</v>
      </c>
      <c r="M307" s="157">
        <f>(+J307-D307)/D307</f>
        <v>0.20944623629593903</v>
      </c>
      <c r="N307" s="59">
        <f>L307-F307</f>
        <v>2521.5773995096042</v>
      </c>
      <c r="O307" s="30">
        <v>52137.64</v>
      </c>
      <c r="P307" s="148">
        <f t="shared" ref="P307:P308" si="77">IF(O307=0,0,Q307/O307)</f>
        <v>0.25079942245180065</v>
      </c>
      <c r="Q307" s="33">
        <v>13076.0899999999</v>
      </c>
      <c r="R307" s="157">
        <f>IF(O307=0,0,(J307-O307)/O307)</f>
        <v>0.19127659019472304</v>
      </c>
      <c r="S307" s="85">
        <f>L307-Q307</f>
        <v>2284.0800000000982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PiècesHuiles et Graisse</v>
      </c>
      <c r="B308" s="11" t="s">
        <v>98</v>
      </c>
      <c r="C308" s="86" t="s">
        <v>110</v>
      </c>
      <c r="D308" s="82">
        <v>7975.0187379412191</v>
      </c>
      <c r="E308" s="148">
        <f>IF(D308=0,0,F308/D308)</f>
        <v>0.35</v>
      </c>
      <c r="F308" s="92">
        <v>2791.2565582794264</v>
      </c>
      <c r="G308" s="82"/>
      <c r="H308" s="148"/>
      <c r="I308" s="92"/>
      <c r="J308" s="30">
        <v>9127.43</v>
      </c>
      <c r="K308" s="148">
        <f>IF(J308&lt;=0,0,L308/J308)</f>
        <v>0.35837798810837224</v>
      </c>
      <c r="L308" s="33">
        <v>3271.07</v>
      </c>
      <c r="M308" s="157">
        <f>(+J308-D308)/D308</f>
        <v>0.14450264004724839</v>
      </c>
      <c r="N308" s="59">
        <f>L308-F308</f>
        <v>479.81344172057379</v>
      </c>
      <c r="O308" s="30">
        <v>7797.1299999999901</v>
      </c>
      <c r="P308" s="148">
        <f t="shared" si="77"/>
        <v>0.33763320606428182</v>
      </c>
      <c r="Q308" s="33">
        <v>2632.5699999999902</v>
      </c>
      <c r="R308" s="157">
        <f>IF(O308=0,0,(J308-O308)/O308)</f>
        <v>0.17061405927565809</v>
      </c>
      <c r="S308" s="85">
        <f>L308-Q308</f>
        <v>638.50000000001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PiècesSous-total Pièces et Acc.</v>
      </c>
      <c r="B309" s="11" t="s">
        <v>98</v>
      </c>
      <c r="C309" s="53" t="s">
        <v>111</v>
      </c>
      <c r="D309" s="195">
        <f>D304+D307+D308</f>
        <v>233751.69056023768</v>
      </c>
      <c r="E309" s="213">
        <f>IF(D309&lt;=0,0,F309/D309)</f>
        <v>0.30889240335234913</v>
      </c>
      <c r="F309" s="197">
        <f>F304+F307+F308</f>
        <v>72204.121484826435</v>
      </c>
      <c r="G309" s="198"/>
      <c r="H309" s="213"/>
      <c r="I309" s="197"/>
      <c r="J309" s="198">
        <f>J304+J307+J308</f>
        <v>237483.64999999997</v>
      </c>
      <c r="K309" s="213">
        <f>IF(J309&lt;=0,0,L309/J309)</f>
        <v>0.38722080446380208</v>
      </c>
      <c r="L309" s="197">
        <f>L304+L307+L308</f>
        <v>91958.61</v>
      </c>
      <c r="M309" s="214">
        <f>(+J309-D309)/D309</f>
        <v>1.5965486413457883E-2</v>
      </c>
      <c r="N309" s="197">
        <f>L309-F309</f>
        <v>19754.488515173565</v>
      </c>
      <c r="O309" s="198">
        <f>O304+O307+O308</f>
        <v>222098.21000000002</v>
      </c>
      <c r="P309" s="213">
        <f>IF(O309&lt;=0,0,Q309/O309)</f>
        <v>0.36266122991265837</v>
      </c>
      <c r="Q309" s="197">
        <f t="shared" ref="Q309" si="78">Q304+Q307+Q308</f>
        <v>80546.409999999887</v>
      </c>
      <c r="R309" s="214">
        <f>IF(O309=0,0,(J309-O309)/O309)</f>
        <v>6.9273138221149749E-2</v>
      </c>
      <c r="S309" s="199">
        <f>L309-Q309</f>
        <v>11412.200000000114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0.27359225635512974</v>
      </c>
      <c r="O310" s="41"/>
      <c r="P310" s="13"/>
      <c r="Q310" s="40"/>
      <c r="R310" s="41"/>
      <c r="S310" s="44">
        <f>IF(Q309=0,0,S309/Q309)</f>
        <v>0.14168477527428136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3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3"/>
        <v>PiècesTotal Dépt. Pièces</v>
      </c>
      <c r="B314" s="11" t="s">
        <v>98</v>
      </c>
      <c r="C314" s="62" t="s">
        <v>113</v>
      </c>
      <c r="D314" s="63">
        <f>D309+D312</f>
        <v>233751.69056023768</v>
      </c>
      <c r="E314" s="219">
        <f>IF(D314&lt;=0,0,F314/D314)</f>
        <v>0.30889240335234913</v>
      </c>
      <c r="F314" s="65">
        <f>F309+F312</f>
        <v>72204.121484826435</v>
      </c>
      <c r="G314" s="66"/>
      <c r="H314" s="219"/>
      <c r="I314" s="65"/>
      <c r="J314" s="66">
        <f>J309+J312</f>
        <v>237483.64999999997</v>
      </c>
      <c r="K314" s="219">
        <f>IF(J314&lt;=0,0,L314/J314)</f>
        <v>0.38722080446380208</v>
      </c>
      <c r="L314" s="65">
        <f>L309+L312</f>
        <v>91958.61</v>
      </c>
      <c r="M314" s="220">
        <f>(+J314-D314)/D314</f>
        <v>1.5965486413457883E-2</v>
      </c>
      <c r="N314" s="221">
        <f>L314-F314</f>
        <v>19754.488515173565</v>
      </c>
      <c r="O314" s="66">
        <f>O309+O312</f>
        <v>222098.21000000002</v>
      </c>
      <c r="P314" s="219">
        <f>IF(O314&lt;=0,0,Q314/O314)</f>
        <v>0.36266122991265837</v>
      </c>
      <c r="Q314" s="65">
        <f t="shared" ref="Q314" si="79">Q309+Q312</f>
        <v>80546.409999999887</v>
      </c>
      <c r="R314" s="220">
        <f>IF(O314=0,0,(J314-O314)/O314)</f>
        <v>6.9273138221149749E-2</v>
      </c>
      <c r="S314" s="222">
        <f>L314-Q314</f>
        <v>11412.200000000114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3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0.27359225635512974</v>
      </c>
      <c r="O315" s="227"/>
      <c r="P315" s="225"/>
      <c r="Q315" s="226"/>
      <c r="R315" s="228"/>
      <c r="S315" s="75">
        <f>IF(Q314=0,0,S314/Q314)</f>
        <v>0.14168477527428136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3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3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PiècesSalaires cadres</v>
      </c>
      <c r="B318" s="11" t="s">
        <v>98</v>
      </c>
      <c r="C318" s="102" t="s">
        <v>40</v>
      </c>
      <c r="D318" s="13"/>
      <c r="E318" s="13"/>
      <c r="F318" s="30">
        <v>4175.4722646310438</v>
      </c>
      <c r="G318" s="41"/>
      <c r="H318" s="13"/>
      <c r="I318" s="30"/>
      <c r="J318" s="41"/>
      <c r="K318" s="13"/>
      <c r="L318" s="33">
        <v>2434.1999999999998</v>
      </c>
      <c r="M318" s="41"/>
      <c r="N318" s="59">
        <f t="shared" ref="N318:N348" si="80">L318-F318</f>
        <v>-1741.272264631044</v>
      </c>
      <c r="O318" s="41"/>
      <c r="P318" s="13"/>
      <c r="Q318" s="33">
        <v>3487.75</v>
      </c>
      <c r="R318" s="41"/>
      <c r="S318" s="85">
        <f t="shared" ref="S318:S343" si="81">L318-Q318</f>
        <v>-1053.5500000000002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commis</v>
      </c>
      <c r="B319" s="11" t="s">
        <v>98</v>
      </c>
      <c r="C319" s="103" t="s">
        <v>41</v>
      </c>
      <c r="D319" s="81"/>
      <c r="E319" s="13"/>
      <c r="F319" s="22">
        <v>2773.2824427480914</v>
      </c>
      <c r="G319" s="83"/>
      <c r="H319" s="13"/>
      <c r="I319" s="22"/>
      <c r="J319" s="41"/>
      <c r="K319" s="13"/>
      <c r="L319" s="33">
        <v>2798.35</v>
      </c>
      <c r="M319" s="41"/>
      <c r="N319" s="59">
        <f t="shared" si="80"/>
        <v>25.067557251908511</v>
      </c>
      <c r="O319" s="41"/>
      <c r="P319" s="13"/>
      <c r="Q319" s="33">
        <v>2064.0300000000002</v>
      </c>
      <c r="R319" s="41"/>
      <c r="S319" s="85">
        <f t="shared" si="81"/>
        <v>734.31999999999971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autres</v>
      </c>
      <c r="B320" s="11" t="s">
        <v>98</v>
      </c>
      <c r="C320" s="102" t="s">
        <v>42</v>
      </c>
      <c r="D320" s="104"/>
      <c r="E320" s="105"/>
      <c r="F320" s="30">
        <v>14763.435114503816</v>
      </c>
      <c r="G320" s="106"/>
      <c r="H320" s="105"/>
      <c r="I320" s="30"/>
      <c r="J320" s="107"/>
      <c r="K320" s="105"/>
      <c r="L320" s="108">
        <v>13914.05</v>
      </c>
      <c r="M320" s="107"/>
      <c r="N320" s="109">
        <f t="shared" si="80"/>
        <v>-849.38511450381702</v>
      </c>
      <c r="O320" s="107"/>
      <c r="P320" s="105"/>
      <c r="Q320" s="108">
        <v>13372.96</v>
      </c>
      <c r="R320" s="107"/>
      <c r="S320" s="110">
        <f t="shared" si="81"/>
        <v>541.09000000000015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73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80"/>
        <v>0</v>
      </c>
      <c r="O321" s="41"/>
      <c r="P321" s="13"/>
      <c r="Q321" s="33">
        <v>0</v>
      </c>
      <c r="R321" s="41"/>
      <c r="S321" s="85">
        <f t="shared" si="8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74" si="82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2706.9294078391081</v>
      </c>
      <c r="G325" s="83"/>
      <c r="H325" s="13"/>
      <c r="I325" s="22"/>
      <c r="J325" s="41"/>
      <c r="K325" s="13"/>
      <c r="L325" s="33">
        <v>573.42999999999995</v>
      </c>
      <c r="M325" s="41"/>
      <c r="N325" s="59">
        <f t="shared" si="80"/>
        <v>-2133.4994078391082</v>
      </c>
      <c r="O325" s="41"/>
      <c r="P325" s="13"/>
      <c r="Q325" s="33">
        <v>2273.2600000000002</v>
      </c>
      <c r="R325" s="41"/>
      <c r="S325" s="85">
        <f t="shared" ref="S325:S350" si="83">L325-Q325</f>
        <v>-1699.8300000000004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2"/>
        <v>PiècesDéduction à la source</v>
      </c>
      <c r="B326" s="11" t="s">
        <v>98</v>
      </c>
      <c r="C326" s="102" t="s">
        <v>45</v>
      </c>
      <c r="D326" s="104"/>
      <c r="E326" s="105"/>
      <c r="F326" s="30">
        <v>3214.8353473282446</v>
      </c>
      <c r="G326" s="106"/>
      <c r="H326" s="105"/>
      <c r="I326" s="30"/>
      <c r="J326" s="107"/>
      <c r="K326" s="105"/>
      <c r="L326" s="108">
        <v>1727.61</v>
      </c>
      <c r="M326" s="107"/>
      <c r="N326" s="109">
        <f t="shared" si="80"/>
        <v>-1487.2253473282447</v>
      </c>
      <c r="O326" s="107"/>
      <c r="P326" s="105"/>
      <c r="Q326" s="108">
        <v>2634.78</v>
      </c>
      <c r="R326" s="107"/>
      <c r="S326" s="110">
        <f t="shared" si="83"/>
        <v>-907.1700000000003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PiècesBénéfices marginaux</v>
      </c>
      <c r="B327" s="11" t="s">
        <v>98</v>
      </c>
      <c r="C327" s="102" t="s">
        <v>46</v>
      </c>
      <c r="D327" s="81"/>
      <c r="E327" s="13"/>
      <c r="F327" s="30">
        <v>1533.2291656488551</v>
      </c>
      <c r="G327" s="83"/>
      <c r="H327" s="13"/>
      <c r="I327" s="30"/>
      <c r="J327" s="41"/>
      <c r="K327" s="13"/>
      <c r="L327" s="33">
        <v>1676.85</v>
      </c>
      <c r="M327" s="41"/>
      <c r="N327" s="59">
        <f t="shared" si="80"/>
        <v>143.62083435114482</v>
      </c>
      <c r="O327" s="41"/>
      <c r="P327" s="13"/>
      <c r="Q327" s="33">
        <v>1454.42</v>
      </c>
      <c r="R327" s="41"/>
      <c r="S327" s="85">
        <f t="shared" si="83"/>
        <v>222.42999999999984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PiècesCsst</v>
      </c>
      <c r="B328" s="11" t="s">
        <v>98</v>
      </c>
      <c r="C328" s="102" t="s">
        <v>47</v>
      </c>
      <c r="D328" s="81"/>
      <c r="E328" s="13"/>
      <c r="F328" s="30">
        <v>346.21303740458018</v>
      </c>
      <c r="G328" s="83"/>
      <c r="H328" s="13"/>
      <c r="I328" s="30"/>
      <c r="J328" s="41"/>
      <c r="K328" s="13"/>
      <c r="L328" s="33">
        <v>215.11</v>
      </c>
      <c r="M328" s="467"/>
      <c r="N328" s="146">
        <f t="shared" si="80"/>
        <v>-131.10303740458016</v>
      </c>
      <c r="O328" s="41"/>
      <c r="P328" s="13"/>
      <c r="Q328" s="33">
        <v>158.91</v>
      </c>
      <c r="R328" s="41"/>
      <c r="S328" s="85">
        <f t="shared" si="83"/>
        <v>56.200000000000017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80"/>
        <v>0</v>
      </c>
      <c r="O329" s="23"/>
      <c r="P329" s="111"/>
      <c r="Q329" s="33">
        <v>0</v>
      </c>
      <c r="R329" s="23"/>
      <c r="S329" s="92">
        <f t="shared" si="83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0.40874947542026291</v>
      </c>
      <c r="F330" s="96">
        <f>+SUM(F318:F329)</f>
        <v>29513.39678010374</v>
      </c>
      <c r="G330" s="97"/>
      <c r="H330" s="95"/>
      <c r="I330" s="96"/>
      <c r="J330" s="97" t="s">
        <v>38</v>
      </c>
      <c r="K330" s="95">
        <f>L330/L$314</f>
        <v>0.25380548923042656</v>
      </c>
      <c r="L330" s="96">
        <f>+SUM(L318:L329)</f>
        <v>23339.599999999999</v>
      </c>
      <c r="M330" s="147"/>
      <c r="N330" s="113">
        <f t="shared" si="80"/>
        <v>-6173.7967801037412</v>
      </c>
      <c r="O330" s="97" t="s">
        <v>38</v>
      </c>
      <c r="P330" s="95">
        <f>Q330/Q$314</f>
        <v>0.31591861139435057</v>
      </c>
      <c r="Q330" s="96">
        <f>+SUM(Q318:Q329)</f>
        <v>25446.109999999997</v>
      </c>
      <c r="R330" s="147"/>
      <c r="S330" s="114">
        <f t="shared" si="83"/>
        <v>-2106.5099999999984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PiècesPublicité 2</v>
      </c>
      <c r="B331" s="11" t="s">
        <v>98</v>
      </c>
      <c r="C331" s="211" t="s">
        <v>49</v>
      </c>
      <c r="D331" s="81"/>
      <c r="E331" s="13"/>
      <c r="F331" s="30">
        <v>3119.6016114824733</v>
      </c>
      <c r="G331" s="83"/>
      <c r="H331" s="13"/>
      <c r="I331" s="30"/>
      <c r="J331" s="41"/>
      <c r="K331" s="13"/>
      <c r="L331" s="33">
        <v>3603.47</v>
      </c>
      <c r="M331" s="41"/>
      <c r="N331" s="59">
        <f t="shared" si="80"/>
        <v>483.86838851752645</v>
      </c>
      <c r="O331" s="41"/>
      <c r="P331" s="13"/>
      <c r="Q331" s="33">
        <v>1683.9</v>
      </c>
      <c r="R331" s="41"/>
      <c r="S331" s="85">
        <f t="shared" si="83"/>
        <v>1919.5699999999997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PiècesService gratuit 2</v>
      </c>
      <c r="B332" s="11" t="s">
        <v>98</v>
      </c>
      <c r="C332" s="102" t="s">
        <v>50</v>
      </c>
      <c r="D332" s="81"/>
      <c r="E332" s="13"/>
      <c r="F332" s="30">
        <v>265</v>
      </c>
      <c r="G332" s="83"/>
      <c r="H332" s="13"/>
      <c r="I332" s="30"/>
      <c r="J332" s="41"/>
      <c r="K332" s="13"/>
      <c r="L332" s="59">
        <v>-31.35</v>
      </c>
      <c r="M332" s="41"/>
      <c r="N332" s="59">
        <f t="shared" si="80"/>
        <v>-296.35000000000002</v>
      </c>
      <c r="O332" s="41"/>
      <c r="P332" s="13"/>
      <c r="Q332" s="33">
        <v>707</v>
      </c>
      <c r="R332" s="41"/>
      <c r="S332" s="85">
        <f t="shared" si="83"/>
        <v>-738.35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PiècesFrais véhicules de cie</v>
      </c>
      <c r="B333" s="11" t="s">
        <v>98</v>
      </c>
      <c r="C333" s="103" t="s">
        <v>51</v>
      </c>
      <c r="D333" s="87"/>
      <c r="E333" s="111"/>
      <c r="F333" s="22">
        <v>4423.3333333333339</v>
      </c>
      <c r="G333" s="89"/>
      <c r="H333" s="111"/>
      <c r="I333" s="22"/>
      <c r="J333" s="23"/>
      <c r="K333" s="111"/>
      <c r="L333" s="91">
        <v>5414.12</v>
      </c>
      <c r="M333" s="23"/>
      <c r="N333" s="91">
        <f t="shared" si="80"/>
        <v>990.78666666666595</v>
      </c>
      <c r="O333" s="23"/>
      <c r="P333" s="111"/>
      <c r="Q333" s="33">
        <v>3419.18</v>
      </c>
      <c r="R333" s="23"/>
      <c r="S333" s="92">
        <f t="shared" si="83"/>
        <v>1994.94</v>
      </c>
      <c r="T333" s="13"/>
      <c r="U333" s="13"/>
      <c r="V333" s="462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PiècesInformatique</v>
      </c>
      <c r="B334" s="11" t="s">
        <v>98</v>
      </c>
      <c r="C334" s="102" t="s">
        <v>52</v>
      </c>
      <c r="D334" s="81"/>
      <c r="E334" s="13"/>
      <c r="F334" s="30">
        <v>1913.8000000000002</v>
      </c>
      <c r="G334" s="83"/>
      <c r="H334" s="13"/>
      <c r="I334" s="30"/>
      <c r="J334" s="41"/>
      <c r="K334" s="13"/>
      <c r="L334" s="108">
        <v>1950.28</v>
      </c>
      <c r="M334" s="41"/>
      <c r="N334" s="59">
        <f t="shared" si="80"/>
        <v>36.479999999999791</v>
      </c>
      <c r="O334" s="41"/>
      <c r="P334" s="13"/>
      <c r="Q334" s="108">
        <v>1891.05</v>
      </c>
      <c r="R334" s="41"/>
      <c r="S334" s="85">
        <f t="shared" si="83"/>
        <v>59.230000000000018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PiècesFrais de déplacement</v>
      </c>
      <c r="B335" s="11" t="s">
        <v>98</v>
      </c>
      <c r="C335" s="102" t="s">
        <v>53</v>
      </c>
      <c r="D335" s="81"/>
      <c r="E335" s="13"/>
      <c r="F335" s="30">
        <v>365.6</v>
      </c>
      <c r="G335" s="83"/>
      <c r="H335" s="13"/>
      <c r="I335" s="30"/>
      <c r="J335" s="41"/>
      <c r="K335" s="13"/>
      <c r="L335" s="33">
        <v>-6.79</v>
      </c>
      <c r="M335" s="41"/>
      <c r="N335" s="59">
        <f t="shared" si="80"/>
        <v>-372.39000000000004</v>
      </c>
      <c r="O335" s="41"/>
      <c r="P335" s="13"/>
      <c r="Q335" s="33">
        <v>166.2</v>
      </c>
      <c r="R335" s="41"/>
      <c r="S335" s="85">
        <f t="shared" si="83"/>
        <v>-172.98999999999998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PiècesServices extérieurs</v>
      </c>
      <c r="B336" s="11" t="s">
        <v>98</v>
      </c>
      <c r="C336" s="230" t="s">
        <v>54</v>
      </c>
      <c r="D336" s="87"/>
      <c r="E336" s="111"/>
      <c r="F336" s="22">
        <v>1994.2000000000003</v>
      </c>
      <c r="G336" s="89"/>
      <c r="H336" s="111"/>
      <c r="I336" s="22"/>
      <c r="J336" s="23"/>
      <c r="K336" s="111"/>
      <c r="L336" s="48">
        <v>1565.0900000000001</v>
      </c>
      <c r="M336" s="23"/>
      <c r="N336" s="91">
        <f t="shared" si="80"/>
        <v>-429.11000000000013</v>
      </c>
      <c r="O336" s="23"/>
      <c r="P336" s="111"/>
      <c r="Q336" s="48">
        <v>1640.37</v>
      </c>
      <c r="R336" s="23"/>
      <c r="S336" s="92">
        <f t="shared" si="83"/>
        <v>-75.279999999999745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80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87" si="84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25.301204819277107</v>
      </c>
      <c r="G338" s="83"/>
      <c r="H338" s="13"/>
      <c r="I338" s="30"/>
      <c r="J338" s="41"/>
      <c r="K338" s="13"/>
      <c r="L338" s="33">
        <v>216.2</v>
      </c>
      <c r="M338" s="41"/>
      <c r="N338" s="59">
        <f t="shared" si="80"/>
        <v>190.89879518072289</v>
      </c>
      <c r="O338" s="41"/>
      <c r="P338" s="13"/>
      <c r="Q338" s="33">
        <v>0</v>
      </c>
      <c r="R338" s="41"/>
      <c r="S338" s="85">
        <f t="shared" ref="S338:S363" si="85">L338-Q338</f>
        <v>216.2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v>33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80"/>
        <v>-33</v>
      </c>
      <c r="O339" s="41"/>
      <c r="P339" s="13"/>
      <c r="Q339" s="33">
        <v>0</v>
      </c>
      <c r="R339" s="41"/>
      <c r="S339" s="85">
        <f t="shared" si="85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v>350</v>
      </c>
      <c r="G340" s="83"/>
      <c r="H340" s="13"/>
      <c r="I340" s="30"/>
      <c r="J340" s="41"/>
      <c r="K340" s="13"/>
      <c r="L340" s="32">
        <v>214.82</v>
      </c>
      <c r="M340" s="41"/>
      <c r="N340" s="59">
        <f t="shared" si="80"/>
        <v>-135.18</v>
      </c>
      <c r="O340" s="41"/>
      <c r="P340" s="13"/>
      <c r="Q340" s="32">
        <v>146.47</v>
      </c>
      <c r="R340" s="41"/>
      <c r="S340" s="85">
        <f t="shared" si="85"/>
        <v>68.349999999999994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102.04</v>
      </c>
      <c r="M341" s="41"/>
      <c r="N341" s="59">
        <f t="shared" si="80"/>
        <v>-16.36</v>
      </c>
      <c r="O341" s="41"/>
      <c r="P341" s="13"/>
      <c r="Q341" s="33">
        <v>116.29</v>
      </c>
      <c r="R341" s="41"/>
      <c r="S341" s="85">
        <f t="shared" si="85"/>
        <v>-14.25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v>475</v>
      </c>
      <c r="G342" s="83"/>
      <c r="H342" s="13"/>
      <c r="I342" s="30"/>
      <c r="J342" s="41"/>
      <c r="K342" s="13"/>
      <c r="L342" s="33">
        <v>513.61</v>
      </c>
      <c r="M342" s="41"/>
      <c r="N342" s="59">
        <f t="shared" si="80"/>
        <v>38.610000000000014</v>
      </c>
      <c r="O342" s="41"/>
      <c r="P342" s="13"/>
      <c r="Q342" s="33">
        <v>176.9</v>
      </c>
      <c r="R342" s="41"/>
      <c r="S342" s="85">
        <f t="shared" si="85"/>
        <v>336.71000000000004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v>371.6</v>
      </c>
      <c r="G343" s="83"/>
      <c r="H343" s="13"/>
      <c r="I343" s="30"/>
      <c r="J343" s="41"/>
      <c r="K343" s="13"/>
      <c r="L343" s="33">
        <v>326.19</v>
      </c>
      <c r="M343" s="41"/>
      <c r="N343" s="59">
        <f t="shared" si="80"/>
        <v>-45.410000000000025</v>
      </c>
      <c r="O343" s="41"/>
      <c r="P343" s="13"/>
      <c r="Q343" s="33">
        <v>310.5</v>
      </c>
      <c r="R343" s="41"/>
      <c r="S343" s="85">
        <f t="shared" si="85"/>
        <v>15.689999999999998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241.14687999999995</v>
      </c>
      <c r="G344" s="83"/>
      <c r="H344" s="13"/>
      <c r="I344" s="30"/>
      <c r="J344" s="41"/>
      <c r="K344" s="13"/>
      <c r="L344" s="59">
        <v>147.44999999999999</v>
      </c>
      <c r="M344" s="41"/>
      <c r="N344" s="59">
        <f t="shared" si="80"/>
        <v>-93.696879999999965</v>
      </c>
      <c r="O344" s="41"/>
      <c r="P344" s="13"/>
      <c r="Q344" s="33">
        <v>385.62</v>
      </c>
      <c r="R344" s="41"/>
      <c r="S344" s="85">
        <f>L344-Q344</f>
        <v>-238.17000000000002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787.34161056651408</v>
      </c>
      <c r="G345" s="83"/>
      <c r="H345" s="13"/>
      <c r="I345" s="30"/>
      <c r="J345" s="41"/>
      <c r="K345" s="13"/>
      <c r="L345" s="32">
        <v>1136.27</v>
      </c>
      <c r="M345" s="41"/>
      <c r="N345" s="59">
        <f t="shared" si="80"/>
        <v>348.9283894334859</v>
      </c>
      <c r="O345" s="41"/>
      <c r="P345" s="13"/>
      <c r="Q345" s="33">
        <v>704.5</v>
      </c>
      <c r="R345" s="41"/>
      <c r="S345" s="85">
        <f>L345-Q345</f>
        <v>431.77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80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0.2005886138126512</v>
      </c>
      <c r="F349" s="96">
        <f>+SUM(F331:F348)</f>
        <v>14483.324640201601</v>
      </c>
      <c r="G349" s="97"/>
      <c r="H349" s="95"/>
      <c r="I349" s="96"/>
      <c r="J349" s="97" t="s">
        <v>38</v>
      </c>
      <c r="K349" s="95">
        <f>L349/L$314</f>
        <v>0.164763255990929</v>
      </c>
      <c r="L349" s="96">
        <f>+SUM(L331:L348)</f>
        <v>15151.400000000003</v>
      </c>
      <c r="M349" s="100"/>
      <c r="N349" s="96">
        <f>+SUM(N331:N348)</f>
        <v>668.07535979840088</v>
      </c>
      <c r="O349" s="97" t="s">
        <v>38</v>
      </c>
      <c r="P349" s="95">
        <f>Q349/Q$314</f>
        <v>0.14088747096239321</v>
      </c>
      <c r="Q349" s="96">
        <f>+SUM(Q331:Q348)</f>
        <v>11347.980000000001</v>
      </c>
      <c r="R349" s="100"/>
      <c r="S349" s="101">
        <f>+SUM(S331:S348)</f>
        <v>3803.42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0.6093380892329141</v>
      </c>
      <c r="F351" s="96">
        <f>F330+F349</f>
        <v>43996.721420305345</v>
      </c>
      <c r="G351" s="97"/>
      <c r="H351" s="95"/>
      <c r="I351" s="96"/>
      <c r="J351" s="97" t="s">
        <v>38</v>
      </c>
      <c r="K351" s="95">
        <f>L351/L$314</f>
        <v>0.41856874522135556</v>
      </c>
      <c r="L351" s="96">
        <f>L330+L349</f>
        <v>38491</v>
      </c>
      <c r="M351" s="100"/>
      <c r="N351" s="113">
        <f>L351-F351</f>
        <v>-5505.7214203053445</v>
      </c>
      <c r="O351" s="97" t="s">
        <v>38</v>
      </c>
      <c r="P351" s="95">
        <f>Q351/Q$314</f>
        <v>0.45680608235674375</v>
      </c>
      <c r="Q351" s="96">
        <f>Q330+Q349</f>
        <v>36794.089999999997</v>
      </c>
      <c r="R351" s="100"/>
      <c r="S351" s="114">
        <f>L351-Q351</f>
        <v>1696.9100000000035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28207.400064521091</v>
      </c>
      <c r="G353" s="153"/>
      <c r="H353" s="125"/>
      <c r="I353" s="127"/>
      <c r="J353" s="154"/>
      <c r="K353" s="126"/>
      <c r="L353" s="127">
        <f>L314-L351</f>
        <v>53467.61</v>
      </c>
      <c r="M353" s="154"/>
      <c r="N353" s="127">
        <f>L353-F353</f>
        <v>25260.20993547891</v>
      </c>
      <c r="O353" s="154"/>
      <c r="P353" s="126"/>
      <c r="Q353" s="127">
        <f>Q314-Q351</f>
        <v>43752.319999999891</v>
      </c>
      <c r="R353" s="154"/>
      <c r="S353" s="129">
        <f>L353-Q353</f>
        <v>9715.29000000011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Décembre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96" t="s">
        <v>5</v>
      </c>
      <c r="E358" s="497"/>
      <c r="F358" s="498"/>
      <c r="G358" s="499"/>
      <c r="H358" s="497"/>
      <c r="I358" s="498"/>
      <c r="J358" s="499" t="s">
        <v>7</v>
      </c>
      <c r="K358" s="497"/>
      <c r="L358" s="498"/>
      <c r="M358" s="499"/>
      <c r="N358" s="498"/>
      <c r="O358" s="496" t="s">
        <v>8</v>
      </c>
      <c r="P358" s="497"/>
      <c r="Q358" s="498"/>
      <c r="R358" s="499" t="s">
        <v>9</v>
      </c>
      <c r="S358" s="503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6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6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6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6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6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24034.932323405075</v>
      </c>
      <c r="G401" s="13"/>
      <c r="H401" s="13"/>
      <c r="I401" s="13"/>
      <c r="J401" s="13"/>
      <c r="K401" s="13"/>
      <c r="L401" s="82">
        <f>L353+L289+L233</f>
        <v>30687.390000000007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>
        <f>F289+F233</f>
        <v>-4172.4677411160137</v>
      </c>
      <c r="G402" s="10"/>
      <c r="H402" s="10"/>
      <c r="I402" s="10"/>
      <c r="J402" s="10"/>
      <c r="K402" s="10"/>
      <c r="L402" s="155">
        <f>L289+L233</f>
        <v>-22780.21999999999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Décembre 2024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04" t="s">
        <v>117</v>
      </c>
      <c r="Y404" s="501"/>
      <c r="Z404" s="505"/>
      <c r="AA404" s="500"/>
      <c r="AB404" s="501"/>
      <c r="AC404" s="505"/>
      <c r="AD404" s="500" t="s">
        <v>7</v>
      </c>
      <c r="AE404" s="501"/>
      <c r="AF404" s="505"/>
      <c r="AG404" s="500" t="s">
        <v>213</v>
      </c>
      <c r="AH404" s="501"/>
      <c r="AI404" s="505"/>
      <c r="AJ404" s="500" t="s">
        <v>118</v>
      </c>
      <c r="AK404" s="501"/>
      <c r="AL404" s="501"/>
      <c r="AM404" s="500" t="s">
        <v>119</v>
      </c>
      <c r="AN404" s="501"/>
      <c r="AO404" s="502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2607091.4257169333</v>
      </c>
      <c r="AA406" s="263"/>
      <c r="AB406" s="263"/>
      <c r="AC406" s="264"/>
      <c r="AD406" s="265"/>
      <c r="AE406" s="266"/>
      <c r="AF406" s="266">
        <f>L5+L93+K194+K250+J314+J362</f>
        <v>4258557.17</v>
      </c>
      <c r="AG406" s="265"/>
      <c r="AH406" s="266"/>
      <c r="AI406" s="267"/>
      <c r="AJ406" s="265"/>
      <c r="AK406" s="266"/>
      <c r="AL406" s="266">
        <f>Q5+Q93+P194+P250+O314+O362</f>
        <v>9171874.8100000005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297542.604634883</v>
      </c>
      <c r="AA407" s="271"/>
      <c r="AB407" s="271"/>
      <c r="AC407" s="272"/>
      <c r="AD407" s="273"/>
      <c r="AE407" s="274"/>
      <c r="AF407" s="274">
        <f>L27+L108+L194+L250+L314+L362</f>
        <v>383913.49000000034</v>
      </c>
      <c r="AG407" s="273"/>
      <c r="AH407" s="274">
        <f>AF407-Z407</f>
        <v>86370.885365117341</v>
      </c>
      <c r="AI407" s="275">
        <f>AH407/Z407</f>
        <v>0.29028073297638762</v>
      </c>
      <c r="AJ407" s="273">
        <f>+AL407/AL406</f>
        <v>2.7820415704082179E-2</v>
      </c>
      <c r="AK407" s="274"/>
      <c r="AL407" s="274">
        <f>Q27+Q108+Q194+Q250+Q314+Q362</f>
        <v>255165.36999999976</v>
      </c>
      <c r="AM407" s="276"/>
      <c r="AN407" s="274">
        <f>AF407-AL407</f>
        <v>128748.12000000058</v>
      </c>
      <c r="AO407" s="277">
        <f>IF(AL407=0,0,AN407/AL407)</f>
        <v>0.50456737134823859</v>
      </c>
      <c r="AP407" s="246"/>
      <c r="AQ407" s="246" t="s">
        <v>221</v>
      </c>
      <c r="AR407" s="310">
        <v>363816</v>
      </c>
      <c r="AS407" s="310">
        <f>AF407-AR407</f>
        <v>20097.49000000034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90">Z409/(D$13+D$97)</f>
        <v>1325.5438997158431</v>
      </c>
      <c r="Z409" s="280">
        <f t="shared" ref="Z409:Z415" si="91">+SUMIF($C:$C,$V409,F:F)</f>
        <v>33138.597492896079</v>
      </c>
      <c r="AA409" s="279"/>
      <c r="AB409" s="287"/>
      <c r="AC409" s="280"/>
      <c r="AD409" s="288"/>
      <c r="AE409" s="287">
        <f t="shared" ref="AE409:AE414" si="92">IF(AF409=0,0,AF409/(J$13+J$97))</f>
        <v>1291.7477777777776</v>
      </c>
      <c r="AF409" s="280">
        <f t="shared" ref="AF409:AF415" si="93">+SUMIF($C:$C,$V409,L:L)</f>
        <v>46502.92</v>
      </c>
      <c r="AG409" s="281">
        <f t="shared" ref="AG409:AH424" si="94">AE409-Y409</f>
        <v>-33.796121938065426</v>
      </c>
      <c r="AH409" s="282">
        <f t="shared" si="94"/>
        <v>13364.32250710392</v>
      </c>
      <c r="AI409" s="283">
        <f t="shared" ref="AI409:AI418" si="95">IF(Z409=0,0,AH409/Z409)</f>
        <v>0.40328570060844698</v>
      </c>
      <c r="AJ409" s="288"/>
      <c r="AK409" s="282">
        <f t="shared" ref="AK409:AK418" si="96">AL409/(O$13+O$97)</f>
        <v>1156.0915384615384</v>
      </c>
      <c r="AL409" s="280">
        <f t="shared" ref="AL409:AL414" si="97">+SUMIF($C:$C,$V409,Q:Q)</f>
        <v>30058.38</v>
      </c>
      <c r="AM409" s="284">
        <f t="shared" ref="AM409:AM414" si="98">AE409-Y409</f>
        <v>-33.796121938065426</v>
      </c>
      <c r="AN409" s="282">
        <f t="shared" ref="AN409:AN414" si="99">AF409-AL409</f>
        <v>16444.539999999997</v>
      </c>
      <c r="AO409" s="289">
        <f t="shared" ref="AO409:AO431" si="100">IF(AL409=0,0,AN409/AL409)</f>
        <v>0.5470867026100541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90"/>
        <v>421</v>
      </c>
      <c r="Z410" s="264">
        <f t="shared" si="91"/>
        <v>10525</v>
      </c>
      <c r="AA410" s="263"/>
      <c r="AB410" s="291"/>
      <c r="AC410" s="264"/>
      <c r="AD410" s="292"/>
      <c r="AE410" s="291">
        <f t="shared" si="92"/>
        <v>511.43611111111113</v>
      </c>
      <c r="AF410" s="264">
        <f t="shared" si="93"/>
        <v>18411.7</v>
      </c>
      <c r="AG410" s="265">
        <f t="shared" si="94"/>
        <v>90.436111111111131</v>
      </c>
      <c r="AH410" s="266">
        <f t="shared" si="94"/>
        <v>7886.7000000000007</v>
      </c>
      <c r="AI410" s="293">
        <f t="shared" si="95"/>
        <v>0.74933016627078397</v>
      </c>
      <c r="AJ410" s="292"/>
      <c r="AK410" s="266">
        <f t="shared" si="96"/>
        <v>431.48076923076923</v>
      </c>
      <c r="AL410" s="264">
        <f t="shared" si="97"/>
        <v>11218.5</v>
      </c>
      <c r="AM410" s="268">
        <f t="shared" si="98"/>
        <v>90.436111111111131</v>
      </c>
      <c r="AN410" s="266">
        <f t="shared" si="99"/>
        <v>7193.2000000000007</v>
      </c>
      <c r="AO410" s="294">
        <f t="shared" si="100"/>
        <v>0.64119089004768914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90"/>
        <v>108</v>
      </c>
      <c r="Z411" s="280">
        <f t="shared" si="91"/>
        <v>2700</v>
      </c>
      <c r="AA411" s="279"/>
      <c r="AB411" s="287"/>
      <c r="AC411" s="280"/>
      <c r="AD411" s="288"/>
      <c r="AE411" s="287">
        <f t="shared" si="92"/>
        <v>88.079444444444434</v>
      </c>
      <c r="AF411" s="280">
        <f t="shared" si="93"/>
        <v>3170.8599999999997</v>
      </c>
      <c r="AG411" s="281">
        <f t="shared" si="94"/>
        <v>-19.920555555555566</v>
      </c>
      <c r="AH411" s="282">
        <f t="shared" si="94"/>
        <v>470.85999999999967</v>
      </c>
      <c r="AI411" s="283">
        <f t="shared" si="95"/>
        <v>0.17439259259259246</v>
      </c>
      <c r="AJ411" s="288"/>
      <c r="AK411" s="282">
        <f t="shared" si="96"/>
        <v>122.5153846153846</v>
      </c>
      <c r="AL411" s="280">
        <f t="shared" si="97"/>
        <v>3185.3999999999996</v>
      </c>
      <c r="AM411" s="284">
        <f t="shared" si="98"/>
        <v>-19.920555555555566</v>
      </c>
      <c r="AN411" s="282">
        <f t="shared" si="99"/>
        <v>-14.539999999999964</v>
      </c>
      <c r="AO411" s="289">
        <f t="shared" si="100"/>
        <v>-4.5645758774408131E-3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90"/>
        <v>64.8</v>
      </c>
      <c r="Z412" s="280">
        <f t="shared" si="91"/>
        <v>1620</v>
      </c>
      <c r="AA412" s="279"/>
      <c r="AB412" s="287"/>
      <c r="AC412" s="280"/>
      <c r="AD412" s="288"/>
      <c r="AE412" s="287">
        <f t="shared" si="92"/>
        <v>81.040555555555557</v>
      </c>
      <c r="AF412" s="280">
        <f t="shared" si="93"/>
        <v>2917.46</v>
      </c>
      <c r="AG412" s="281">
        <f t="shared" si="94"/>
        <v>16.240555555555559</v>
      </c>
      <c r="AH412" s="282">
        <f t="shared" si="94"/>
        <v>1297.46</v>
      </c>
      <c r="AI412" s="283">
        <f t="shared" si="95"/>
        <v>0.8009012345679013</v>
      </c>
      <c r="AJ412" s="288"/>
      <c r="AK412" s="282">
        <f t="shared" si="96"/>
        <v>38.223461538461542</v>
      </c>
      <c r="AL412" s="280">
        <f t="shared" si="97"/>
        <v>993.81000000000006</v>
      </c>
      <c r="AM412" s="284">
        <f t="shared" si="98"/>
        <v>16.240555555555559</v>
      </c>
      <c r="AN412" s="282">
        <f t="shared" si="99"/>
        <v>1923.65</v>
      </c>
      <c r="AO412" s="295">
        <f t="shared" si="100"/>
        <v>1.9356315593523912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90"/>
        <v>105.6</v>
      </c>
      <c r="Z413" s="264">
        <f t="shared" si="91"/>
        <v>2640</v>
      </c>
      <c r="AA413" s="263"/>
      <c r="AB413" s="291"/>
      <c r="AC413" s="264"/>
      <c r="AD413" s="292"/>
      <c r="AE413" s="291">
        <f t="shared" si="92"/>
        <v>105.80805555555555</v>
      </c>
      <c r="AF413" s="264">
        <f t="shared" si="93"/>
        <v>3809.09</v>
      </c>
      <c r="AG413" s="265">
        <f t="shared" si="94"/>
        <v>0.20805555555556055</v>
      </c>
      <c r="AH413" s="266">
        <f t="shared" si="94"/>
        <v>1169.0900000000001</v>
      </c>
      <c r="AI413" s="293">
        <f t="shared" si="95"/>
        <v>0.44283712121212127</v>
      </c>
      <c r="AJ413" s="292"/>
      <c r="AK413" s="266">
        <f t="shared" si="96"/>
        <v>108.71653846153846</v>
      </c>
      <c r="AL413" s="264">
        <f t="shared" si="97"/>
        <v>2826.63</v>
      </c>
      <c r="AM413" s="268">
        <f t="shared" si="98"/>
        <v>0.20805555555556055</v>
      </c>
      <c r="AN413" s="266">
        <f t="shared" si="99"/>
        <v>982.46</v>
      </c>
      <c r="AO413" s="294">
        <f t="shared" si="100"/>
        <v>0.34757290483720898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90"/>
        <v>615.27333333333331</v>
      </c>
      <c r="Z414" s="280">
        <f t="shared" si="91"/>
        <v>15381.833333333334</v>
      </c>
      <c r="AA414" s="283"/>
      <c r="AB414" s="287"/>
      <c r="AC414" s="280"/>
      <c r="AD414" s="288"/>
      <c r="AE414" s="287">
        <f t="shared" si="92"/>
        <v>764.80194444444453</v>
      </c>
      <c r="AF414" s="280">
        <f t="shared" si="93"/>
        <v>27532.870000000003</v>
      </c>
      <c r="AG414" s="281">
        <f t="shared" si="94"/>
        <v>149.52861111111122</v>
      </c>
      <c r="AH414" s="282">
        <f t="shared" si="94"/>
        <v>12151.036666666669</v>
      </c>
      <c r="AI414" s="283">
        <f t="shared" si="95"/>
        <v>0.78996023447573449</v>
      </c>
      <c r="AJ414" s="288"/>
      <c r="AK414" s="282">
        <f t="shared" si="96"/>
        <v>957.21230769230772</v>
      </c>
      <c r="AL414" s="280">
        <f t="shared" si="97"/>
        <v>24887.52</v>
      </c>
      <c r="AM414" s="284">
        <f t="shared" si="98"/>
        <v>149.52861111111122</v>
      </c>
      <c r="AN414" s="282">
        <f t="shared" si="99"/>
        <v>2645.3500000000022</v>
      </c>
      <c r="AO414" s="289">
        <f t="shared" si="100"/>
        <v>0.10629223000122158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90"/>
        <v>1205.0464665516902</v>
      </c>
      <c r="Z415" s="280">
        <f t="shared" si="91"/>
        <v>30126.161663792253</v>
      </c>
      <c r="AA415" s="279"/>
      <c r="AB415" s="287"/>
      <c r="AC415" s="280"/>
      <c r="AD415" s="288"/>
      <c r="AE415" s="287">
        <f>IF(AF415=0,0,AF415/(J$13+J$13))</f>
        <v>684.27456521739134</v>
      </c>
      <c r="AF415" s="280">
        <f t="shared" si="93"/>
        <v>31476.63</v>
      </c>
      <c r="AG415" s="281">
        <f t="shared" si="94"/>
        <v>-520.77190133429883</v>
      </c>
      <c r="AH415" s="282">
        <f t="shared" si="94"/>
        <v>1350.4683362077485</v>
      </c>
      <c r="AI415" s="283">
        <f t="shared" si="95"/>
        <v>4.4827095840451414E-2</v>
      </c>
      <c r="AJ415" s="288"/>
      <c r="AK415" s="282">
        <f t="shared" si="96"/>
        <v>889.35076923076917</v>
      </c>
      <c r="AL415" s="280">
        <f>IFERROR(SUMIF($C:$C,$V415,Q:Q),0)</f>
        <v>23123.119999999999</v>
      </c>
      <c r="AM415" s="284">
        <f>AE415-Y415</f>
        <v>-520.77190133429883</v>
      </c>
      <c r="AN415" s="282">
        <f>AF415-AL415</f>
        <v>8353.510000000002</v>
      </c>
      <c r="AO415" s="289">
        <f t="shared" si="100"/>
        <v>0.36126223450814604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90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4"/>
        <v>0</v>
      </c>
      <c r="AH416" s="282">
        <f t="shared" si="94"/>
        <v>0</v>
      </c>
      <c r="AI416" s="283">
        <f t="shared" si="95"/>
        <v>0</v>
      </c>
      <c r="AJ416" s="288"/>
      <c r="AK416" s="282">
        <f t="shared" si="96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100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90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4"/>
        <v>0</v>
      </c>
      <c r="AH417" s="282">
        <f t="shared" si="94"/>
        <v>0</v>
      </c>
      <c r="AI417" s="283">
        <f t="shared" si="95"/>
        <v>0</v>
      </c>
      <c r="AJ417" s="288"/>
      <c r="AK417" s="282">
        <f t="shared" si="96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100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90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4"/>
        <v>0</v>
      </c>
      <c r="AH418" s="282">
        <f t="shared" si="94"/>
        <v>0</v>
      </c>
      <c r="AI418" s="283">
        <f t="shared" si="95"/>
        <v>0</v>
      </c>
      <c r="AJ418" s="288"/>
      <c r="AK418" s="282">
        <f t="shared" si="96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100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0.3230851346750343</v>
      </c>
      <c r="Y419" s="297"/>
      <c r="Z419" s="299">
        <f>SUM(Z409:Z418)</f>
        <v>96131.592490021663</v>
      </c>
      <c r="AA419" s="298"/>
      <c r="AB419" s="297"/>
      <c r="AC419" s="299"/>
      <c r="AD419" s="300">
        <f>AF419/AF407</f>
        <v>0.34857209628137809</v>
      </c>
      <c r="AE419" s="297"/>
      <c r="AF419" s="299">
        <f>SUM(AF409:AF418)</f>
        <v>133821.53</v>
      </c>
      <c r="AG419" s="301"/>
      <c r="AH419" s="302">
        <f t="shared" si="94"/>
        <v>37689.937509978336</v>
      </c>
      <c r="AI419" s="298">
        <f>AH419/Z419</f>
        <v>0.39206608913599866</v>
      </c>
      <c r="AJ419" s="300">
        <f>IF($AL$407=0,0,AL419/$AL$407)</f>
        <v>0.37737628738570633</v>
      </c>
      <c r="AK419" s="297"/>
      <c r="AL419" s="299">
        <f>SUM(AL409:AL418)</f>
        <v>96293.36</v>
      </c>
      <c r="AM419" s="303"/>
      <c r="AN419" s="302">
        <f t="shared" ref="AN419:AN431" si="101">AF419-AL419</f>
        <v>37528.17</v>
      </c>
      <c r="AO419" s="277">
        <f t="shared" si="100"/>
        <v>0.38972749522916222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15086.564249363866</v>
      </c>
      <c r="AA420" s="279"/>
      <c r="AB420" s="279"/>
      <c r="AC420" s="280"/>
      <c r="AD420" s="288"/>
      <c r="AE420" s="287"/>
      <c r="AF420" s="280">
        <v>14205.43</v>
      </c>
      <c r="AG420" s="281"/>
      <c r="AH420" s="282">
        <f t="shared" si="94"/>
        <v>-881.13424936386582</v>
      </c>
      <c r="AI420" s="283">
        <f t="shared" ref="AI420:AI432" si="102">IF(Z420=0,0,AH420/Z420)</f>
        <v>-5.8405229633448144E-2</v>
      </c>
      <c r="AJ420" s="288"/>
      <c r="AK420" s="279"/>
      <c r="AL420" s="280">
        <v>12335.82</v>
      </c>
      <c r="AM420" s="284"/>
      <c r="AN420" s="282">
        <f t="shared" si="101"/>
        <v>1869.6100000000006</v>
      </c>
      <c r="AO420" s="289">
        <f t="shared" si="100"/>
        <v>0.1515594423394635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3">+SUMIF($C:$C,$V421,F:F)</f>
        <v>31761.585241730285</v>
      </c>
      <c r="AA421" s="279"/>
      <c r="AB421" s="279"/>
      <c r="AC421" s="280"/>
      <c r="AD421" s="288"/>
      <c r="AE421" s="287"/>
      <c r="AF421" s="280">
        <f t="shared" ref="AF421:AF432" si="104">+SUMIF($C:$C,$V421,L:L)</f>
        <v>26033.780000000002</v>
      </c>
      <c r="AG421" s="281"/>
      <c r="AH421" s="282">
        <f t="shared" si="94"/>
        <v>-5727.8052417302824</v>
      </c>
      <c r="AI421" s="283">
        <f t="shared" si="102"/>
        <v>-0.18033751143518953</v>
      </c>
      <c r="AJ421" s="288"/>
      <c r="AK421" s="279"/>
      <c r="AL421" s="280">
        <f t="shared" ref="AL421:AL429" si="105">+SUMIF($C:$C,$V421,Q:Q)</f>
        <v>26962.18</v>
      </c>
      <c r="AM421" s="284"/>
      <c r="AN421" s="282">
        <f t="shared" si="101"/>
        <v>-928.39999999999782</v>
      </c>
      <c r="AO421" s="289">
        <f t="shared" si="100"/>
        <v>-3.4433417475886512E-2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3"/>
        <v>19640.800890585237</v>
      </c>
      <c r="AA422" s="263"/>
      <c r="AB422" s="263"/>
      <c r="AC422" s="264"/>
      <c r="AD422" s="292"/>
      <c r="AE422" s="291"/>
      <c r="AF422" s="264">
        <f t="shared" si="104"/>
        <v>23662.68</v>
      </c>
      <c r="AG422" s="265"/>
      <c r="AH422" s="266">
        <f t="shared" si="94"/>
        <v>4021.8791094147637</v>
      </c>
      <c r="AI422" s="293">
        <f t="shared" si="102"/>
        <v>0.20477164509837478</v>
      </c>
      <c r="AJ422" s="292"/>
      <c r="AK422" s="263"/>
      <c r="AL422" s="264">
        <f t="shared" si="105"/>
        <v>16110.02</v>
      </c>
      <c r="AM422" s="268"/>
      <c r="AN422" s="266">
        <f t="shared" si="101"/>
        <v>7552.66</v>
      </c>
      <c r="AO422" s="269">
        <f t="shared" si="100"/>
        <v>0.46881754336741976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3"/>
        <v>22405.610687022901</v>
      </c>
      <c r="AA423" s="279"/>
      <c r="AB423" s="279"/>
      <c r="AC423" s="280"/>
      <c r="AD423" s="288"/>
      <c r="AE423" s="287"/>
      <c r="AF423" s="280">
        <f t="shared" si="104"/>
        <v>20726.59</v>
      </c>
      <c r="AG423" s="281"/>
      <c r="AH423" s="282">
        <f t="shared" si="94"/>
        <v>-1679.0206870229013</v>
      </c>
      <c r="AI423" s="283">
        <f t="shared" si="102"/>
        <v>-7.4937510540401056E-2</v>
      </c>
      <c r="AJ423" s="288"/>
      <c r="AK423" s="279"/>
      <c r="AL423" s="280">
        <f t="shared" si="105"/>
        <v>21128.82</v>
      </c>
      <c r="AM423" s="284"/>
      <c r="AN423" s="282">
        <f t="shared" si="101"/>
        <v>-402.22999999999956</v>
      </c>
      <c r="AO423" s="289">
        <f t="shared" si="100"/>
        <v>-1.9037030936890919E-2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3"/>
        <v>6821.9300254452919</v>
      </c>
      <c r="AA424" s="279"/>
      <c r="AB424" s="279"/>
      <c r="AC424" s="280"/>
      <c r="AD424" s="288"/>
      <c r="AE424" s="287"/>
      <c r="AF424" s="280">
        <f t="shared" si="104"/>
        <v>16655.73</v>
      </c>
      <c r="AG424" s="281"/>
      <c r="AH424" s="282">
        <f t="shared" si="94"/>
        <v>9833.7999745547077</v>
      </c>
      <c r="AI424" s="283">
        <f t="shared" si="102"/>
        <v>1.4414982179347142</v>
      </c>
      <c r="AJ424" s="288"/>
      <c r="AK424" s="279"/>
      <c r="AL424" s="280">
        <f t="shared" si="105"/>
        <v>6040.89</v>
      </c>
      <c r="AM424" s="284"/>
      <c r="AN424" s="282">
        <f t="shared" si="101"/>
        <v>10614.84</v>
      </c>
      <c r="AO424" s="289">
        <f t="shared" si="100"/>
        <v>1.7571649210629559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3"/>
        <v>0</v>
      </c>
      <c r="AA425" s="279"/>
      <c r="AB425" s="279"/>
      <c r="AC425" s="282"/>
      <c r="AD425" s="288"/>
      <c r="AE425" s="287"/>
      <c r="AF425" s="280">
        <f t="shared" si="104"/>
        <v>0</v>
      </c>
      <c r="AG425" s="281"/>
      <c r="AH425" s="282">
        <f t="shared" ref="AH425:AH457" si="106">AF425-Z425</f>
        <v>0</v>
      </c>
      <c r="AI425" s="283">
        <f t="shared" si="102"/>
        <v>0</v>
      </c>
      <c r="AJ425" s="288"/>
      <c r="AK425" s="279"/>
      <c r="AL425" s="280">
        <f t="shared" si="105"/>
        <v>0</v>
      </c>
      <c r="AM425" s="284"/>
      <c r="AN425" s="282">
        <f t="shared" si="101"/>
        <v>0</v>
      </c>
      <c r="AO425" s="289">
        <f t="shared" si="100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3"/>
        <v>0</v>
      </c>
      <c r="AA426" s="279"/>
      <c r="AB426" s="279"/>
      <c r="AC426" s="282"/>
      <c r="AD426" s="288"/>
      <c r="AE426" s="287"/>
      <c r="AF426" s="280">
        <f t="shared" si="104"/>
        <v>0</v>
      </c>
      <c r="AG426" s="281"/>
      <c r="AH426" s="282">
        <f t="shared" si="106"/>
        <v>0</v>
      </c>
      <c r="AI426" s="283">
        <f t="shared" si="102"/>
        <v>0</v>
      </c>
      <c r="AJ426" s="288"/>
      <c r="AK426" s="279"/>
      <c r="AL426" s="280">
        <f t="shared" si="105"/>
        <v>0</v>
      </c>
      <c r="AM426" s="284"/>
      <c r="AN426" s="282">
        <f t="shared" si="101"/>
        <v>0</v>
      </c>
      <c r="AO426" s="289">
        <f t="shared" si="100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3"/>
        <v>0</v>
      </c>
      <c r="AA427" s="279"/>
      <c r="AB427" s="279"/>
      <c r="AC427" s="282"/>
      <c r="AD427" s="288"/>
      <c r="AE427" s="287"/>
      <c r="AF427" s="280">
        <f t="shared" si="104"/>
        <v>0</v>
      </c>
      <c r="AG427" s="281"/>
      <c r="AH427" s="282">
        <f t="shared" si="106"/>
        <v>0</v>
      </c>
      <c r="AI427" s="283">
        <f t="shared" si="102"/>
        <v>0</v>
      </c>
      <c r="AJ427" s="288"/>
      <c r="AK427" s="279"/>
      <c r="AL427" s="280">
        <f t="shared" si="105"/>
        <v>0</v>
      </c>
      <c r="AM427" s="284"/>
      <c r="AN427" s="282">
        <f t="shared" si="101"/>
        <v>0</v>
      </c>
      <c r="AO427" s="289">
        <f t="shared" si="100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3"/>
        <v>17882.20856421475</v>
      </c>
      <c r="AA428" s="263"/>
      <c r="AB428" s="263"/>
      <c r="AC428" s="264"/>
      <c r="AD428" s="292"/>
      <c r="AE428" s="291"/>
      <c r="AF428" s="264">
        <f t="shared" si="104"/>
        <v>34702.39</v>
      </c>
      <c r="AG428" s="265"/>
      <c r="AH428" s="266">
        <f t="shared" si="106"/>
        <v>16820.181435785249</v>
      </c>
      <c r="AI428" s="293">
        <f t="shared" si="102"/>
        <v>0.94060984555594584</v>
      </c>
      <c r="AJ428" s="292"/>
      <c r="AK428" s="263"/>
      <c r="AL428" s="264">
        <f t="shared" si="105"/>
        <v>29092.739999999998</v>
      </c>
      <c r="AM428" s="268"/>
      <c r="AN428" s="266">
        <f t="shared" si="101"/>
        <v>5609.6500000000015</v>
      </c>
      <c r="AO428" s="294">
        <f t="shared" si="100"/>
        <v>0.19281958316748446</v>
      </c>
      <c r="AP428" s="475"/>
      <c r="AQ428" s="483" t="s">
        <v>276</v>
      </c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3"/>
        <v>21237.478899172816</v>
      </c>
      <c r="AA429" s="279"/>
      <c r="AB429" s="279"/>
      <c r="AC429" s="280"/>
      <c r="AD429" s="288"/>
      <c r="AE429" s="287"/>
      <c r="AF429" s="280">
        <f t="shared" si="104"/>
        <v>18536.11</v>
      </c>
      <c r="AG429" s="281"/>
      <c r="AH429" s="282">
        <f t="shared" si="106"/>
        <v>-2701.3688991728159</v>
      </c>
      <c r="AI429" s="283">
        <f>IF(Z429=0,0,AH429/Z429)</f>
        <v>-0.12719819108463162</v>
      </c>
      <c r="AJ429" s="288"/>
      <c r="AK429" s="279"/>
      <c r="AL429" s="280">
        <f t="shared" si="105"/>
        <v>20103.189999999999</v>
      </c>
      <c r="AM429" s="284"/>
      <c r="AN429" s="282">
        <f t="shared" si="101"/>
        <v>-1567.0799999999981</v>
      </c>
      <c r="AO429" s="289">
        <f t="shared" si="100"/>
        <v>-7.7951807648437801E-2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3"/>
        <v>10128.643782682422</v>
      </c>
      <c r="AA430" s="279"/>
      <c r="AB430" s="279"/>
      <c r="AC430" s="280"/>
      <c r="AD430" s="288"/>
      <c r="AE430" s="287"/>
      <c r="AF430" s="280">
        <f t="shared" si="104"/>
        <v>15188.6</v>
      </c>
      <c r="AG430" s="281"/>
      <c r="AH430" s="282">
        <f t="shared" si="106"/>
        <v>5059.9562173175782</v>
      </c>
      <c r="AI430" s="283">
        <f t="shared" si="102"/>
        <v>0.4995689774349556</v>
      </c>
      <c r="AJ430" s="288"/>
      <c r="AK430" s="279"/>
      <c r="AL430" s="280">
        <f>IFERROR(SUMIF($C:$C,$V430,Q:Q),0)</f>
        <v>11122.12</v>
      </c>
      <c r="AM430" s="284"/>
      <c r="AN430" s="282">
        <f t="shared" si="101"/>
        <v>4066.4799999999996</v>
      </c>
      <c r="AO430" s="289">
        <f t="shared" si="100"/>
        <v>0.36562094276990353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3"/>
        <v>2287.1131122186116</v>
      </c>
      <c r="AA431" s="279"/>
      <c r="AB431" s="279"/>
      <c r="AC431" s="280"/>
      <c r="AD431" s="288"/>
      <c r="AE431" s="287"/>
      <c r="AF431" s="280">
        <f t="shared" si="104"/>
        <v>1629.08</v>
      </c>
      <c r="AG431" s="281"/>
      <c r="AH431" s="282">
        <f t="shared" si="106"/>
        <v>-658.03311221861168</v>
      </c>
      <c r="AI431" s="306">
        <f t="shared" si="102"/>
        <v>-0.28771340984543059</v>
      </c>
      <c r="AJ431" s="288"/>
      <c r="AK431" s="279"/>
      <c r="AL431" s="280">
        <f>IFERROR(SUMIF($C:$C,$V431,Q:Q),0)</f>
        <v>1505.44</v>
      </c>
      <c r="AM431" s="284"/>
      <c r="AN431" s="282">
        <f t="shared" si="101"/>
        <v>123.63999999999987</v>
      </c>
      <c r="AO431" s="294">
        <f t="shared" si="100"/>
        <v>8.2128812838771298E-2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4"/>
        <v>0</v>
      </c>
      <c r="AG432" s="281"/>
      <c r="AH432" s="282">
        <f t="shared" si="106"/>
        <v>0</v>
      </c>
      <c r="AI432" s="283">
        <f t="shared" si="102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0.49489361576682533</v>
      </c>
      <c r="Y433" s="297"/>
      <c r="Z433" s="299">
        <f>SUM(Z420:Z432)</f>
        <v>147251.93545243621</v>
      </c>
      <c r="AA433" s="298"/>
      <c r="AB433" s="297"/>
      <c r="AC433" s="299"/>
      <c r="AD433" s="300">
        <f>AF433/AF407</f>
        <v>0.4462994775203129</v>
      </c>
      <c r="AE433" s="307"/>
      <c r="AF433" s="299">
        <f>SUM(AF420:AF432)</f>
        <v>171340.39</v>
      </c>
      <c r="AG433" s="308"/>
      <c r="AH433" s="302">
        <f t="shared" si="106"/>
        <v>24088.454547563801</v>
      </c>
      <c r="AI433" s="298">
        <f>AH433/Z433</f>
        <v>0.16358667526882595</v>
      </c>
      <c r="AJ433" s="300">
        <f>IF($AL$407=0,0,AL433/$AL$407)</f>
        <v>0.56591229444653923</v>
      </c>
      <c r="AK433" s="297"/>
      <c r="AL433" s="299">
        <f>SUM(AL420:AL432)</f>
        <v>144401.22</v>
      </c>
      <c r="AM433" s="309"/>
      <c r="AN433" s="302">
        <f t="shared" ref="AN433:AN447" si="107">AF433-AL433</f>
        <v>26939.170000000013</v>
      </c>
      <c r="AO433" s="277">
        <f>IF(AL433=0,0,AN433/AL433)</f>
        <v>0.18655777284984165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8">+SUMIF($C:$C,$V434,F:F)</f>
        <v>8913.1474613784958</v>
      </c>
      <c r="AA434" s="312"/>
      <c r="AB434" s="312"/>
      <c r="AC434" s="313"/>
      <c r="AD434" s="314"/>
      <c r="AE434" s="315"/>
      <c r="AF434" s="313">
        <f t="shared" ref="AF434:AF451" si="109">+SUMIF($C:$C,$V434,L:L)</f>
        <v>10143.799999999999</v>
      </c>
      <c r="AG434" s="314"/>
      <c r="AH434" s="316">
        <f t="shared" si="106"/>
        <v>1230.6525386215035</v>
      </c>
      <c r="AI434" s="317">
        <f t="shared" ref="AI434:AI451" si="110">IF(Z434=0,0,AH434/Z434)</f>
        <v>0.13807160085189171</v>
      </c>
      <c r="AJ434" s="314"/>
      <c r="AK434" s="312"/>
      <c r="AL434" s="313">
        <f t="shared" ref="AL434:AL448" si="111">+SUMIF($C:$C,$V434,Q:Q)</f>
        <v>5155.91</v>
      </c>
      <c r="AM434" s="318"/>
      <c r="AN434" s="316">
        <f t="shared" si="107"/>
        <v>4987.8899999999994</v>
      </c>
      <c r="AO434" s="285">
        <f t="shared" ref="AO434:AO447" si="112">IF(AL434=0,0,AN434/AL434)</f>
        <v>0.9674121542075016</v>
      </c>
      <c r="AP434" s="246"/>
      <c r="AQ434" s="246">
        <v>10144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8"/>
        <v>3965</v>
      </c>
      <c r="AA435" s="279"/>
      <c r="AB435" s="279"/>
      <c r="AC435" s="280"/>
      <c r="AD435" s="288"/>
      <c r="AE435" s="287"/>
      <c r="AF435" s="280">
        <f t="shared" si="109"/>
        <v>334.76</v>
      </c>
      <c r="AG435" s="281"/>
      <c r="AH435" s="282">
        <f t="shared" si="106"/>
        <v>-3630.24</v>
      </c>
      <c r="AI435" s="283">
        <f t="shared" si="110"/>
        <v>-0.91557124842370741</v>
      </c>
      <c r="AJ435" s="288"/>
      <c r="AK435" s="279"/>
      <c r="AL435" s="280">
        <f t="shared" si="111"/>
        <v>2113.0500000000002</v>
      </c>
      <c r="AM435" s="284"/>
      <c r="AN435" s="282">
        <f t="shared" si="107"/>
        <v>-1778.2900000000002</v>
      </c>
      <c r="AO435" s="289">
        <f t="shared" si="112"/>
        <v>-0.8415749745628357</v>
      </c>
      <c r="AP435" s="246"/>
      <c r="AQ435" s="246">
        <v>335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8"/>
        <v>15303.333333333334</v>
      </c>
      <c r="AA436" s="263"/>
      <c r="AB436" s="263"/>
      <c r="AC436" s="264"/>
      <c r="AD436" s="292"/>
      <c r="AE436" s="291"/>
      <c r="AF436" s="264">
        <f t="shared" si="109"/>
        <v>21148.010000000002</v>
      </c>
      <c r="AG436" s="265"/>
      <c r="AH436" s="266">
        <f t="shared" si="106"/>
        <v>5844.6766666666681</v>
      </c>
      <c r="AI436" s="293">
        <f t="shared" si="110"/>
        <v>0.38192180352864308</v>
      </c>
      <c r="AJ436" s="292"/>
      <c r="AK436" s="263"/>
      <c r="AL436" s="264">
        <f t="shared" si="111"/>
        <v>12632.909999999991</v>
      </c>
      <c r="AM436" s="268"/>
      <c r="AN436" s="266">
        <f t="shared" si="107"/>
        <v>8515.1000000000113</v>
      </c>
      <c r="AO436" s="269">
        <f t="shared" si="112"/>
        <v>0.67404105625703159</v>
      </c>
      <c r="AP436" s="246"/>
      <c r="AQ436" s="246">
        <v>21148</v>
      </c>
      <c r="AR436" s="485" t="s">
        <v>277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8"/>
        <v>14093</v>
      </c>
      <c r="AA437" s="279"/>
      <c r="AB437" s="279"/>
      <c r="AC437" s="280"/>
      <c r="AD437" s="288"/>
      <c r="AE437" s="287"/>
      <c r="AF437" s="280">
        <f t="shared" si="109"/>
        <v>14542.59</v>
      </c>
      <c r="AG437" s="281"/>
      <c r="AH437" s="282">
        <f>AF437-Z437</f>
        <v>449.59000000000015</v>
      </c>
      <c r="AI437" s="283">
        <f t="shared" si="110"/>
        <v>3.1901653303058268E-2</v>
      </c>
      <c r="AJ437" s="288"/>
      <c r="AK437" s="279"/>
      <c r="AL437" s="280">
        <f t="shared" si="111"/>
        <v>14174.7</v>
      </c>
      <c r="AM437" s="284"/>
      <c r="AN437" s="282">
        <f t="shared" si="107"/>
        <v>367.88999999999942</v>
      </c>
      <c r="AO437" s="289">
        <f t="shared" si="112"/>
        <v>2.5953988444199834E-2</v>
      </c>
      <c r="AP437" s="485"/>
      <c r="AQ437" s="246">
        <f>13023+1520</f>
        <v>14543</v>
      </c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8"/>
        <v>1828</v>
      </c>
      <c r="AA438" s="279"/>
      <c r="AB438" s="279"/>
      <c r="AC438" s="280"/>
      <c r="AD438" s="288"/>
      <c r="AE438" s="287"/>
      <c r="AF438" s="280">
        <f t="shared" si="109"/>
        <v>1906.5700000000002</v>
      </c>
      <c r="AG438" s="281"/>
      <c r="AH438" s="282">
        <f t="shared" si="106"/>
        <v>78.570000000000164</v>
      </c>
      <c r="AI438" s="283">
        <f t="shared" si="110"/>
        <v>4.2981400437636853E-2</v>
      </c>
      <c r="AJ438" s="288"/>
      <c r="AK438" s="279"/>
      <c r="AL438" s="280">
        <f t="shared" si="111"/>
        <v>2847.2599999999998</v>
      </c>
      <c r="AM438" s="284"/>
      <c r="AN438" s="282">
        <f t="shared" si="107"/>
        <v>-940.6899999999996</v>
      </c>
      <c r="AO438" s="289">
        <f t="shared" si="112"/>
        <v>-0.3303842992912483</v>
      </c>
      <c r="AP438" s="485"/>
      <c r="AQ438" s="246">
        <f>357+1550</f>
        <v>1907</v>
      </c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8"/>
        <v>10966.000000000002</v>
      </c>
      <c r="AA439" s="279"/>
      <c r="AB439" s="279"/>
      <c r="AC439" s="280"/>
      <c r="AD439" s="288"/>
      <c r="AE439" s="287"/>
      <c r="AF439" s="280">
        <f t="shared" si="109"/>
        <v>9266.6899999999987</v>
      </c>
      <c r="AG439" s="281"/>
      <c r="AH439" s="282">
        <f t="shared" si="106"/>
        <v>-1699.3100000000031</v>
      </c>
      <c r="AI439" s="283">
        <f t="shared" si="110"/>
        <v>-0.15496169979938015</v>
      </c>
      <c r="AJ439" s="288"/>
      <c r="AK439" s="279"/>
      <c r="AL439" s="280">
        <f t="shared" si="111"/>
        <v>10138.970000000001</v>
      </c>
      <c r="AM439" s="284"/>
      <c r="AN439" s="282">
        <f t="shared" si="107"/>
        <v>-872.28000000000247</v>
      </c>
      <c r="AO439" s="289">
        <f t="shared" si="112"/>
        <v>-8.6032407631150137E-2</v>
      </c>
      <c r="AP439" s="246"/>
      <c r="AQ439" s="246">
        <f>9042+25</f>
        <v>9067</v>
      </c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8"/>
        <v>0</v>
      </c>
      <c r="AA440" s="320"/>
      <c r="AB440" s="320"/>
      <c r="AC440" s="321"/>
      <c r="AD440" s="322"/>
      <c r="AE440" s="323"/>
      <c r="AF440" s="321">
        <f t="shared" si="109"/>
        <v>0</v>
      </c>
      <c r="AG440" s="324"/>
      <c r="AH440" s="325">
        <f t="shared" si="106"/>
        <v>0</v>
      </c>
      <c r="AI440" s="326">
        <f t="shared" si="110"/>
        <v>0</v>
      </c>
      <c r="AJ440" s="322"/>
      <c r="AK440" s="320"/>
      <c r="AL440" s="321">
        <f t="shared" si="111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8"/>
        <v>1154.9503897944719</v>
      </c>
      <c r="AA441" s="279"/>
      <c r="AB441" s="287"/>
      <c r="AC441" s="280"/>
      <c r="AD441" s="288"/>
      <c r="AE441" s="287"/>
      <c r="AF441" s="280">
        <f t="shared" si="109"/>
        <v>3893.39</v>
      </c>
      <c r="AG441" s="281"/>
      <c r="AH441" s="282">
        <f t="shared" si="106"/>
        <v>2738.439610205528</v>
      </c>
      <c r="AI441" s="283">
        <f t="shared" si="110"/>
        <v>2.3710452279191356</v>
      </c>
      <c r="AJ441" s="288"/>
      <c r="AK441" s="279"/>
      <c r="AL441" s="280">
        <f t="shared" si="111"/>
        <v>3667.54</v>
      </c>
      <c r="AM441" s="284"/>
      <c r="AN441" s="282">
        <f t="shared" si="107"/>
        <v>225.84999999999991</v>
      </c>
      <c r="AO441" s="289">
        <f t="shared" si="112"/>
        <v>6.1580787121612829E-2</v>
      </c>
      <c r="AP441" s="246"/>
      <c r="AQ441" s="246">
        <v>3893</v>
      </c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8"/>
        <v>1003</v>
      </c>
      <c r="AA442" s="279"/>
      <c r="AB442" s="279"/>
      <c r="AC442" s="280"/>
      <c r="AD442" s="288"/>
      <c r="AE442" s="287"/>
      <c r="AF442" s="280">
        <f t="shared" si="109"/>
        <v>1242.2</v>
      </c>
      <c r="AG442" s="281"/>
      <c r="AH442" s="282">
        <f t="shared" si="106"/>
        <v>239.20000000000005</v>
      </c>
      <c r="AI442" s="306">
        <f t="shared" si="110"/>
        <v>0.23848454636091729</v>
      </c>
      <c r="AJ442" s="288"/>
      <c r="AK442" s="279"/>
      <c r="AL442" s="280">
        <f t="shared" si="111"/>
        <v>2410.4699999999998</v>
      </c>
      <c r="AM442" s="284"/>
      <c r="AN442" s="282">
        <f t="shared" si="107"/>
        <v>-1168.2699999999998</v>
      </c>
      <c r="AO442" s="289">
        <f t="shared" si="112"/>
        <v>-0.48466481640509934</v>
      </c>
      <c r="AP442" s="246"/>
      <c r="AQ442" s="246">
        <v>1242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8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8"/>
        <v>1750</v>
      </c>
      <c r="AA443" s="279"/>
      <c r="AB443" s="279"/>
      <c r="AC443" s="280"/>
      <c r="AD443" s="288"/>
      <c r="AE443" s="287"/>
      <c r="AF443" s="280">
        <f t="shared" si="109"/>
        <v>1074.0999999999999</v>
      </c>
      <c r="AG443" s="281"/>
      <c r="AH443" s="282">
        <f t="shared" si="106"/>
        <v>-675.90000000000009</v>
      </c>
      <c r="AI443" s="283">
        <f t="shared" si="110"/>
        <v>-0.38622857142857148</v>
      </c>
      <c r="AJ443" s="288"/>
      <c r="AK443" s="279"/>
      <c r="AL443" s="280">
        <f t="shared" si="111"/>
        <v>767.31000000000006</v>
      </c>
      <c r="AM443" s="284"/>
      <c r="AN443" s="282">
        <f t="shared" si="107"/>
        <v>306.78999999999985</v>
      </c>
      <c r="AO443" s="289">
        <f t="shared" si="112"/>
        <v>0.39982536393374235</v>
      </c>
      <c r="AP443" s="246"/>
      <c r="AQ443" s="246">
        <v>1074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8"/>
        <v>512</v>
      </c>
      <c r="AA444" s="279"/>
      <c r="AB444" s="279"/>
      <c r="AC444" s="280"/>
      <c r="AD444" s="288"/>
      <c r="AE444" s="287"/>
      <c r="AF444" s="280">
        <f t="shared" si="109"/>
        <v>473.31</v>
      </c>
      <c r="AG444" s="281"/>
      <c r="AH444" s="282">
        <f t="shared" si="106"/>
        <v>-38.69</v>
      </c>
      <c r="AI444" s="306">
        <f t="shared" si="110"/>
        <v>-7.5566406249999996E-2</v>
      </c>
      <c r="AJ444" s="288"/>
      <c r="AK444" s="279"/>
      <c r="AL444" s="280">
        <f t="shared" si="111"/>
        <v>535.22</v>
      </c>
      <c r="AM444" s="284"/>
      <c r="AN444" s="282">
        <f t="shared" si="107"/>
        <v>-61.910000000000025</v>
      </c>
      <c r="AO444" s="289">
        <f t="shared" si="112"/>
        <v>-0.11567206008744071</v>
      </c>
      <c r="AP444" s="246"/>
      <c r="AQ444" s="246">
        <v>473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8"/>
        <v>875</v>
      </c>
      <c r="AA445" s="279"/>
      <c r="AB445" s="279"/>
      <c r="AC445" s="280"/>
      <c r="AD445" s="288"/>
      <c r="AE445" s="287"/>
      <c r="AF445" s="280">
        <f t="shared" si="109"/>
        <v>944.23</v>
      </c>
      <c r="AG445" s="281"/>
      <c r="AH445" s="282">
        <f t="shared" si="106"/>
        <v>69.230000000000018</v>
      </c>
      <c r="AI445" s="283">
        <f t="shared" si="110"/>
        <v>7.9120000000000024E-2</v>
      </c>
      <c r="AJ445" s="288"/>
      <c r="AK445" s="279"/>
      <c r="AL445" s="280">
        <f t="shared" si="111"/>
        <v>1204.98</v>
      </c>
      <c r="AM445" s="284"/>
      <c r="AN445" s="282">
        <f t="shared" si="107"/>
        <v>-260.75</v>
      </c>
      <c r="AO445" s="289">
        <f t="shared" si="112"/>
        <v>-0.21639363308934587</v>
      </c>
      <c r="AP445" s="246"/>
      <c r="AQ445" s="246">
        <v>944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8"/>
        <v>1858</v>
      </c>
      <c r="AA446" s="279"/>
      <c r="AB446" s="287"/>
      <c r="AC446" s="280"/>
      <c r="AD446" s="288"/>
      <c r="AE446" s="287"/>
      <c r="AF446" s="280">
        <f t="shared" si="109"/>
        <v>1630.99</v>
      </c>
      <c r="AG446" s="281"/>
      <c r="AH446" s="282">
        <f t="shared" si="106"/>
        <v>-227.01</v>
      </c>
      <c r="AI446" s="306">
        <f t="shared" si="110"/>
        <v>-0.12217976318622174</v>
      </c>
      <c r="AJ446" s="288"/>
      <c r="AK446" s="279"/>
      <c r="AL446" s="280">
        <f t="shared" si="111"/>
        <v>1977.5</v>
      </c>
      <c r="AM446" s="284"/>
      <c r="AN446" s="282">
        <f t="shared" si="107"/>
        <v>-346.51</v>
      </c>
      <c r="AO446" s="289">
        <f t="shared" si="112"/>
        <v>-0.17522629582806573</v>
      </c>
      <c r="AP446" s="246"/>
      <c r="AQ446" s="246">
        <v>1631</v>
      </c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8"/>
        <v>2609.9010666666663</v>
      </c>
      <c r="AA447" s="279"/>
      <c r="AB447" s="287"/>
      <c r="AC447" s="280"/>
      <c r="AD447" s="288"/>
      <c r="AE447" s="287"/>
      <c r="AF447" s="280">
        <f t="shared" si="109"/>
        <v>341.25</v>
      </c>
      <c r="AG447" s="281"/>
      <c r="AH447" s="282">
        <f t="shared" si="106"/>
        <v>-2268.6510666666663</v>
      </c>
      <c r="AI447" s="283">
        <f t="shared" si="110"/>
        <v>-0.86924791734123463</v>
      </c>
      <c r="AJ447" s="288"/>
      <c r="AK447" s="279"/>
      <c r="AL447" s="280">
        <f t="shared" si="111"/>
        <v>2758.61</v>
      </c>
      <c r="AM447" s="284"/>
      <c r="AN447" s="282">
        <f t="shared" si="107"/>
        <v>-2417.36</v>
      </c>
      <c r="AO447" s="289">
        <f t="shared" si="112"/>
        <v>-0.87629639564853312</v>
      </c>
      <c r="AP447" s="246"/>
      <c r="AQ447" s="246">
        <v>101</v>
      </c>
      <c r="AR447" s="246" t="s">
        <v>278</v>
      </c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1.5100000000000003E-3</v>
      </c>
      <c r="Z448" s="280">
        <f t="shared" si="108"/>
        <v>3936.70805283257</v>
      </c>
      <c r="AA448" s="279"/>
      <c r="AB448" s="287"/>
      <c r="AC448" s="280"/>
      <c r="AD448" s="288"/>
      <c r="AE448" s="287"/>
      <c r="AF448" s="280">
        <f t="shared" si="109"/>
        <v>5681.3600000000006</v>
      </c>
      <c r="AG448" s="281"/>
      <c r="AH448" s="282">
        <f t="shared" si="106"/>
        <v>1744.6519471674305</v>
      </c>
      <c r="AI448" s="283">
        <f t="shared" si="110"/>
        <v>0.44317534441298112</v>
      </c>
      <c r="AJ448" s="288"/>
      <c r="AK448" s="279"/>
      <c r="AL448" s="280">
        <f t="shared" si="111"/>
        <v>3522.5200000000004</v>
      </c>
      <c r="AM448" s="284"/>
      <c r="AN448" s="282">
        <f>AF448-AL448</f>
        <v>2158.84</v>
      </c>
      <c r="AO448" s="289">
        <f>IF(AL448=0,0,AN448/AL448)</f>
        <v>0.61286806036587438</v>
      </c>
      <c r="AP448" s="246"/>
      <c r="AQ448" s="246">
        <v>5681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9"/>
        <v>0</v>
      </c>
      <c r="AG449" s="281"/>
      <c r="AH449" s="282">
        <f t="shared" si="106"/>
        <v>0</v>
      </c>
      <c r="AI449" s="283">
        <f t="shared" si="110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9"/>
        <v>0</v>
      </c>
      <c r="AG450" s="281"/>
      <c r="AH450" s="282">
        <f t="shared" si="106"/>
        <v>0</v>
      </c>
      <c r="AI450" s="283">
        <f t="shared" si="110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9"/>
        <v>0</v>
      </c>
      <c r="AG451" s="281"/>
      <c r="AH451" s="282">
        <f t="shared" si="106"/>
        <v>0</v>
      </c>
      <c r="AI451" s="283">
        <f t="shared" si="110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0.23111997822426597</v>
      </c>
      <c r="Y452" s="297"/>
      <c r="Z452" s="299">
        <f>+SUM(Z434:Z451)</f>
        <v>68768.040304005539</v>
      </c>
      <c r="AA452" s="298"/>
      <c r="AB452" s="297"/>
      <c r="AC452" s="299"/>
      <c r="AD452" s="300">
        <f>AF452/AF407</f>
        <v>0.18916566333733137</v>
      </c>
      <c r="AE452" s="297"/>
      <c r="AF452" s="299">
        <f>+SUM(AF434:AF451)</f>
        <v>72623.25</v>
      </c>
      <c r="AG452" s="308"/>
      <c r="AH452" s="302">
        <f>+SUM(AH434:AH451)</f>
        <v>3855.2096959944615</v>
      </c>
      <c r="AI452" s="298">
        <f>AH452/Z452</f>
        <v>5.6061066724478213E-2</v>
      </c>
      <c r="AJ452" s="300">
        <f>IF($AL$407=0,0,AL452/$AL$407)</f>
        <v>0.25045306892545827</v>
      </c>
      <c r="AK452" s="298"/>
      <c r="AL452" s="299">
        <f>+SUM(AL434:AL451)</f>
        <v>63906.95</v>
      </c>
      <c r="AM452" s="309"/>
      <c r="AN452" s="302">
        <f>+SUM(AN434:AN451)</f>
        <v>8716.3000000000084</v>
      </c>
      <c r="AO452" s="331">
        <f>IF(AL452=0,0,AN452/AL452)</f>
        <v>0.13639048648073501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3">AF453-Z453</f>
        <v>0</v>
      </c>
      <c r="AI453" s="283">
        <f t="shared" ref="AI453:AI461" si="114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5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5872.14</v>
      </c>
      <c r="AA454" s="279"/>
      <c r="AB454" s="287"/>
      <c r="AC454" s="280"/>
      <c r="AD454" s="288"/>
      <c r="AE454" s="287"/>
      <c r="AF454" s="280">
        <v>5535.51</v>
      </c>
      <c r="AG454" s="281"/>
      <c r="AH454" s="282">
        <f t="shared" si="113"/>
        <v>-336.63000000000011</v>
      </c>
      <c r="AI454" s="283">
        <f t="shared" si="114"/>
        <v>-5.7326630495866941E-2</v>
      </c>
      <c r="AJ454" s="288"/>
      <c r="AK454" s="279"/>
      <c r="AL454" s="280">
        <v>5619.66</v>
      </c>
      <c r="AM454" s="284"/>
      <c r="AN454" s="282">
        <f t="shared" ref="AN454:AN461" si="116">AF454-AL454</f>
        <v>-84.149999999999636</v>
      </c>
      <c r="AO454" s="289">
        <f t="shared" si="115"/>
        <v>-1.4974215521935426E-2</v>
      </c>
      <c r="AP454" s="246"/>
      <c r="AQ454" s="486">
        <v>5536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2516.63</v>
      </c>
      <c r="AA455" s="263"/>
      <c r="AB455" s="291"/>
      <c r="AC455" s="264"/>
      <c r="AD455" s="292"/>
      <c r="AE455" s="291"/>
      <c r="AF455" s="264">
        <v>2372.35</v>
      </c>
      <c r="AG455" s="265"/>
      <c r="AH455" s="266">
        <f t="shared" si="113"/>
        <v>-144.2800000000002</v>
      </c>
      <c r="AI455" s="293">
        <f t="shared" si="114"/>
        <v>-5.7330636605301612E-2</v>
      </c>
      <c r="AJ455" s="292"/>
      <c r="AK455" s="263"/>
      <c r="AL455" s="264">
        <v>2408.4299999999998</v>
      </c>
      <c r="AM455" s="268"/>
      <c r="AN455" s="266">
        <f t="shared" si="116"/>
        <v>-36.079999999999927</v>
      </c>
      <c r="AO455" s="269">
        <f t="shared" si="115"/>
        <v>-1.4980713576894462E-2</v>
      </c>
      <c r="AP455" s="246"/>
      <c r="AQ455" s="486">
        <v>2372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8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3"/>
        <v>0</v>
      </c>
      <c r="AI456" s="283">
        <f t="shared" si="114"/>
        <v>0</v>
      </c>
      <c r="AJ456" s="288"/>
      <c r="AK456" s="279"/>
      <c r="AL456" s="280">
        <v>0</v>
      </c>
      <c r="AM456" s="284"/>
      <c r="AN456" s="282">
        <f t="shared" si="116"/>
        <v>0</v>
      </c>
      <c r="AO456" s="289">
        <f t="shared" si="115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4349.75</v>
      </c>
      <c r="AA457" s="263"/>
      <c r="AB457" s="291"/>
      <c r="AC457" s="264"/>
      <c r="AD457" s="292"/>
      <c r="AE457" s="291"/>
      <c r="AF457" s="264">
        <v>4349.75</v>
      </c>
      <c r="AG457" s="265"/>
      <c r="AH457" s="266">
        <f t="shared" si="113"/>
        <v>0</v>
      </c>
      <c r="AI457" s="293">
        <f t="shared" si="114"/>
        <v>0</v>
      </c>
      <c r="AJ457" s="292"/>
      <c r="AK457" s="263"/>
      <c r="AL457" s="264">
        <v>4772</v>
      </c>
      <c r="AM457" s="268"/>
      <c r="AN457" s="266">
        <f t="shared" si="116"/>
        <v>-422.25</v>
      </c>
      <c r="AO457" s="269">
        <f t="shared" si="115"/>
        <v>-8.8484911986588435E-2</v>
      </c>
      <c r="AP457" s="246"/>
      <c r="AQ457" s="486">
        <f>4350</f>
        <v>4350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4600</v>
      </c>
      <c r="AA458" s="332"/>
      <c r="AB458" s="333"/>
      <c r="AC458" s="280"/>
      <c r="AD458" s="288"/>
      <c r="AE458" s="287"/>
      <c r="AF458" s="280">
        <v>4766.5</v>
      </c>
      <c r="AG458" s="281"/>
      <c r="AH458" s="282">
        <f t="shared" si="113"/>
        <v>166.5</v>
      </c>
      <c r="AI458" s="283">
        <f t="shared" si="114"/>
        <v>3.6195652173913045E-2</v>
      </c>
      <c r="AJ458" s="288"/>
      <c r="AK458" s="279"/>
      <c r="AL458" s="280">
        <v>4927.68</v>
      </c>
      <c r="AM458" s="284"/>
      <c r="AN458" s="282">
        <f t="shared" si="116"/>
        <v>-161.18000000000029</v>
      </c>
      <c r="AO458" s="289">
        <f t="shared" si="115"/>
        <v>-3.2709104487304429E-2</v>
      </c>
      <c r="AP458" s="246"/>
      <c r="AQ458" s="246">
        <v>4767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6643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3"/>
        <v>-335.67000000000007</v>
      </c>
      <c r="AI459" s="283">
        <f t="shared" si="114"/>
        <v>-5.0529881077826293E-2</v>
      </c>
      <c r="AJ459" s="288"/>
      <c r="AK459" s="279"/>
      <c r="AL459" s="280">
        <v>6307.33</v>
      </c>
      <c r="AM459" s="284"/>
      <c r="AN459" s="282">
        <f t="shared" si="116"/>
        <v>0</v>
      </c>
      <c r="AO459" s="289">
        <f t="shared" si="115"/>
        <v>0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500</v>
      </c>
      <c r="AA460" s="263"/>
      <c r="AB460" s="291"/>
      <c r="AC460" s="264"/>
      <c r="AD460" s="292"/>
      <c r="AE460" s="291"/>
      <c r="AF460" s="264">
        <v>121.89</v>
      </c>
      <c r="AG460" s="265"/>
      <c r="AH460" s="266">
        <f t="shared" si="113"/>
        <v>-378.11</v>
      </c>
      <c r="AI460" s="293">
        <f t="shared" si="114"/>
        <v>-0.75622</v>
      </c>
      <c r="AJ460" s="292"/>
      <c r="AK460" s="263"/>
      <c r="AL460" s="264">
        <v>0</v>
      </c>
      <c r="AM460" s="268"/>
      <c r="AN460" s="266">
        <f t="shared" si="116"/>
        <v>121.89</v>
      </c>
      <c r="AO460" s="269">
        <f t="shared" si="115"/>
        <v>0</v>
      </c>
      <c r="AP460" s="246"/>
      <c r="AQ460" s="246">
        <v>122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275</v>
      </c>
      <c r="AA461" s="279"/>
      <c r="AB461" s="287"/>
      <c r="AC461" s="280"/>
      <c r="AD461" s="288"/>
      <c r="AE461" s="287"/>
      <c r="AF461" s="280">
        <v>173.95999999999998</v>
      </c>
      <c r="AG461" s="281"/>
      <c r="AH461" s="282">
        <f t="shared" si="113"/>
        <v>-101.04000000000002</v>
      </c>
      <c r="AI461" s="335">
        <f t="shared" si="114"/>
        <v>-0.36741818181818187</v>
      </c>
      <c r="AJ461" s="279"/>
      <c r="AK461" s="279"/>
      <c r="AL461" s="280">
        <v>173.95999999999901</v>
      </c>
      <c r="AM461" s="284"/>
      <c r="AN461" s="282">
        <f t="shared" si="116"/>
        <v>9.6633812063373625E-13</v>
      </c>
      <c r="AO461" s="289">
        <f t="shared" si="115"/>
        <v>5.5549443586671748E-15</v>
      </c>
      <c r="AP461" s="246"/>
      <c r="AQ461" s="246">
        <v>174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8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0.25124643945271075</v>
      </c>
      <c r="Y466" s="297"/>
      <c r="Z466" s="299">
        <f>SUM(Z453:Z465)</f>
        <v>74756.51999999999</v>
      </c>
      <c r="AA466" s="298"/>
      <c r="AB466" s="297"/>
      <c r="AC466" s="299"/>
      <c r="AD466" s="300">
        <f>AF466/AF407</f>
        <v>0.19178094002375365</v>
      </c>
      <c r="AE466" s="297"/>
      <c r="AF466" s="299">
        <f>SUM(AF453:AF465)</f>
        <v>73627.290000000008</v>
      </c>
      <c r="AG466" s="308"/>
      <c r="AH466" s="302">
        <f>SUM(AH453:AH465)</f>
        <v>-1129.2300000000005</v>
      </c>
      <c r="AI466" s="298">
        <f>IF(Z466=0,0,AH466/Z466)</f>
        <v>-1.5105438294880508E-2</v>
      </c>
      <c r="AJ466" s="300">
        <f>IF($AL$407=0,0,AL466/$AL$407)</f>
        <v>0.29082731720217392</v>
      </c>
      <c r="AK466" s="298"/>
      <c r="AL466" s="299">
        <f>SUM(AL453:AL465)</f>
        <v>74209.06</v>
      </c>
      <c r="AM466" s="309"/>
      <c r="AN466" s="302">
        <f>SUM(AN453:AN465)</f>
        <v>-581.76999999999884</v>
      </c>
      <c r="AO466" s="331">
        <f t="shared" ref="AO466:AO483" si="117">IF(AL466=0,0,AN466/AL466)</f>
        <v>-7.8396088024831317E-3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8">AF467-Z467</f>
        <v>0</v>
      </c>
      <c r="AI467" s="283"/>
      <c r="AJ467" s="288"/>
      <c r="AK467" s="279"/>
      <c r="AL467" s="336"/>
      <c r="AM467" s="337"/>
      <c r="AN467" s="282">
        <f t="shared" ref="AN467:AN483" si="119">AF467-AL467</f>
        <v>0</v>
      </c>
      <c r="AO467" s="338">
        <f t="shared" si="117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1.3003451681188365</v>
      </c>
      <c r="Y468" s="297"/>
      <c r="Z468" s="299">
        <f>Z419+Z433+Z452+Z466</f>
        <v>386908.08824646345</v>
      </c>
      <c r="AA468" s="298"/>
      <c r="AB468" s="297"/>
      <c r="AC468" s="299"/>
      <c r="AD468" s="300">
        <f>AF468/AF407</f>
        <v>1.175818177162776</v>
      </c>
      <c r="AE468" s="297"/>
      <c r="AF468" s="299">
        <f>AF419+AF433+AF452+AF466</f>
        <v>451412.46000000008</v>
      </c>
      <c r="AG468" s="308"/>
      <c r="AH468" s="302">
        <f t="shared" si="118"/>
        <v>64504.37175353663</v>
      </c>
      <c r="AI468" s="298">
        <f>AH468/Z468</f>
        <v>0.16671755828595355</v>
      </c>
      <c r="AJ468" s="300">
        <f>IF($AL$407=0,0,AL468/$AL$407)</f>
        <v>1.4845689679598779</v>
      </c>
      <c r="AK468" s="298"/>
      <c r="AL468" s="299">
        <f>AL419+AL433+AL452+AL466</f>
        <v>378810.59</v>
      </c>
      <c r="AM468" s="309"/>
      <c r="AN468" s="302">
        <f t="shared" si="119"/>
        <v>72601.870000000054</v>
      </c>
      <c r="AO468" s="277">
        <f t="shared" si="117"/>
        <v>0.19165744547954705</v>
      </c>
      <c r="AP468" s="310">
        <f>AF468+AF491+AF492+AF493+AF494+AF495+AF496</f>
        <v>467438.20000000007</v>
      </c>
      <c r="AQ468" s="246" t="s">
        <v>221</v>
      </c>
      <c r="AR468" s="246">
        <f>398824+44531</f>
        <v>443355</v>
      </c>
      <c r="AS468" s="310">
        <f>AP468-AR468</f>
        <v>24083.20000000007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900</v>
      </c>
      <c r="AA469" s="339"/>
      <c r="AB469" s="340"/>
      <c r="AC469" s="313"/>
      <c r="AD469" s="341"/>
      <c r="AE469" s="340"/>
      <c r="AF469" s="280">
        <v>875.8</v>
      </c>
      <c r="AG469" s="342"/>
      <c r="AH469" s="282">
        <f t="shared" si="118"/>
        <v>-24.200000000000045</v>
      </c>
      <c r="AI469" s="335">
        <f>IF(AH469=0,0,AH469/Z469)</f>
        <v>-2.6888888888888938E-2</v>
      </c>
      <c r="AJ469" s="341"/>
      <c r="AK469" s="339"/>
      <c r="AL469" s="343">
        <v>6.41</v>
      </c>
      <c r="AM469" s="344"/>
      <c r="AN469" s="282">
        <f t="shared" si="119"/>
        <v>869.39</v>
      </c>
      <c r="AO469" s="289">
        <f t="shared" si="117"/>
        <v>135.63026521060843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120">+SUMIF($C:$C,$V470,F:F)</f>
        <v>26624.807384615393</v>
      </c>
      <c r="AA470" s="332"/>
      <c r="AB470" s="333"/>
      <c r="AC470" s="280"/>
      <c r="AD470" s="345"/>
      <c r="AE470" s="333"/>
      <c r="AF470" s="280">
        <f t="shared" ref="AF470:AF476" si="121">+SUMIF($C:$C,$V470,L:L)</f>
        <v>44065</v>
      </c>
      <c r="AG470" s="346"/>
      <c r="AH470" s="282">
        <f t="shared" si="118"/>
        <v>17440.192615384607</v>
      </c>
      <c r="AI470" s="306">
        <f>IF(Z470=0,0,AH470/Z470)</f>
        <v>0.65503544733480668</v>
      </c>
      <c r="AJ470" s="345"/>
      <c r="AK470" s="332"/>
      <c r="AL470" s="347">
        <f t="shared" ref="AL470:AL479" si="122">+SUMIF($C:$C,$V470,Q:Q)</f>
        <v>35555.9</v>
      </c>
      <c r="AM470" s="348"/>
      <c r="AN470" s="282">
        <f t="shared" si="119"/>
        <v>8509.0999999999985</v>
      </c>
      <c r="AO470" s="289">
        <f t="shared" si="117"/>
        <v>0.23931611912509593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 t="shared" si="120"/>
        <v>23296.70646153847</v>
      </c>
      <c r="AA471" s="332"/>
      <c r="AB471" s="333"/>
      <c r="AC471" s="280"/>
      <c r="AD471" s="345"/>
      <c r="AE471" s="333"/>
      <c r="AF471" s="280">
        <f t="shared" si="121"/>
        <v>31920</v>
      </c>
      <c r="AG471" s="346"/>
      <c r="AH471" s="282">
        <f t="shared" si="118"/>
        <v>8623.2935384615303</v>
      </c>
      <c r="AI471" s="306">
        <f t="shared" ref="AI471:AI480" si="123">IF(AH471=0,0,AH471/Z471)</f>
        <v>0.37015075726253815</v>
      </c>
      <c r="AJ471" s="345"/>
      <c r="AK471" s="332"/>
      <c r="AL471" s="347">
        <f>+SUMIF($C:$C,$V471,Q:Q)</f>
        <v>27413</v>
      </c>
      <c r="AM471" s="348"/>
      <c r="AN471" s="282">
        <f t="shared" si="119"/>
        <v>4507</v>
      </c>
      <c r="AO471" s="289">
        <f t="shared" si="117"/>
        <v>0.16441104585415678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120"/>
        <v>0</v>
      </c>
      <c r="AA472" s="332"/>
      <c r="AB472" s="333"/>
      <c r="AC472" s="280"/>
      <c r="AD472" s="345"/>
      <c r="AE472" s="333"/>
      <c r="AF472" s="280">
        <f t="shared" si="121"/>
        <v>0</v>
      </c>
      <c r="AG472" s="346"/>
      <c r="AH472" s="282">
        <f t="shared" si="118"/>
        <v>0</v>
      </c>
      <c r="AI472" s="306">
        <f t="shared" si="123"/>
        <v>0</v>
      </c>
      <c r="AJ472" s="345"/>
      <c r="AK472" s="332"/>
      <c r="AL472" s="347">
        <f t="shared" si="122"/>
        <v>0</v>
      </c>
      <c r="AM472" s="348"/>
      <c r="AN472" s="282">
        <f t="shared" si="119"/>
        <v>0</v>
      </c>
      <c r="AO472" s="289">
        <f t="shared" si="117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120"/>
        <v>0</v>
      </c>
      <c r="AA473" s="332"/>
      <c r="AB473" s="333"/>
      <c r="AC473" s="280"/>
      <c r="AD473" s="345"/>
      <c r="AE473" s="333"/>
      <c r="AF473" s="280">
        <f t="shared" si="121"/>
        <v>0</v>
      </c>
      <c r="AG473" s="346"/>
      <c r="AH473" s="282">
        <f t="shared" si="118"/>
        <v>0</v>
      </c>
      <c r="AI473" s="306">
        <f t="shared" si="123"/>
        <v>0</v>
      </c>
      <c r="AJ473" s="345"/>
      <c r="AK473" s="332"/>
      <c r="AL473" s="347">
        <f t="shared" si="122"/>
        <v>0</v>
      </c>
      <c r="AM473" s="348"/>
      <c r="AN473" s="282">
        <f t="shared" si="119"/>
        <v>0</v>
      </c>
      <c r="AO473" s="289">
        <f t="shared" si="117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 t="shared" si="120"/>
        <v>1125</v>
      </c>
      <c r="AA474" s="332"/>
      <c r="AB474" s="333"/>
      <c r="AC474" s="280"/>
      <c r="AD474" s="345"/>
      <c r="AE474" s="333"/>
      <c r="AF474" s="280">
        <f t="shared" si="121"/>
        <v>0</v>
      </c>
      <c r="AG474" s="346"/>
      <c r="AH474" s="282">
        <f t="shared" si="118"/>
        <v>-1125</v>
      </c>
      <c r="AI474" s="306">
        <f t="shared" si="123"/>
        <v>-1</v>
      </c>
      <c r="AJ474" s="345"/>
      <c r="AK474" s="332"/>
      <c r="AL474" s="347">
        <f t="shared" si="122"/>
        <v>2250</v>
      </c>
      <c r="AM474" s="348"/>
      <c r="AN474" s="282">
        <f t="shared" si="119"/>
        <v>-2250</v>
      </c>
      <c r="AO474" s="289">
        <f t="shared" si="117"/>
        <v>-1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 t="shared" si="120"/>
        <v>867.64705882352951</v>
      </c>
      <c r="AA475" s="332"/>
      <c r="AB475" s="333"/>
      <c r="AC475" s="280"/>
      <c r="AD475" s="345"/>
      <c r="AE475" s="333"/>
      <c r="AF475" s="280">
        <f t="shared" si="121"/>
        <v>-1450</v>
      </c>
      <c r="AG475" s="346"/>
      <c r="AH475" s="282">
        <f t="shared" si="118"/>
        <v>-2317.6470588235297</v>
      </c>
      <c r="AI475" s="306">
        <f t="shared" si="123"/>
        <v>-2.6711864406779662</v>
      </c>
      <c r="AJ475" s="345"/>
      <c r="AK475" s="332"/>
      <c r="AL475" s="347">
        <f t="shared" si="122"/>
        <v>0</v>
      </c>
      <c r="AM475" s="348"/>
      <c r="AN475" s="282">
        <f t="shared" si="119"/>
        <v>-1450</v>
      </c>
      <c r="AO475" s="289">
        <f t="shared" si="117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120"/>
        <v>0</v>
      </c>
      <c r="AA476" s="332"/>
      <c r="AB476" s="333"/>
      <c r="AC476" s="280"/>
      <c r="AD476" s="345"/>
      <c r="AE476" s="333"/>
      <c r="AF476" s="280">
        <f t="shared" si="121"/>
        <v>0</v>
      </c>
      <c r="AG476" s="346"/>
      <c r="AH476" s="282">
        <f t="shared" si="118"/>
        <v>0</v>
      </c>
      <c r="AI476" s="306">
        <f t="shared" si="123"/>
        <v>0</v>
      </c>
      <c r="AJ476" s="345"/>
      <c r="AK476" s="332"/>
      <c r="AL476" s="347">
        <f t="shared" si="122"/>
        <v>0</v>
      </c>
      <c r="AM476" s="348"/>
      <c r="AN476" s="282">
        <f t="shared" si="119"/>
        <v>0</v>
      </c>
      <c r="AO476" s="289">
        <f t="shared" si="117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13978.023876923082</v>
      </c>
      <c r="AA477" s="332"/>
      <c r="AB477" s="333"/>
      <c r="AC477" s="280"/>
      <c r="AD477" s="345"/>
      <c r="AE477" s="333"/>
      <c r="AF477" s="280">
        <v>12600</v>
      </c>
      <c r="AG477" s="346"/>
      <c r="AH477" s="282">
        <f t="shared" si="118"/>
        <v>-1378.0238769230818</v>
      </c>
      <c r="AI477" s="306">
        <f t="shared" si="123"/>
        <v>-9.8585028116751211E-2</v>
      </c>
      <c r="AJ477" s="345"/>
      <c r="AK477" s="332"/>
      <c r="AL477" s="347">
        <v>14408</v>
      </c>
      <c r="AM477" s="348"/>
      <c r="AN477" s="282">
        <f t="shared" si="119"/>
        <v>-1808</v>
      </c>
      <c r="AO477" s="289">
        <f t="shared" si="117"/>
        <v>-0.1254858411993337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8"/>
        <v>0</v>
      </c>
      <c r="AI478" s="283">
        <f t="shared" si="123"/>
        <v>0</v>
      </c>
      <c r="AJ478" s="288"/>
      <c r="AK478" s="279"/>
      <c r="AL478" s="280">
        <f t="shared" si="122"/>
        <v>0</v>
      </c>
      <c r="AM478" s="348"/>
      <c r="AN478" s="282">
        <f t="shared" si="119"/>
        <v>0</v>
      </c>
      <c r="AO478" s="289">
        <f t="shared" si="117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8"/>
        <v>0</v>
      </c>
      <c r="AI479" s="283">
        <f t="shared" si="123"/>
        <v>0</v>
      </c>
      <c r="AJ479" s="288"/>
      <c r="AK479" s="279"/>
      <c r="AL479" s="280">
        <f t="shared" si="122"/>
        <v>0</v>
      </c>
      <c r="AM479" s="348"/>
      <c r="AN479" s="282">
        <f t="shared" si="119"/>
        <v>0</v>
      </c>
      <c r="AO479" s="289">
        <f t="shared" si="117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14482.3</v>
      </c>
      <c r="AA480" s="332"/>
      <c r="AB480" s="333"/>
      <c r="AC480" s="280"/>
      <c r="AD480" s="345"/>
      <c r="AE480" s="333"/>
      <c r="AF480" s="280">
        <f>+SUMIF($C:$C,$V480,L:L)</f>
        <v>21420</v>
      </c>
      <c r="AG480" s="346"/>
      <c r="AH480" s="282">
        <f t="shared" si="118"/>
        <v>6937.7000000000007</v>
      </c>
      <c r="AI480" s="306">
        <f t="shared" si="123"/>
        <v>0.47904683648315538</v>
      </c>
      <c r="AJ480" s="345"/>
      <c r="AK480" s="332"/>
      <c r="AL480" s="347">
        <v>14280</v>
      </c>
      <c r="AM480" s="348"/>
      <c r="AN480" s="282">
        <f t="shared" si="119"/>
        <v>7140</v>
      </c>
      <c r="AO480" s="289">
        <f t="shared" si="117"/>
        <v>0.5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0.27315242763849928</v>
      </c>
      <c r="Y481" s="330"/>
      <c r="Z481" s="299">
        <f>SUM(Z469:Z480)</f>
        <v>81274.484781900479</v>
      </c>
      <c r="AA481" s="298"/>
      <c r="AB481" s="330"/>
      <c r="AC481" s="299"/>
      <c r="AD481" s="298">
        <f>AF481/+AF407</f>
        <v>0.28504025737673327</v>
      </c>
      <c r="AE481" s="330"/>
      <c r="AF481" s="299">
        <f>SUM(AF469:AF480)</f>
        <v>109430.8</v>
      </c>
      <c r="AG481" s="308"/>
      <c r="AH481" s="302">
        <f t="shared" si="118"/>
        <v>28156.315218099524</v>
      </c>
      <c r="AI481" s="298">
        <f>AH481/Z481</f>
        <v>0.34643486567348658</v>
      </c>
      <c r="AJ481" s="349"/>
      <c r="AK481" s="350"/>
      <c r="AL481" s="299">
        <f>SUM(AL469:AL480)</f>
        <v>93913.31</v>
      </c>
      <c r="AM481" s="351"/>
      <c r="AN481" s="302">
        <f t="shared" si="119"/>
        <v>15517.490000000005</v>
      </c>
      <c r="AO481" s="331">
        <f t="shared" si="117"/>
        <v>0.165232063484931</v>
      </c>
      <c r="AP481" s="246"/>
      <c r="AQ481" s="246" t="s">
        <v>221</v>
      </c>
      <c r="AR481" s="246">
        <v>106000</v>
      </c>
      <c r="AS481" s="310">
        <f>AF481-AR481</f>
        <v>3430.8000000000029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9"/>
        <v>0</v>
      </c>
      <c r="AO482" s="364">
        <f t="shared" si="117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-3.1034580336801953E-3</v>
      </c>
      <c r="Z483" s="369">
        <f>Z407-Z468+Z481</f>
        <v>-8090.9988296799711</v>
      </c>
      <c r="AA483" s="367"/>
      <c r="AB483" s="368"/>
      <c r="AC483" s="369"/>
      <c r="AD483" s="367" t="s">
        <v>180</v>
      </c>
      <c r="AE483" s="368">
        <f>AF483/AF406</f>
        <v>9.8464875135162895E-3</v>
      </c>
      <c r="AF483" s="370">
        <f>AF407-AF468+AF481</f>
        <v>41931.830000000264</v>
      </c>
      <c r="AG483" s="371"/>
      <c r="AH483" s="370">
        <f>AF483-Z483</f>
        <v>50022.828829680235</v>
      </c>
      <c r="AI483" s="487">
        <f>AH483/Z483</f>
        <v>-6.182528249316138</v>
      </c>
      <c r="AJ483" s="373" t="s">
        <v>180</v>
      </c>
      <c r="AK483" s="368">
        <f>IF($AL$406=0,0,AL483/$AL$406)</f>
        <v>-3.2416393175781107E-3</v>
      </c>
      <c r="AL483" s="370">
        <f>AL407-AL468+AL481</f>
        <v>-29731.910000000265</v>
      </c>
      <c r="AM483" s="374"/>
      <c r="AN483" s="370">
        <f t="shared" si="119"/>
        <v>71663.740000000529</v>
      </c>
      <c r="AO483" s="375">
        <f t="shared" si="117"/>
        <v>-2.4103308532818741</v>
      </c>
      <c r="AP483" s="246"/>
      <c r="AQ483" s="246"/>
      <c r="AR483" s="310">
        <f>AR407-AR468+AR481</f>
        <v>26461</v>
      </c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4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Décembre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124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4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8.4520100126725534E-3</v>
      </c>
      <c r="Z488" s="449">
        <f>Z489+Z415</f>
        <v>22035.162834112281</v>
      </c>
      <c r="AA488" s="446"/>
      <c r="AB488" s="447"/>
      <c r="AC488" s="448"/>
      <c r="AD488" s="446" t="s">
        <v>180</v>
      </c>
      <c r="AE488" s="447">
        <f>AF488/AF406</f>
        <v>1.7237871201339367E-2</v>
      </c>
      <c r="AF488" s="449">
        <f>AF489+AF415</f>
        <v>73408.460000000268</v>
      </c>
      <c r="AG488" s="450"/>
      <c r="AH488" s="450">
        <f t="shared" ref="AH488" si="125">AF488-Z488</f>
        <v>51373.297165887983</v>
      </c>
      <c r="AI488" s="451">
        <f>AH488/Z488</f>
        <v>2.3314235321355468</v>
      </c>
      <c r="AJ488" s="446" t="s">
        <v>180</v>
      </c>
      <c r="AK488" s="447">
        <f>IF($AL$406=0,0,AL488/$AL$406)</f>
        <v>-7.2054952088909576E-4</v>
      </c>
      <c r="AL488" s="449">
        <f>AL489+AL415</f>
        <v>-6608.7900000002664</v>
      </c>
      <c r="AM488" s="452"/>
      <c r="AN488" s="449">
        <f t="shared" ref="AN488" si="126">AF488-AL488</f>
        <v>80017.250000000538</v>
      </c>
      <c r="AO488" s="453">
        <f t="shared" ref="AO488" si="127">IF(AL488=0,0,AN488/AL488)</f>
        <v>-12.107700501906901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thickTop="1" thickBot="1">
      <c r="A489" t="str">
        <f t="shared" si="124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-3.1034580336801953E-3</v>
      </c>
      <c r="Z489" s="381">
        <f>Z483</f>
        <v>-8090.9988296799711</v>
      </c>
      <c r="AA489" s="379"/>
      <c r="AB489" s="380"/>
      <c r="AC489" s="381"/>
      <c r="AD489" s="379" t="s">
        <v>180</v>
      </c>
      <c r="AE489" s="380">
        <f>AF489/AF406</f>
        <v>9.8464875135162895E-3</v>
      </c>
      <c r="AF489" s="381">
        <f>AF483</f>
        <v>41931.830000000264</v>
      </c>
      <c r="AG489" s="382"/>
      <c r="AH489" s="370">
        <f>AF489-Z489</f>
        <v>50022.828829680235</v>
      </c>
      <c r="AI489" s="487">
        <f>AH489/Z489</f>
        <v>-6.182528249316138</v>
      </c>
      <c r="AJ489" s="379" t="s">
        <v>180</v>
      </c>
      <c r="AK489" s="380">
        <f>IF($AL$406=0,0,AL489/$AL$406)</f>
        <v>-3.2416393175781107E-3</v>
      </c>
      <c r="AL489" s="383">
        <f>AL483</f>
        <v>-29731.910000000265</v>
      </c>
      <c r="AM489" s="384"/>
      <c r="AN489" s="385">
        <f>AF489-AL489</f>
        <v>71663.740000000529</v>
      </c>
      <c r="AO489" s="386">
        <f>IF(AL489=0,0,AN489/AL489)</f>
        <v>-2.4103308532818741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4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4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20970</v>
      </c>
      <c r="AA491" s="279"/>
      <c r="AB491" s="287"/>
      <c r="AC491" s="280"/>
      <c r="AD491" s="279"/>
      <c r="AE491" s="287"/>
      <c r="AF491" s="280">
        <v>20970</v>
      </c>
      <c r="AG491" s="279"/>
      <c r="AH491" s="282">
        <f t="shared" ref="AH491:AH498" si="128">AF491-Z491</f>
        <v>0</v>
      </c>
      <c r="AI491" s="306">
        <f t="shared" ref="AI491:AI497" si="129">IF(Z491=0,0,AH491/Z491)</f>
        <v>0</v>
      </c>
      <c r="AJ491" s="279"/>
      <c r="AK491" s="279"/>
      <c r="AL491" s="280">
        <v>19520</v>
      </c>
      <c r="AM491" s="284"/>
      <c r="AN491" s="282">
        <f t="shared" ref="AN491:AN498" si="130">AF491-AL491</f>
        <v>1450</v>
      </c>
      <c r="AO491" s="289">
        <f t="shared" ref="AO491:AO498" si="131">IF(AL491=0,0,AN491/AL491)</f>
        <v>7.4282786885245908E-2</v>
      </c>
      <c r="AP491" s="246"/>
      <c r="AQ491" s="486">
        <v>20970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124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8"/>
        <v>0</v>
      </c>
      <c r="AI492" s="306">
        <f t="shared" si="129"/>
        <v>0</v>
      </c>
      <c r="AJ492" s="10"/>
      <c r="AK492" s="10"/>
      <c r="AL492" s="280">
        <v>0</v>
      </c>
      <c r="AM492" s="393"/>
      <c r="AN492" s="282">
        <f t="shared" si="130"/>
        <v>0</v>
      </c>
      <c r="AO492" s="289">
        <f t="shared" si="131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124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8"/>
        <v>0</v>
      </c>
      <c r="AI493" s="306">
        <f t="shared" si="129"/>
        <v>0</v>
      </c>
      <c r="AJ493" s="10"/>
      <c r="AK493" s="10"/>
      <c r="AL493" s="280">
        <v>0</v>
      </c>
      <c r="AM493" s="393"/>
      <c r="AN493" s="282">
        <f t="shared" si="130"/>
        <v>0</v>
      </c>
      <c r="AO493" s="289">
        <f t="shared" si="131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124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8"/>
        <v>0</v>
      </c>
      <c r="AI494" s="306">
        <f t="shared" si="129"/>
        <v>0</v>
      </c>
      <c r="AJ494" s="10"/>
      <c r="AK494" s="10"/>
      <c r="AL494" s="280">
        <v>0</v>
      </c>
      <c r="AM494" s="393"/>
      <c r="AN494" s="282">
        <f t="shared" si="130"/>
        <v>0</v>
      </c>
      <c r="AO494" s="289">
        <f t="shared" si="131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4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8"/>
        <v>0</v>
      </c>
      <c r="AI495" s="283">
        <f t="shared" si="129"/>
        <v>0</v>
      </c>
      <c r="AJ495" s="288"/>
      <c r="AK495" s="279"/>
      <c r="AL495" s="280">
        <v>0</v>
      </c>
      <c r="AM495" s="393"/>
      <c r="AN495" s="282">
        <f t="shared" si="130"/>
        <v>0</v>
      </c>
      <c r="AO495" s="289">
        <f t="shared" si="131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4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239</v>
      </c>
      <c r="W496" s="13"/>
      <c r="X496" s="13"/>
      <c r="Y496" s="13"/>
      <c r="Z496" s="282">
        <v>-9189.890710382515</v>
      </c>
      <c r="AA496" s="279"/>
      <c r="AB496" s="279"/>
      <c r="AC496" s="282"/>
      <c r="AD496" s="288"/>
      <c r="AE496" s="287"/>
      <c r="AF496" s="280">
        <v>-4944.26</v>
      </c>
      <c r="AG496" s="281"/>
      <c r="AH496" s="282">
        <f t="shared" si="128"/>
        <v>4245.6307103825147</v>
      </c>
      <c r="AI496" s="283">
        <f t="shared" si="129"/>
        <v>-0.46198924929389035</v>
      </c>
      <c r="AJ496" s="288"/>
      <c r="AK496" s="279"/>
      <c r="AL496" s="280">
        <v>0</v>
      </c>
      <c r="AM496" s="393"/>
      <c r="AN496" s="282">
        <f t="shared" si="130"/>
        <v>-4944.26</v>
      </c>
      <c r="AO496" s="289">
        <f t="shared" si="131"/>
        <v>0</v>
      </c>
      <c r="AP496" s="246"/>
      <c r="AQ496" s="246">
        <v>-4944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4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8"/>
        <v>0</v>
      </c>
      <c r="AI497" s="283">
        <f t="shared" si="129"/>
        <v>0</v>
      </c>
      <c r="AJ497" s="288"/>
      <c r="AK497" s="279"/>
      <c r="AL497" s="280">
        <v>0</v>
      </c>
      <c r="AM497" s="393"/>
      <c r="AN497" s="282">
        <f t="shared" si="130"/>
        <v>0</v>
      </c>
      <c r="AO497" s="289">
        <f t="shared" si="131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4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-7.6219452541189765E-3</v>
      </c>
      <c r="Z498" s="369">
        <f>Z489-Z491-Z492-Z493-Z497-Z496-Z494-Z495</f>
        <v>-19871.108119297456</v>
      </c>
      <c r="AA498" s="367"/>
      <c r="AB498" s="368"/>
      <c r="AC498" s="369"/>
      <c r="AD498" s="367" t="s">
        <v>180</v>
      </c>
      <c r="AE498" s="368">
        <f>AF498/AF406</f>
        <v>6.0833021527806012E-3</v>
      </c>
      <c r="AF498" s="370">
        <f>AF489-AF491-AF492-AF493-AF497-AF496-AF494-AF495</f>
        <v>25906.090000000266</v>
      </c>
      <c r="AG498" s="371"/>
      <c r="AH498" s="370">
        <f t="shared" si="128"/>
        <v>45777.198119297725</v>
      </c>
      <c r="AI498" s="487">
        <f>AH498/Z498</f>
        <v>-2.3037063582197539</v>
      </c>
      <c r="AJ498" s="373" t="s">
        <v>180</v>
      </c>
      <c r="AK498" s="368">
        <f>IF($AL$406=0,0,AL498/$AL$406)</f>
        <v>-5.3698846768276227E-3</v>
      </c>
      <c r="AL498" s="370">
        <f>AL489-AL491-AL492-AL493-AL497-AL496-AL494-AL495</f>
        <v>-49251.910000000265</v>
      </c>
      <c r="AM498" s="374"/>
      <c r="AN498" s="370">
        <f t="shared" si="130"/>
        <v>75158.000000000524</v>
      </c>
      <c r="AO498" s="394">
        <f t="shared" si="131"/>
        <v>-1.5259915808341264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240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6735.58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241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19170.510000000264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0.25999986875672598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242</v>
      </c>
      <c r="AE505" s="246"/>
      <c r="AF505" s="246">
        <v>26461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-554.90999999973428</v>
      </c>
      <c r="AG507" s="246"/>
      <c r="AH507" s="246"/>
      <c r="AI507" s="246"/>
      <c r="AJ507" s="246" t="e">
        <f>AF511/AJ505</f>
        <v>#DIV/0!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267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253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310">
        <f>AF498+AF509+AF510</f>
        <v>25906.090000000266</v>
      </c>
      <c r="AG511" s="310">
        <f>AF511-AF505</f>
        <v>-554.90999999973428</v>
      </c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R91:S91"/>
    <mergeCell ref="D170:F170"/>
    <mergeCell ref="D91:F91"/>
    <mergeCell ref="G91:I91"/>
    <mergeCell ref="J91:L91"/>
    <mergeCell ref="M91:N91"/>
    <mergeCell ref="O91:Q91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  <mergeCell ref="R293:S293"/>
    <mergeCell ref="R238:S238"/>
    <mergeCell ref="R170:S170"/>
    <mergeCell ref="D238:F238"/>
    <mergeCell ref="G238:I238"/>
    <mergeCell ref="J238:L238"/>
    <mergeCell ref="M238:N238"/>
    <mergeCell ref="O238:Q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2" priority="6" stopIfTrue="1">
      <formula>"esterreur(reference)"</formula>
    </cfRule>
  </conditionalFormatting>
  <conditionalFormatting sqref="D112:D113">
    <cfRule type="expression" dxfId="111" priority="1" stopIfTrue="1">
      <formula>"esterreur(reference)"</formula>
    </cfRule>
  </conditionalFormatting>
  <conditionalFormatting sqref="F5">
    <cfRule type="expression" dxfId="110" priority="67" stopIfTrue="1">
      <formula>"esterreur(reference)"</formula>
    </cfRule>
  </conditionalFormatting>
  <conditionalFormatting sqref="F184">
    <cfRule type="expression" dxfId="109" priority="77" stopIfTrue="1">
      <formula>"esterreur(reference)"</formula>
    </cfRule>
  </conditionalFormatting>
  <conditionalFormatting sqref="G31:G32">
    <cfRule type="expression" dxfId="108" priority="5" stopIfTrue="1">
      <formula>"esterreur(reference)"</formula>
    </cfRule>
  </conditionalFormatting>
  <conditionalFormatting sqref="G112:G113">
    <cfRule type="expression" dxfId="107" priority="2" stopIfTrue="1">
      <formula>"esterreur(reference)"</formula>
    </cfRule>
  </conditionalFormatting>
  <conditionalFormatting sqref="H136:H152">
    <cfRule type="expression" dxfId="106" priority="31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2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98" stopIfTrue="1">
      <formula>"esterreur(reference)"</formula>
    </cfRule>
  </conditionalFormatting>
  <conditionalFormatting sqref="J149:L152">
    <cfRule type="expression" dxfId="98" priority="30" stopIfTrue="1">
      <formula>"esterreur(reference)"</formula>
    </cfRule>
  </conditionalFormatting>
  <conditionalFormatting sqref="J295:L303">
    <cfRule type="expression" dxfId="97" priority="94" stopIfTrue="1">
      <formula>"esterreur(reference)"</formula>
    </cfRule>
  </conditionalFormatting>
  <conditionalFormatting sqref="J307:L308">
    <cfRule type="expression" dxfId="96" priority="84" stopIfTrue="1">
      <formula>"esterreur(reference)"</formula>
    </cfRule>
  </conditionalFormatting>
  <conditionalFormatting sqref="J360:L360">
    <cfRule type="expression" dxfId="95" priority="76" stopIfTrue="1">
      <formula>"esterreur(reference)"</formula>
    </cfRule>
  </conditionalFormatting>
  <conditionalFormatting sqref="J365:L376">
    <cfRule type="expression" dxfId="94" priority="81" stopIfTrue="1">
      <formula>"esterreur(reference)"</formula>
    </cfRule>
  </conditionalFormatting>
  <conditionalFormatting sqref="J378:L394">
    <cfRule type="expression" dxfId="93" priority="80" stopIfTrue="1">
      <formula>"esterreur(reference)"</formula>
    </cfRule>
  </conditionalFormatting>
  <conditionalFormatting sqref="J312:M312">
    <cfRule type="expression" dxfId="92" priority="82" stopIfTrue="1">
      <formula>"esterreur(reference)"</formula>
    </cfRule>
  </conditionalFormatting>
  <conditionalFormatting sqref="J112:Q121">
    <cfRule type="expression" dxfId="91" priority="3" stopIfTrue="1">
      <formula>"esterreur(reference)"</formula>
    </cfRule>
  </conditionalFormatting>
  <conditionalFormatting sqref="J123:Q134">
    <cfRule type="expression" dxfId="90" priority="57" stopIfTrue="1">
      <formula>"esterreur(reference)"</formula>
    </cfRule>
  </conditionalFormatting>
  <conditionalFormatting sqref="K5">
    <cfRule type="expression" dxfId="89" priority="91" stopIfTrue="1">
      <formula>"esterreur(reference)"</formula>
    </cfRule>
  </conditionalFormatting>
  <conditionalFormatting sqref="K175">
    <cfRule type="expression" dxfId="88" priority="88" stopIfTrue="1">
      <formula>"esterreur(reference)"</formula>
    </cfRule>
  </conditionalFormatting>
  <conditionalFormatting sqref="K183:K184">
    <cfRule type="expression" dxfId="87" priority="90" stopIfTrue="1">
      <formula>"esterreur(reference)"</formula>
    </cfRule>
  </conditionalFormatting>
  <conditionalFormatting sqref="K287">
    <cfRule type="expression" dxfId="86" priority="74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79" stopIfTrue="1">
      <formula>"esterreur(reference)"</formula>
    </cfRule>
  </conditionalFormatting>
  <conditionalFormatting sqref="K99:L100">
    <cfRule type="expression" dxfId="83" priority="99" stopIfTrue="1">
      <formula>"esterreur(reference)"</formula>
    </cfRule>
  </conditionalFormatting>
  <conditionalFormatting sqref="K171:L173">
    <cfRule type="expression" dxfId="82" priority="89" stopIfTrue="1">
      <formula>"esterreur(reference)"</formula>
    </cfRule>
  </conditionalFormatting>
  <conditionalFormatting sqref="K176:L182">
    <cfRule type="expression" dxfId="81" priority="87" stopIfTrue="1">
      <formula>"esterreur(reference)"</formula>
    </cfRule>
  </conditionalFormatting>
  <conditionalFormatting sqref="K185:L196">
    <cfRule type="expression" dxfId="80" priority="83" stopIfTrue="1">
      <formula>"esterreur(reference)"</formula>
    </cfRule>
  </conditionalFormatting>
  <conditionalFormatting sqref="K239:L241">
    <cfRule type="expression" dxfId="79" priority="78" stopIfTrue="1">
      <formula>"esterreur(reference)"</formula>
    </cfRule>
  </conditionalFormatting>
  <conditionalFormatting sqref="K244:L244">
    <cfRule type="expression" dxfId="78" priority="86" stopIfTrue="1">
      <formula>"esterreur(reference)"</formula>
    </cfRule>
  </conditionalFormatting>
  <conditionalFormatting sqref="K247:L247">
    <cfRule type="expression" dxfId="77" priority="85" stopIfTrue="1">
      <formula>"esterreur(reference)"</formula>
    </cfRule>
  </conditionalFormatting>
  <conditionalFormatting sqref="L16:L24">
    <cfRule type="expression" dxfId="76" priority="101" stopIfTrue="1">
      <formula>"esterreur(reference)"</formula>
    </cfRule>
  </conditionalFormatting>
  <conditionalFormatting sqref="L42:L48">
    <cfRule type="expression" dxfId="75" priority="100" stopIfTrue="1">
      <formula>"esterreur(reference)"</formula>
    </cfRule>
  </conditionalFormatting>
  <conditionalFormatting sqref="L55:L66">
    <cfRule type="expression" dxfId="74" priority="68" stopIfTrue="1">
      <formula>"esterreur(reference)"</formula>
    </cfRule>
  </conditionalFormatting>
  <conditionalFormatting sqref="L68:L71">
    <cfRule type="expression" dxfId="73" priority="32" stopIfTrue="1">
      <formula>"esterreur(reference)"</formula>
    </cfRule>
  </conditionalFormatting>
  <conditionalFormatting sqref="L75:L82">
    <cfRule type="expression" dxfId="72" priority="69" stopIfTrue="1">
      <formula>"esterreur(reference)"</formula>
    </cfRule>
  </conditionalFormatting>
  <conditionalFormatting sqref="L136:L147">
    <cfRule type="expression" dxfId="71" priority="73" stopIfTrue="1">
      <formula>"esterreur(reference)"</formula>
    </cfRule>
  </conditionalFormatting>
  <conditionalFormatting sqref="L174:L175">
    <cfRule type="expression" dxfId="70" priority="97" stopIfTrue="1">
      <formula>"esterreur(reference)"</formula>
    </cfRule>
  </conditionalFormatting>
  <conditionalFormatting sqref="L198:L209">
    <cfRule type="expression" dxfId="69" priority="96" stopIfTrue="1">
      <formula>"esterreur(reference)"</formula>
    </cfRule>
  </conditionalFormatting>
  <conditionalFormatting sqref="L211:L228">
    <cfRule type="expression" dxfId="68" priority="72" stopIfTrue="1">
      <formula>"esterreur(reference)"</formula>
    </cfRule>
  </conditionalFormatting>
  <conditionalFormatting sqref="L254:L265">
    <cfRule type="expression" dxfId="67" priority="95" stopIfTrue="1">
      <formula>"esterreur(reference)"</formula>
    </cfRule>
  </conditionalFormatting>
  <conditionalFormatting sqref="L267:L284">
    <cfRule type="expression" dxfId="66" priority="71" stopIfTrue="1">
      <formula>"esterreur(reference)"</formula>
    </cfRule>
  </conditionalFormatting>
  <conditionalFormatting sqref="L318:L329">
    <cfRule type="expression" dxfId="65" priority="93" stopIfTrue="1">
      <formula>"esterreur(reference)"</formula>
    </cfRule>
  </conditionalFormatting>
  <conditionalFormatting sqref="L331">
    <cfRule type="expression" dxfId="64" priority="70" stopIfTrue="1">
      <formula>"esterreur(reference)"</formula>
    </cfRule>
  </conditionalFormatting>
  <conditionalFormatting sqref="L334:L343 L345:L348">
    <cfRule type="expression" dxfId="63" priority="92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2" stopIfTrue="1">
      <formula>"esterreur(reference)"</formula>
    </cfRule>
  </conditionalFormatting>
  <conditionalFormatting sqref="L156:Q162">
    <cfRule type="expression" dxfId="60" priority="28" stopIfTrue="1">
      <formula>"esterreur(reference)"</formula>
    </cfRule>
  </conditionalFormatting>
  <conditionalFormatting sqref="M95:M97">
    <cfRule type="expression" dxfId="59" priority="103" stopIfTrue="1">
      <formula>"esterreur(reference)"</formula>
    </cfRule>
  </conditionalFormatting>
  <conditionalFormatting sqref="O13:O14 O16 O18:O24 O83:Q85">
    <cfRule type="expression" dxfId="58" priority="66" stopIfTrue="1">
      <formula>"esterreur(reference)"</formula>
    </cfRule>
  </conditionalFormatting>
  <conditionalFormatting sqref="O172:O196 Q183 O198:P229 O232:Q232 O233:P233">
    <cfRule type="expression" dxfId="57" priority="55" stopIfTrue="1">
      <formula>"esterreur(reference)"</formula>
    </cfRule>
  </conditionalFormatting>
  <conditionalFormatting sqref="O318:P348 O349:Q349 O352:Q352 O353:P353">
    <cfRule type="expression" dxfId="56" priority="39" stopIfTrue="1">
      <formula>"esterreur(reference)"</formula>
    </cfRule>
  </conditionalFormatting>
  <conditionalFormatting sqref="O25:Q72">
    <cfRule type="expression" dxfId="55" priority="4" stopIfTrue="1">
      <formula>"esterreur(reference)"</formula>
    </cfRule>
  </conditionalFormatting>
  <conditionalFormatting sqref="O97:Q98 O122:Q122 O156:P157 O164:Q164 O165:P165">
    <cfRule type="expression" dxfId="54" priority="61" stopIfTrue="1">
      <formula>"esterreur(reference)"</formula>
    </cfRule>
  </conditionalFormatting>
  <conditionalFormatting sqref="O101:Q111">
    <cfRule type="expression" dxfId="53" priority="59" stopIfTrue="1">
      <formula>"esterreur(reference)"</formula>
    </cfRule>
  </conditionalFormatting>
  <conditionalFormatting sqref="O135:Q153">
    <cfRule type="expression" dxfId="52" priority="29" stopIfTrue="1">
      <formula>"esterreur(reference)"</formula>
    </cfRule>
  </conditionalFormatting>
  <conditionalFormatting sqref="O197:Q197">
    <cfRule type="expression" dxfId="51" priority="56" stopIfTrue="1">
      <formula>"esterreur(reference)"</formula>
    </cfRule>
  </conditionalFormatting>
  <conditionalFormatting sqref="O243:Q243 O252:Q253 O254:P284 O285:Q285 O288:Q288 O289:P289">
    <cfRule type="expression" dxfId="50" priority="46" stopIfTrue="1">
      <formula>"esterreur(reference)"</formula>
    </cfRule>
  </conditionalFormatting>
  <conditionalFormatting sqref="O295:Q317">
    <cfRule type="expression" dxfId="49" priority="37" stopIfTrue="1">
      <formula>"esterreur(reference)"</formula>
    </cfRule>
  </conditionalFormatting>
  <conditionalFormatting sqref="O359:Q394">
    <cfRule type="expression" dxfId="48" priority="33" stopIfTrue="1">
      <formula>"esterreur(reference)"</formula>
    </cfRule>
  </conditionalFormatting>
  <conditionalFormatting sqref="O396:Q399">
    <cfRule type="expression" dxfId="47" priority="34" stopIfTrue="1">
      <formula>"esterreur(reference)"</formula>
    </cfRule>
  </conditionalFormatting>
  <conditionalFormatting sqref="P5">
    <cfRule type="expression" dxfId="46" priority="63" stopIfTrue="1">
      <formula>"esterreur(reference)"</formula>
    </cfRule>
  </conditionalFormatting>
  <conditionalFormatting sqref="P175">
    <cfRule type="expression" dxfId="45" priority="50" stopIfTrue="1">
      <formula>"esterreur(reference)"</formula>
    </cfRule>
  </conditionalFormatting>
  <conditionalFormatting sqref="P183:P184">
    <cfRule type="expression" dxfId="44" priority="52" stopIfTrue="1">
      <formula>"esterreur(reference)"</formula>
    </cfRule>
  </conditionalFormatting>
  <conditionalFormatting sqref="P287">
    <cfRule type="expression" dxfId="43" priority="41" stopIfTrue="1">
      <formula>"esterreur(reference)"</formula>
    </cfRule>
  </conditionalFormatting>
  <conditionalFormatting sqref="P395">
    <cfRule type="expression" dxfId="42" priority="35" stopIfTrue="1">
      <formula>"esterreur(reference)"</formula>
    </cfRule>
  </conditionalFormatting>
  <conditionalFormatting sqref="P93:Q96">
    <cfRule type="expression" dxfId="41" priority="58" stopIfTrue="1">
      <formula>"esterreur(reference)"</formula>
    </cfRule>
  </conditionalFormatting>
  <conditionalFormatting sqref="P99:Q100">
    <cfRule type="expression" dxfId="40" priority="60" stopIfTrue="1">
      <formula>"esterreur(reference)"</formula>
    </cfRule>
  </conditionalFormatting>
  <conditionalFormatting sqref="P172:Q173">
    <cfRule type="expression" dxfId="39" priority="51" stopIfTrue="1">
      <formula>"esterreur(reference)"</formula>
    </cfRule>
  </conditionalFormatting>
  <conditionalFormatting sqref="P176:Q182">
    <cfRule type="expression" dxfId="38" priority="49" stopIfTrue="1">
      <formula>"esterreur(reference)"</formula>
    </cfRule>
  </conditionalFormatting>
  <conditionalFormatting sqref="P185:Q196">
    <cfRule type="expression" dxfId="37" priority="48" stopIfTrue="1">
      <formula>"esterreur(reference)"</formula>
    </cfRule>
  </conditionalFormatting>
  <conditionalFormatting sqref="P241:Q241">
    <cfRule type="expression" dxfId="36" priority="42" stopIfTrue="1">
      <formula>"esterreur(reference)"</formula>
    </cfRule>
  </conditionalFormatting>
  <conditionalFormatting sqref="P244:Q244">
    <cfRule type="expression" dxfId="35" priority="44" stopIfTrue="1">
      <formula>"esterreur(reference)"</formula>
    </cfRule>
  </conditionalFormatting>
  <conditionalFormatting sqref="P247:Q247">
    <cfRule type="expression" dxfId="34" priority="43" stopIfTrue="1">
      <formula>"esterreur(reference)"</formula>
    </cfRule>
  </conditionalFormatting>
  <conditionalFormatting sqref="Q16:Q24">
    <cfRule type="expression" dxfId="33" priority="65" stopIfTrue="1">
      <formula>"esterreur(reference)"</formula>
    </cfRule>
  </conditionalFormatting>
  <conditionalFormatting sqref="Q75:Q82">
    <cfRule type="expression" dxfId="32" priority="64" stopIfTrue="1">
      <formula>"esterreur(reference)"</formula>
    </cfRule>
  </conditionalFormatting>
  <conditionalFormatting sqref="Q174:Q175">
    <cfRule type="expression" dxfId="31" priority="54" stopIfTrue="1">
      <formula>"esterreur(reference)"</formula>
    </cfRule>
  </conditionalFormatting>
  <conditionalFormatting sqref="Q198:Q209">
    <cfRule type="expression" dxfId="30" priority="53" stopIfTrue="1">
      <formula>"esterreur(reference)"</formula>
    </cfRule>
  </conditionalFormatting>
  <conditionalFormatting sqref="Q211:Q228">
    <cfRule type="expression" dxfId="29" priority="47" stopIfTrue="1">
      <formula>"esterreur(reference)"</formula>
    </cfRule>
  </conditionalFormatting>
  <conditionalFormatting sqref="Q254:Q265">
    <cfRule type="expression" dxfId="28" priority="45" stopIfTrue="1">
      <formula>"esterreur(reference)"</formula>
    </cfRule>
  </conditionalFormatting>
  <conditionalFormatting sqref="Q267:Q284">
    <cfRule type="expression" dxfId="27" priority="40" stopIfTrue="1">
      <formula>"esterreur(reference)"</formula>
    </cfRule>
  </conditionalFormatting>
  <conditionalFormatting sqref="Q318:Q329">
    <cfRule type="expression" dxfId="26" priority="38" stopIfTrue="1">
      <formula>"esterreur(reference)"</formula>
    </cfRule>
  </conditionalFormatting>
  <conditionalFormatting sqref="Q331:Q348">
    <cfRule type="expression" dxfId="25" priority="36" stopIfTrue="1">
      <formula>"esterreur(reference)"</formula>
    </cfRule>
  </conditionalFormatting>
  <conditionalFormatting sqref="R312">
    <cfRule type="expression" dxfId="24" priority="104" stopIfTrue="1">
      <formula>"esterreur(reference)"</formula>
    </cfRule>
  </conditionalFormatting>
  <conditionalFormatting sqref="S186">
    <cfRule type="expression" dxfId="23" priority="75" stopIfTrue="1">
      <formula>"esterreur(reference)"</formula>
    </cfRule>
  </conditionalFormatting>
  <conditionalFormatting sqref="Z425:Z427">
    <cfRule type="cellIs" dxfId="22" priority="24" operator="greaterThan">
      <formula>0</formula>
    </cfRule>
  </conditionalFormatting>
  <conditionalFormatting sqref="Z432">
    <cfRule type="cellIs" dxfId="21" priority="21" operator="greaterThan">
      <formula>0</formula>
    </cfRule>
  </conditionalFormatting>
  <conditionalFormatting sqref="Z449:Z451">
    <cfRule type="cellIs" dxfId="20" priority="17" operator="greaterThan">
      <formula>0</formula>
    </cfRule>
  </conditionalFormatting>
  <conditionalFormatting sqref="Z463:Z465">
    <cfRule type="cellIs" dxfId="19" priority="13" operator="greaterThan">
      <formula>0</formula>
    </cfRule>
  </conditionalFormatting>
  <conditionalFormatting sqref="Z478:Z479">
    <cfRule type="cellIs" dxfId="18" priority="10" operator="greaterThan">
      <formula>0</formula>
    </cfRule>
  </conditionalFormatting>
  <conditionalFormatting sqref="Z495:Z497">
    <cfRule type="cellIs" dxfId="17" priority="7" operator="greaterThan">
      <formula>0</formula>
    </cfRule>
  </conditionalFormatting>
  <conditionalFormatting sqref="AC425:AC427">
    <cfRule type="cellIs" dxfId="16" priority="25" operator="greaterThan">
      <formula>0</formula>
    </cfRule>
  </conditionalFormatting>
  <conditionalFormatting sqref="AC432">
    <cfRule type="cellIs" dxfId="15" priority="22" operator="greaterThan">
      <formula>0</formula>
    </cfRule>
  </conditionalFormatting>
  <conditionalFormatting sqref="AC449:AC451">
    <cfRule type="cellIs" dxfId="14" priority="18" operator="greaterThan">
      <formula>0</formula>
    </cfRule>
  </conditionalFormatting>
  <conditionalFormatting sqref="AC463:AC465">
    <cfRule type="cellIs" dxfId="13" priority="14" operator="greaterThan">
      <formula>0</formula>
    </cfRule>
  </conditionalFormatting>
  <conditionalFormatting sqref="AC478:AC479">
    <cfRule type="cellIs" dxfId="12" priority="11" operator="greaterThan">
      <formula>0</formula>
    </cfRule>
  </conditionalFormatting>
  <conditionalFormatting sqref="AC495:AC497">
    <cfRule type="cellIs" dxfId="11" priority="8" operator="greaterThan">
      <formula>0</formula>
    </cfRule>
  </conditionalFormatting>
  <conditionalFormatting sqref="AG409:AI418">
    <cfRule type="cellIs" dxfId="10" priority="27" operator="greaterThan">
      <formula>0</formula>
    </cfRule>
  </conditionalFormatting>
  <conditionalFormatting sqref="AH449:AH452">
    <cfRule type="cellIs" dxfId="9" priority="19" operator="greaterThan">
      <formula>0</formula>
    </cfRule>
  </conditionalFormatting>
  <conditionalFormatting sqref="AH461:AH466">
    <cfRule type="cellIs" dxfId="8" priority="15" operator="greaterThan">
      <formula>0</formula>
    </cfRule>
  </conditionalFormatting>
  <conditionalFormatting sqref="AH420:AI448">
    <cfRule type="cellIs" dxfId="7" priority="23" operator="greaterThan">
      <formula>0</formula>
    </cfRule>
  </conditionalFormatting>
  <conditionalFormatting sqref="AH453:AI460 AH467:AI468">
    <cfRule type="cellIs" dxfId="6" priority="105" operator="greaterThan">
      <formula>0</formula>
    </cfRule>
  </conditionalFormatting>
  <conditionalFormatting sqref="AH469:AI477 AH480:AI480">
    <cfRule type="cellIs" dxfId="5" priority="106" operator="lessThan">
      <formula>0</formula>
    </cfRule>
  </conditionalFormatting>
  <conditionalFormatting sqref="AH478:AI479">
    <cfRule type="cellIs" dxfId="4" priority="12" operator="greaterThan">
      <formula>0</formula>
    </cfRule>
  </conditionalFormatting>
  <conditionalFormatting sqref="AH491:AI497">
    <cfRule type="cellIs" dxfId="3" priority="9" operator="greaterThan">
      <formula>0</formula>
    </cfRule>
  </conditionalFormatting>
  <conditionalFormatting sqref="AI449:AI451">
    <cfRule type="cellIs" dxfId="2" priority="20" operator="greaterThan">
      <formula>0</formula>
    </cfRule>
  </conditionalFormatting>
  <conditionalFormatting sqref="AI463:AI465">
    <cfRule type="cellIs" dxfId="1" priority="16" operator="greaterThan">
      <formula>0</formula>
    </cfRule>
  </conditionalFormatting>
  <conditionalFormatting sqref="AO409:AO418">
    <cfRule type="cellIs" dxfId="0" priority="26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2024-10-09T15:23:59Z</cp:lastPrinted>
  <dcterms:created xsi:type="dcterms:W3CDTF">2021-02-12T03:12:48Z</dcterms:created>
  <dcterms:modified xsi:type="dcterms:W3CDTF">2025-01-13T20:55:43Z</dcterms:modified>
</cp:coreProperties>
</file>